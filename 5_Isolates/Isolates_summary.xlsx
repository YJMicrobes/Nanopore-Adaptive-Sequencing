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y/Desktop/Nanopore-Adaptive-Sequencing/5_Isolates/"/>
    </mc:Choice>
  </mc:AlternateContent>
  <xr:revisionPtr revIDLastSave="0" documentId="13_ncr:1_{2EB631A7-3FCF-0E49-9C8B-23103596132E}" xr6:coauthVersionLast="47" xr6:coauthVersionMax="47" xr10:uidLastSave="{00000000-0000-0000-0000-000000000000}"/>
  <bookViews>
    <workbookView xWindow="0" yWindow="760" windowWidth="30240" windowHeight="17180" xr2:uid="{83819237-C7AC-FD40-9E91-27D3D43085C6}"/>
  </bookViews>
  <sheets>
    <sheet name="Table S4 Isolates Abundance" sheetId="5" r:id="rId1"/>
    <sheet name="gtdbtk_Isolates_annotation" sheetId="6" r:id="rId2"/>
    <sheet name="hatch2026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7" l="1"/>
  <c r="H48" i="7"/>
  <c r="G48" i="7"/>
  <c r="F48" i="7"/>
  <c r="E48" i="7"/>
  <c r="O45" i="7"/>
  <c r="N45" i="7"/>
  <c r="M45" i="7"/>
  <c r="L45" i="7"/>
  <c r="K45" i="7"/>
  <c r="O44" i="7"/>
  <c r="N44" i="7"/>
  <c r="M44" i="7"/>
  <c r="L44" i="7"/>
  <c r="K44" i="7"/>
  <c r="O43" i="7"/>
  <c r="N43" i="7"/>
  <c r="M43" i="7"/>
  <c r="L43" i="7"/>
  <c r="K43" i="7"/>
  <c r="O42" i="7"/>
  <c r="N42" i="7"/>
  <c r="M42" i="7"/>
  <c r="L42" i="7"/>
  <c r="K42" i="7"/>
  <c r="O41" i="7"/>
  <c r="N41" i="7"/>
  <c r="M41" i="7"/>
  <c r="L41" i="7"/>
  <c r="K41" i="7"/>
  <c r="O40" i="7"/>
  <c r="N40" i="7"/>
  <c r="M40" i="7"/>
  <c r="L40" i="7"/>
  <c r="K40" i="7"/>
  <c r="O39" i="7"/>
  <c r="N39" i="7"/>
  <c r="M39" i="7"/>
  <c r="L39" i="7"/>
  <c r="K39" i="7"/>
  <c r="O38" i="7"/>
  <c r="N38" i="7"/>
  <c r="M38" i="7"/>
  <c r="L38" i="7"/>
  <c r="K38" i="7"/>
  <c r="O37" i="7"/>
  <c r="N37" i="7"/>
  <c r="M37" i="7"/>
  <c r="L37" i="7"/>
  <c r="K37" i="7"/>
  <c r="H30" i="7"/>
  <c r="G30" i="7"/>
  <c r="F30" i="7"/>
  <c r="E30" i="7"/>
  <c r="N27" i="7"/>
  <c r="M27" i="7"/>
  <c r="L27" i="7"/>
  <c r="K27" i="7"/>
  <c r="N26" i="7"/>
  <c r="M26" i="7"/>
  <c r="L26" i="7"/>
  <c r="K26" i="7"/>
  <c r="N25" i="7"/>
  <c r="M25" i="7"/>
  <c r="L25" i="7"/>
  <c r="K25" i="7"/>
  <c r="N24" i="7"/>
  <c r="M24" i="7"/>
  <c r="L24" i="7"/>
  <c r="K24" i="7"/>
  <c r="N23" i="7"/>
  <c r="M23" i="7"/>
  <c r="L23" i="7"/>
  <c r="K23" i="7"/>
  <c r="N22" i="7"/>
  <c r="M22" i="7"/>
  <c r="L22" i="7"/>
  <c r="K22" i="7"/>
  <c r="N21" i="7"/>
  <c r="M21" i="7"/>
  <c r="L21" i="7"/>
  <c r="K21" i="7"/>
  <c r="N20" i="7"/>
  <c r="M20" i="7"/>
  <c r="L20" i="7"/>
  <c r="K20" i="7"/>
  <c r="N19" i="7"/>
  <c r="M19" i="7"/>
  <c r="L19" i="7"/>
  <c r="K19" i="7"/>
</calcChain>
</file>

<file path=xl/sharedStrings.xml><?xml version="1.0" encoding="utf-8"?>
<sst xmlns="http://schemas.openxmlformats.org/spreadsheetml/2006/main" count="770" uniqueCount="369">
  <si>
    <t>Isolate Genomes Abundance (% of reads mapped)</t>
  </si>
  <si>
    <t>t5(2_metacoag_bin_0)</t>
  </si>
  <si>
    <t>t7(2_metacoag_bin_2)</t>
  </si>
  <si>
    <t>t14(3_metabat_.4)</t>
  </si>
  <si>
    <t>Corresponding MAG</t>
  </si>
  <si>
    <t>Bacillus_A sp003400245</t>
  </si>
  <si>
    <t>Comamonas acidovorans</t>
  </si>
  <si>
    <t>Kaistia hirudinis</t>
  </si>
  <si>
    <t>Sources</t>
  </si>
  <si>
    <t>Library ID (Table 1)</t>
  </si>
  <si>
    <t>t5</t>
  </si>
  <si>
    <t>t7</t>
  </si>
  <si>
    <t>t14</t>
  </si>
  <si>
    <t>Guilford</t>
  </si>
  <si>
    <t>g1</t>
  </si>
  <si>
    <t>g2</t>
  </si>
  <si>
    <t>g3</t>
  </si>
  <si>
    <t>Hamden</t>
  </si>
  <si>
    <t>h1</t>
  </si>
  <si>
    <t>h2</t>
  </si>
  <si>
    <t>h3</t>
  </si>
  <si>
    <t>Tau</t>
  </si>
  <si>
    <t>t1</t>
  </si>
  <si>
    <t>t2</t>
  </si>
  <si>
    <t>t3</t>
  </si>
  <si>
    <t>user_genome</t>
  </si>
  <si>
    <t>sequecning_barcodes</t>
  </si>
  <si>
    <t>submission1_ids1</t>
  </si>
  <si>
    <t>submission2_ids</t>
  </si>
  <si>
    <t>Location</t>
  </si>
  <si>
    <t>Isolates_in_store</t>
  </si>
  <si>
    <t>maybe</t>
  </si>
  <si>
    <t>Species</t>
  </si>
  <si>
    <t>Genus</t>
  </si>
  <si>
    <t>clean.fastq (150bp)</t>
  </si>
  <si>
    <t>flye.fasta</t>
  </si>
  <si>
    <t>contigs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</si>
  <si>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</si>
  <si>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</si>
  <si>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</si>
  <si>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</si>
  <si>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</si>
  <si>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</si>
  <si>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</si>
  <si>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</si>
  <si>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</si>
  <si>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</si>
  <si>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</si>
  <si>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</si>
  <si>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</si>
  <si>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</si>
  <si>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</si>
  <si>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</si>
  <si>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</si>
  <si>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</si>
  <si>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</si>
  <si>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hgt3_b10</t>
  </si>
  <si>
    <t>b10</t>
  </si>
  <si>
    <t>G1-GC14</t>
  </si>
  <si>
    <t>G1(hgt3_b10)</t>
  </si>
  <si>
    <t>GC14</t>
  </si>
  <si>
    <t>G</t>
  </si>
  <si>
    <t>-</t>
  </si>
  <si>
    <t>Brevundimonas_s__</t>
  </si>
  <si>
    <t>Caulobacteraceae</t>
  </si>
  <si>
    <t>528M</t>
  </si>
  <si>
    <t>2.9M</t>
  </si>
  <si>
    <t>d__Bacteria;p__Pseudomonadota;c__Alphaproteobacteria;o__Caulobacterales;f__Caulobacteraceae;g__Brevundimonas;s__</t>
  </si>
  <si>
    <t>N/A</t>
  </si>
  <si>
    <t>taxonomic classification defined by topology and ANI</t>
  </si>
  <si>
    <t>classification based on placement in class-level tree</t>
  </si>
  <si>
    <t>GCF_002434505.1, s__Brevundimonas sp002434505, 95.0, 87.28, 0.535; GCF_032017145.1, s__Brevundimonas sp032017145, 95.0, 87.28, 0.487; GCA_029202665.1, s__Brevundimonas colombiensis, 95.0, 87.26, 0.506; GCF_003248965.1, s__Brevundimonas sp003248965, 95.0, 86.93, 0.512; GCF_002157625.1, s__Brevundimonas sp002157625, 95.0, 86.92, 0.52; GCF_004614235.1, s__Brevundimonas intermedia_A, 95.0, 86.78, 0.482; GCF_963515305.1, s__Brevundimonas sp963515305, 95.0, 86.7, 0.498; GCF_005484585.1, s__Brevundimonas sp005484585, 95.0, 86.6, 0.489; GCF_027105095.1, s__Brevundimonas vesicularis_E, 95.0, 86.56, 0.473; GCF_022654015.1, s__Brevundimonas diminuta_C, 95.0, 86.53, 0.485; GCF_027886425.1, s__Brevundimonas vesicularis_C, 95.0, 86.52, 0.486; GCF_017086445.1, s__Brevundimonas fontaquae, 95.0, 86.5, 0.472; GCF_011064825.1, s__Brevundimonas mediterranea_A, 95.0, 86.49, 0.425; GCF_014218725.1, s__Brevundimonas huaxiensis, 95.23, 86.44, 0.484; GCF_003248455.1, s__Brevundimonas sp003248455, 95.0, 86.37, 0.501; GCF_902506205.1, s__Brevundimonas sp902506205, 95.0, 86.37, 0.493; GCF_030818545.1, s__Brevundimonas sp030818545, 95.0, 86.32, 0.465; GCF_014196125.1, s__Brevundimonas mediterranea, 95.0, 86.25, 0.435; GCF_001422455.1, s__Brevundimonas sp001422455, 95.0, 86.24, 0.479; GCF_023147505.1, s__Brevundimonas sp002484265, 95.0, 86.21, 0.502; GCF_026105875.2, s__Brevundimonas sp026105875, 95.04, 86.17, 0.477; GCF_014204545.1, s__Brevundimonas vesicularis_B, 95.0, 86.16, 0.475; GCA_016429195.1, s__Brevundimonas sp016429195, 95.0, 86.14, 0.481; GCF_039674565.1, s__Brevundimonas intermedia_B, 95.0, 86.02, 0.49; GCF_900445985.1, s__Brevundimonas vesicularis_D, 95.0, 85.99, 0.471; GCF_032067225.1, s__Brevundimonas vesicularis_F, 95.0, 85.97, 0.455; GCA_000335735.1, s__Brevundimonas sp000335735, 95.0, 85.92, 0.462; GCF_001592205.1, s__Brevundimonas vesicularis, 95.0, 85.9, 0.473; GCF_041648115.1, s__Brevundimonas sp041648115, 95.0, 85.89, 0.456; GCF_026625805.1, s__Brevundimonas sp026625805, 95.0, 85.7, 0.391; GCF_016654005.1, s__Brevundimonas nasdae, 95.0, 85.61, 0.447; GCF_023503965.1, s__Brevundimonas albigilva, 95.0, 85.6, 0.421; GCF_027922165.1, s__Brevundimonas intermedia, 95.0, 85.57, 0.407; GCF_018608325.1, s__Brevundimonas sp018608325, 95.0, 85.4, 0.41; GCF_013912065.1, s__Brevundimonas sp013912065, 95.0, 85.4, 0.407; GCF_963522565.1, s__Brevundimonas sp963522565, 95.0, 85.32, 0.419; GCF_002479325.1, s__Brevundimonas sp002479325, 95.0, 85.31, 0.334; GCF_030656255.1, s__Brevundimonas sp030656255, 95.0, 85.28, 0.415; GCF_014199955.1, s__Brevundimonas aurantiaca, 95.0, 85.13, 0.395; GCA_023390245.1, s__Brevundimonas sp023390245, 95.0, 84.92, 0.34; GCA_001796045.1, s__Brevundimonas sp001796045, 95.0, 84.84, 0.333; GCA_023451375.1, s__Brevundimonas sp023451375, 95.0, 84.2, 0.341; GCA_022712235.1, s__Brevundimonas sp022712235, 95.0, 83.9, 0.182; GCF_032107865.1, s__Brevundimonas sp032107865, 95.0, 83.14, 0.165; GCA_036744355.1, s__Brevundimonas sp036744355, 95.0, 82.92, 0.174; GCF_019443405.1, s__Brevundimonas sp019443405, 95.0, 82.63, 0.234; GCA_017308115.1, s__Brevundimonas sp017308115, 95.0, 82.56, 0.185; GCA_023456105.1, s__Brevundimonas sp023456105, 95.0, 82.51, 0.221; GCF_036405315.1, s__Brevundimonas sp036405315, 95.0, 82.49, 0.197; GCF_943913355.1, s__Brevundimonas sp943913355, 95.0, 82.41, 0.205; GCF_017487345.1, s__Brevundimonas pondensis, 95.0, 82.32, 0.21; GCF_002430835.1, s__Brevundimonas sp002430835, 95.0, 82.22, 0.18; GCA_029203145.1, s__Brevundimonas phytovorans, 95.0, 82.2, 0.216; GCF_040549405.1, s__Brevundimonas faecalis, 95.0, 82.18, 0.196; GCF_004210735.1, s__Brevundimonas sp004210735, 95.0, 82.17, 0.196; GCF_014836405.1, s__Brevundimonas guildfordensis, 95.0, 82.15, 0.19; GCF_003627995.1, s__Brevundimonas naejangsanensis_B, 95.0, 82.09, 0.197; GCF_900163625.1, s__Brevundimonas diminuta_A, 95.0, 81.99, 0.196; GCF_039524095.1, s__Brevundimonas olei, 95.0, 81.88, 0.188; GCA_000318405.1, s__Brevundimonas diminuta_B, 95.0, 81.8, 0.191; GCF_000204035.1, s__Brevundimonas diminuta, 95.0, 81.8, 0.183; GCF_003350205.1, s__Brevundimonas bullata, 95.0, 81.79, 0.196; GCF_014207965.1, s__Brevundimonas bullata_A, 95.0, 81.78, 0.202; GCF_000635915.2, s__Brevundimonas naejangsanensis_A, 95.0, 81.78, 0.195; GCF_000421705.1, s__Brevundimonas naejangsanensis, 95.0, 81.75, 0.189; GCF_002979535.1, s__Brevundimonas sp002979535, 95.0, 81.74, 0.2; GCF_004683885.1, s__Brevundimonas sp004683885, 95.0, 81.63, 0.169; GCF_002479495.1, s__Brevundimonas sp002479495, 95.0, 81.57, 0.201; GCF_032055285.1, s__Brevundimonas sp032055285, 95.0, 81.54, 0.203; GCF_039673845.1, s__Brevundimonas diminuta_E, 95.0, 81.51, 0.181; GCF_002387245.1, s__Brevundimonas sp002387245, 95.0, 81.5, 0.192; GCF_964210795.1, s__Brevundimonas sp003938605, 95.0, 81.48, 0.193; GCA_017302335.1, s__Brevundimonas sp017302335, 95.0, 81.43, 0.159; GCF_937863155.1, s__Brevundimonas sp937863155, 95.0, 81.37, 0.162; GCF_036732845.1, s__Brevundimonas sp036732845, 95.0, 81.2, 0.155; GCF_019636155.1, s__Brevundimonas sp019636155, 95.0, 81.19, 0.15; GCF_001424025.1, s__Brevundimonas sp001424025, 95.0, 80.9, 0.153; GCA_036405055.1, s__Brevundimonas sp036405055, 95.0, 80.84, 0.159</t>
  </si>
  <si>
    <t>Genome not assigned to closest species as it falls outside its pre-defined ANI radius</t>
  </si>
  <si>
    <t>hgt3_b16</t>
  </si>
  <si>
    <t>b16</t>
  </si>
  <si>
    <t>G2-GL8</t>
  </si>
  <si>
    <t>G2(hgt3_b16)</t>
  </si>
  <si>
    <t>GL8</t>
  </si>
  <si>
    <t>Comamonas</t>
  </si>
  <si>
    <t>1.4G</t>
  </si>
  <si>
    <t>6.2M</t>
  </si>
  <si>
    <t>d__Bacteria;p__Pseudomonadota;c__Gammaproteobacteria;o__Burkholderiales;f__Burkholderiaceae;g__Comamonas;s__Comamonas acidovorans</t>
  </si>
  <si>
    <t>GCF_001598795.1</t>
  </si>
  <si>
    <t>d__Bacteria;p__Pseudomonadota;c__Gammaproteobacteria;o__Burkholderiales;f__Burkholderiaceae;g__Comamonas;s__</t>
  </si>
  <si>
    <t>topological placement and ANI have congruent species assignments</t>
  </si>
  <si>
    <t>GCF_037146395.1, s__Comamonas acidovorans_A, 95.48, 95.56, 0.841; GCF_001571325.1, s__Comamonas tsuruhatensis, 95.0, 95.27, 0.834; GCF_903815225.1, s__Comamonas tsuruhatensis_A, 95.0, 90.48, 0.692; GCA_031253795.1, s__Comamonas sp031253795, 95.0, 88.81, 0.689; GCF_029870285.1, s__Comamonas sp029870285, 95.0, 86.8, 0.465; GCA_019236485.1, s__Comamonas sp019236485, 95.0, 84.76, 0.208; GCF_001544075.1, s__Comamonas terrae, 95.0, 84.06, 0.291; GCA_014637085.1, s__Comamonas phosphati, 95.0, 83.52, 0.271; GCF_041079535.1, s__Comamonas guangdongensis, 95.0, 82.42, 0.229; GCF_000429845.1, s__Comamonas composti, 95.0, 81.87, 0.204; GCF_014076415.1, s__Comamonas testosteroni_F, 95.0, 81.47, 0.156; GCF_023634805.2, s__Comamonas endophytica, 95.0, 81.28, 0.154; GCF_000739875.1, s__Comamonas aquatica, 95.0, 81.27, 0.174; GCF_035784015.1, s__Comamonas sp009360615, 95.0, 81.12, 0.169; GCF_006740045.1, s__Comamonas terrigena, 95.0, 80.94, 0.159; GCF_000964545.1, s__Comamonas thiooxydans, 95.0, 80.93, 0.157; GCF_011752915.1, s__Comamonas sp011752915, 95.2, 80.91, 0.169; GCF_000241525.1, s__Comamonas testosteroni, 95.0, 80.83, 0.154; GCF_030064165.1, s__Comamonas resistens, 95.0, 80.83, 0.151; GCF_900564145.1, s__Comamonas sp900564145, 95.0, 80.47, 0.153</t>
  </si>
  <si>
    <t>hgt3_b12</t>
  </si>
  <si>
    <t>b12</t>
  </si>
  <si>
    <t>G3-GC18</t>
  </si>
  <si>
    <t>G3(hgt3_b12)</t>
  </si>
  <si>
    <t>GC18</t>
  </si>
  <si>
    <t>Enterobacter_D_s__</t>
  </si>
  <si>
    <t>Enterobacteriaceae</t>
  </si>
  <si>
    <t>1.2G</t>
  </si>
  <si>
    <t>5.6M</t>
  </si>
  <si>
    <t>d__Bacteria;p__Pseudomonadota;c__Gammaproteobacteria;o__Enterobacterales;f__Enterobacteriaceae;g__Enterobacter_D;s__</t>
  </si>
  <si>
    <t>GCF_963521185.1</t>
  </si>
  <si>
    <t>d__Bacteria;p__Pseudomonadota;c__Gammaproteobacteria;o__Enterobacterales;f__Enterobacteriaceae;g__Enterobacter_D;s__Enterobacter_D sp963521185</t>
  </si>
  <si>
    <t>GCF_001888805.2, s__Enterobacter_D sp001888805, 95.0, 84.65, 0.464; GCF_900116015.1, s__Enterobacter_D sp900116015, 95.0, 84.45, 0.427; GCF_018323985.1, s__Enterobacter_D kobei_A, 95.0, 84.29, 0.414; GCF_019218745.1, s__Enterobacter_D sp019218745, 95.0, 83.8, 0.413</t>
  </si>
  <si>
    <t>hgt3_b9</t>
  </si>
  <si>
    <t>b9</t>
  </si>
  <si>
    <t>G4-GC5</t>
  </si>
  <si>
    <t>G4(hgt3_b9)</t>
  </si>
  <si>
    <t>GC5</t>
  </si>
  <si>
    <t>GC1</t>
  </si>
  <si>
    <t>Herbiconiux sp004297105</t>
  </si>
  <si>
    <t>Herbiconiux</t>
  </si>
  <si>
    <t>1009M</t>
  </si>
  <si>
    <t>3.7M</t>
  </si>
  <si>
    <t>d__Bacteria;p__Actinomycetota;c__Actinomycetes;o__Actinomycetales;f__Microbacteriaceae;g__Herbiconiux;s__Herbiconiux sp004297105</t>
  </si>
  <si>
    <t>GCF_004297105.1</t>
  </si>
  <si>
    <t>d__Bacteria;p__Actinomycetota;c__Actinomycetes;o__Actinomycetales;f__Microbacteriaceae;g__Herbiconiux;s__</t>
  </si>
  <si>
    <t>GCA_000333435.1, s__Herbiconiux sp000333435, 95.0, 84.0, 0.154; GCF_023264855.1, s__Herbiconiux sp023264855, 95.0, 83.05, 0.278; GCA_005502775.1, s__Herbiconiux sp005502775, 95.0, 83.05, 0.263; GCF_024978135.1, s__Herbiconiux gentiana, 95.0, 82.68, 0.218; GCF_013409865.1, s__Herbiconiux flava, 95.0, 82.6, 0.203; GCF_900107435.1, s__Herbiconiux ginsengi, 95.0, 82.51, 0.234; GCF_015350805.1, s__Herbiconiux sp015350805, 95.0, 82.4, 0.219; GCF_023264895.1, s__Herbiconiux sp023264895, 95.0, 82.4, 0.207; GCF_024979275.1, s__Herbiconiux oxytropis, 95.0, 82.36, 0.224; GCF_001571005.1, s__Herbiconiux solani, 95.0, 82.27, 0.205; GCF_013113715.1, s__Herbiconiux sp013113715, 95.0, 82.23, 0.236; GCF_024979295.1, s__Herbiconiux daphnes, 95.0, 82.18, 0.231; GCF_024979255.1, s__Herbiconiux moechotypicola, 95.0, 82.12, 0.188; GCF_024979235.1, s__Herbiconiux aconitum, 95.0, 81.84, 0.198; GCF_040939305.1, s__Herbiconiux sp040939305, 95.0, 81.81, 0.222</t>
  </si>
  <si>
    <t>hgt3_b13</t>
  </si>
  <si>
    <t>b13</t>
  </si>
  <si>
    <t>G5-GL2</t>
  </si>
  <si>
    <t>G5(hgt3_b13)</t>
  </si>
  <si>
    <t>GL2</t>
  </si>
  <si>
    <t>Pseudomonas_E_s__</t>
  </si>
  <si>
    <t>Pseudomonas</t>
  </si>
  <si>
    <t>1.5G</t>
  </si>
  <si>
    <t>d__Bacteria;p__Pseudomonadota;c__Gammaproteobacteria;o__Pseudomonadales;f__Pseudomonadaceae;g__Pseudomonas_E;s__</t>
  </si>
  <si>
    <t>GCA_039207785.1, s__Pseudomonas_E sp039207785, 95.0, 87.78, 0.505; GCF_003050835.1, s__Pseudomonas_E sp003050835, 95.0, 87.52, 0.595; GCF_037994325.1, s__Pseudomonas_E sp037994325, 95.0, 86.23, 0.437; GCF_027922365.1, s__Pseudomonas_E turukhanskensis, 95.0, 86.12, 0.489; GCA_900573885.1, s__Pseudomonas_E sp900573885, 95.0, 85.49, 0.464; GCA_900582625.1, s__Pseudomonas_E sp900582625, 95.0, 85.25, 0.46; GCA_019747075.1, s__Pseudomonas_E sp019747075, 95.0, 82.43, 0.173; GCF_005502935.1, s__Pseudomonas_E sp005502935, 95.0, 82.25, 0.256; GCF_014490745.1, s__Pseudomonas_E alcaligenes_C, 95.0, 81.76, 0.219; GCF_018398425.1, s__Pseudomonas_E lalucatii, 95.0, 81.74, 0.196; GCF_003596405.1, s__Pseudomonas_E cavernicola, 95.0, 81.39, 0.172; GCA_034519305.1, s__Pseudomonas_E sp034519305, 95.0, 81.25, 0.18; GCF_003595175.1, s__Pseudomonas_E cavernae, 95.0, 81.23, 0.194; GCF_003696305.1, s__Pseudomonas_E sp003696305, 95.0, 81.12, 0.198; GCF_904061905.1, s__Pseudomonas_E carbonaria, 95.0, 81.1, 0.166; GCF_016901015.1, s__Pseudomonas_E insulae, 95.0, 81.09, 0.199; GCF_000467105.1, s__Pseudomonas_E alcaligenes, 95.0, 81.06, 0.17; GCF_033547155.1, s__Pseudomonas_E benzenivorans_B, 95.0, 80.98, 0.186; GCF_900156545.1, s__Pseudomonas_E alcaligenes_A, 95.0, 80.97, 0.177; GCA_900100495.1, s__Pseudomonas_E benzenivorans, 95.0, 80.9, 0.166; GCF_024397895.1, s__Pseudomonas_E benzenivorans_A, 95.0, 80.84, 0.173; GCF_041027545.1, s__Pseudomonas_E sp041027545, 95.0, 80.71, 0.171; GCF_001592875.1, s__Pseudomonas_E sp001592875, 95.0, 80.57, 0.164</t>
  </si>
  <si>
    <t>hgt3_b11</t>
  </si>
  <si>
    <t>b11</t>
  </si>
  <si>
    <t>G6-GC16</t>
  </si>
  <si>
    <t>G6(hgt3_b11)</t>
  </si>
  <si>
    <t>GC16</t>
  </si>
  <si>
    <t>Shinella zoogloeoides_A</t>
  </si>
  <si>
    <t>Shinella</t>
  </si>
  <si>
    <t>1.1G</t>
  </si>
  <si>
    <t>5.2M</t>
  </si>
  <si>
    <t>d__Bacteria;p__Pseudomonadota;c__Alphaproteobacteria;o__Rhizobiales;f__Rhizobiaceae;g__Shinella;s__Shinella zoogloeoides_A</t>
  </si>
  <si>
    <t>GCF_033705735.1</t>
  </si>
  <si>
    <t>d__Bacteria;p__Pseudomonadota;c__Alphaproteobacteria;o__Rhizobiales;f__Rhizobiaceae;g__Shinella;s__</t>
  </si>
  <si>
    <t>GCF_016839145.1, s__Shinella sp016839145, 95.0, 91.54, 0.635; GCA_039812945.1, s__Shinella sp039812945, 95.0, 89.82, 0.623; GCF_022682305.1, s__Shinella zoogloeoides_B, 95.0, 89.41, 0.53; GCF_020883495.1, s__Shinella zoogloeoides, 95.0, 89.31, 0.565; GCF_014203155.1, s__Shinella fusca, 95.0, 88.75, 0.577; GCF_030733845.1, s__Shinella zoogloeoides_C, 95.0, 88.73, 0.532; GCF_004341885.1, s__Shinella granuli, 95.0, 88.0, 0.546; GCF_040812195.1, s__Shinella sp946481465, 95.0, 87.96, 0.518; GCF_020535545.1, s__Shinella sp020535545, 95.0, 87.96, 0.514; GCF_022899355.1, s__Shinella yambaruensis, 95.0, 87.67, 0.557; GCF_032095155.1, s__Shinella sp032095155, 95.0, 86.81, 0.449; GCF_010994755.1, s__Shinella lacus, 95.0, 86.7, 0.512; GCF_035998705.1, s__Shinella sp035998705, 95.0, 86.68, 0.476; GCF_963518115.1, s__Shinella sp963518115, 95.0, 86.59, 0.464; GCF_946479415.1, s__Shinella sp946479415, 95.0, 86.33, 0.456; GCF_001713395.1, s__Shinella sp001713395, 95.0, 86.25, 0.461; GCF_003432075.1, s__Shinella sp003432075, 95.0, 86.24, 0.474; GCF_022899935.1, s__Shinella curvata, 95.0, 86.21, 0.455; GCF_001262505.1, s__Shinella sp001262505, 95.0, 86.18, 0.518; GCF_004514425.2, s__Shinella sumterensis, 95.0, 86.08, 0.421; GCF_024704725.1, s__Shinella sp024704725, 95.0, 85.92, 0.478; GCF_024609765.1, s__Shinella pollutisoli, 95.0, 85.8, 0.386; GCF_009827055.1, s__Shinella kummerowiae, 95.0, 85.79, 0.471; GCF_022601905.1, s__Shinella sedimenti, 95.0, 85.74, 0.425; GCF_024281235.1, s__Shinella daejeonensis, 95.0, 82.88, 0.259</t>
  </si>
  <si>
    <t>hgt3_b14</t>
  </si>
  <si>
    <t>b14</t>
  </si>
  <si>
    <t>G7-GL4</t>
  </si>
  <si>
    <t>G7(hgt3_b14)</t>
  </si>
  <si>
    <t>GL4</t>
  </si>
  <si>
    <t>Stenotrophomonas maltophilia_AP</t>
  </si>
  <si>
    <t>Stenotrophomonas</t>
  </si>
  <si>
    <t>2.2G</t>
  </si>
  <si>
    <t>4.6M</t>
  </si>
  <si>
    <t>d__Bacteria;p__Pseudomonadota;c__Gammaproteobacteria;o__Xanthomonadales;f__Xanthomonadaceae;g__Stenotrophomonas;s__Stenotrophomonas maltophilia_AP</t>
  </si>
  <si>
    <t>GCF_009832905.1</t>
  </si>
  <si>
    <t>d__Bacteria;p__Pseudomonadota;c__Gammaproteobacteria;o__Xanthomonadales;f__Xanthomonadaceae;g__Stenotrophomonas;s__</t>
  </si>
  <si>
    <t>GCF_000661955.1, s__Stenotrophomonas rhizophila, 95.0, 94.41, 0.843; GCA_002435595.1, s__Stenotrophomonas maltophilia_AC, 95.0, 90.64, 0.701; GCA_021733645.1, s__Stenotrophomonas sp021733645, 95.0, 90.31, 0.717; GCF_036662295.1, s__Stenotrophomonas sp036662295, 95.0, 89.87, 0.649; GCF_024519465.1, s__Stenotrophomonas sp024519465, 95.0, 89.73, 0.673; GCF_024810105.1, s__Stenotrophomonas maltophilia_AB, 95.0, 89.71, 0.653; GCF_031995405.1, s__Stenotrophomonas sp031995405, 95.0, 89.56, 0.654; GCF_020857975.1, s__Stenotrophomonas rhizophila_C, 95.0, 89.19, 0.617; GCF_039674765.1, s__Stenotrophomonas sp003484865, 95.02, 88.26, 0.578; GCF_030128875.1, s__Stenotrophomonas bentonitica_A, 95.0, 88.12, 0.535; GCF_002205165.1, s__Stenotrophomonas maltophilia_N, 95.0, 87.83, 0.533; GCF_029959395.1, s__Stenotrophomonas maltophilia_AD, 95.0, 87.81, 0.472; GCF_013387485.1, s__Stenotrophomonas maltophilia_AA, 95.0, 87.73, 0.577; GCF_003751305.1, s__Stenotrophomonas rhizophila_B, 95.0, 87.68, 0.551; GCF_037482385.1, s__Stenotrophomonas sp037482385, 95.0, 87.61, 0.517; GCF_003651185.1, s__Stenotrophomonas maltophilia_Z, 95.0, 87.55, 0.534; GCA_002363385.1, s__Stenotrophomonas maltophilia_AN, 95.0, 87.54, 0.575; GCF_018612915.1, s__Stenotrophomonas sp018612915, 95.0, 87.5, 0.516; GCF_039674145.1, s__Stenotrophomonas maltophilia_AY, 95.11, 87.49, 0.541; GCF_009467805.1, s__Stenotrophomonas nematodicola, 95.0, 87.49, 0.535; GCF_001704155.1, s__Stenotrophomonas rhizophila_A, 95.0, 87.48, 0.509; GCF_032099025.1, s__Stenotrophomonas sp032099025, 95.0, 87.22, 0.509; GCF_031834615.1, s__Stenotrophomonas aracearum, 95.0, 87.22, 0.437; GCF_013185915.1, s__Stenotrophomonas bentonitica, 95.0, 87.17, 0.445; GCF_007667275.1, s__Stenotrophomonas maltophilia_AE, 95.0, 87.03, 0.492; GCF_963519125.1, s__Stenotrophomonas sp963519125, 95.0, 86.56, 0.425; GCA_023439425.1, s__Stenotrophomonas sp023439425, 95.0, 86.37, 0.316; GCA_023457475.1, s__Stenotrophomonas sp023457475, 95.0, 86.12, 0.339; GCF_029960115.1, s__Stenotrophomonas sp029960115, 95.0, 85.89, 0.373; GCA_003510825.1, s__Stenotrophomonas sp003086795, 95.0, 85.8, 0.287; GCF_032103445.1, s__Stenotrophomonas sp032103445, 95.0, 85.78, 0.378; GCA_002387845.1, s__Stenotrophomonas maltophilia_AG, 95.0, 85.75, 0.383; GCF_031976675.1, s__Stenotrophomonas sp031976675, 95.0, 85.58, 0.316; GCF_003935715.1, s__Stenotrophomonas maltophilia_AH, 95.0, 85.48, 0.349; GCA_039592995.1, s__Stenotrophomonas sp039592995, 95.0, 85.46, 0.378; GCF_003086695.1, s__Stenotrophomonas sp003086695, 95.0, 85.25, 0.374; GCF_024499815.1, s__Stenotrophomonas sp024499815, 95.77, 85.23, 0.392; GCF_032056425.1, s__Stenotrophomonas sp032056425, 95.0, 85.21, 0.383; GCF_031834595.1, s__Stenotrophomonas oahuensis, 95.0, 85.13, 0.375; GCF_003086795.1, s__Stenotrophomonas sp023423675, 96.15, 85.05, 0.382; GCA_002364755.1, s__Stenotrophomonas maltophilia_AX, 95.0, 85.0, 0.375; GCF_008710035.1, s__Stenotrophomonas cyclobalanopsidis, 95.28, 84.96, 0.4; GCF_003086775.1, s__Stenotrophomonas sp003086775, 95.0, 84.96, 0.371; GCF_035634915.1, s__Stenotrophomonas sp035634915, 95.0, 84.95, 0.389; GCF_032101765.1, s__Stenotrophomonas sp032101765, 95.0, 84.89, 0.372; GCF_013464915.1, s__Stenotrophomonas maltophilia_AT, 95.0, 84.81, 0.331; GCF_030549525.1, s__Stenotrophomonas sp030549525, 95.0, 84.78, 0.363; GCF_006970445.1, s__Stenotrophomonas maltophilia_AU, 95.0, 84.77, 0.339; GCF_002192255.1, s__Stenotrophomonas sp002192255, 95.0, 84.76, 0.339; GCF_030913365.1, s__Stenotrophomonas sp030913365, 95.0, 84.71, 0.377; GCF_024621935.1, s__Stenotrophomonas muris, 95.0, 84.7, 0.345; GCF_003086895.1, s__Stenotrophomonas sp003086895, 95.0, 84.66, 0.369; GCF_002750975.1, s__Stenotrophomonas indicatrix, 95.0, 84.62, 0.352; GCF_023518235.1, s__Stenotrophomonas sp003028475, 95.0, 84.59, 0.355; GCF_900101175.1, s__Stenotrophomonas pavanii, 95.0, 84.58, 0.356; GCA_038447675.1, s__Stenotrophomonas maltophilia_R, 95.0, 84.58, 0.347; GCF_001431535.1, s__Stenotrophomonas chelatiphaga, 95.0, 84.58, 0.329; GCA_009912235.1, s__Stenotrophomonas maltophilia_AV, 95.0, 84.56, 0.359; GCF_001431665.1, s__Stenotrophomonas maltophilia_K, 95.0, 84.56, 0.355; GCF_945952405.1, s__Stenotrophomonas sp945952405, 95.0, 84.56, 0.323; GCA_003525885.1, s__Stenotrophomonas sp003525885, 95.0, 84.53, 0.269; GCF_004920835.1, s__Stenotrophomonas maltophilia_AQ, 95.0, 84.51, 0.34; GCF_040396635.1, s__Stenotrophomonas lactitubi_A, 95.0, 84.51, 0.31; GCF_030291075.1, s__Stenotrophomonas sp913776385, 95.0, 84.48, 0.34; GCF_003244875.1, s__Stenotrophomonas sepilia, 95.0, 84.47, 0.331; GCF_001274595.1, s__Stenotrophomonas maltophilia_AJ, 95.0, 84.46, 0.35; GCF_003970865.1, s__Stenotrophomonas maltophilia_AR, 95.0, 84.46, 0.337; GCF_913778665.1, s__Stenotrophomonas sp913778665, 95.0, 84.42, 0.366; GCF_000020665.1, s__Stenotrophomonas maltophilia_L, 95.0, 84.37, 0.335; GCF_004346925.1, s__Stenotrophomonas maltophilia_A, 95.0, 84.37, 0.33; GCF_013464485.1, s__Stenotrophomonas maltophilia_AW, 95.0, 84.37, 0.327; GCF_000382065.1, s__Stenotrophomonas hibiscicola, 95.0, 84.34, 0.348; GCF_004684085.1, s__Stenotrophomonas maltophilia_AS, 95.0, 84.33, 0.325; GCF_001431625.1, s__Stenotrophomonas geniculata, 95.0, 84.32, 0.326; GCF_013364355.1, s__Stenotrophomonas sp013364355, 95.0, 84.31, 0.339; GCF_030658505.2, s__Stenotrophomonas sp030658505, 95.0, 84.3, 0.329; GCF_039674585.1, s__Stenotrophomonas pennii_A, 95.0, 84.29, 0.332; GCF_002138415.1, s__Stenotrophomonas maltophilia_G, 95.0, 84.27, 0.322; GCF_002803515.1, s__Stenotrophomonas lactitubi, 95.0, 84.25, 0.333; GCF_013004645.1, s__Stenotrophomonas maltophilia_AM, 95.0, 84.24, 0.336; GCF_039555535.1, s__Stenotrophomonas maltophilia_Q, 95.0, 84.23, 0.332; GCF_006974125.1, s__Stenotrophomonas maltophilia_O, 95.0, 84.19, 0.328; GCF_002799245.1, s__Stenotrophomonas maltophilia_S, 95.0, 84.19, 0.322; GCF_900186865.1, s__Stenotrophomonas maltophilia, 95.0, 84.17, 0.319; GCF_913775725.1, s__Stenotrophomonas sp913775725, 95.0, 84.16, 0.325; GCF_025697965.1, s__Stenotrophomonas riyadhensis, 95.0, 84.09, 0.328; GCF_025642255.1, s__Stenotrophomonas maltophilia_P, 95.0, 84.05, 0.35; GCA_041545745.1, s__Stenotrophomonas indicatrix_A, 95.0, 84.02, 0.334; GCF_001676385.1, s__Stenotrophomonas maltophilia_J, 95.0, 84.0, 0.344; GCF_014596295.1, s__Stenotrophomonas lacuserhaii, 95.0, 83.89, 0.32; GCF_026107455.2, s__Stenotrophomonas chitinilytica, 95.0, 83.71, 0.289; GCA_023430045.1, s__Stenotrophomonas sp023430045, 95.0, 83.22, 0.278; GCA_031991105.1, s__Stenotrophomonas sp023423605, 95.0, 83.18, 0.278; GCF_032911385.1, s__Stenotrophomonas sp032911385, 95.0, 83.03, 0.273; GCF_014117215.1, s__Stenotrophomonas tumulicola, 95.0, 82.87, 0.266; GCA_032007425.1, s__Stenotrophomonas sp032007425, 95.0, 82.81, 0.201; GCF_014621775.1, s__Stenotrophomonas sp014621775, 95.0, 82.76, 0.261; GCF_030711595.1, s__Stenotrophomonas sp030711595, 95.0, 82.71, 0.224; GCA_037033225.1, s__Stenotrophomonas sp037033225, 95.0, 82.27, 0.235</t>
  </si>
  <si>
    <t>hgt3_b15</t>
  </si>
  <si>
    <t>b15</t>
  </si>
  <si>
    <t>G8-GL7</t>
  </si>
  <si>
    <t>G8(hgt3_b15)</t>
  </si>
  <si>
    <t>GL7</t>
  </si>
  <si>
    <t>Stenotrophomonas_s__</t>
  </si>
  <si>
    <t>Xanthomonadaceae</t>
  </si>
  <si>
    <t>1.6G</t>
  </si>
  <si>
    <t>4.0M</t>
  </si>
  <si>
    <t>GCF_030128875.1, s__Stenotrophomonas bentonitica_A, 95.0, 89.53, 0.654; GCF_003751305.1, s__Stenotrophomonas rhizophila_B, 95.0, 89.34, 0.651; GCF_013387485.1, s__Stenotrophomonas maltophilia_AA, 95.0, 89.24, 0.643; GCF_039674765.1, s__Stenotrophomonas sp003484865, 95.02, 89.23, 0.637; GCF_003651185.1, s__Stenotrophomonas maltophilia_Z, 95.0, 89.21, 0.637; GCA_002363385.1, s__Stenotrophomonas maltophilia_AN, 95.0, 89.04, 0.668; GCF_002205165.1, s__Stenotrophomonas maltophilia_N, 95.0, 88.97, 0.637; GCF_039674145.1, s__Stenotrophomonas maltophilia_AY, 95.11, 88.93, 0.652; GCF_000661955.1, s__Stenotrophomonas rhizophila, 95.0, 87.94, 0.537; GCF_009832905.1, s__Stenotrophomonas maltophilia_AP, 95.0, 87.54, 0.533; GCF_020857975.1, s__Stenotrophomonas rhizophila_C, 95.0, 87.46, 0.541; GCA_002435595.1, s__Stenotrophomonas maltophilia_AC, 95.0, 87.4, 0.52; GCF_031995405.1, s__Stenotrophomonas sp031995405, 95.0, 87.37, 0.535; GCF_036662295.1, s__Stenotrophomonas sp036662295, 95.0, 87.3, 0.553; GCF_024519465.1, s__Stenotrophomonas sp024519465, 95.0, 87.27, 0.53; GCA_021733645.1, s__Stenotrophomonas sp021733645, 95.0, 87.21, 0.498; GCF_024810105.1, s__Stenotrophomonas maltophilia_AB, 95.0, 87.16, 0.558; GCF_029959395.1, s__Stenotrophomonas maltophilia_AD, 95.0, 87.07, 0.506; GCF_009467805.1, s__Stenotrophomonas nematodicola, 95.0, 86.99, 0.537; GCF_001704155.1, s__Stenotrophomonas rhizophila_A, 95.0, 86.72, 0.507; GCF_037482385.1, s__Stenotrophomonas sp037482385, 95.0, 86.58, 0.484; GCF_031834615.1, s__Stenotrophomonas aracearum, 95.0, 86.51, 0.469; GCF_018612915.1, s__Stenotrophomonas sp018612915, 95.0, 86.43, 0.478; GCF_007667275.1, s__Stenotrophomonas maltophilia_AE, 95.0, 86.33, 0.486; GCF_032099025.1, s__Stenotrophomonas sp032099025, 95.0, 86.12, 0.508; GCF_013185915.1, s__Stenotrophomonas bentonitica, 95.0, 86.09, 0.462; GCF_963519125.1, s__Stenotrophomonas sp963519125, 95.0, 85.86, 0.444; GCA_023457475.1, s__Stenotrophomonas sp023457475, 95.0, 85.86, 0.321; GCA_023439425.1, s__Stenotrophomonas sp023439425, 95.0, 85.66, 0.294; GCF_029960115.1, s__Stenotrophomonas sp029960115, 95.0, 85.2, 0.404; GCF_031976675.1, s__Stenotrophomonas sp031976675, 95.0, 85.16, 0.299; GCF_031834595.1, s__Stenotrophomonas oahuensis, 95.0, 85.13, 0.418; GCF_003086795.1, s__Stenotrophomonas sp023423675, 96.15, 85.06, 0.413; GCF_003086775.1, s__Stenotrophomonas sp003086775, 95.0, 84.93, 0.401; GCA_003510825.1, s__Stenotrophomonas sp003086795, 95.0, 84.87, 0.28; GCF_032103445.1, s__Stenotrophomonas sp032103445, 95.0, 84.84, 0.398; GCF_030549525.1, s__Stenotrophomonas sp030549525, 95.0, 84.83, 0.396; GCF_030913365.1, s__Stenotrophomonas sp030913365, 95.0, 84.83, 0.387; GCF_002138415.1, s__Stenotrophomonas maltophilia_G, 95.0, 84.83, 0.362; GCA_002387845.1, s__Stenotrophomonas maltophilia_AG, 95.0, 84.74, 0.393; GCF_035634915.1, s__Stenotrophomonas sp035634915, 95.0, 84.7, 0.399; GCF_003086695.1, s__Stenotrophomonas sp003086695, 95.0, 84.69, 0.387; GCF_001274595.1, s__Stenotrophomonas maltophilia_AJ, 95.0, 84.69, 0.356; GCF_024499815.1, s__Stenotrophomonas sp024499815, 95.77, 84.68, 0.402; GCF_039555535.1, s__Stenotrophomonas maltophilia_Q, 95.0, 84.67, 0.371; GCF_004346925.1, s__Stenotrophomonas maltophilia_A, 95.0, 84.65, 0.369; GCF_008710035.1, s__Stenotrophomonas cyclobalanopsidis, 95.28, 84.62, 0.394; GCF_023518235.1, s__Stenotrophomonas sp003028475, 95.0, 84.62, 0.381; GCF_003935715.1, s__Stenotrophomonas maltophilia_AH, 95.0, 84.61, 0.372; GCF_002192255.1, s__Stenotrophomonas sp002192255, 95.0, 84.61, 0.369; GCF_900186865.1, s__Stenotrophomonas maltophilia, 95.0, 84.58, 0.375; GCF_000020665.1, s__Stenotrophomonas maltophilia_L, 95.0, 84.56, 0.362; GCF_032101765.1, s__Stenotrophomonas sp032101765, 95.0, 84.52, 0.401; GCF_001431625.1, s__Stenotrophomonas geniculata, 95.0, 84.52, 0.38; GCF_900101175.1, s__Stenotrophomonas pavanii, 95.0, 84.5, 0.382; GCA_038447675.1, s__Stenotrophomonas maltophilia_R, 95.0, 84.5, 0.364; GCA_039592995.1, s__Stenotrophomonas sp039592995, 95.0, 84.5, 0.355; GCF_002750975.1, s__Stenotrophomonas indicatrix, 95.0, 84.49, 0.379; GCA_002364755.1, s__Stenotrophomonas maltophilia_AX, 95.0, 84.48, 0.381; GCF_030291075.1, s__Stenotrophomonas sp913776385, 95.0, 84.46, 0.36; GCF_002799245.1, s__Stenotrophomonas maltophilia_S, 95.0, 84.44, 0.359; GCA_003525885.1, s__Stenotrophomonas sp003525885, 95.0, 84.44, 0.279; GCF_002803515.1, s__Stenotrophomonas lactitubi, 95.0, 84.43, 0.363; GCF_032056425.1, s__Stenotrophomonas sp032056425, 95.0, 84.41, 0.385; GCF_013464485.1, s__Stenotrophomonas maltophilia_AW, 95.0, 84.4, 0.35; GCF_024621935.1, s__Stenotrophomonas muris, 95.0, 84.38, 0.369; GCF_006970445.1, s__Stenotrophomonas maltophilia_AU, 95.0, 84.37, 0.36; GCF_013364355.1, s__Stenotrophomonas sp013364355, 95.0, 84.36, 0.362; GCF_001431535.1, s__Stenotrophomonas chelatiphaga, 95.0, 84.36, 0.361; GCF_013464915.1, s__Stenotrophomonas maltophilia_AT, 95.0, 84.33, 0.38; GCF_003086895.1, s__Stenotrophomonas sp003086895, 95.0, 84.33, 0.359; GCF_040396635.1, s__Stenotrophomonas lactitubi_A, 95.0, 84.32, 0.32; GCF_003244875.1, s__Stenotrophomonas sepilia, 95.0, 84.31, 0.37; GCF_006974125.1, s__Stenotrophomonas maltophilia_O, 95.0, 84.31, 0.365; GCF_003970865.1, s__Stenotrophomonas maltophilia_AR, 95.0, 84.31, 0.364; GCA_041545745.1, s__Stenotrophomonas indicatrix_A, 95.0, 84.31, 0.361; GCF_004920835.1, s__Stenotrophomonas maltophilia_AQ, 95.0, 84.3, 0.37; GCF_001431665.1, s__Stenotrophomonas maltophilia_K, 95.0, 84.29, 0.369; GCF_913778665.1, s__Stenotrophomonas sp913778665, 95.0, 84.27, 0.368; GCF_000382065.1, s__Stenotrophomonas hibiscicola, 95.0, 84.19, 0.365; GCF_945952405.1, s__Stenotrophomonas sp945952405, 95.0, 84.15, 0.353; GCA_009912235.1, s__Stenotrophomonas maltophilia_AV, 95.0, 84.13, 0.331; GCF_013004645.1, s__Stenotrophomonas maltophilia_AM, 95.0, 84.09, 0.351; GCF_030658505.2, s__Stenotrophomonas sp030658505, 95.0, 84.07, 0.349; GCF_913775725.1, s__Stenotrophomonas sp913775725, 95.0, 84.03, 0.35; GCF_004684085.1, s__Stenotrophomonas maltophilia_AS, 95.0, 84.02, 0.343; GCF_039674585.1, s__Stenotrophomonas pennii_A, 95.0, 84.01, 0.348; GCF_014596295.1, s__Stenotrophomonas lacuserhaii, 95.0, 83.96, 0.342; GCF_025697965.1, s__Stenotrophomonas riyadhensis, 95.0, 83.75, 0.36; GCF_025642255.1, s__Stenotrophomonas maltophilia_P, 95.0, 83.61, 0.354; GCF_001676385.1, s__Stenotrophomonas maltophilia_J, 95.0, 83.59, 0.325; GCF_026107455.2, s__Stenotrophomonas chitinilytica, 95.0, 83.48, 0.301; GCA_031991105.1, s__Stenotrophomonas sp023423605, 95.0, 83.09, 0.288; GCA_023430045.1, s__Stenotrophomonas sp023430045, 95.0, 83.07, 0.267; GCF_014117215.1, s__Stenotrophomonas tumulicola, 95.0, 82.98, 0.303; GCF_030711595.1, s__Stenotrophomonas sp030711595, 95.0, 82.9, 0.234; GCA_032007425.1, s__Stenotrophomonas sp032007425, 95.0, 82.67, 0.212; GCA_037033225.1, s__Stenotrophomonas sp037033225, 95.0, 82.66, 0.249; GCF_014621775.1, s__Stenotrophomonas sp014621775, 95.0, 82.61, 0.293; GCF_032911385.1, s__Stenotrophomonas sp032911385, 95.0, 82.54, 0.285</t>
  </si>
  <si>
    <t>hgt3_b5</t>
  </si>
  <si>
    <t>b5</t>
  </si>
  <si>
    <t>H1-HL1</t>
  </si>
  <si>
    <t>H1(hgt3_b5)</t>
  </si>
  <si>
    <t>HL1</t>
  </si>
  <si>
    <t>H</t>
  </si>
  <si>
    <t>Bacillus_A manliponensis</t>
  </si>
  <si>
    <t>Bacillus</t>
  </si>
  <si>
    <t>1.3G</t>
  </si>
  <si>
    <t>4.3M</t>
  </si>
  <si>
    <t>d__Bacteria;p__Bacillota;c__Bacilli;o__Bacillales;f__Bacillaceae_G;g__Bacillus_A;s__Bacillus_A manliponensis</t>
  </si>
  <si>
    <t>GCF_000712595.1</t>
  </si>
  <si>
    <t>d__Bacteria;p__Bacillota;c__Bacilli;o__Bacillales;f__Bacillaceae_G;g__Bacillus_A;s__</t>
  </si>
  <si>
    <t>hgt3_b3</t>
  </si>
  <si>
    <t>b3</t>
  </si>
  <si>
    <t>H2-HC5</t>
  </si>
  <si>
    <t>H2(hgt3_b3)</t>
  </si>
  <si>
    <t>HC5</t>
  </si>
  <si>
    <t>Chania sp033095805</t>
  </si>
  <si>
    <t>Chania</t>
  </si>
  <si>
    <t>4.2M</t>
  </si>
  <si>
    <t>d__Bacteria;p__Pseudomonadota;c__Gammaproteobacteria;o__Enterobacterales;f__Enterobacteriaceae;g__Chania;s__Chania sp033095805</t>
  </si>
  <si>
    <t>GCF_033095805.1</t>
  </si>
  <si>
    <t>d__Bacteria;p__Pseudomonadota;c__Gammaproteobacteria;o__Enterobacterales;f__Enterobacteriaceae;g__Chania;s__</t>
  </si>
  <si>
    <t>GCF_006715025.1, s__Chania fonticola_A, 95.0, 81.3, 0.171; GCF_001006005.1, s__Chania fonticola, 95.0, 80.89, 0.155; GCF_001976145.1, s__Chania oryzae, 95.0, 80.56, 0.153; GCF_000743355.1, s__Chania sp000743355, 95.0, 80.54, 0.156; GCF_000633355.1, s__Chania sp000633355, 95.0, 80.15, 0.157; GCF_030971605.1, s__Chania fonticola_C, 95.0, 80.15, 0.153; GCF_014268175.1, s__Chania fonticola_B, 95.11, 80.04, 0.158</t>
  </si>
  <si>
    <t>hgt3_b2</t>
  </si>
  <si>
    <t>b2</t>
  </si>
  <si>
    <t>H3-HC3</t>
  </si>
  <si>
    <t>H3(hgt3_b2)</t>
  </si>
  <si>
    <t>HC3</t>
  </si>
  <si>
    <t>Comamonas testosteroni_G</t>
  </si>
  <si>
    <t>5.4M</t>
  </si>
  <si>
    <t>d__Bacteria;p__Pseudomonadota;c__Gammaproteobacteria;o__Burkholderiales;f__Burkholderiaceae;g__Comamonas;s__Comamonas testosteroni_G</t>
  </si>
  <si>
    <t>GCF_030505195.1</t>
  </si>
  <si>
    <t>GCF_000241525.1, s__Comamonas testosteroni, 95.0, 94.45, 0.822; GCF_000761245.1, s__Comamonas testosteroni_C, 95.0, 94.43, 0.802; GCF_014076415.1, s__Comamonas testosteroni_F, 95.0, 93.82, 0.787; GCF_000964545.1, s__Comamonas thiooxydans, 95.0, 93.79, 0.808; GCF_002157685.2, s__Comamonas testosteroni_H, 95.07, 93.27, 0.799; GCF_000739375.1, s__Comamonas testosteroni_B, 95.0, 92.05, 0.755; GCF_011752915.1, s__Comamonas sp011752915, 95.2, 91.71, 0.74; GCF_035784015.1, s__Comamonas sp009360615, 95.0, 90.93, 0.789; GCA_019236485.1, s__Comamonas sp019236485, 95.0, 87.33, 0.424; GCF_030064165.1, s__Comamonas resistens, 95.0, 86.55, 0.445; GCA_008727115.1, s__Comamonas testosteroni_E, 95.0, 86.24, 0.503; GCF_041079535.1, s__Comamonas guangdongensis, 95.0, 85.92, 0.482; GCA_031277805.1, s__Comamonas sp031277805, 95.0, 85.74, 0.45; GCF_002754475.1, s__Comamonas sp002754475, 95.0, 85.27, 0.49; GCF_036643215.1, s__Comamonas sp036643215, 95.0, 85.16, 0.476; GCF_012844455.2, s__Comamonas suwonensis, 95.0, 84.76, 0.447; GCF_003569915.1, s__Comamonas testosteroni_D, 95.0, 84.62, 0.394; GCF_019186805.1, s__Comamonas fluminis, 95.0, 84.6, 0.401; GCF_900564145.1, s__Comamonas sp900564145, 95.0, 83.76, 0.335; GCA_014637085.1, s__Comamonas phosphati, 95.0, 83.31, 0.289; GCF_001544075.1, s__Comamonas terrae, 95.0, 83.29, 0.294; GCF_019355935.1, s__Comamonas sp019355935, 95.0, 82.67, 0.325; GCF_006740045.1, s__Comamonas terrigena, 95.0, 81.15, 0.155; GCF_037146395.1, s__Comamonas acidovorans_A, 95.48, 81.07, 0.16; GCF_001571325.1, s__Comamonas tsuruhatensis, 95.0, 80.96, 0.153; GCF_001598795.1, s__Comamonas acidovorans, 95.54, 80.86, 0.157; GCA_031253795.1, s__Comamonas sp031253795, 95.0, 80.64, 0.158</t>
  </si>
  <si>
    <t>hgt3_b7</t>
  </si>
  <si>
    <t>b7</t>
  </si>
  <si>
    <t>H4-HL3</t>
  </si>
  <si>
    <t>H4(hgt3_b7)</t>
  </si>
  <si>
    <t>HL3</t>
  </si>
  <si>
    <t>Lysinibacillus pinottii</t>
  </si>
  <si>
    <t>Lysinibacillus</t>
  </si>
  <si>
    <t>451M</t>
  </si>
  <si>
    <t>d__Bacteria;p__Bacillota;c__Bacilli;o__Bacillales_A;f__Planococcaceae;g__Lysinibacillus;s__Lysinibacillus pinottii</t>
  </si>
  <si>
    <t>GCF_024753545.1</t>
  </si>
  <si>
    <t>d__Bacteria;p__Bacillota;c__Bacilli;o__Bacillales_A;f__Planococcaceae;g__Lysinibacillus;s__</t>
  </si>
  <si>
    <t>GCF_003049525.1, s__Lysinibacillus fusiformis, 95.0, 93.1, 0.811; GCF_001308875.1, s__Lysinibacillus sp001308875, 95.0, 89.08, 0.669; GCF_028356935.1, s__Lysinibacillus fusiformis_D, 95.0, 85.75, 0.493; GCF_016925635.1, s__Lysinibacillus fusiformis_F, 95.0, 85.69, 0.458; GCF_028877475.1, s__Lysinibacillus irui, 95.0, 85.54, 0.457; GCF_009724685.1, s__Lysinibacillus cavernae, 95.0, 85.46, 0.503; GCF_003367505.1, s__Lysinibacillus capsici, 95.0, 84.93, 0.467; GCF_000772935.1, s__Lysinibacillus boronitolerans, 95.0, 84.86, 0.446; GCF_038008325.1, s__Lysinibacillus sp038008325, 95.0, 83.49, 0.298; GCF_001281525.1, s__Lysinibacillus macroides, 95.0, 82.86, 0.255; GCF_030123245.1, s__Lysinibacillus pakistanensis, 95.0, 82.47, 0.201; GCF_016638705.1, s__Lysinibacillus agricola, 95.0, 82.44, 0.17; GCA_002973635.1, s__Lysinibacillus sp002973635, 95.0, 82.31, 0.197; GCF_030348505.1, s__Lysinibacillus sp030348505, 95.0, 82.24, 0.18; GCF_038593855.1, s__Lysinibacillus sphaericus_D, 96.12, 82.06, 0.15; GCF_015844675.1, s__Lysinibacillus sphaericus_E, 95.0, 81.8, 0.152; GCF_001183605.1, s__Lysinibacillus xylanilyticus, 95.0, 81.75, 0.153; GCF_001708185.1, s__Lysinibacillus xylanilyticus_A, 95.0, 81.63, 0.169; GCA_032053185.1, s__Lysinibacillus sp032053185, 95.0, 81.6, 0.163; GCA_032064885.1, s__Lysinibacillus sp032064885, 95.0, 81.55, 0.164; GCF_041262405.1, s__Lysinibacillus sp041262405, 95.0, 81.27, 0.159; GCF_041262385.1, s__Lysinibacillus sp041262385, 95.0, 81.17, 0.153; GCF_035064485.1, s__Lysinibacillus xylanilyticus_B, 95.0, 81.15, 0.152</t>
  </si>
  <si>
    <t>hgt3_b4</t>
  </si>
  <si>
    <t>b4</t>
  </si>
  <si>
    <t>H5-HC8</t>
  </si>
  <si>
    <t>H5(hgt3_b4)</t>
  </si>
  <si>
    <t>HC8</t>
  </si>
  <si>
    <t>4.4M</t>
  </si>
  <si>
    <t>GCF_003049525.1, s__Lysinibacillus fusiformis, 95.0, 93.08, 0.84; GCF_001308875.1, s__Lysinibacillus sp001308875, 95.0, 89.13, 0.697; GCF_028356935.1, s__Lysinibacillus fusiformis_D, 95.0, 86.03, 0.517; GCF_016925635.1, s__Lysinibacillus fusiformis_F, 95.0, 85.59, 0.484; GCF_009724685.1, s__Lysinibacillus cavernae, 95.0, 85.55, 0.521; GCF_028877475.1, s__Lysinibacillus irui, 95.0, 85.54, 0.475; GCF_000772935.1, s__Lysinibacillus boronitolerans, 95.0, 84.88, 0.455; GCF_003367505.1, s__Lysinibacillus capsici, 95.0, 84.85, 0.476; GCF_038008325.1, s__Lysinibacillus sp038008325, 95.0, 83.54, 0.3; GCF_001281525.1, s__Lysinibacillus macroides, 95.0, 82.72, 0.266; GCF_016638705.1, s__Lysinibacillus agricola, 95.0, 82.58, 0.174; GCF_030348505.1, s__Lysinibacillus sp030348505, 95.0, 82.54, 0.186; GCF_030123245.1, s__Lysinibacillus pakistanensis, 95.0, 82.53, 0.211; GCA_002973635.1, s__Lysinibacillus sp002973635, 95.0, 82.1, 0.212; GCF_038593855.1, s__Lysinibacillus sphaericus_D, 96.12, 81.93, 0.151; GCF_015844675.1, s__Lysinibacillus sphaericus_E, 95.0, 81.89, 0.159; GCF_001275675.1, s__Lysinibacillus sp001275675, 95.0, 81.72, 0.156; GCF_006864135.1, s__Lysinibacillus sp006864135, 95.0, 81.68, 0.153; GCA_032053185.1, s__Lysinibacillus sp032053185, 95.0, 81.67, 0.16; GCF_001183605.1, s__Lysinibacillus xylanilyticus, 95.0, 81.62, 0.155; GCF_023337795.1, s__Lysinibacillus sp023337795, 95.0, 81.6, 0.15; GCA_032064885.1, s__Lysinibacillus sp032064885, 95.0, 81.57, 0.171; GCF_001708185.1, s__Lysinibacillus xylanilyticus_A, 95.0, 81.47, 0.18; GCF_041262405.1, s__Lysinibacillus sp041262405, 95.0, 81.26, 0.165; GCF_015999545.1, s__Lysinibacillus sp002340205, 95.0, 81.19, 0.152; GCF_041262385.1, s__Lysinibacillus sp041262385, 95.0, 81.1, 0.159; GCF_035064485.1, s__Lysinibacillus xylanilyticus_B, 95.0, 81.04, 0.159; GCF_040183165.1, s__Lysinibacillus sp040183165, 95.0, 80.86, 0.155</t>
  </si>
  <si>
    <t>hgt3_b8</t>
  </si>
  <si>
    <t>b8</t>
  </si>
  <si>
    <t>H6-HL4</t>
  </si>
  <si>
    <t>H6(hgt3_b8)</t>
  </si>
  <si>
    <t>HL4</t>
  </si>
  <si>
    <t>Paenibacillus sp000758545</t>
  </si>
  <si>
    <t>Paenibacillus</t>
  </si>
  <si>
    <t>195M</t>
  </si>
  <si>
    <t>6.9M</t>
  </si>
  <si>
    <t>d__Bacteria;p__Bacillota;c__Bacilli;o__Paenibacillales;f__Paenibacillaceae;g__Paenibacillus;s__Paenibacillus sp000758545</t>
  </si>
  <si>
    <t>GCF_000758545.1</t>
  </si>
  <si>
    <t>d__Bacteria;p__Bacillota;c__Bacilli;o__Paenibacillales;f__Paenibacillaceae;g__Paenibacillus;s__</t>
  </si>
  <si>
    <t>GCF_924513355.1, s__Paenibacillus pseudetheri, 95.18, 95.12, 0.772; GCF_002264395.1, s__Paenibacillus sp002264395, 95.0, 94.33, 0.772; GCF_030123105.1, s__Paenibacillus sp030123105, 95.0, 94.15, 0.825; GCF_001012825.1, s__Paenibacillus etheri, 95.0, 93.5, 0.78; GCF_000758585.1, s__Paenibacillus sp000758585, 95.0, 92.25, 0.776; GCF_037977235.1, s__Paenibacillus sp002438345, 95.0, 90.52, 0.682; GCF_037963865.1, s__Paenibacillus sp037963865, 95.0, 90.33, 0.664; GCF_000758725.1, s__Paenibacillus odorifer, 95.0, 86.16, 0.489</t>
  </si>
  <si>
    <t>hgt3_b6</t>
  </si>
  <si>
    <t>b6</t>
  </si>
  <si>
    <t>H7-HL2</t>
  </si>
  <si>
    <t>H7(hgt3_b6)</t>
  </si>
  <si>
    <t>HL2</t>
  </si>
  <si>
    <t>Rossellomorea marisflavi_B</t>
  </si>
  <si>
    <t>Rossellomorea</t>
  </si>
  <si>
    <t>2.8G</t>
  </si>
  <si>
    <t>d__Bacteria;p__Bacillota;c__Bacilli;o__Bacillales_B;f__Bacillaceae_B;g__Rossellomorea;s__Rossellomorea marisflavi_B</t>
  </si>
  <si>
    <t>GCF_022170785.1</t>
  </si>
  <si>
    <t>d__Bacteria;p__Bacillota;c__Bacilli;o__Bacillales_B;f__Bacillaceae_B;g__Rossellomorea;s__</t>
  </si>
  <si>
    <t>GCF_001274775.1, s__Rossellomorea marisflavi, 95.0, 94.76, 0.895; GCF_009806575.1, s__Rossellomorea marisflavi_A, 95.0, 92.95, 0.913</t>
  </si>
  <si>
    <t>hgt3_b1</t>
  </si>
  <si>
    <t>b1</t>
  </si>
  <si>
    <t>H8-HC1</t>
  </si>
  <si>
    <t>H8(hgt3_b1)</t>
  </si>
  <si>
    <t>HC1</t>
  </si>
  <si>
    <t>Sphingobacterium yanglingense</t>
  </si>
  <si>
    <t>Sphingobacterium</t>
  </si>
  <si>
    <t>1.9G</t>
  </si>
  <si>
    <t>5.3M</t>
  </si>
  <si>
    <t>d__Bacteria;p__Bacteroidota;c__Bacteroidia;o__Sphingobacteriales;f__Sphingobacteriaceae;g__Sphingobacterium;s__Sphingobacterium yanglingense</t>
  </si>
  <si>
    <t>GCF_004363245.1</t>
  </si>
  <si>
    <t>d__Bacteria;p__Bacteroidota;c__Bacteroidia;o__Sphingobacteriales;f__Sphingobacteriaceae;g__Sphingobacterium;s__</t>
  </si>
  <si>
    <t>GCA_040395455.1, s__Sphingobacterium yanglingense_A, 95.0, 92.19, 0.557; GCA_031277715.1, s__Sphingobacterium sp031277715, 95.0, 88.9, 0.542; GCF_017908035.1, s__Sphingobacterium tabacisoli, 95.0, 87.98, 0.54; GCF_016746095.1, s__Sphingobacterium faecale, 95.0, 82.72, 0.226; GCF_000416985.1, s__Sphingobacterium paucimobilis, 95.0, 82.56, 0.227</t>
  </si>
  <si>
    <t>hgt3_b19</t>
  </si>
  <si>
    <t>b19</t>
  </si>
  <si>
    <t>T1-TC10</t>
  </si>
  <si>
    <t>T1(hgt3_b19)</t>
  </si>
  <si>
    <t>TC10</t>
  </si>
  <si>
    <t>T</t>
  </si>
  <si>
    <t>Bacillus_A cereus</t>
  </si>
  <si>
    <t>5.9M</t>
  </si>
  <si>
    <t>d__Bacteria;p__Bacillota;c__Bacilli;o__Bacillales;f__Bacillaceae_G;g__Bacillus_A;s__Bacillus_A cereus</t>
  </si>
  <si>
    <t>GCF_000007825.1</t>
  </si>
  <si>
    <t>topological placement and ANI have incongruent species assignments</t>
  </si>
  <si>
    <t>GCF_000007825.1, s__Bacillus_A cereus, 95.0, 96.94, 0.872; GCF_000021305.1, s__Bacillus_A thuringiensis_S, 96.14, 96.72, 0.827; GCF_001182785.1, s__Bacillus_A thuringiensis, 96.46, 96.59, 0.825; GCF_001595725.1, s__Bacillus_A thuringiensis_K, 96.75, 95.3, 0.816; GCF_002567495.1, s__Bacillus_A cereus_AQ, 95.0, 94.35, 0.798; GCF_000496285.1, s__Bacillus_A toyonensis, 95.0, 92.05, 0.797; GCF_001455345.1, s__Bacillus_A thuringiensis_N, 95.0, 91.9, 0.781; GCF_001884035.1, s__Bacillus_A tropicus, 95.25, 91.77, 0.789; GCF_921008455.1, s__Bacillus_A basilensis, 95.21, 91.77, 0.736; GCF_001583695.1, s__Bacillus_A wiedmannii, 95.0, 91.71, 0.765; GCF_000742895.1, s__Bacillus_A anthracis, 95.0, 91.6, 0.752; GCF_006494425.1, s__Bacillus_A dicomae, 95.0, 91.6, 0.738; GCF_038971285.1, s__Bacillus_A sp002571225, 95.0, 91.6, 0.722; GCF_007678085.1, s__Bacillus_A cereus_BE, 95.0, 91.54, 0.764; GCF_008923725.1, s__Bacillus_A sp008923725, 95.0, 91.54, 0.74; GCF_001883995.1, s__Bacillus_A paranthracis, 95.17, 91.54, 0.73; GCF_002746455.1, s__Bacillus_A fungorum, 95.0, 91.51, 0.674; GCF_001884025.1, s__Bacillus_A pacificus, 95.52, 91.43, 0.734; GCF_018332475.1, s__Bacillus_A sanguinis, 95.12, 91.42, 0.718; GCF_001884105.1, s__Bacillus_A luti, 95.0, 91.25, 0.748; GCF_022095615.2, s__Bacillus_A cereus_AG, 95.0, 91.18, 0.711; GCF_003400245.1, s__Bacillus_A sp003400245, 95.0, 91.08, 0.7; GCF_001884185.1, s__Bacillus_A albus, 95.0, 90.95, 0.711; GCF_001884045.1, s__Bacillus_A mobilis, 95.0, 90.91, 0.697; GCA_027694045.1, s__Bacillus_A sp027694045, 95.0, 90.79, 0.735; GCA_014932895.1, s__Bacillus_A thuringiensis_AA, 95.0, 90.79, 0.641; GCF_002564555.1, s__Bacillus_A cereus_K, 95.0, 90.76, 0.699; GCF_002584985.1, s__Bacillus_A sp002584985, 95.0, 90.67, 0.69; GCF_002577405.1, s__Bacillus_A cereus_AU, 95.0, 90.67, 0.683; GCF_025917685.1, s__Bacillus_A cereus_AT, 95.28, 90.48, 0.706; GCA_002578045.1, s__Bacillus_A cereus_AK, 95.0, 90.34, 0.622; GCF_018966865.1, s__Bacillus_A sp018966865, 95.0, 90.16, 0.725; GCF_001884135.1, s__Bacillus_A nitratireducens, 95.0, 90.02, 0.684; GCF_040459645.1, s__Bacillus_A mycoides_C, 95.0, 90.02, 0.651; GCF_000832605.1, s__Bacillus_A mycoides, 95.0, 89.89, 0.677; GCF_001884065.1, s__Bacillus_A proteolyticus, 95.0, 89.89, 0.627; GCF_018332515.1, s__Bacillus_A hominis, 95.0, 89.84, 0.635; GCF_018742245.1, s__Bacillus_A cereus_U, 95.0, 89.63, 0.649; GCF_015071065.1, s__Bacillus_A cereus_BA, 95.0, 89.49, 0.603; GCF_001757995.1, s__Bacillus_A mycoides_B, 95.0, 89.33, 0.612; GCF_002975175.1, s__Bacillus_A sp002975175, 95.0, 89.18, 0.591; GCF_001884235.1, s__Bacillus_A paramycoides, 95.0, 89.16, 0.615; GCF_000746925.1, s__Bacillus_A clarus, 95.0, 86.32, 0.451; GCF_002551815.1, s__Bacillus_A sp002551815, 95.0, 83.99, 0.281; GCF_013314535.1, s__Bacillus_A sp013314535, 95.0, 83.42, 0.256; GCA_002561295.1, s__Bacillus_A cereus_S, 95.0, 83.36, 0.281; GCF_022811845.1, s__Bacillus_A cereus_AV, 95.0, 83.26, 0.255; GCA_039549175.1, s__Bacillus_A sp039549175, 95.0, 83.16, 0.258; GCF_001590835.1, s__Bacillus_A gaemokensis, 95.0, 83.14, 0.265; GCA_037095095.1, s__Bacillus_A cereus_BF, 95.0, 83.06, 0.269; GCF_000299035.1, s__Bacillus_A bingmayongensis, 95.0, 83.03, 0.266; GCF_000017425.1, s__Bacillus_A cytotoxicus, 95.0, 82.91, 0.276; GCF_022663115.1, s__Bacillus_A cereus_BD, 95.0, 82.84, 0.273; GCF_000161455.1, s__Bacillus_A pseudomycoides, 95.0, 82.81, 0.24; GCF_017498775.1, s__Bacillus_A arachidis, 95.0, 82.75, 0.261; GCF_030292155.1, s__Bacillus_A sp030292155, 95.0, 82.67, 0.198</t>
  </si>
  <si>
    <t>hgt3_b23</t>
  </si>
  <si>
    <t>b23</t>
  </si>
  <si>
    <t>T2-TL3</t>
  </si>
  <si>
    <t>T2(hgt3_b23)</t>
  </si>
  <si>
    <t>TL3</t>
  </si>
  <si>
    <t>d__Bacteria;p__Bacillota;c__Bacilli;o__Bacillales;f__Bacillaceae_G;g__Bacillus_A;s__Bacillus_A sp003400245</t>
  </si>
  <si>
    <t>GCF_003400245.1</t>
  </si>
  <si>
    <t>GCF_001583695.1, s__Bacillus_A wiedmannii, 95.0, 94.95, 0.862; GCF_001455345.1, s__Bacillus_A thuringiensis_N, 95.0, 93.96, 0.819; GCF_008923725.1, s__Bacillus_A sp008923725, 95.0, 93.96, 0.782; GCF_007678085.1, s__Bacillus_A cereus_BE, 95.0, 93.57, 0.806; GCF_022095615.2, s__Bacillus_A cereus_AG, 95.0, 93.57, 0.756; GCF_001884035.1, s__Bacillus_A tropicus, 95.25, 93.56, 0.811; GCF_001884045.1, s__Bacillus_A mobilis, 95.0, 93.52, 0.762; GCF_002746455.1, s__Bacillus_A fungorum, 95.0, 93.52, 0.727; GCF_921008455.1, s__Bacillus_A basilensis, 95.21, 93.45, 0.763; GCF_018332475.1, s__Bacillus_A sanguinis, 95.12, 93.36, 0.762; GCF_006494425.1, s__Bacillus_A dicomae, 95.0, 93.32, 0.764; GCF_001884185.1, s__Bacillus_A albus, 95.0, 93.27, 0.765; GCF_000742895.1, s__Bacillus_A anthracis, 95.0, 93.21, 0.768; GCF_038971285.1, s__Bacillus_A sp002571225, 95.0, 93.21, 0.733; GCF_001883995.1, s__Bacillus_A paranthracis, 95.17, 93.18, 0.763; GCF_001884025.1, s__Bacillus_A pacificus, 95.52, 93.01, 0.761; GCF_001884105.1, s__Bacillus_A luti, 95.0, 91.94, 0.777; GCF_000496285.1, s__Bacillus_A toyonensis, 95.0, 91.65, 0.779; GCF_000007825.1, s__Bacillus_A cereus, 95.0, 91.65, 0.741; GCF_000021305.1, s__Bacillus_A thuringiensis_S, 96.14, 91.54, 0.708; GCF_001182785.1, s__Bacillus_A thuringiensis, 96.46, 91.54, 0.69; GCF_002584985.1, s__Bacillus_A sp002584985, 95.0, 91.45, 0.72; GCF_002577405.1, s__Bacillus_A cereus_AU, 95.0, 91.08, 0.711; GCF_001595725.1, s__Bacillus_A thuringiensis_K, 96.75, 91.08, 0.677; GCF_002567495.1, s__Bacillus_A cereus_AQ, 95.0, 90.98, 0.709; GCF_025917685.1, s__Bacillus_A cereus_AT, 95.28, 90.93, 0.737; GCF_001884135.1, s__Bacillus_A nitratireducens, 95.0, 90.93, 0.706; GCF_002564555.1, s__Bacillus_A cereus_K, 95.0, 90.91, 0.713; GCA_027694045.1, s__Bacillus_A sp027694045, 95.0, 90.79, 0.73; GCF_018966865.1, s__Bacillus_A sp018966865, 95.0, 90.58, 0.738; GCF_000832605.1, s__Bacillus_A mycoides, 95.0, 90.56, 0.687; GCF_001884065.1, s__Bacillus_A proteolyticus, 95.0, 90.54, 0.647; GCF_018332515.1, s__Bacillus_A hominis, 95.0, 90.45, 0.66; GCA_002578045.1, s__Bacillus_A cereus_AK, 95.0, 90.38, 0.611; GCA_014932895.1, s__Bacillus_A thuringiensis_AA, 95.0, 90.36, 0.63; GCF_018742245.1, s__Bacillus_A cereus_U, 95.0, 90.16, 0.68; GCF_040459645.1, s__Bacillus_A mycoides_C, 95.0, 90.16, 0.666; GCF_001757995.1, s__Bacillus_A mycoides_B, 95.0, 89.99, 0.629; GCF_015071065.1, s__Bacillus_A cereus_BA, 95.0, 89.77, 0.616; GCF_002975175.1, s__Bacillus_A sp002975175, 95.0, 89.63, 0.604; GCF_001884235.1, s__Bacillus_A paramycoides, 95.0, 89.4, 0.617; GCF_000746925.1, s__Bacillus_A clarus, 95.0, 86.4, 0.436; GCF_002551815.1, s__Bacillus_A sp002551815, 95.0, 83.87, 0.283; GCA_002561295.1, s__Bacillus_A cereus_S, 95.0, 83.24, 0.294; GCF_013314535.1, s__Bacillus_A sp013314535, 95.0, 83.23, 0.256; GCF_022811845.1, s__Bacillus_A cereus_AV, 95.0, 83.17, 0.249; GCA_039549175.1, s__Bacillus_A sp039549175, 95.0, 83.16, 0.255; GCF_000161455.1, s__Bacillus_A pseudomycoides, 95.0, 83.08, 0.247; GCF_001590835.1, s__Bacillus_A gaemokensis, 95.0, 83.02, 0.255; GCA_037095095.1, s__Bacillus_A cereus_BF, 95.0, 82.94, 0.255; GCF_000017425.1, s__Bacillus_A cytotoxicus, 95.0, 82.9, 0.273; GCF_017498775.1, s__Bacillus_A arachidis, 95.0, 82.88, 0.261; GCF_000299035.1, s__Bacillus_A bingmayongensis, 95.0, 82.88, 0.253; GCF_022663115.1, s__Bacillus_A cereus_BD, 95.0, 82.66, 0.27; GCF_030292155.1, s__Bacillus_A sp030292155, 95.0, 82.5, 0.192</t>
  </si>
  <si>
    <t>Genome has more than 11.7% of markers with multiple hits</t>
  </si>
  <si>
    <t>hgt3_b24</t>
  </si>
  <si>
    <t>b24</t>
  </si>
  <si>
    <t>T3-TL4</t>
  </si>
  <si>
    <t>T3(hgt3_b24)</t>
  </si>
  <si>
    <t>TL4</t>
  </si>
  <si>
    <t>Bacillus_A thuringiensis</t>
  </si>
  <si>
    <t>2.0G</t>
  </si>
  <si>
    <t>d__Bacteria;p__Bacillota;c__Bacilli;o__Bacillales;f__Bacillaceae_G;g__Bacillus_A;s__Bacillus_A thuringiensis</t>
  </si>
  <si>
    <t>GCF_001182785.1</t>
  </si>
  <si>
    <t>GCF_001182785.1, s__Bacillus_A thuringiensis, 96.46, 97.16, 0.862; GCF_000007825.1, s__Bacillus_A cereus, 95.0, 96.95, 0.875; GCF_000021305.1, s__Bacillus_A thuringiensis_S, 96.14, 96.74, 0.825; GCF_001595725.1, s__Bacillus_A thuringiensis_K, 96.75, 95.3, 0.775; GCF_002567495.1, s__Bacillus_A cereus_AQ, 95.0, 94.35, 0.809; GCF_000496285.1, s__Bacillus_A toyonensis, 95.0, 91.97, 0.798; GCF_001455345.1, s__Bacillus_A thuringiensis_N, 95.0, 91.9, 0.776; GCF_001884035.1, s__Bacillus_A tropicus, 95.25, 91.83, 0.79; GCF_921008455.1, s__Bacillus_A basilensis, 95.21, 91.71, 0.735; GCF_000742895.1, s__Bacillus_A anthracis, 95.0, 91.65, 0.746; GCF_001583695.1, s__Bacillus_A wiedmannii, 95.0, 91.6, 0.758; GCF_006494425.1, s__Bacillus_A dicomae, 95.0, 91.6, 0.738; GCF_001884025.1, s__Bacillus_A pacificus, 95.52, 91.58, 0.73; GCF_018332475.1, s__Bacillus_A sanguinis, 95.12, 91.57, 0.706; GCF_007678085.1, s__Bacillus_A cereus_BE, 95.0, 91.54, 0.765; GCF_008923725.1, s__Bacillus_A sp008923725, 95.0, 91.54, 0.742; GCF_001883995.1, s__Bacillus_A paranthracis, 95.17, 91.54, 0.736; GCF_038971285.1, s__Bacillus_A sp002571225, 95.0, 91.54, 0.725; GCF_002746455.1, s__Bacillus_A fungorum, 95.0, 91.51, 0.669; GCF_003400245.1, s__Bacillus_A sp003400245, 95.0, 91.45, 0.691; GCF_022095615.2, s__Bacillus_A cereus_AG, 95.0, 91.39, 0.697; GCF_001884185.1, s__Bacillus_A albus, 95.0, 91.23, 0.699; GCF_001884105.1, s__Bacillus_A luti, 95.0, 90.98, 0.747; GCF_001884045.1, s__Bacillus_A mobilis, 95.0, 90.95, 0.693; GCA_027694045.1, s__Bacillus_A sp027694045, 95.0, 90.79, 0.73; GCA_014932895.1, s__Bacillus_A thuringiensis_AA, 95.0, 90.79, 0.655; GCF_002577405.1, s__Bacillus_A cereus_AU, 95.0, 90.67, 0.679; GCF_002564555.1, s__Bacillus_A cereus_K, 95.0, 90.66, 0.695; GCF_002584985.1, s__Bacillus_A sp002584985, 95.0, 90.58, 0.688; GCF_025917685.1, s__Bacillus_A cereus_AT, 95.28, 90.48, 0.709; GCA_002578045.1, s__Bacillus_A cereus_AK, 95.0, 90.45, 0.622; GCF_018966865.1, s__Bacillus_A sp018966865, 95.0, 90.16, 0.726; GCF_018332515.1, s__Bacillus_A hominis, 95.0, 90.03, 0.63; GCF_001884135.1, s__Bacillus_A nitratireducens, 95.0, 90.02, 0.692; GCF_040459645.1, s__Bacillus_A mycoides_C, 95.0, 90.02, 0.651; GCF_000832605.1, s__Bacillus_A mycoides, 95.0, 90.0, 0.677; GCF_001884065.1, s__Bacillus_A proteolyticus, 95.0, 89.82, 0.632; GCF_018742245.1, s__Bacillus_A cereus_U, 95.0, 89.57, 0.65; GCF_015071065.1, s__Bacillus_A cereus_BA, 95.0, 89.55, 0.612; GCF_001757995.1, s__Bacillus_A mycoides_B, 95.0, 89.36, 0.622; GCF_001884235.1, s__Bacillus_A paramycoides, 95.0, 89.23, 0.615; GCF_002975175.1, s__Bacillus_A sp002975175, 95.0, 89.15, 0.605; GCF_000746925.1, s__Bacillus_A clarus, 95.0, 86.18, 0.446; GCF_002551815.1, s__Bacillus_A sp002551815, 95.0, 83.83, 0.282; GCA_002561295.1, s__Bacillus_A cereus_S, 95.0, 83.43, 0.28; GCF_013314535.1, s__Bacillus_A sp013314535, 95.0, 83.37, 0.258; GCF_022811845.1, s__Bacillus_A cereus_AV, 95.0, 83.32, 0.253; GCA_037095095.1, s__Bacillus_A cereus_BF, 95.0, 83.18, 0.269; GCF_000299035.1, s__Bacillus_A bingmayongensis, 95.0, 83.11, 0.267; GCA_039549175.1, s__Bacillus_A sp039549175, 95.0, 83.07, 0.253; GCF_001590835.1, s__Bacillus_A gaemokensis, 95.0, 83.05, 0.268; GCF_000017425.1, s__Bacillus_A cytotoxicus, 95.0, 82.95, 0.279; GCF_000161455.1, s__Bacillus_A pseudomycoides, 95.0, 82.92, 0.237; GCF_017498775.1, s__Bacillus_A arachidis, 95.0, 82.9, 0.262; GCF_022663115.1, s__Bacillus_A cereus_BD, 95.0, 82.71, 0.272; GCF_030292155.1, s__Bacillus_A sp030292155, 95.0, 82.5, 0.196</t>
  </si>
  <si>
    <t>hgt3_b18</t>
  </si>
  <si>
    <t>b18</t>
  </si>
  <si>
    <t>T4-TC5</t>
  </si>
  <si>
    <t>T4(hgt3_b18)</t>
  </si>
  <si>
    <t>TC5</t>
  </si>
  <si>
    <t>Chania fonticola_B</t>
  </si>
  <si>
    <t>d__Bacteria;p__Pseudomonadota;c__Gammaproteobacteria;o__Enterobacterales;f__Enterobacteriaceae;g__Chania;s__Chania fonticola_B</t>
  </si>
  <si>
    <t>GCF_014268175.1</t>
  </si>
  <si>
    <t>GCF_001006005.1, s__Chania fonticola, 95.0, 95.33, 0.839; GCF_030971605.1, s__Chania fonticola_C, 95.0, 94.62, 0.834; GCF_023282985.1, s__Chania silvae, 95.0, 93.32, 0.785; GCF_000633355.1, s__Chania sp000633355, 95.0, 89.74, 0.699; GCF_006715025.1, s__Chania fonticola_A, 95.0, 84.53, 0.39; GCF_001976145.1, s__Chania oryzae, 95.0, 82.94, 0.299; GCF_000743355.1, s__Chania sp000743355, 95.0, 82.04, 0.252; GCF_000520015.2, s__Chania multitudinisentens, 95.0, 81.69, 0.193; GCF_033095805.1, s__Chania sp033095805, 95.0, 81.04, 0.169</t>
  </si>
  <si>
    <t>hgt3_b20</t>
  </si>
  <si>
    <t>b20</t>
  </si>
  <si>
    <t>T5-TC13</t>
  </si>
  <si>
    <t>T5(hgt3_b20)</t>
  </si>
  <si>
    <t>TC13</t>
  </si>
  <si>
    <t>730M</t>
  </si>
  <si>
    <t>6.3M</t>
  </si>
  <si>
    <t>GCF_037146395.1, s__Comamonas acidovorans_A, 95.48, 95.59, 0.818; GCF_001571325.1, s__Comamonas tsuruhatensis, 95.0, 95.44, 0.821; GCF_903815225.1, s__Comamonas tsuruhatensis_A, 95.0, 90.36, 0.688; GCA_031253795.1, s__Comamonas sp031253795, 95.0, 88.77, 0.692; GCF_029870285.1, s__Comamonas sp029870285, 95.0, 86.97, 0.474; GCA_019236485.1, s__Comamonas sp019236485, 95.0, 84.57, 0.211; GCF_001544075.1, s__Comamonas terrae, 95.0, 84.13, 0.286; GCA_014637085.1, s__Comamonas phosphati, 95.0, 83.67, 0.272; GCF_041079535.1, s__Comamonas guangdongensis, 95.0, 82.54, 0.233; GCF_000429845.1, s__Comamonas composti, 95.0, 82.02, 0.208; GCF_014076415.1, s__Comamonas testosteroni_F, 95.0, 81.5, 0.153; GCF_035784015.1, s__Comamonas sp009360615, 95.0, 81.35, 0.175; GCF_000739875.1, s__Comamonas aquatica, 95.0, 81.32, 0.174; GCF_000739375.1, s__Comamonas testosteroni_B, 95.0, 81.14, 0.155; GCF_000241525.1, s__Comamonas testosteroni, 95.0, 80.98, 0.156; GCF_011752915.1, s__Comamonas sp011752915, 95.2, 80.97, 0.165; GCF_006740045.1, s__Comamonas terrigena, 95.0, 80.96, 0.158; GCF_000964545.1, s__Comamonas thiooxydans, 95.0, 80.88, 0.157; GCF_900564145.1, s__Comamonas sp900564145, 95.0, 80.5, 0.155</t>
  </si>
  <si>
    <t>hgt3_b17</t>
  </si>
  <si>
    <t>b17</t>
  </si>
  <si>
    <t>T6-TC4</t>
  </si>
  <si>
    <t>T6(hgt3_b17)</t>
  </si>
  <si>
    <t>TC4</t>
  </si>
  <si>
    <t>Microbacterium galbinum</t>
  </si>
  <si>
    <t>Microbacterium</t>
  </si>
  <si>
    <t>3.4M</t>
  </si>
  <si>
    <t>d__Bacteria;p__Actinomycetota;c__Actinomycetes;o__Actinomycetales;f__Microbacteriaceae;g__Microbacterium;s__Microbacterium galbinum</t>
  </si>
  <si>
    <t>GCF_023091225.1</t>
  </si>
  <si>
    <t>d__Bacteria;p__Actinomycetota;c__Actinomycetes;o__Actinomycetales;f__Microbacteriaceae;g__Microbacterium;s__</t>
  </si>
  <si>
    <t>GCA_032099965.1, s__Microbacterium sp032099965, 95.0, 86.62, 0.427; GCA_029959905.1, s__Microbacterium sp029959905, 95.0, 85.36, 0.45; GCF_963528945.1, s__Microbacterium sp963528945, 95.0, 85.27, 0.461; GCF_018613995.1, s__Microbacterium sp018613995, 95.0, 84.7, 0.235; GCF_019969685.1, s__Microbacterium sp019969685, 95.0, 83.84, 0.355; GCF_026559675.1, s__Microbacterium oxydans_D, 95.0, 83.77, 0.335; GCF_039533965.1, s__Microbacterium luteolum, 95.0, 83.76, 0.32; GCF_008868125.1, s__Microbacterium maritypicum, 95.0, 83.72, 0.325; GCF_006716345.1, s__Microbacterium saperdae, 95.0, 83.67, 0.361; GCF_038397745.1, s__Microbacterium sp003075395, 95.0, 83.63, 0.335; GCF_036823965.1, s__Microbacterium sp036823965, 95.0, 83.61, 0.373; GCF_038397715.1, s__Microbacterium sp038397715, 95.0, 83.56, 0.325; GCA_029239165.1, s__Microbacterium sp029239165, 95.0, 83.49, 0.189; GCF_031988965.1, s__Microbacterium sp031988965, 95.0, 83.47, 0.276; GCF_030816505.1, s__Microbacterium sp030816505, 95.0, 83.4, 0.313; GCF_039729145.1, s__Microbacterium maritypicum_A, 95.0, 83.38, 0.298; GCF_001650405.1, s__Microbacterium sp001650405, 95.0, 83.34, 0.32; GCF_004794515.1, s__Microbacterium sp004794515, 95.0, 83.34, 0.313; GCF_023091155.1, s__Microbacterium sufflavum, 95.0, 83.34, 0.307; GCF_000956525.1, s__Microbacterium oxydans_A, 95.0, 83.32, 0.362; GCF_040675875.1, s__Microbacterium sp040675875, 95.0, 83.31, 0.336; GCF_023091245.1, s__Microbacterium croceum, 95.0, 83.31, 0.333; GCF_041529975.1, s__Microbacterium sp002979655, 95.0, 83.23, 0.322; GCF_017876435.1, s__Microbacterium phyllosphaerae, 95.0, 83.21, 0.326; GCA_029203165.1, s__Microbacterium colombiense, 95.0, 83.2, 0.328; GCF_004794465.1, s__Microbacterium sp004794465, 95.0, 83.18, 0.334; GCF_001423615.1, s__Microbacterium sp001423615, 95.0, 83.16, 0.31; GCF_001262495.1, s__Microbacterium sp001262495, 95.0, 83.15, 0.308; GCF_006385575.1, s__Microbacterium foliorum_B, 95.0, 83.13, 0.291; GCF_022627955.1, s__Microbacterium sp022627955, 95.0, 83.12, 0.323; GCF_023715885.1, s__Microbacterium hydrocarbonoxydans_C, 95.0, 83.12, 0.306; GCF_037150835.1, s__Microbacterium sp037150835, 95.0, 83.11, 0.311; GCF_011752045.1, s__Microbacterium sp001639925, 95.0, 83.1, 0.266; GCF_014171575.1, s__Microbacterium sp014171575, 95.0, 83.09, 0.272; GCF_019056515.1, s__Microbacterium sp001595495, 95.0, 83.08, 0.285; GCA_037033365.1, s__Microbacterium sp037033365, 95.0, 83.03, 0.259; GCF_038397735.1, s__Microbacterium sp038397735, 95.0, 82.98, 0.311; GCF_900105205.1, s__Microbacterium hydrocarbonoxydans, 95.0, 82.98, 0.299; GCF_008868005.1, s__Microbacterium algeriense, 95.0, 82.96, 0.307; GCF_003367705.1, s__Microbacterium foliorum, 95.0, 82.92, 0.28; GCF_001049495.1, s__Microbacterium sp001049495, 95.0, 82.88, 0.3; GCF_007667425.1, s__Microbacterium sp007667425, 95.0, 82.88, 0.286; GCF_001866135.1, s__Microbacterium sp001866135, 95.0, 82.88, 0.283; GCF_002362255.1, s__Microbacterium sp002362255, 95.0, 82.87, 0.322; GCF_963521645.1, s__Microbacterium sp963521645, 95.0, 82.87, 0.288; GCF_006540085.1, s__Microbacterium oxydans, 95.0, 82.86, 0.295; GCF_904066215.1, s__Microbacterium sp002456035, 95.0, 82.85, 0.263; GCF_040684875.1, s__Microbacterium sp040684875, 95.0, 82.83, 0.285; GCF_900095745.1, s__Microbacterium oxydans_B, 95.0, 82.82, 0.305; GCF_031885415.1, s__Microbacterium forte, 95.0, 82.82, 0.303; GCF_031843845.1, s__Microbacterium sp031843845, 95.0, 82.82, 0.301; GCF_001426995.1, s__Microbacterium sp001426995, 95.0, 82.78, 0.284; GCF_002979435.1, s__Microbacterium sp002979435, 95.0, 82.77, 0.296; GCF_001423485.1, s__Microbacterium sp001423485, 95.0, 82.77, 0.289; GCF_963518515.1, s__Microbacterium sp963518515, 95.0, 82.75, 0.261; GCF_025143365.1, s__Microbacterium sp025143365, 95.0, 82.73, 0.276; GCF_002979475.1, s__Microbacterium sp002979475, 95.0, 82.72, 0.289; GCF_023101205.1, s__Microbacterium aurugineum, 95.0, 82.71, 0.271; GCF_001889265.1, s__Microbacterium sp001889265, 95.0, 82.69, 0.285; GCF_904831005.1, s__Microbacterium hydrocarbonoxydans_B, 95.0, 82.69, 0.282; GCA_037033305.1, s__Microbacterium sp037033305, 95.0, 82.69, 0.263; GCF_030407765.1, s__Microbacterium sp030407765, 95.0, 82.67, 0.283; GCF_002848265.1, s__Microbacterium sp002848265, 95.0, 82.65, 0.279; GCF_900105335.1, s__Microbacterium paraoxydans, 95.12, 82.63, 0.279; GCF_000967865.1, s__Microbacterium sp000967865, 95.0, 82.6, 0.281; GCF_017355365.1, s__Microbacterium sp017355365, 95.0, 82.56, 0.257; GCF_002979515.1, s__Microbacterium sp002979515, 95.0, 82.54, 0.296; GCF_040637855.1, s__Microbacterium sp040637855, 95.0, 82.53, 0.276; GCF_036421035.1, s__Microbacterium paraoxydans_D, 95.0, 82.52, 0.276; GCF_017939615.1, s__Microbacterium sp017939615, 95.0, 82.52, 0.274; GCF_041641055.1, s__Microbacterium sp041641055, 95.0, 82.48, 0.275; GCA_017744855.1, s__Microbacterium sp017744855, 95.0, 82.4, 0.204; GCF_008271365.1, s__Microbacterium sp008271365, 95.0, 82.39, 0.253; GCF_031843745.1, s__Microbacterium sp031843745, 95.0, 82.38, 0.29; GCF_015354505.1, s__Microbacterium sp015354505, 95.0, 82.36, 0.281; GCF_018224615.1, s__Microbacterium paraoxydans_B, 95.0, 82.27, 0.291; GCF_030816295.1, s__Microbacterium natoriense_A, 95.0, 82.19, 0.23; GCF_000956475.1, s__Microbacterium hydrocarbonoxydans_A, 95.0, 82.15, 0.237; GCA_040395495.1, s__Microbacterium hydrocarbonoxydans_D, 95.0, 82.11, 0.257; GCF_000956405.1, s__Microbacterium oxydans_C, 95.0, 82.01, 0.255; GCF_001513675.1, s__Microbacterium sp001513675, 95.0, 81.81, 0.229; GCF_039527915.1, s__Microbacterium natoriense, 95.0, 81.8, 0.257; GCF_038397725.1, s__Microbacterium sp038397725, 95.0, 81.8, 0.231; GCF_002872075.1, s__Microbacterium aurantiacum_A, 95.0, 81.76, 0.247; GCF_020524545.1, s__Microbacterium paraoxydans_C, 95.0, 81.71, 0.248; GCF_003626735.1, s__Microbacterium sp003626735, 95.0, 81.63, 0.242; GCF_037204145.1, s__Microbacterium sp037204145, 95.0, 81.09, 0.163; GCF_031179285.1, s__Microbacterium sp031179285, 95.0, 81.03, 0.182; GCF_007988825.1, s__Microbacterium aerolatum, 95.0, 80.91, 0.19; GCF_025836995.1, s__Microbacterium sp025836995, 95.0, 80.85, 0.173; GCF_030815955.1, s__Microbacterium murale_A, 95.0, 80.62, 0.165; GCF_014205075.1, s__Microbacterium ginsengiterrae, 95.0, 80.6, 0.164; GCF_014635185.1, s__Microbacterium murale, 95.0, 80.22, 0.162</t>
  </si>
  <si>
    <t>hgt3_b21</t>
  </si>
  <si>
    <t>b21</t>
  </si>
  <si>
    <t>T7-TL1</t>
  </si>
  <si>
    <t>T7(hgt3_b21)</t>
  </si>
  <si>
    <t>TL1</t>
  </si>
  <si>
    <t>2.4G</t>
  </si>
  <si>
    <t>3.5M</t>
  </si>
  <si>
    <t>GCA_032099965.1, s__Microbacterium sp032099965, 95.0, 86.68, 0.43; GCA_029959905.1, s__Microbacterium sp029959905, 95.0, 85.35, 0.447; GCF_963528945.1, s__Microbacterium sp963528945, 95.0, 85.28, 0.465; GCF_018613995.1, s__Microbacterium sp018613995, 95.0, 84.56, 0.232; GCF_019969685.1, s__Microbacterium sp019969685, 95.0, 83.93, 0.343; GCF_026559675.1, s__Microbacterium oxydans_D, 95.0, 83.87, 0.323; GCF_006716345.1, s__Microbacterium saperdae, 95.0, 83.83, 0.341; GCF_038397745.1, s__Microbacterium sp003075395, 95.0, 83.82, 0.325; GCF_036823965.1, s__Microbacterium sp036823965, 95.0, 83.78, 0.364; GCA_029239165.1, s__Microbacterium sp029239165, 95.0, 83.53, 0.186; GCF_001650405.1, s__Microbacterium sp001650405, 95.0, 83.49, 0.308; GCF_008868125.1, s__Microbacterium maritypicum, 95.0, 83.48, 0.303; GCF_038397715.1, s__Microbacterium sp038397715, 95.0, 83.46, 0.324; GCF_017876435.1, s__Microbacterium phyllosphaerae, 95.0, 83.39, 0.323; GCA_037033365.1, s__Microbacterium sp037033365, 95.0, 83.39, 0.26; GCF_000956525.1, s__Microbacterium oxydans_A, 95.0, 83.38, 0.354; GCF_004794465.1, s__Microbacterium sp004794465, 95.0, 83.38, 0.317; GCF_023091245.1, s__Microbacterium croceum, 95.0, 83.34, 0.317; GCF_040675875.1, s__Microbacterium sp040675875, 95.0, 83.33, 0.324; GCF_004794515.1, s__Microbacterium sp004794515, 95.0, 83.3, 0.309; GCF_039533965.1, s__Microbacterium luteolum, 95.0, 83.29, 0.297; GCF_031988965.1, s__Microbacterium sp031988965, 95.0, 83.29, 0.269; GCF_022627955.1, s__Microbacterium sp022627955, 95.0, 83.25, 0.325; GCF_041529975.1, s__Microbacterium sp002979655, 95.0, 83.23, 0.312; GCF_002362255.1, s__Microbacterium sp002362255, 95.0, 83.19, 0.324; GCA_029203165.1, s__Microbacterium colombiense, 95.0, 83.19, 0.307; GCF_030816505.1, s__Microbacterium sp030816505, 95.0, 83.17, 0.302; GCF_037150835.1, s__Microbacterium sp037150835, 95.0, 83.13, 0.305; GCF_001423615.1, s__Microbacterium sp001423615, 95.0, 83.13, 0.296; GCF_001889265.1, s__Microbacterium sp001889265, 95.0, 83.11, 0.276; GCF_039729145.1, s__Microbacterium maritypicum_A, 95.0, 83.1, 0.28; GCF_023091155.1, s__Microbacterium sufflavum, 95.0, 83.07, 0.298; GCF_023715885.1, s__Microbacterium hydrocarbonoxydans_C, 95.0, 83.06, 0.305; GCF_001866135.1, s__Microbacterium sp001866135, 95.0, 83.05, 0.286; GCF_002979435.1, s__Microbacterium sp002979435, 95.0, 82.99, 0.294; GCF_001049495.1, s__Microbacterium sp001049495, 95.0, 82.98, 0.291; GCF_031885415.1, s__Microbacterium forte, 95.0, 82.95, 0.289; GCF_001262495.1, s__Microbacterium sp001262495, 95.0, 82.92, 0.294; GCF_001423485.1, s__Microbacterium sp001423485, 95.0, 82.92, 0.288; GCF_011752045.1, s__Microbacterium sp001639925, 95.0, 82.92, 0.254; GCF_040684875.1, s__Microbacterium sp040684875, 95.0, 82.91, 0.282; GCF_003367705.1, s__Microbacterium foliorum, 95.0, 82.91, 0.27; GCF_963521645.1, s__Microbacterium sp963521645, 95.0, 82.89, 0.282; GCF_900105205.1, s__Microbacterium hydrocarbonoxydans, 95.0, 82.87, 0.289; GCF_900095745.1, s__Microbacterium oxydans_B, 95.0, 82.86, 0.303; GCF_006540085.1, s__Microbacterium oxydans, 95.0, 82.86, 0.277; GCF_904831005.1, s__Microbacterium hydrocarbonoxydans_B, 95.0, 82.83, 0.265; GCF_019056515.1, s__Microbacterium sp001595495, 95.0, 82.82, 0.27; GCF_023101205.1, s__Microbacterium aurugineum, 95.0, 82.82, 0.263; GCF_038397735.1, s__Microbacterium sp038397735, 95.0, 82.81, 0.287; GCF_002979475.1, s__Microbacterium sp002979475, 95.0, 82.81, 0.28; GCF_007667425.1, s__Microbacterium sp007667425, 95.0, 82.75, 0.283; GCF_008868005.1, s__Microbacterium algeriense, 95.0, 82.74, 0.287; GCF_017939615.1, s__Microbacterium sp017939615, 95.0, 82.73, 0.281; GCF_006385575.1, s__Microbacterium foliorum_B, 95.0, 82.72, 0.273; GCA_037033305.1, s__Microbacterium sp037033305, 95.0, 82.72, 0.249; GCF_040637855.1, s__Microbacterium sp040637855, 95.0, 82.69, 0.264; GCF_014171575.1, s__Microbacterium sp014171575, 95.0, 82.68, 0.269; GCF_031843845.1, s__Microbacterium sp031843845, 95.0, 82.67, 0.285; GCF_030407765.1, s__Microbacterium sp030407765, 95.0, 82.62, 0.279; GCF_963518515.1, s__Microbacterium sp963518515, 95.0, 82.62, 0.246; GCF_002979515.1, s__Microbacterium sp002979515, 95.0, 82.6, 0.284; GCF_025143365.1, s__Microbacterium sp025143365, 95.0, 82.55, 0.267; GCF_036421035.1, s__Microbacterium paraoxydans_D, 95.0, 82.54, 0.279; GCF_900105335.1, s__Microbacterium paraoxydans, 95.12, 82.54, 0.269; GCF_001426995.1, s__Microbacterium sp001426995, 95.0, 82.51, 0.28; GCF_000967865.1, s__Microbacterium sp000967865, 95.0, 82.5, 0.267; GCF_904066215.1, s__Microbacterium sp002456035, 95.0, 82.5, 0.258; GCF_002848265.1, s__Microbacterium sp002848265, 95.0, 82.49, 0.267; GCF_017355365.1, s__Microbacterium sp017355365, 95.0, 82.49, 0.243; GCF_018224615.1, s__Microbacterium paraoxydans_B, 95.0, 82.47, 0.29; GCA_017744855.1, s__Microbacterium sp017744855, 95.0, 82.43, 0.209; GCF_041641055.1, s__Microbacterium sp041641055, 95.0, 82.42, 0.273; GCF_015354505.1, s__Microbacterium sp015354505, 95.0, 82.3, 0.273; GCF_031843745.1, s__Microbacterium sp031843745, 95.0, 82.19, 0.278; GCF_008271365.1, s__Microbacterium sp008271365, 95.0, 82.19, 0.258; GCF_000956405.1, s__Microbacterium oxydans_C, 95.0, 82.14, 0.249; GCF_030816295.1, s__Microbacterium natoriense_A, 95.0, 82.13, 0.222; GCA_040395495.1, s__Microbacterium hydrocarbonoxydans_D, 95.0, 81.99, 0.244; GCF_002872075.1, s__Microbacterium aurantiacum_A, 95.0, 81.95, 0.236; GCF_000956475.1, s__Microbacterium hydrocarbonoxydans_A, 95.0, 81.93, 0.23; GCF_001513675.1, s__Microbacterium sp001513675, 95.0, 81.93, 0.226; GCF_020524545.1, s__Microbacterium paraoxydans_C, 95.0, 81.9, 0.243; GCF_038397725.1, s__Microbacterium sp038397725, 95.0, 81.87, 0.227; GCF_039527915.1, s__Microbacterium natoriense, 95.0, 81.79, 0.252; GCF_003626735.1, s__Microbacterium sp003626735, 95.0, 81.51, 0.23; GCF_037204145.1, s__Microbacterium sp037204145, 95.0, 81.22, 0.163; GCF_025836995.1, s__Microbacterium sp025836995, 95.0, 80.94, 0.17; GCF_007988825.1, s__Microbacterium aerolatum, 95.0, 80.92, 0.186; GCF_031179285.1, s__Microbacterium sp031179285, 95.0, 80.71, 0.174; GCF_030815955.1, s__Microbacterium murale_A, 95.0, 80.45, 0.156; GCF_014205075.1, s__Microbacterium ginsengiterrae, 95.0, 80.44, 0.168; GCF_014635185.1, s__Microbacterium murale, 95.0, 80.11, 0.157</t>
  </si>
  <si>
    <t>hgt3_b22</t>
  </si>
  <si>
    <t>b22</t>
  </si>
  <si>
    <t>T8-TL2</t>
  </si>
  <si>
    <t>T8(hgt3_b22)</t>
  </si>
  <si>
    <t>TL2</t>
  </si>
  <si>
    <t>Microbacterium maritypicum_A</t>
  </si>
  <si>
    <t>d__Bacteria;p__Actinomycetota;c__Actinomycetes;o__Actinomycetales;f__Microbacteriaceae;g__Microbacterium;s__Microbacterium maritypicum_A</t>
  </si>
  <si>
    <t>GCF_039729145.1</t>
  </si>
  <si>
    <t>GCF_008868125.1, s__Microbacterium maritypicum, 95.0, 89.58, 0.731; GCF_006540085.1, s__Microbacterium oxydans, 95.0, 88.2, 0.686; GCF_002979515.1, s__Microbacterium sp002979515, 95.0, 88.16, 0.704; GCF_000956405.1, s__Microbacterium oxydans_C, 95.0, 87.8, 0.608; GCF_002979475.1, s__Microbacterium sp002979475, 95.0, 87.51, 0.611; GCF_026559675.1, s__Microbacterium oxydans_D, 95.0, 87.18, 0.569; GCF_002979435.1, s__Microbacterium sp002979435, 95.0, 86.66, 0.543; GCF_004794515.1, s__Microbacterium sp004794515, 95.0, 86.65, 0.51; GCF_023101205.1, s__Microbacterium aurugineum, 95.0, 86.52, 0.533; GCF_041529975.1, s__Microbacterium sp002979655, 95.0, 86.34, 0.498; GCF_037150835.1, s__Microbacterium sp037150835, 95.0, 86.15, 0.483; GCF_900095745.1, s__Microbacterium oxydans_B, 95.0, 86.13, 0.491; GCA_029239165.1, s__Microbacterium sp029239165, 95.0, 86.12, 0.349; GCF_008868005.1, s__Microbacterium algeriense, 95.0, 85.53, 0.476; GCF_020524545.1, s__Microbacterium paraoxydans_C, 95.0, 85.48, 0.492; GCF_014171575.1, s__Microbacterium sp014171575, 95.0, 85.47, 0.465; GCF_040637855.1, s__Microbacterium sp040637855, 95.0, 85.35, 0.468; GCA_032099965.1, s__Microbacterium sp032099965, 95.0, 84.74, 0.257; GCF_018613995.1, s__Microbacterium sp018613995, 95.0, 84.42, 0.205; GCF_023091155.1, s__Microbacterium sufflavum, 95.0, 84.06, 0.388; GCF_036421035.1, s__Microbacterium paraoxydans_D, 95.0, 84.0, 0.392; GCF_019969685.1, s__Microbacterium sp019969685, 95.0, 83.88, 0.386; GCF_004794465.1, s__Microbacterium sp004794465, 95.0, 83.88, 0.38; GCF_019056515.1, s__Microbacterium sp001595495, 95.0, 83.83, 0.36; GCF_038397745.1, s__Microbacterium sp003075395, 95.0, 83.79, 0.369; GCF_036823965.1, s__Microbacterium sp036823965, 95.0, 83.74, 0.346; GCF_018224615.1, s__Microbacterium paraoxydans_B, 95.0, 83.73, 0.392; GCF_039533965.1, s__Microbacterium luteolum, 95.0, 83.68, 0.377; GCF_900105335.1, s__Microbacterium paraoxydans, 95.12, 83.64, 0.361; GCF_001866135.1, s__Microbacterium sp001866135, 95.0, 83.56, 0.381; GCF_031988965.1, s__Microbacterium sp031988965, 95.0, 83.52, 0.244; GCF_025143365.1, s__Microbacterium sp025143365, 95.0, 83.41, 0.337; GCF_017939615.1, s__Microbacterium sp017939615, 95.0, 83.37, 0.38; GCF_030816505.1, s__Microbacterium sp030816505, 95.0, 83.24, 0.327; GCF_904066215.1, s__Microbacterium sp002456035, 95.0, 83.21, 0.368; GCF_000956525.1, s__Microbacterium oxydans_A, 95.0, 83.2, 0.303; GCF_006716345.1, s__Microbacterium saperdae, 95.0, 83.14, 0.336; GCA_029203165.1, s__Microbacterium colombiense, 95.0, 83.11, 0.324; GCF_000967865.1, s__Microbacterium sp000967865, 95.0, 83.11, 0.309; GCF_023091225.1, s__Microbacterium galbinum, 95.0, 83.1, 0.281; GCF_008271365.1, s__Microbacterium sp008271365, 95.0, 82.99, 0.349; GCF_002848265.1, s__Microbacterium sp002848265, 95.0, 82.99, 0.34; GCF_023091245.1, s__Microbacterium croceum, 95.0, 82.95, 0.304; GCF_040675875.1, s__Microbacterium sp040675875, 95.0, 82.9, 0.311; GCF_001650405.1, s__Microbacterium sp001650405, 95.0, 82.8, 0.269; GCF_017876435.1, s__Microbacterium phyllosphaerae, 95.0, 82.74, 0.27; GCF_031885415.1, s__Microbacterium forte, 95.0, 82.72, 0.292; GCF_001426995.1, s__Microbacterium sp001426995, 95.0, 82.69, 0.285; GCA_037033365.1, s__Microbacterium sp037033365, 95.0, 82.64, 0.235; GCF_031843845.1, s__Microbacterium sp031843845, 95.0, 82.62, 0.278; GCF_002362255.1, s__Microbacterium sp002362255, 95.0, 82.6, 0.286; GCF_038397715.1, s__Microbacterium sp038397715, 95.0, 82.6, 0.259; GCF_031843745.1, s__Microbacterium sp031843745, 95.0, 82.58, 0.274; GCF_900105205.1, s__Microbacterium hydrocarbonoxydans, 95.0, 82.57, 0.276; GCF_040684875.1, s__Microbacterium sp040684875, 95.0, 82.56, 0.273; GCF_963521645.1, s__Microbacterium sp963521645, 95.0, 82.56, 0.255; GCF_001889265.1, s__Microbacterium sp001889265, 95.0, 82.53, 0.279; GCF_030407765.1, s__Microbacterium sp030407765, 95.0, 82.51, 0.275; GCF_001262495.1, s__Microbacterium sp001262495, 95.0, 82.5, 0.275; GCF_001423615.1, s__Microbacterium sp001423615, 95.0, 82.48, 0.276; GCA_037033305.1, s__Microbacterium sp037033305, 95.0, 82.47, 0.242; GCF_006385575.1, s__Microbacterium foliorum_B, 95.0, 82.43, 0.276; GCF_023715885.1, s__Microbacterium hydrocarbonoxydans_C, 95.0, 82.42, 0.273; GCF_041641055.1, s__Microbacterium sp041641055, 95.0, 82.42, 0.268; GCF_001049495.1, s__Microbacterium sp001049495, 95.0, 82.4, 0.282; GCF_022627955.1, s__Microbacterium sp022627955, 95.0, 82.4, 0.273; GCF_003367705.1, s__Microbacterium foliorum, 95.0, 82.38, 0.26; GCF_017355365.1, s__Microbacterium sp017355365, 95.0, 82.38, 0.253; GCA_029959905.1, s__Microbacterium sp029959905, 95.0, 82.32, 0.259; GCF_963528945.1, s__Microbacterium sp963528945, 95.0, 82.29, 0.257; GCF_007667425.1, s__Microbacterium sp007667425, 95.0, 82.27, 0.254; GCF_038397735.1, s__Microbacterium sp038397735, 95.0, 82.26, 0.272; GCF_039527915.1, s__Microbacterium natoriense, 95.0, 82.26, 0.269; GCF_963518515.1, s__Microbacterium sp963518515, 95.0, 82.18, 0.225; GCF_001423485.1, s__Microbacterium sp001423485, 95.0, 82.12, 0.266; GCA_040395495.1, s__Microbacterium hydrocarbonoxydans_D, 95.0, 82.1, 0.26; GCF_015354505.1, s__Microbacterium sp015354505, 95.0, 82.01, 0.239; GCF_011752045.1, s__Microbacterium sp001639925, 95.0, 82.0, 0.261; GCA_017744855.1, s__Microbacterium sp017744855, 95.0, 81.9, 0.223; GCF_001513675.1, s__Microbacterium sp001513675, 95.0, 81.77, 0.216; GCF_904831005.1, s__Microbacterium hydrocarbonoxydans_B, 95.0, 81.62, 0.226; GCF_030816295.1, s__Microbacterium natoriense_A, 95.0, 81.53, 0.207; GCF_002872075.1, s__Microbacterium aurantiacum_A, 95.0, 81.43, 0.207; GCF_003626735.1, s__Microbacterium sp003626735, 95.0, 81.42, 0.258; GCF_038397725.1, s__Microbacterium sp038397725, 95.0, 81.31, 0.221; GCF_000956475.1, s__Microbacterium hydrocarbonoxydans_A, 95.0, 81.13, 0.196; GCF_040687205.1, s__Microbacterium sp040687205, 95.0, 80.94, 0.193; GCF_031179285.1, s__Microbacterium sp031179285, 95.0, 80.81, 0.173; GCF_014205075.1, s__Microbacterium ginsengiterrae, 95.0, 80.39, 0.156; GCF_007988825.1, s__Microbacterium aerolatum, 95.0, 80.06, 0.15</t>
  </si>
  <si>
    <t>MAG</t>
  </si>
  <si>
    <t>MAG_t5</t>
  </si>
  <si>
    <t>2.6M</t>
  </si>
  <si>
    <t>MAG_t7</t>
  </si>
  <si>
    <t>6.4M</t>
  </si>
  <si>
    <t>MAG_T14</t>
  </si>
  <si>
    <t>Kaistia</t>
  </si>
  <si>
    <t>5.0M</t>
  </si>
  <si>
    <t>d__Bacteria;p__Pseudomonadota;c__Alphaproteobacteria;o__Rhizobiales;f__Kaistiaceae;g__Kaistia;s__Kaistia hirudinis</t>
  </si>
  <si>
    <t>March 6th 2026 Aedes aegpyti hatch with single isolate bacillus or comonanas species vs conventional. Pupae developed by day and overall outcomes on day 14</t>
  </si>
  <si>
    <t>Date</t>
  </si>
  <si>
    <t xml:space="preserve">14 Day Tally </t>
  </si>
  <si>
    <t>ID</t>
  </si>
  <si>
    <t>Condition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</si>
  <si>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</si>
  <si>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</si>
  <si>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</si>
  <si>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</si>
  <si>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</si>
  <si>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</si>
  <si>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</si>
  <si>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</si>
  <si>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</si>
  <si>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Total Larvae</t>
  </si>
  <si>
    <t>Adults</t>
  </si>
  <si>
    <t>DP</t>
  </si>
  <si>
    <t>DL</t>
  </si>
  <si>
    <t>L &gt; 14 d</t>
  </si>
  <si>
    <t>conventional</t>
  </si>
  <si>
    <t>dead pe</t>
  </si>
  <si>
    <t>dead larv</t>
  </si>
  <si>
    <t>still lafvae</t>
  </si>
  <si>
    <t>days</t>
  </si>
  <si>
    <t>C.acidovorans_g2</t>
  </si>
  <si>
    <t>C.testosteroni_h3</t>
  </si>
  <si>
    <t>C.acidovorans_t5</t>
  </si>
  <si>
    <t>B.cereus_t1</t>
  </si>
  <si>
    <t>B.thuringiensis_t3</t>
  </si>
  <si>
    <t>B.manliponensis_h1</t>
  </si>
  <si>
    <t>B.sp003400245_t2</t>
  </si>
  <si>
    <t>submission1_id2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</si>
</sst>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Border="1"/>
    <xf numFmtId="0" fontId="1" fillId="0" borderId="0" xfId="1" applyFont="1" applyFill="1"/>
    <xf numFmtId="0" fontId="3" fillId="0" borderId="0" xfId="1" applyFill="1"/>
    <xf numFmtId="0" fontId="0" fillId="0" borderId="0" xfId="0" applyAlignment="1">
      <alignment horizontal="center"/>
    </xf>
    <xf numFmtId="16" fontId="0" fillId="0" borderId="3" xfId="0" applyNumberFormat="1" applyBorder="1"/>
    <xf numFmtId="16" fontId="0" fillId="0" borderId="4" xfId="0" applyNumberFormat="1" applyBorder="1"/>
    <xf numFmtId="16" fontId="0" fillId="0" borderId="1" xfId="0" applyNumberFormat="1" applyBorder="1"/>
    <xf numFmtId="0" fontId="0" fillId="0" borderId="5" xfId="0" applyBorder="1"/>
    <xf numFmtId="1" fontId="0" fillId="0" borderId="6" xfId="0" applyNumberFormat="1" applyBorder="1"/>
    <xf numFmtId="1" fontId="0" fillId="0" borderId="7" xfId="0" applyNumberFormat="1" applyBorder="1"/>
    <xf numFmtId="16" fontId="0" fillId="0" borderId="8" xfId="0" applyNumberFormat="1" applyBorder="1"/>
    <xf numFmtId="0" fontId="0" fillId="0" borderId="8" xfId="0" applyBorder="1"/>
    <xf numFmtId="16" fontId="0" fillId="0" borderId="9" xfId="0" applyNumberFormat="1" applyBorder="1"/>
    <xf numFmtId="2" fontId="0" fillId="0" borderId="0" xfId="0" applyNumberFormat="1"/>
    <xf numFmtId="0" fontId="0" fillId="0" borderId="6" xfId="0" applyBorder="1"/>
    <xf numFmtId="0" fontId="0" fillId="0" borderId="10" xfId="0" applyBorder="1"/>
    <xf numFmtId="0" fontId="7" fillId="0" borderId="1" xfId="0" applyFont="1" applyBorder="1"/>
    <xf numFmtId="0" fontId="0" fillId="0" borderId="2" xfId="0" applyBorder="1"/>
    <xf numFmtId="0" fontId="0" fillId="0" borderId="11" xfId="0" applyBorder="1"/>
    <xf numFmtId="0" fontId="7" fillId="0" borderId="12" xfId="0" applyFont="1" applyBorder="1"/>
    <xf numFmtId="0" fontId="7" fillId="3" borderId="0" xfId="0" applyFont="1" applyFill="1"/>
    <xf numFmtId="0" fontId="8" fillId="3" borderId="0" xfId="0" applyFont="1" applyFill="1"/>
    <xf numFmtId="0" fontId="0" fillId="0" borderId="12" xfId="0" applyBorder="1"/>
    <xf numFmtId="0" fontId="0" fillId="5" borderId="1" xfId="0" applyFill="1" applyBorder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2EA5-1E8C-EE4B-9E08-F3E5445F5F61}">
  <dimension ref="A1:F13"/>
  <sheetViews>
    <sheetView tabSelected="1" workbookViewId="0">
      <selection activeCell="C10" sqref="C10"/>
    </sheetView>
  </sheetViews>
  <sheetFormatPr baseColWidth="10" defaultColWidth="11" defaultRowHeight="16" x14ac:dyDescent="0.2"/>
  <cols>
    <col min="3" max="3" width="21.1640625" customWidth="1"/>
    <col min="4" max="4" width="22.33203125" customWidth="1"/>
    <col min="5" max="5" width="17.1640625" customWidth="1"/>
  </cols>
  <sheetData>
    <row r="1" spans="1:6" x14ac:dyDescent="0.2">
      <c r="A1" s="1"/>
      <c r="B1" s="1"/>
      <c r="C1" s="38" t="s">
        <v>0</v>
      </c>
      <c r="D1" s="38"/>
      <c r="E1" s="38"/>
    </row>
    <row r="2" spans="1:6" x14ac:dyDescent="0.2">
      <c r="A2" s="1"/>
      <c r="B2" s="1"/>
      <c r="C2" s="1" t="s">
        <v>1</v>
      </c>
      <c r="D2" s="1" t="s">
        <v>2</v>
      </c>
      <c r="E2" s="1" t="s">
        <v>3</v>
      </c>
      <c r="F2" s="2" t="s">
        <v>4</v>
      </c>
    </row>
    <row r="3" spans="1:6" x14ac:dyDescent="0.2">
      <c r="A3" s="1"/>
      <c r="B3" s="1"/>
      <c r="C3" s="1" t="s">
        <v>5</v>
      </c>
      <c r="D3" s="1" t="s">
        <v>6</v>
      </c>
      <c r="E3" s="1" t="s">
        <v>7</v>
      </c>
    </row>
    <row r="4" spans="1:6" x14ac:dyDescent="0.2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6" x14ac:dyDescent="0.2">
      <c r="A5" s="37" t="s">
        <v>13</v>
      </c>
      <c r="B5" s="1" t="s">
        <v>14</v>
      </c>
      <c r="C5" s="1">
        <v>3.6998000000000002</v>
      </c>
      <c r="D5" s="1">
        <v>9.8270999999999997</v>
      </c>
      <c r="E5" s="1">
        <v>4.0423999999999998</v>
      </c>
    </row>
    <row r="6" spans="1:6" x14ac:dyDescent="0.2">
      <c r="A6" s="37"/>
      <c r="B6" s="1" t="s">
        <v>15</v>
      </c>
      <c r="C6" s="1">
        <v>3.3132999999999999</v>
      </c>
      <c r="D6" s="1">
        <v>7.5235000000000003</v>
      </c>
      <c r="E6" s="1">
        <v>3.2513999999999998</v>
      </c>
    </row>
    <row r="7" spans="1:6" x14ac:dyDescent="0.2">
      <c r="A7" s="37"/>
      <c r="B7" s="1" t="s">
        <v>16</v>
      </c>
      <c r="C7" s="1">
        <v>7.0571000000000002</v>
      </c>
      <c r="D7" s="1">
        <v>2.6880999999999999</v>
      </c>
      <c r="E7" s="1">
        <v>0.84970000000000001</v>
      </c>
    </row>
    <row r="8" spans="1:6" x14ac:dyDescent="0.2">
      <c r="A8" s="37" t="s">
        <v>17</v>
      </c>
      <c r="B8" s="1" t="s">
        <v>18</v>
      </c>
      <c r="C8" s="1">
        <v>5.9501999999999997</v>
      </c>
      <c r="D8" s="1">
        <v>11.5649</v>
      </c>
      <c r="E8" s="1">
        <v>2.4424999999999999</v>
      </c>
    </row>
    <row r="9" spans="1:6" x14ac:dyDescent="0.2">
      <c r="A9" s="37"/>
      <c r="B9" s="1" t="s">
        <v>19</v>
      </c>
      <c r="C9" s="1">
        <v>5.8928000000000003</v>
      </c>
      <c r="D9" s="1">
        <v>9.3541000000000007</v>
      </c>
      <c r="E9" s="1">
        <v>1.9065000000000001</v>
      </c>
    </row>
    <row r="10" spans="1:6" x14ac:dyDescent="0.2">
      <c r="A10" s="37"/>
      <c r="B10" s="1" t="s">
        <v>20</v>
      </c>
      <c r="C10" s="1">
        <v>4.5113000000000003</v>
      </c>
      <c r="D10" s="1">
        <v>2.6711</v>
      </c>
      <c r="E10" s="1">
        <v>0.52939999999999998</v>
      </c>
    </row>
    <row r="11" spans="1:6" x14ac:dyDescent="0.2">
      <c r="A11" s="37" t="s">
        <v>21</v>
      </c>
      <c r="B11" s="1" t="s">
        <v>22</v>
      </c>
      <c r="C11" s="1">
        <v>15.9893</v>
      </c>
      <c r="D11" s="1">
        <v>18.2225</v>
      </c>
      <c r="E11" s="1">
        <v>19.217500000000001</v>
      </c>
    </row>
    <row r="12" spans="1:6" x14ac:dyDescent="0.2">
      <c r="A12" s="37"/>
      <c r="B12" s="1" t="s">
        <v>23</v>
      </c>
      <c r="C12" s="1">
        <v>15.966100000000001</v>
      </c>
      <c r="D12" s="1">
        <v>16.242799999999999</v>
      </c>
      <c r="E12" s="1">
        <v>17.668800000000001</v>
      </c>
    </row>
    <row r="13" spans="1:6" x14ac:dyDescent="0.2">
      <c r="A13" s="37"/>
      <c r="B13" s="1" t="s">
        <v>24</v>
      </c>
      <c r="C13" s="1">
        <v>7.0098000000000003</v>
      </c>
      <c r="D13" s="1">
        <v>4.1826999999999996</v>
      </c>
      <c r="E13" s="1">
        <v>4.1273999999999997</v>
      </c>
    </row>
  </sheetData>
  <mergeCells count="4">
    <mergeCell ref="A5:A7"/>
    <mergeCell ref="A8:A10"/>
    <mergeCell ref="A11:A13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16D0-ED39-534B-AEE3-E1C4990F581B}">
  <dimension ref="A1:AF28"/>
  <sheetViews>
    <sheetView workbookViewId="0">
      <selection activeCell="L21" sqref="L21"/>
    </sheetView>
  </sheetViews>
  <sheetFormatPr baseColWidth="10" defaultRowHeight="16" x14ac:dyDescent="0.2"/>
  <sheetData>
    <row r="1" spans="1:32" x14ac:dyDescent="0.2">
      <c r="A1" s="3" t="s">
        <v>25</v>
      </c>
      <c r="B1" s="3" t="s">
        <v>26</v>
      </c>
      <c r="C1" s="4" t="s">
        <v>27</v>
      </c>
      <c r="D1" s="4" t="s">
        <v>368</v>
      </c>
      <c r="E1" s="5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</row>
    <row r="2" spans="1:32" x14ac:dyDescent="0.2">
      <c r="A2" s="3" t="s">
        <v>56</v>
      </c>
      <c r="B2" s="3" t="s">
        <v>57</v>
      </c>
      <c r="C2" s="6" t="s">
        <v>58</v>
      </c>
      <c r="D2" s="7" t="s">
        <v>59</v>
      </c>
      <c r="E2" s="8" t="s">
        <v>60</v>
      </c>
      <c r="F2" s="3" t="s">
        <v>61</v>
      </c>
      <c r="G2" s="1" t="s">
        <v>60</v>
      </c>
      <c r="H2" s="1" t="s">
        <v>62</v>
      </c>
      <c r="I2" s="3" t="s">
        <v>63</v>
      </c>
      <c r="J2" s="9" t="s">
        <v>64</v>
      </c>
      <c r="K2" s="10" t="s">
        <v>65</v>
      </c>
      <c r="L2" s="11" t="s">
        <v>66</v>
      </c>
      <c r="M2" s="11">
        <v>48857</v>
      </c>
      <c r="N2" s="9" t="s">
        <v>67</v>
      </c>
      <c r="O2" s="9" t="s">
        <v>68</v>
      </c>
      <c r="P2" s="9" t="s">
        <v>68</v>
      </c>
      <c r="Q2" s="9" t="s">
        <v>68</v>
      </c>
      <c r="R2" s="9" t="s">
        <v>68</v>
      </c>
      <c r="S2" s="9" t="s">
        <v>68</v>
      </c>
      <c r="T2" s="9" t="s">
        <v>68</v>
      </c>
      <c r="U2" s="9" t="s">
        <v>68</v>
      </c>
      <c r="V2" s="9" t="s">
        <v>68</v>
      </c>
      <c r="W2" s="9" t="s">
        <v>68</v>
      </c>
      <c r="X2" s="9" t="s">
        <v>68</v>
      </c>
      <c r="Y2" s="9" t="s">
        <v>67</v>
      </c>
      <c r="Z2" s="9" t="s">
        <v>69</v>
      </c>
      <c r="AA2" s="9" t="s">
        <v>70</v>
      </c>
      <c r="AB2" s="9" t="s">
        <v>71</v>
      </c>
      <c r="AC2" s="9">
        <v>98.35</v>
      </c>
      <c r="AD2" s="9">
        <v>11</v>
      </c>
      <c r="AE2" s="9">
        <v>0.98740000000000006</v>
      </c>
      <c r="AF2" s="9" t="s">
        <v>72</v>
      </c>
    </row>
    <row r="3" spans="1:32" x14ac:dyDescent="0.2">
      <c r="A3" s="3" t="s">
        <v>73</v>
      </c>
      <c r="B3" s="3" t="s">
        <v>74</v>
      </c>
      <c r="C3" s="6" t="s">
        <v>75</v>
      </c>
      <c r="D3" s="7" t="s">
        <v>76</v>
      </c>
      <c r="E3" s="8" t="s">
        <v>77</v>
      </c>
      <c r="F3" s="3" t="s">
        <v>61</v>
      </c>
      <c r="G3" s="1" t="s">
        <v>77</v>
      </c>
      <c r="H3" s="1" t="s">
        <v>62</v>
      </c>
      <c r="I3" s="3" t="s">
        <v>6</v>
      </c>
      <c r="J3" s="9" t="s">
        <v>78</v>
      </c>
      <c r="K3" s="10" t="s">
        <v>79</v>
      </c>
      <c r="L3" s="11" t="s">
        <v>80</v>
      </c>
      <c r="M3" s="11">
        <v>105498</v>
      </c>
      <c r="N3" s="9" t="s">
        <v>81</v>
      </c>
      <c r="O3" s="9" t="s">
        <v>82</v>
      </c>
      <c r="P3" s="9">
        <v>95.54</v>
      </c>
      <c r="Q3" s="9" t="s">
        <v>81</v>
      </c>
      <c r="R3" s="9">
        <v>97.87</v>
      </c>
      <c r="S3" s="9">
        <v>0.9</v>
      </c>
      <c r="T3" s="9" t="s">
        <v>82</v>
      </c>
      <c r="U3" s="9">
        <v>95.54</v>
      </c>
      <c r="V3" s="9" t="s">
        <v>81</v>
      </c>
      <c r="W3" s="9">
        <v>97.87</v>
      </c>
      <c r="X3" s="9">
        <v>0.9</v>
      </c>
      <c r="Y3" s="9" t="s">
        <v>83</v>
      </c>
      <c r="Z3" s="9" t="s">
        <v>69</v>
      </c>
      <c r="AA3" s="9" t="s">
        <v>84</v>
      </c>
      <c r="AB3" s="9" t="s">
        <v>85</v>
      </c>
      <c r="AC3" s="9">
        <v>97.7</v>
      </c>
      <c r="AD3" s="9">
        <v>11</v>
      </c>
      <c r="AE3" s="9" t="s">
        <v>68</v>
      </c>
      <c r="AF3" s="9" t="s">
        <v>68</v>
      </c>
    </row>
    <row r="4" spans="1:32" x14ac:dyDescent="0.2">
      <c r="A4" s="3" t="s">
        <v>86</v>
      </c>
      <c r="B4" s="3" t="s">
        <v>87</v>
      </c>
      <c r="C4" s="6" t="s">
        <v>88</v>
      </c>
      <c r="D4" s="7" t="s">
        <v>89</v>
      </c>
      <c r="E4" s="8" t="s">
        <v>90</v>
      </c>
      <c r="F4" s="3" t="s">
        <v>61</v>
      </c>
      <c r="G4" s="1" t="s">
        <v>90</v>
      </c>
      <c r="H4" s="1" t="s">
        <v>62</v>
      </c>
      <c r="I4" s="3" t="s">
        <v>91</v>
      </c>
      <c r="J4" s="9" t="s">
        <v>92</v>
      </c>
      <c r="K4" s="10" t="s">
        <v>93</v>
      </c>
      <c r="L4" s="11" t="s">
        <v>94</v>
      </c>
      <c r="M4" s="11">
        <v>80356</v>
      </c>
      <c r="N4" s="9" t="s">
        <v>95</v>
      </c>
      <c r="O4" s="9" t="s">
        <v>68</v>
      </c>
      <c r="P4" s="9" t="s">
        <v>68</v>
      </c>
      <c r="Q4" s="9" t="s">
        <v>68</v>
      </c>
      <c r="R4" s="9" t="s">
        <v>68</v>
      </c>
      <c r="S4" s="9" t="s">
        <v>68</v>
      </c>
      <c r="T4" s="9" t="s">
        <v>96</v>
      </c>
      <c r="U4" s="9">
        <v>95</v>
      </c>
      <c r="V4" s="9" t="s">
        <v>97</v>
      </c>
      <c r="W4" s="9">
        <v>86.03</v>
      </c>
      <c r="X4" s="9">
        <v>0.55200000000000005</v>
      </c>
      <c r="Y4" s="9" t="s">
        <v>95</v>
      </c>
      <c r="Z4" s="9" t="s">
        <v>69</v>
      </c>
      <c r="AA4" s="9" t="s">
        <v>70</v>
      </c>
      <c r="AB4" s="9" t="s">
        <v>98</v>
      </c>
      <c r="AC4" s="9">
        <v>97.95</v>
      </c>
      <c r="AD4" s="9">
        <v>11</v>
      </c>
      <c r="AE4" s="9">
        <v>0.99490999999999996</v>
      </c>
      <c r="AF4" s="9" t="s">
        <v>72</v>
      </c>
    </row>
    <row r="5" spans="1:32" x14ac:dyDescent="0.2">
      <c r="A5" s="3" t="s">
        <v>99</v>
      </c>
      <c r="B5" s="3" t="s">
        <v>100</v>
      </c>
      <c r="C5" s="6" t="s">
        <v>101</v>
      </c>
      <c r="D5" s="7" t="s">
        <v>102</v>
      </c>
      <c r="E5" s="8" t="s">
        <v>103</v>
      </c>
      <c r="F5" s="3" t="s">
        <v>61</v>
      </c>
      <c r="G5" s="1" t="s">
        <v>103</v>
      </c>
      <c r="H5" s="1" t="s">
        <v>104</v>
      </c>
      <c r="I5" s="3" t="s">
        <v>105</v>
      </c>
      <c r="J5" s="9" t="s">
        <v>106</v>
      </c>
      <c r="K5" s="10" t="s">
        <v>107</v>
      </c>
      <c r="L5" s="11" t="s">
        <v>108</v>
      </c>
      <c r="M5" s="11">
        <v>62917</v>
      </c>
      <c r="N5" s="9" t="s">
        <v>109</v>
      </c>
      <c r="O5" s="9" t="s">
        <v>110</v>
      </c>
      <c r="P5" s="9">
        <v>95</v>
      </c>
      <c r="Q5" s="9" t="s">
        <v>109</v>
      </c>
      <c r="R5" s="9">
        <v>98.7</v>
      </c>
      <c r="S5" s="9">
        <v>0.91900000000000004</v>
      </c>
      <c r="T5" s="9" t="s">
        <v>110</v>
      </c>
      <c r="U5" s="9">
        <v>95</v>
      </c>
      <c r="V5" s="9" t="s">
        <v>109</v>
      </c>
      <c r="W5" s="9">
        <v>98.7</v>
      </c>
      <c r="X5" s="9">
        <v>0.91900000000000004</v>
      </c>
      <c r="Y5" s="9" t="s">
        <v>111</v>
      </c>
      <c r="Z5" s="9" t="s">
        <v>69</v>
      </c>
      <c r="AA5" s="9" t="s">
        <v>84</v>
      </c>
      <c r="AB5" s="9" t="s">
        <v>112</v>
      </c>
      <c r="AC5" s="9">
        <v>95.55</v>
      </c>
      <c r="AD5" s="9">
        <v>11</v>
      </c>
      <c r="AE5" s="9" t="s">
        <v>68</v>
      </c>
      <c r="AF5" s="9" t="s">
        <v>68</v>
      </c>
    </row>
    <row r="6" spans="1:32" x14ac:dyDescent="0.2">
      <c r="A6" s="3" t="s">
        <v>113</v>
      </c>
      <c r="B6" s="3" t="s">
        <v>114</v>
      </c>
      <c r="C6" s="6" t="s">
        <v>115</v>
      </c>
      <c r="D6" s="7" t="s">
        <v>116</v>
      </c>
      <c r="E6" s="8" t="s">
        <v>117</v>
      </c>
      <c r="F6" s="3" t="s">
        <v>61</v>
      </c>
      <c r="G6" s="1" t="s">
        <v>117</v>
      </c>
      <c r="H6" s="1" t="s">
        <v>62</v>
      </c>
      <c r="I6" s="3" t="s">
        <v>118</v>
      </c>
      <c r="J6" s="9" t="s">
        <v>119</v>
      </c>
      <c r="K6" s="10" t="s">
        <v>120</v>
      </c>
      <c r="L6" s="11" t="s">
        <v>94</v>
      </c>
      <c r="M6" s="11">
        <v>95649</v>
      </c>
      <c r="N6" s="9" t="s">
        <v>121</v>
      </c>
      <c r="O6" s="9" t="s">
        <v>68</v>
      </c>
      <c r="P6" s="9" t="s">
        <v>68</v>
      </c>
      <c r="Q6" s="9" t="s">
        <v>68</v>
      </c>
      <c r="R6" s="9" t="s">
        <v>68</v>
      </c>
      <c r="S6" s="9" t="s">
        <v>68</v>
      </c>
      <c r="T6" s="9" t="s">
        <v>68</v>
      </c>
      <c r="U6" s="9" t="s">
        <v>68</v>
      </c>
      <c r="V6" s="9" t="s">
        <v>68</v>
      </c>
      <c r="W6" s="9" t="s">
        <v>68</v>
      </c>
      <c r="X6" s="9" t="s">
        <v>68</v>
      </c>
      <c r="Y6" s="9" t="s">
        <v>121</v>
      </c>
      <c r="Z6" s="9" t="s">
        <v>69</v>
      </c>
      <c r="AA6" s="9" t="s">
        <v>70</v>
      </c>
      <c r="AB6" s="9" t="s">
        <v>122</v>
      </c>
      <c r="AC6" s="9">
        <v>98.87</v>
      </c>
      <c r="AD6" s="9">
        <v>11</v>
      </c>
      <c r="AE6" s="9">
        <v>0.97841</v>
      </c>
      <c r="AF6" s="9" t="s">
        <v>72</v>
      </c>
    </row>
    <row r="7" spans="1:32" x14ac:dyDescent="0.2">
      <c r="A7" s="3" t="s">
        <v>123</v>
      </c>
      <c r="B7" s="3" t="s">
        <v>124</v>
      </c>
      <c r="C7" s="6" t="s">
        <v>125</v>
      </c>
      <c r="D7" s="7" t="s">
        <v>126</v>
      </c>
      <c r="E7" s="8" t="s">
        <v>127</v>
      </c>
      <c r="F7" s="3" t="s">
        <v>61</v>
      </c>
      <c r="G7" s="1" t="s">
        <v>127</v>
      </c>
      <c r="H7" s="1" t="s">
        <v>62</v>
      </c>
      <c r="I7" s="3" t="s">
        <v>128</v>
      </c>
      <c r="J7" s="9" t="s">
        <v>129</v>
      </c>
      <c r="K7" s="10" t="s">
        <v>130</v>
      </c>
      <c r="L7" s="11" t="s">
        <v>131</v>
      </c>
      <c r="M7" s="11">
        <v>89162</v>
      </c>
      <c r="N7" s="9" t="s">
        <v>132</v>
      </c>
      <c r="O7" s="9" t="s">
        <v>133</v>
      </c>
      <c r="P7" s="9">
        <v>95</v>
      </c>
      <c r="Q7" s="9" t="s">
        <v>132</v>
      </c>
      <c r="R7" s="9">
        <v>95.23</v>
      </c>
      <c r="S7" s="9">
        <v>0.78400000000000003</v>
      </c>
      <c r="T7" s="9" t="s">
        <v>133</v>
      </c>
      <c r="U7" s="9">
        <v>95</v>
      </c>
      <c r="V7" s="9" t="s">
        <v>132</v>
      </c>
      <c r="W7" s="9">
        <v>95.23</v>
      </c>
      <c r="X7" s="9">
        <v>0.78400000000000003</v>
      </c>
      <c r="Y7" s="9" t="s">
        <v>134</v>
      </c>
      <c r="Z7" s="9" t="s">
        <v>69</v>
      </c>
      <c r="AA7" s="9" t="s">
        <v>84</v>
      </c>
      <c r="AB7" s="9" t="s">
        <v>135</v>
      </c>
      <c r="AC7" s="9">
        <v>95.71</v>
      </c>
      <c r="AD7" s="9">
        <v>11</v>
      </c>
      <c r="AE7" s="9" t="s">
        <v>68</v>
      </c>
      <c r="AF7" s="9" t="s">
        <v>68</v>
      </c>
    </row>
    <row r="8" spans="1:32" x14ac:dyDescent="0.2">
      <c r="A8" s="3" t="s">
        <v>136</v>
      </c>
      <c r="B8" s="3" t="s">
        <v>137</v>
      </c>
      <c r="C8" s="6" t="s">
        <v>138</v>
      </c>
      <c r="D8" s="7" t="s">
        <v>139</v>
      </c>
      <c r="E8" s="8" t="s">
        <v>140</v>
      </c>
      <c r="F8" s="3" t="s">
        <v>61</v>
      </c>
      <c r="G8" s="1" t="s">
        <v>140</v>
      </c>
      <c r="H8" s="1" t="s">
        <v>62</v>
      </c>
      <c r="I8" s="3" t="s">
        <v>141</v>
      </c>
      <c r="J8" s="9" t="s">
        <v>142</v>
      </c>
      <c r="K8" s="10" t="s">
        <v>143</v>
      </c>
      <c r="L8" s="11" t="s">
        <v>144</v>
      </c>
      <c r="M8" s="11">
        <v>77547</v>
      </c>
      <c r="N8" s="9" t="s">
        <v>145</v>
      </c>
      <c r="O8" s="9" t="s">
        <v>146</v>
      </c>
      <c r="P8" s="9">
        <v>95</v>
      </c>
      <c r="Q8" s="9" t="s">
        <v>145</v>
      </c>
      <c r="R8" s="9">
        <v>95.31</v>
      </c>
      <c r="S8" s="9">
        <v>0.86499999999999999</v>
      </c>
      <c r="T8" s="9" t="s">
        <v>146</v>
      </c>
      <c r="U8" s="9">
        <v>95</v>
      </c>
      <c r="V8" s="9" t="s">
        <v>145</v>
      </c>
      <c r="W8" s="9">
        <v>95.31</v>
      </c>
      <c r="X8" s="9">
        <v>0.86499999999999999</v>
      </c>
      <c r="Y8" s="9" t="s">
        <v>147</v>
      </c>
      <c r="Z8" s="9" t="s">
        <v>69</v>
      </c>
      <c r="AA8" s="9" t="s">
        <v>84</v>
      </c>
      <c r="AB8" s="9" t="s">
        <v>148</v>
      </c>
      <c r="AC8" s="9">
        <v>98.43</v>
      </c>
      <c r="AD8" s="9">
        <v>11</v>
      </c>
      <c r="AE8" s="9" t="s">
        <v>68</v>
      </c>
      <c r="AF8" s="9" t="s">
        <v>68</v>
      </c>
    </row>
    <row r="9" spans="1:32" x14ac:dyDescent="0.2">
      <c r="A9" s="3" t="s">
        <v>149</v>
      </c>
      <c r="B9" s="3" t="s">
        <v>150</v>
      </c>
      <c r="C9" s="6" t="s">
        <v>151</v>
      </c>
      <c r="D9" s="7" t="s">
        <v>152</v>
      </c>
      <c r="E9" s="8" t="s">
        <v>153</v>
      </c>
      <c r="F9" s="3" t="s">
        <v>61</v>
      </c>
      <c r="G9" s="1" t="s">
        <v>153</v>
      </c>
      <c r="H9" s="1" t="s">
        <v>62</v>
      </c>
      <c r="I9" s="3" t="s">
        <v>154</v>
      </c>
      <c r="J9" s="9" t="s">
        <v>155</v>
      </c>
      <c r="K9" s="10" t="s">
        <v>156</v>
      </c>
      <c r="L9" s="11" t="s">
        <v>157</v>
      </c>
      <c r="M9" s="11">
        <v>68261</v>
      </c>
      <c r="N9" s="9" t="s">
        <v>147</v>
      </c>
      <c r="O9" s="9" t="s">
        <v>68</v>
      </c>
      <c r="P9" s="9" t="s">
        <v>68</v>
      </c>
      <c r="Q9" s="9" t="s">
        <v>68</v>
      </c>
      <c r="R9" s="9" t="s">
        <v>68</v>
      </c>
      <c r="S9" s="9" t="s">
        <v>68</v>
      </c>
      <c r="T9" s="9" t="s">
        <v>68</v>
      </c>
      <c r="U9" s="9" t="s">
        <v>68</v>
      </c>
      <c r="V9" s="9" t="s">
        <v>68</v>
      </c>
      <c r="W9" s="9" t="s">
        <v>68</v>
      </c>
      <c r="X9" s="9" t="s">
        <v>68</v>
      </c>
      <c r="Y9" s="9" t="s">
        <v>147</v>
      </c>
      <c r="Z9" s="9" t="s">
        <v>69</v>
      </c>
      <c r="AA9" s="9" t="s">
        <v>70</v>
      </c>
      <c r="AB9" s="9" t="s">
        <v>158</v>
      </c>
      <c r="AC9" s="9">
        <v>98.37</v>
      </c>
      <c r="AD9" s="9">
        <v>11</v>
      </c>
      <c r="AE9" s="9">
        <v>0.99353000000000002</v>
      </c>
      <c r="AF9" s="9" t="s">
        <v>72</v>
      </c>
    </row>
    <row r="10" spans="1:32" x14ac:dyDescent="0.2">
      <c r="A10" s="3" t="s">
        <v>159</v>
      </c>
      <c r="B10" s="3" t="s">
        <v>160</v>
      </c>
      <c r="C10" s="6" t="s">
        <v>161</v>
      </c>
      <c r="D10" s="7" t="s">
        <v>162</v>
      </c>
      <c r="E10" s="8" t="s">
        <v>163</v>
      </c>
      <c r="F10" s="3" t="s">
        <v>164</v>
      </c>
      <c r="G10" s="1" t="s">
        <v>163</v>
      </c>
      <c r="H10" s="1" t="s">
        <v>62</v>
      </c>
      <c r="I10" s="3" t="s">
        <v>165</v>
      </c>
      <c r="J10" s="9" t="s">
        <v>166</v>
      </c>
      <c r="K10" s="10" t="s">
        <v>167</v>
      </c>
      <c r="L10" s="11" t="s">
        <v>168</v>
      </c>
      <c r="M10" s="11">
        <v>73679</v>
      </c>
      <c r="N10" s="9" t="s">
        <v>169</v>
      </c>
      <c r="O10" s="9" t="s">
        <v>170</v>
      </c>
      <c r="P10" s="9">
        <v>95</v>
      </c>
      <c r="Q10" s="9" t="s">
        <v>169</v>
      </c>
      <c r="R10" s="9">
        <v>99.1</v>
      </c>
      <c r="S10" s="9">
        <v>0.91100000000000003</v>
      </c>
      <c r="T10" s="9" t="s">
        <v>170</v>
      </c>
      <c r="U10" s="9">
        <v>95</v>
      </c>
      <c r="V10" s="9" t="s">
        <v>169</v>
      </c>
      <c r="W10" s="9">
        <v>99.1</v>
      </c>
      <c r="X10" s="9">
        <v>0.91100000000000003</v>
      </c>
      <c r="Y10" s="9" t="s">
        <v>171</v>
      </c>
      <c r="Z10" s="9" t="s">
        <v>69</v>
      </c>
      <c r="AA10" s="9" t="s">
        <v>84</v>
      </c>
      <c r="AB10" s="9" t="s">
        <v>68</v>
      </c>
      <c r="AC10" s="9">
        <v>90.45</v>
      </c>
      <c r="AD10" s="9">
        <v>11</v>
      </c>
      <c r="AE10" s="9" t="s">
        <v>68</v>
      </c>
      <c r="AF10" s="9" t="s">
        <v>68</v>
      </c>
    </row>
    <row r="11" spans="1:32" x14ac:dyDescent="0.2">
      <c r="A11" s="3" t="s">
        <v>172</v>
      </c>
      <c r="B11" s="3" t="s">
        <v>173</v>
      </c>
      <c r="C11" s="6" t="s">
        <v>174</v>
      </c>
      <c r="D11" s="7" t="s">
        <v>175</v>
      </c>
      <c r="E11" s="8" t="s">
        <v>176</v>
      </c>
      <c r="F11" s="3" t="s">
        <v>164</v>
      </c>
      <c r="G11" s="1" t="s">
        <v>176</v>
      </c>
      <c r="H11" s="1" t="s">
        <v>62</v>
      </c>
      <c r="I11" s="3" t="s">
        <v>177</v>
      </c>
      <c r="J11" s="9" t="s">
        <v>178</v>
      </c>
      <c r="K11" s="10" t="s">
        <v>120</v>
      </c>
      <c r="L11" s="11" t="s">
        <v>179</v>
      </c>
      <c r="M11" s="11">
        <v>71919</v>
      </c>
      <c r="N11" s="9" t="s">
        <v>180</v>
      </c>
      <c r="O11" s="9" t="s">
        <v>181</v>
      </c>
      <c r="P11" s="9">
        <v>95</v>
      </c>
      <c r="Q11" s="9" t="s">
        <v>180</v>
      </c>
      <c r="R11" s="9">
        <v>98.9</v>
      </c>
      <c r="S11" s="9">
        <v>0.89900000000000002</v>
      </c>
      <c r="T11" s="9" t="s">
        <v>181</v>
      </c>
      <c r="U11" s="9">
        <v>95</v>
      </c>
      <c r="V11" s="9" t="s">
        <v>180</v>
      </c>
      <c r="W11" s="9">
        <v>98.9</v>
      </c>
      <c r="X11" s="9">
        <v>0.89900000000000002</v>
      </c>
      <c r="Y11" s="9" t="s">
        <v>182</v>
      </c>
      <c r="Z11" s="9" t="s">
        <v>69</v>
      </c>
      <c r="AA11" s="9" t="s">
        <v>84</v>
      </c>
      <c r="AB11" s="9" t="s">
        <v>183</v>
      </c>
      <c r="AC11" s="9">
        <v>96.92</v>
      </c>
      <c r="AD11" s="9">
        <v>11</v>
      </c>
      <c r="AE11" s="9" t="s">
        <v>68</v>
      </c>
      <c r="AF11" s="9" t="s">
        <v>68</v>
      </c>
    </row>
    <row r="12" spans="1:32" x14ac:dyDescent="0.2">
      <c r="A12" s="3" t="s">
        <v>184</v>
      </c>
      <c r="B12" s="3" t="s">
        <v>185</v>
      </c>
      <c r="C12" s="6" t="s">
        <v>186</v>
      </c>
      <c r="D12" s="7" t="s">
        <v>187</v>
      </c>
      <c r="E12" s="8" t="s">
        <v>188</v>
      </c>
      <c r="F12" s="3" t="s">
        <v>164</v>
      </c>
      <c r="G12" s="1" t="s">
        <v>188</v>
      </c>
      <c r="H12" s="1" t="s">
        <v>62</v>
      </c>
      <c r="I12" s="3" t="s">
        <v>189</v>
      </c>
      <c r="J12" s="9" t="s">
        <v>78</v>
      </c>
      <c r="K12" s="10" t="s">
        <v>156</v>
      </c>
      <c r="L12" s="11" t="s">
        <v>190</v>
      </c>
      <c r="M12" s="11">
        <v>91387</v>
      </c>
      <c r="N12" s="9" t="s">
        <v>191</v>
      </c>
      <c r="O12" s="9" t="s">
        <v>192</v>
      </c>
      <c r="P12" s="9">
        <v>95</v>
      </c>
      <c r="Q12" s="9" t="s">
        <v>191</v>
      </c>
      <c r="R12" s="9">
        <v>98.81</v>
      </c>
      <c r="S12" s="9">
        <v>0.91200000000000003</v>
      </c>
      <c r="T12" s="9" t="s">
        <v>192</v>
      </c>
      <c r="U12" s="9">
        <v>95</v>
      </c>
      <c r="V12" s="9" t="s">
        <v>191</v>
      </c>
      <c r="W12" s="9">
        <v>98.81</v>
      </c>
      <c r="X12" s="9">
        <v>0.91200000000000003</v>
      </c>
      <c r="Y12" s="9" t="s">
        <v>83</v>
      </c>
      <c r="Z12" s="9" t="s">
        <v>69</v>
      </c>
      <c r="AA12" s="9" t="s">
        <v>84</v>
      </c>
      <c r="AB12" s="9" t="s">
        <v>193</v>
      </c>
      <c r="AC12" s="9">
        <v>98.73</v>
      </c>
      <c r="AD12" s="9">
        <v>11</v>
      </c>
      <c r="AE12" s="9" t="s">
        <v>68</v>
      </c>
      <c r="AF12" s="9" t="s">
        <v>68</v>
      </c>
    </row>
    <row r="13" spans="1:32" x14ac:dyDescent="0.2">
      <c r="A13" s="3" t="s">
        <v>194</v>
      </c>
      <c r="B13" s="3" t="s">
        <v>195</v>
      </c>
      <c r="C13" s="6" t="s">
        <v>196</v>
      </c>
      <c r="D13" s="7" t="s">
        <v>197</v>
      </c>
      <c r="E13" s="8" t="s">
        <v>198</v>
      </c>
      <c r="F13" s="3" t="s">
        <v>164</v>
      </c>
      <c r="G13" s="1" t="s">
        <v>198</v>
      </c>
      <c r="H13" s="1" t="s">
        <v>62</v>
      </c>
      <c r="I13" s="3" t="s">
        <v>199</v>
      </c>
      <c r="J13" s="9" t="s">
        <v>200</v>
      </c>
      <c r="K13" s="10" t="s">
        <v>201</v>
      </c>
      <c r="L13" s="11" t="s">
        <v>144</v>
      </c>
      <c r="M13" s="11">
        <v>78518</v>
      </c>
      <c r="N13" s="9" t="s">
        <v>202</v>
      </c>
      <c r="O13" s="9" t="s">
        <v>203</v>
      </c>
      <c r="P13" s="9">
        <v>95</v>
      </c>
      <c r="Q13" s="9" t="s">
        <v>202</v>
      </c>
      <c r="R13" s="9">
        <v>99.36</v>
      </c>
      <c r="S13" s="9">
        <v>0.92900000000000005</v>
      </c>
      <c r="T13" s="9" t="s">
        <v>203</v>
      </c>
      <c r="U13" s="9">
        <v>95</v>
      </c>
      <c r="V13" s="9" t="s">
        <v>202</v>
      </c>
      <c r="W13" s="9">
        <v>99.36</v>
      </c>
      <c r="X13" s="9">
        <v>0.92900000000000005</v>
      </c>
      <c r="Y13" s="9" t="s">
        <v>204</v>
      </c>
      <c r="Z13" s="9" t="s">
        <v>69</v>
      </c>
      <c r="AA13" s="9" t="s">
        <v>84</v>
      </c>
      <c r="AB13" s="9" t="s">
        <v>205</v>
      </c>
      <c r="AC13" s="9">
        <v>94.52</v>
      </c>
      <c r="AD13" s="9">
        <v>11</v>
      </c>
      <c r="AE13" s="9" t="s">
        <v>68</v>
      </c>
      <c r="AF13" s="9" t="s">
        <v>68</v>
      </c>
    </row>
    <row r="14" spans="1:32" x14ac:dyDescent="0.2">
      <c r="A14" s="3" t="s">
        <v>206</v>
      </c>
      <c r="B14" s="3" t="s">
        <v>207</v>
      </c>
      <c r="C14" s="6" t="s">
        <v>208</v>
      </c>
      <c r="D14" s="7" t="s">
        <v>209</v>
      </c>
      <c r="E14" s="8" t="s">
        <v>210</v>
      </c>
      <c r="F14" s="3" t="s">
        <v>164</v>
      </c>
      <c r="G14" s="1" t="s">
        <v>210</v>
      </c>
      <c r="H14" s="1" t="s">
        <v>62</v>
      </c>
      <c r="I14" s="3" t="s">
        <v>199</v>
      </c>
      <c r="J14" s="9" t="s">
        <v>200</v>
      </c>
      <c r="K14" s="10" t="s">
        <v>167</v>
      </c>
      <c r="L14" s="11" t="s">
        <v>211</v>
      </c>
      <c r="M14" s="11">
        <v>75184</v>
      </c>
      <c r="N14" s="9" t="s">
        <v>202</v>
      </c>
      <c r="O14" s="9" t="s">
        <v>203</v>
      </c>
      <c r="P14" s="9">
        <v>95</v>
      </c>
      <c r="Q14" s="9" t="s">
        <v>202</v>
      </c>
      <c r="R14" s="9">
        <v>99.5</v>
      </c>
      <c r="S14" s="9">
        <v>0.94099999999999995</v>
      </c>
      <c r="T14" s="9" t="s">
        <v>203</v>
      </c>
      <c r="U14" s="9">
        <v>95</v>
      </c>
      <c r="V14" s="9" t="s">
        <v>202</v>
      </c>
      <c r="W14" s="9">
        <v>99.5</v>
      </c>
      <c r="X14" s="9">
        <v>0.94099999999999995</v>
      </c>
      <c r="Y14" s="9" t="s">
        <v>204</v>
      </c>
      <c r="Z14" s="9" t="s">
        <v>69</v>
      </c>
      <c r="AA14" s="9" t="s">
        <v>84</v>
      </c>
      <c r="AB14" s="9" t="s">
        <v>212</v>
      </c>
      <c r="AC14" s="9">
        <v>94.52</v>
      </c>
      <c r="AD14" s="9">
        <v>11</v>
      </c>
      <c r="AE14" s="9" t="s">
        <v>68</v>
      </c>
      <c r="AF14" s="9" t="s">
        <v>68</v>
      </c>
    </row>
    <row r="15" spans="1:32" x14ac:dyDescent="0.2">
      <c r="A15" s="3" t="s">
        <v>213</v>
      </c>
      <c r="B15" s="3" t="s">
        <v>214</v>
      </c>
      <c r="C15" s="6" t="s">
        <v>215</v>
      </c>
      <c r="D15" s="7" t="s">
        <v>216</v>
      </c>
      <c r="E15" s="8" t="s">
        <v>217</v>
      </c>
      <c r="F15" s="3" t="s">
        <v>164</v>
      </c>
      <c r="G15" s="1" t="s">
        <v>217</v>
      </c>
      <c r="H15" s="1" t="s">
        <v>62</v>
      </c>
      <c r="I15" s="3" t="s">
        <v>218</v>
      </c>
      <c r="J15" s="9" t="s">
        <v>219</v>
      </c>
      <c r="K15" s="10" t="s">
        <v>220</v>
      </c>
      <c r="L15" s="11" t="s">
        <v>221</v>
      </c>
      <c r="M15" s="11">
        <v>118233</v>
      </c>
      <c r="N15" s="9" t="s">
        <v>222</v>
      </c>
      <c r="O15" s="9" t="s">
        <v>223</v>
      </c>
      <c r="P15" s="9">
        <v>95</v>
      </c>
      <c r="Q15" s="9" t="s">
        <v>222</v>
      </c>
      <c r="R15" s="9">
        <v>98.12</v>
      </c>
      <c r="S15" s="9">
        <v>0.91100000000000003</v>
      </c>
      <c r="T15" s="9" t="s">
        <v>223</v>
      </c>
      <c r="U15" s="9">
        <v>95</v>
      </c>
      <c r="V15" s="9" t="s">
        <v>222</v>
      </c>
      <c r="W15" s="9">
        <v>98.12</v>
      </c>
      <c r="X15" s="9">
        <v>0.91100000000000003</v>
      </c>
      <c r="Y15" s="9" t="s">
        <v>224</v>
      </c>
      <c r="Z15" s="9" t="s">
        <v>69</v>
      </c>
      <c r="AA15" s="9" t="s">
        <v>84</v>
      </c>
      <c r="AB15" s="9" t="s">
        <v>225</v>
      </c>
      <c r="AC15" s="9">
        <v>89.22</v>
      </c>
      <c r="AD15" s="9">
        <v>11</v>
      </c>
      <c r="AE15" s="9" t="s">
        <v>68</v>
      </c>
      <c r="AF15" s="9" t="s">
        <v>68</v>
      </c>
    </row>
    <row r="16" spans="1:32" x14ac:dyDescent="0.2">
      <c r="A16" s="3" t="s">
        <v>226</v>
      </c>
      <c r="B16" s="3" t="s">
        <v>227</v>
      </c>
      <c r="C16" s="6" t="s">
        <v>228</v>
      </c>
      <c r="D16" s="7" t="s">
        <v>229</v>
      </c>
      <c r="E16" s="8" t="s">
        <v>230</v>
      </c>
      <c r="F16" s="3" t="s">
        <v>164</v>
      </c>
      <c r="G16" s="1" t="s">
        <v>230</v>
      </c>
      <c r="H16" s="1" t="s">
        <v>62</v>
      </c>
      <c r="I16" s="3" t="s">
        <v>231</v>
      </c>
      <c r="J16" s="9" t="s">
        <v>232</v>
      </c>
      <c r="K16" s="10" t="s">
        <v>233</v>
      </c>
      <c r="L16" s="11" t="s">
        <v>179</v>
      </c>
      <c r="M16" s="11">
        <v>72089</v>
      </c>
      <c r="N16" s="9" t="s">
        <v>234</v>
      </c>
      <c r="O16" s="9" t="s">
        <v>235</v>
      </c>
      <c r="P16" s="9">
        <v>95</v>
      </c>
      <c r="Q16" s="9" t="s">
        <v>234</v>
      </c>
      <c r="R16" s="9">
        <v>98.39</v>
      </c>
      <c r="S16" s="9">
        <v>0.93899999999999995</v>
      </c>
      <c r="T16" s="9" t="s">
        <v>235</v>
      </c>
      <c r="U16" s="9">
        <v>95</v>
      </c>
      <c r="V16" s="9" t="s">
        <v>234</v>
      </c>
      <c r="W16" s="9">
        <v>98.39</v>
      </c>
      <c r="X16" s="9">
        <v>0.93899999999999995</v>
      </c>
      <c r="Y16" s="9" t="s">
        <v>236</v>
      </c>
      <c r="Z16" s="9" t="s">
        <v>69</v>
      </c>
      <c r="AA16" s="9" t="s">
        <v>84</v>
      </c>
      <c r="AB16" s="9" t="s">
        <v>237</v>
      </c>
      <c r="AC16" s="9">
        <v>92.02</v>
      </c>
      <c r="AD16" s="9">
        <v>11</v>
      </c>
      <c r="AE16" s="9" t="s">
        <v>68</v>
      </c>
      <c r="AF16" s="9" t="s">
        <v>68</v>
      </c>
    </row>
    <row r="17" spans="1:32" x14ac:dyDescent="0.2">
      <c r="A17" s="3" t="s">
        <v>238</v>
      </c>
      <c r="B17" s="3" t="s">
        <v>239</v>
      </c>
      <c r="C17" s="6" t="s">
        <v>240</v>
      </c>
      <c r="D17" s="7" t="s">
        <v>241</v>
      </c>
      <c r="E17" s="8" t="s">
        <v>242</v>
      </c>
      <c r="F17" s="3" t="s">
        <v>164</v>
      </c>
      <c r="G17" s="1" t="s">
        <v>242</v>
      </c>
      <c r="H17" s="1" t="s">
        <v>62</v>
      </c>
      <c r="I17" s="3" t="s">
        <v>243</v>
      </c>
      <c r="J17" s="9" t="s">
        <v>244</v>
      </c>
      <c r="K17" s="10" t="s">
        <v>245</v>
      </c>
      <c r="L17" s="11" t="s">
        <v>246</v>
      </c>
      <c r="M17" s="11">
        <v>89574</v>
      </c>
      <c r="N17" s="9" t="s">
        <v>247</v>
      </c>
      <c r="O17" s="9" t="s">
        <v>248</v>
      </c>
      <c r="P17" s="9">
        <v>95</v>
      </c>
      <c r="Q17" s="9" t="s">
        <v>247</v>
      </c>
      <c r="R17" s="9">
        <v>97.78</v>
      </c>
      <c r="S17" s="9">
        <v>0.80100000000000005</v>
      </c>
      <c r="T17" s="9" t="s">
        <v>248</v>
      </c>
      <c r="U17" s="9">
        <v>95</v>
      </c>
      <c r="V17" s="9" t="s">
        <v>247</v>
      </c>
      <c r="W17" s="9">
        <v>97.78</v>
      </c>
      <c r="X17" s="9">
        <v>0.80100000000000005</v>
      </c>
      <c r="Y17" s="9" t="s">
        <v>249</v>
      </c>
      <c r="Z17" s="9" t="s">
        <v>69</v>
      </c>
      <c r="AA17" s="9" t="s">
        <v>84</v>
      </c>
      <c r="AB17" s="9" t="s">
        <v>250</v>
      </c>
      <c r="AC17" s="9">
        <v>98.67</v>
      </c>
      <c r="AD17" s="9">
        <v>11</v>
      </c>
      <c r="AE17" s="9" t="s">
        <v>68</v>
      </c>
      <c r="AF17" s="9" t="s">
        <v>68</v>
      </c>
    </row>
    <row r="18" spans="1:32" x14ac:dyDescent="0.2">
      <c r="A18" s="3" t="s">
        <v>251</v>
      </c>
      <c r="B18" s="3" t="s">
        <v>252</v>
      </c>
      <c r="C18" s="6" t="s">
        <v>253</v>
      </c>
      <c r="D18" s="7" t="s">
        <v>254</v>
      </c>
      <c r="E18" s="8" t="s">
        <v>255</v>
      </c>
      <c r="F18" s="3" t="s">
        <v>256</v>
      </c>
      <c r="G18" s="1" t="s">
        <v>255</v>
      </c>
      <c r="H18" s="1" t="s">
        <v>62</v>
      </c>
      <c r="I18" s="13" t="s">
        <v>257</v>
      </c>
      <c r="J18" s="14" t="s">
        <v>166</v>
      </c>
      <c r="K18" s="10" t="s">
        <v>79</v>
      </c>
      <c r="L18" s="11" t="s">
        <v>258</v>
      </c>
      <c r="M18" s="11">
        <v>99984</v>
      </c>
      <c r="N18" s="14" t="s">
        <v>259</v>
      </c>
      <c r="O18" s="9" t="s">
        <v>260</v>
      </c>
      <c r="P18" s="9">
        <v>95</v>
      </c>
      <c r="Q18" s="9" t="s">
        <v>259</v>
      </c>
      <c r="R18" s="9">
        <v>96.94</v>
      </c>
      <c r="S18" s="9">
        <v>0.872</v>
      </c>
      <c r="T18" s="9" t="s">
        <v>68</v>
      </c>
      <c r="U18" s="9" t="s">
        <v>68</v>
      </c>
      <c r="V18" s="9" t="s">
        <v>68</v>
      </c>
      <c r="W18" s="9" t="s">
        <v>68</v>
      </c>
      <c r="X18" s="9" t="s">
        <v>68</v>
      </c>
      <c r="Y18" s="9" t="s">
        <v>171</v>
      </c>
      <c r="Z18" s="9" t="s">
        <v>69</v>
      </c>
      <c r="AA18" s="9" t="s">
        <v>261</v>
      </c>
      <c r="AB18" s="9" t="s">
        <v>262</v>
      </c>
      <c r="AC18" s="9">
        <v>91.26</v>
      </c>
      <c r="AD18" s="9">
        <v>11</v>
      </c>
      <c r="AE18" s="9" t="s">
        <v>68</v>
      </c>
      <c r="AF18" s="9" t="s">
        <v>68</v>
      </c>
    </row>
    <row r="19" spans="1:32" x14ac:dyDescent="0.2">
      <c r="A19" s="3" t="s">
        <v>263</v>
      </c>
      <c r="B19" s="3" t="s">
        <v>264</v>
      </c>
      <c r="C19" s="6" t="s">
        <v>265</v>
      </c>
      <c r="D19" s="7" t="s">
        <v>266</v>
      </c>
      <c r="E19" s="8" t="s">
        <v>267</v>
      </c>
      <c r="F19" s="3" t="s">
        <v>256</v>
      </c>
      <c r="G19" s="1" t="s">
        <v>267</v>
      </c>
      <c r="H19" s="1" t="s">
        <v>62</v>
      </c>
      <c r="I19" s="13" t="s">
        <v>5</v>
      </c>
      <c r="J19" s="14" t="s">
        <v>166</v>
      </c>
      <c r="K19" s="10" t="s">
        <v>156</v>
      </c>
      <c r="L19" s="11" t="s">
        <v>258</v>
      </c>
      <c r="M19" s="11">
        <v>101077</v>
      </c>
      <c r="N19" s="14" t="s">
        <v>268</v>
      </c>
      <c r="O19" s="9" t="s">
        <v>269</v>
      </c>
      <c r="P19" s="9">
        <v>95</v>
      </c>
      <c r="Q19" s="9" t="s">
        <v>268</v>
      </c>
      <c r="R19" s="9">
        <v>99.02</v>
      </c>
      <c r="S19" s="9">
        <v>0.92800000000000005</v>
      </c>
      <c r="T19" s="9" t="s">
        <v>269</v>
      </c>
      <c r="U19" s="9">
        <v>95</v>
      </c>
      <c r="V19" s="9" t="s">
        <v>268</v>
      </c>
      <c r="W19" s="9">
        <v>99.02</v>
      </c>
      <c r="X19" s="9">
        <v>0.92800000000000005</v>
      </c>
      <c r="Y19" s="9" t="s">
        <v>171</v>
      </c>
      <c r="Z19" s="9" t="s">
        <v>69</v>
      </c>
      <c r="AA19" s="9" t="s">
        <v>84</v>
      </c>
      <c r="AB19" s="9" t="s">
        <v>270</v>
      </c>
      <c r="AC19" s="9">
        <v>87.93</v>
      </c>
      <c r="AD19" s="9">
        <v>11</v>
      </c>
      <c r="AE19" s="9" t="s">
        <v>68</v>
      </c>
      <c r="AF19" s="9" t="s">
        <v>271</v>
      </c>
    </row>
    <row r="20" spans="1:32" x14ac:dyDescent="0.2">
      <c r="A20" s="3" t="s">
        <v>272</v>
      </c>
      <c r="B20" s="3" t="s">
        <v>273</v>
      </c>
      <c r="C20" s="6" t="s">
        <v>274</v>
      </c>
      <c r="D20" s="7" t="s">
        <v>275</v>
      </c>
      <c r="E20" s="8" t="s">
        <v>276</v>
      </c>
      <c r="F20" s="3" t="s">
        <v>256</v>
      </c>
      <c r="G20" s="1" t="s">
        <v>276</v>
      </c>
      <c r="H20" s="1" t="s">
        <v>62</v>
      </c>
      <c r="I20" s="13" t="s">
        <v>277</v>
      </c>
      <c r="J20" s="14" t="s">
        <v>166</v>
      </c>
      <c r="K20" s="10" t="s">
        <v>278</v>
      </c>
      <c r="L20" s="11" t="s">
        <v>258</v>
      </c>
      <c r="M20" s="11">
        <v>101178</v>
      </c>
      <c r="N20" s="14" t="s">
        <v>279</v>
      </c>
      <c r="O20" s="9" t="s">
        <v>280</v>
      </c>
      <c r="P20" s="9">
        <v>96.46</v>
      </c>
      <c r="Q20" s="9" t="s">
        <v>279</v>
      </c>
      <c r="R20" s="9">
        <v>97.16</v>
      </c>
      <c r="S20" s="9">
        <v>0.86199999999999999</v>
      </c>
      <c r="T20" s="9" t="s">
        <v>68</v>
      </c>
      <c r="U20" s="9" t="s">
        <v>68</v>
      </c>
      <c r="V20" s="9" t="s">
        <v>68</v>
      </c>
      <c r="W20" s="9" t="s">
        <v>68</v>
      </c>
      <c r="X20" s="9" t="s">
        <v>68</v>
      </c>
      <c r="Y20" s="9" t="s">
        <v>171</v>
      </c>
      <c r="Z20" s="9" t="s">
        <v>69</v>
      </c>
      <c r="AA20" s="9" t="s">
        <v>261</v>
      </c>
      <c r="AB20" s="9" t="s">
        <v>281</v>
      </c>
      <c r="AC20" s="9">
        <v>91.26</v>
      </c>
      <c r="AD20" s="9">
        <v>11</v>
      </c>
      <c r="AE20" s="9" t="s">
        <v>68</v>
      </c>
      <c r="AF20" s="9" t="s">
        <v>68</v>
      </c>
    </row>
    <row r="21" spans="1:32" x14ac:dyDescent="0.2">
      <c r="A21" s="3" t="s">
        <v>282</v>
      </c>
      <c r="B21" s="3" t="s">
        <v>283</v>
      </c>
      <c r="C21" s="6" t="s">
        <v>284</v>
      </c>
      <c r="D21" s="7" t="s">
        <v>285</v>
      </c>
      <c r="E21" s="8" t="s">
        <v>286</v>
      </c>
      <c r="F21" s="3" t="s">
        <v>256</v>
      </c>
      <c r="G21" s="1" t="s">
        <v>286</v>
      </c>
      <c r="H21" s="1" t="s">
        <v>62</v>
      </c>
      <c r="I21" s="3" t="s">
        <v>287</v>
      </c>
      <c r="J21" s="9" t="s">
        <v>178</v>
      </c>
      <c r="K21" s="10" t="s">
        <v>79</v>
      </c>
      <c r="L21" s="11" t="s">
        <v>94</v>
      </c>
      <c r="M21" s="11">
        <v>95700</v>
      </c>
      <c r="N21" s="9" t="s">
        <v>288</v>
      </c>
      <c r="O21" s="9" t="s">
        <v>289</v>
      </c>
      <c r="P21" s="9">
        <v>95.11</v>
      </c>
      <c r="Q21" s="9" t="s">
        <v>288</v>
      </c>
      <c r="R21" s="9">
        <v>96.91</v>
      </c>
      <c r="S21" s="9">
        <v>0.85899999999999999</v>
      </c>
      <c r="T21" s="9" t="s">
        <v>289</v>
      </c>
      <c r="U21" s="9">
        <v>95.11</v>
      </c>
      <c r="V21" s="9" t="s">
        <v>288</v>
      </c>
      <c r="W21" s="9">
        <v>96.91</v>
      </c>
      <c r="X21" s="9">
        <v>0.85899999999999999</v>
      </c>
      <c r="Y21" s="9" t="s">
        <v>182</v>
      </c>
      <c r="Z21" s="9" t="s">
        <v>69</v>
      </c>
      <c r="AA21" s="9" t="s">
        <v>84</v>
      </c>
      <c r="AB21" s="9" t="s">
        <v>290</v>
      </c>
      <c r="AC21" s="9">
        <v>98.61</v>
      </c>
      <c r="AD21" s="9">
        <v>11</v>
      </c>
      <c r="AE21" s="9" t="s">
        <v>68</v>
      </c>
      <c r="AF21" s="9" t="s">
        <v>68</v>
      </c>
    </row>
    <row r="22" spans="1:32" x14ac:dyDescent="0.2">
      <c r="A22" s="3" t="s">
        <v>291</v>
      </c>
      <c r="B22" s="3" t="s">
        <v>292</v>
      </c>
      <c r="C22" s="6" t="s">
        <v>293</v>
      </c>
      <c r="D22" s="7" t="s">
        <v>294</v>
      </c>
      <c r="E22" s="8" t="s">
        <v>295</v>
      </c>
      <c r="F22" s="3" t="s">
        <v>256</v>
      </c>
      <c r="G22" s="1" t="s">
        <v>295</v>
      </c>
      <c r="H22" s="1" t="s">
        <v>62</v>
      </c>
      <c r="I22" s="3" t="s">
        <v>6</v>
      </c>
      <c r="J22" s="9" t="s">
        <v>78</v>
      </c>
      <c r="K22" s="10" t="s">
        <v>296</v>
      </c>
      <c r="L22" s="11" t="s">
        <v>297</v>
      </c>
      <c r="M22" s="11">
        <v>107043</v>
      </c>
      <c r="N22" s="9" t="s">
        <v>81</v>
      </c>
      <c r="O22" s="9" t="s">
        <v>82</v>
      </c>
      <c r="P22" s="9">
        <v>95.54</v>
      </c>
      <c r="Q22" s="9" t="s">
        <v>81</v>
      </c>
      <c r="R22" s="9">
        <v>97.73</v>
      </c>
      <c r="S22" s="9">
        <v>0.88500000000000001</v>
      </c>
      <c r="T22" s="9" t="s">
        <v>82</v>
      </c>
      <c r="U22" s="9">
        <v>95.54</v>
      </c>
      <c r="V22" s="9" t="s">
        <v>81</v>
      </c>
      <c r="W22" s="9">
        <v>97.73</v>
      </c>
      <c r="X22" s="9">
        <v>0.88500000000000001</v>
      </c>
      <c r="Y22" s="9" t="s">
        <v>83</v>
      </c>
      <c r="Z22" s="9" t="s">
        <v>69</v>
      </c>
      <c r="AA22" s="9" t="s">
        <v>84</v>
      </c>
      <c r="AB22" s="9" t="s">
        <v>298</v>
      </c>
      <c r="AC22" s="9">
        <v>97.7</v>
      </c>
      <c r="AD22" s="9">
        <v>11</v>
      </c>
      <c r="AE22" s="9" t="s">
        <v>68</v>
      </c>
      <c r="AF22" s="9" t="s">
        <v>68</v>
      </c>
    </row>
    <row r="23" spans="1:32" x14ac:dyDescent="0.2">
      <c r="A23" s="3" t="s">
        <v>299</v>
      </c>
      <c r="B23" s="3" t="s">
        <v>300</v>
      </c>
      <c r="C23" s="6" t="s">
        <v>301</v>
      </c>
      <c r="D23" s="7" t="s">
        <v>302</v>
      </c>
      <c r="E23" s="8" t="s">
        <v>303</v>
      </c>
      <c r="F23" s="3" t="s">
        <v>256</v>
      </c>
      <c r="G23" s="1" t="s">
        <v>303</v>
      </c>
      <c r="H23" s="1" t="s">
        <v>62</v>
      </c>
      <c r="I23" s="3" t="s">
        <v>304</v>
      </c>
      <c r="J23" s="9" t="s">
        <v>305</v>
      </c>
      <c r="K23" s="10" t="s">
        <v>79</v>
      </c>
      <c r="L23" s="11" t="s">
        <v>306</v>
      </c>
      <c r="M23" s="11">
        <v>56928</v>
      </c>
      <c r="N23" s="9" t="s">
        <v>307</v>
      </c>
      <c r="O23" s="9" t="s">
        <v>308</v>
      </c>
      <c r="P23" s="9">
        <v>95</v>
      </c>
      <c r="Q23" s="9" t="s">
        <v>307</v>
      </c>
      <c r="R23" s="9">
        <v>98.13</v>
      </c>
      <c r="S23" s="9">
        <v>0.91100000000000003</v>
      </c>
      <c r="T23" s="9" t="s">
        <v>308</v>
      </c>
      <c r="U23" s="9">
        <v>95</v>
      </c>
      <c r="V23" s="9" t="s">
        <v>307</v>
      </c>
      <c r="W23" s="9">
        <v>98.13</v>
      </c>
      <c r="X23" s="9">
        <v>0.91100000000000003</v>
      </c>
      <c r="Y23" s="9" t="s">
        <v>309</v>
      </c>
      <c r="Z23" s="9" t="s">
        <v>69</v>
      </c>
      <c r="AA23" s="9" t="s">
        <v>84</v>
      </c>
      <c r="AB23" s="9" t="s">
        <v>310</v>
      </c>
      <c r="AC23" s="9">
        <v>95.63</v>
      </c>
      <c r="AD23" s="9">
        <v>11</v>
      </c>
      <c r="AE23" s="9" t="s">
        <v>68</v>
      </c>
      <c r="AF23" s="9" t="s">
        <v>68</v>
      </c>
    </row>
    <row r="24" spans="1:32" x14ac:dyDescent="0.2">
      <c r="A24" s="3" t="s">
        <v>311</v>
      </c>
      <c r="B24" s="3" t="s">
        <v>312</v>
      </c>
      <c r="C24" s="6" t="s">
        <v>313</v>
      </c>
      <c r="D24" s="7" t="s">
        <v>314</v>
      </c>
      <c r="E24" s="8" t="s">
        <v>315</v>
      </c>
      <c r="F24" s="3" t="s">
        <v>256</v>
      </c>
      <c r="G24" s="1" t="s">
        <v>315</v>
      </c>
      <c r="H24" s="1" t="s">
        <v>62</v>
      </c>
      <c r="I24" s="3" t="s">
        <v>304</v>
      </c>
      <c r="J24" s="9" t="s">
        <v>305</v>
      </c>
      <c r="K24" s="10" t="s">
        <v>316</v>
      </c>
      <c r="L24" s="11" t="s">
        <v>317</v>
      </c>
      <c r="M24" s="11">
        <v>58582</v>
      </c>
      <c r="N24" s="9" t="s">
        <v>307</v>
      </c>
      <c r="O24" s="9" t="s">
        <v>308</v>
      </c>
      <c r="P24" s="9">
        <v>95</v>
      </c>
      <c r="Q24" s="9" t="s">
        <v>307</v>
      </c>
      <c r="R24" s="9">
        <v>98.08</v>
      </c>
      <c r="S24" s="9">
        <v>0.89100000000000001</v>
      </c>
      <c r="T24" s="9" t="s">
        <v>308</v>
      </c>
      <c r="U24" s="9">
        <v>95</v>
      </c>
      <c r="V24" s="9" t="s">
        <v>307</v>
      </c>
      <c r="W24" s="9">
        <v>98.08</v>
      </c>
      <c r="X24" s="9">
        <v>0.89100000000000001</v>
      </c>
      <c r="Y24" s="9" t="s">
        <v>309</v>
      </c>
      <c r="Z24" s="9" t="s">
        <v>69</v>
      </c>
      <c r="AA24" s="9" t="s">
        <v>84</v>
      </c>
      <c r="AB24" s="9" t="s">
        <v>318</v>
      </c>
      <c r="AC24" s="9">
        <v>96.47</v>
      </c>
      <c r="AD24" s="9">
        <v>11</v>
      </c>
      <c r="AE24" s="9" t="s">
        <v>68</v>
      </c>
      <c r="AF24" s="9" t="s">
        <v>68</v>
      </c>
    </row>
    <row r="25" spans="1:32" x14ac:dyDescent="0.2">
      <c r="A25" s="3" t="s">
        <v>319</v>
      </c>
      <c r="B25" s="3" t="s">
        <v>320</v>
      </c>
      <c r="C25" s="6" t="s">
        <v>321</v>
      </c>
      <c r="D25" s="7" t="s">
        <v>322</v>
      </c>
      <c r="E25" s="8" t="s">
        <v>323</v>
      </c>
      <c r="F25" s="3" t="s">
        <v>256</v>
      </c>
      <c r="G25" s="1" t="s">
        <v>323</v>
      </c>
      <c r="H25" s="1" t="s">
        <v>62</v>
      </c>
      <c r="I25" s="3" t="s">
        <v>324</v>
      </c>
      <c r="J25" s="9" t="s">
        <v>305</v>
      </c>
      <c r="K25" s="10" t="s">
        <v>167</v>
      </c>
      <c r="L25" s="11" t="s">
        <v>108</v>
      </c>
      <c r="M25" s="11">
        <v>63103</v>
      </c>
      <c r="N25" s="9" t="s">
        <v>325</v>
      </c>
      <c r="O25" s="9" t="s">
        <v>326</v>
      </c>
      <c r="P25" s="9">
        <v>95</v>
      </c>
      <c r="Q25" s="9" t="s">
        <v>325</v>
      </c>
      <c r="R25" s="9">
        <v>99.02</v>
      </c>
      <c r="S25" s="9">
        <v>0.96199999999999997</v>
      </c>
      <c r="T25" s="9" t="s">
        <v>326</v>
      </c>
      <c r="U25" s="9">
        <v>95</v>
      </c>
      <c r="V25" s="9" t="s">
        <v>325</v>
      </c>
      <c r="W25" s="9">
        <v>99.02</v>
      </c>
      <c r="X25" s="9">
        <v>0.96199999999999997</v>
      </c>
      <c r="Y25" s="9" t="s">
        <v>309</v>
      </c>
      <c r="Z25" s="9" t="s">
        <v>69</v>
      </c>
      <c r="AA25" s="9" t="s">
        <v>84</v>
      </c>
      <c r="AB25" s="9" t="s">
        <v>327</v>
      </c>
      <c r="AC25" s="9">
        <v>96.49</v>
      </c>
      <c r="AD25" s="9">
        <v>11</v>
      </c>
      <c r="AE25" s="9" t="s">
        <v>68</v>
      </c>
      <c r="AF25" s="9" t="s">
        <v>68</v>
      </c>
    </row>
    <row r="26" spans="1:32" x14ac:dyDescent="0.2">
      <c r="A26" t="s">
        <v>328</v>
      </c>
      <c r="B26" t="s">
        <v>10</v>
      </c>
      <c r="C26" s="1" t="s">
        <v>1</v>
      </c>
      <c r="D26" s="1" t="s">
        <v>329</v>
      </c>
      <c r="E26" s="1" t="s">
        <v>329</v>
      </c>
      <c r="F26" s="3" t="s">
        <v>256</v>
      </c>
      <c r="G26" s="1" t="s">
        <v>62</v>
      </c>
      <c r="H26" s="1" t="s">
        <v>62</v>
      </c>
      <c r="I26" t="s">
        <v>5</v>
      </c>
      <c r="J26" s="14" t="s">
        <v>166</v>
      </c>
      <c r="K26" s="1" t="s">
        <v>62</v>
      </c>
      <c r="L26" s="11" t="s">
        <v>330</v>
      </c>
      <c r="M26" s="1" t="s">
        <v>62</v>
      </c>
      <c r="N26" s="1" t="s">
        <v>268</v>
      </c>
    </row>
    <row r="27" spans="1:32" x14ac:dyDescent="0.2">
      <c r="A27" t="s">
        <v>328</v>
      </c>
      <c r="B27" t="s">
        <v>11</v>
      </c>
      <c r="C27" s="1" t="s">
        <v>2</v>
      </c>
      <c r="D27" s="1" t="s">
        <v>331</v>
      </c>
      <c r="E27" s="1" t="s">
        <v>331</v>
      </c>
      <c r="F27" s="3" t="s">
        <v>256</v>
      </c>
      <c r="G27" s="1" t="s">
        <v>62</v>
      </c>
      <c r="H27" s="1" t="s">
        <v>62</v>
      </c>
      <c r="I27" t="s">
        <v>6</v>
      </c>
      <c r="J27" s="9" t="s">
        <v>78</v>
      </c>
      <c r="K27" s="1" t="s">
        <v>62</v>
      </c>
      <c r="L27" s="11" t="s">
        <v>332</v>
      </c>
      <c r="M27" s="1" t="s">
        <v>62</v>
      </c>
      <c r="N27" s="1" t="s">
        <v>81</v>
      </c>
    </row>
    <row r="28" spans="1:32" x14ac:dyDescent="0.2">
      <c r="A28" t="s">
        <v>328</v>
      </c>
      <c r="B28" t="s">
        <v>12</v>
      </c>
      <c r="C28" s="1" t="s">
        <v>3</v>
      </c>
      <c r="D28" s="1" t="s">
        <v>333</v>
      </c>
      <c r="E28" s="1" t="s">
        <v>333</v>
      </c>
      <c r="F28" s="3" t="s">
        <v>256</v>
      </c>
      <c r="G28" s="1" t="s">
        <v>62</v>
      </c>
      <c r="H28" s="1" t="s">
        <v>62</v>
      </c>
      <c r="I28" t="s">
        <v>7</v>
      </c>
      <c r="J28" t="s">
        <v>334</v>
      </c>
      <c r="K28" s="1" t="s">
        <v>62</v>
      </c>
      <c r="L28" s="11" t="s">
        <v>335</v>
      </c>
      <c r="M28" s="1" t="s">
        <v>62</v>
      </c>
      <c r="N28" s="1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B194-C8BE-864D-B727-FDE86CBA906A}">
  <dimension ref="B1:Q63"/>
  <sheetViews>
    <sheetView workbookViewId="0">
      <selection activeCell="C4" sqref="C4"/>
    </sheetView>
  </sheetViews>
  <sheetFormatPr baseColWidth="10" defaultColWidth="8.83203125" defaultRowHeight="16" x14ac:dyDescent="0.2"/>
  <cols>
    <col min="2" max="2" width="10.33203125" customWidth="1"/>
    <col min="3" max="3" width="8.6640625" customWidth="1"/>
    <col min="4" max="4" width="7.1640625" customWidth="1"/>
    <col min="5" max="5" width="9" customWidth="1"/>
    <col min="6" max="9" width="13.5" customWidth="1"/>
    <col min="13" max="13" width="10.83203125" customWidth="1"/>
  </cols>
  <sheetData>
    <row r="1" spans="2:17" x14ac:dyDescent="0.2">
      <c r="C1" t="s">
        <v>337</v>
      </c>
    </row>
    <row r="2" spans="2:17" ht="17" thickBot="1" x14ac:dyDescent="0.25">
      <c r="D2" s="39" t="s">
        <v>338</v>
      </c>
      <c r="E2" s="39"/>
      <c r="F2" s="39"/>
      <c r="G2" s="39"/>
      <c r="H2" s="39"/>
      <c r="I2" s="39"/>
      <c r="J2" s="39"/>
      <c r="K2" s="39"/>
      <c r="L2" s="39"/>
      <c r="M2" s="15"/>
      <c r="N2" s="40" t="s">
        <v>339</v>
      </c>
      <c r="O2" s="40"/>
      <c r="P2" s="40"/>
      <c r="Q2" s="40"/>
    </row>
    <row r="3" spans="2:17" ht="17" thickBot="1" x14ac:dyDescent="0.25">
      <c r="D3" s="16">
        <v>46091</v>
      </c>
      <c r="E3" s="16">
        <v>46092</v>
      </c>
      <c r="F3" s="16">
        <v>46093</v>
      </c>
      <c r="G3" s="16">
        <v>46094</v>
      </c>
      <c r="H3" s="16">
        <v>46095</v>
      </c>
      <c r="I3" s="16">
        <v>46096</v>
      </c>
      <c r="J3" s="16">
        <v>46097</v>
      </c>
      <c r="K3" s="16">
        <v>46098</v>
      </c>
      <c r="L3" s="17">
        <v>46099</v>
      </c>
      <c r="M3" s="18"/>
    </row>
    <row r="4" spans="2:17" s="25" customFormat="1" ht="17" thickBot="1" x14ac:dyDescent="0.25">
      <c r="B4" t="s">
        <v>340</v>
      </c>
      <c r="C4" s="19" t="s">
        <v>341</v>
      </c>
      <c r="D4" s="20" t="s">
        <v>342</v>
      </c>
      <c r="E4" s="20" t="s">
        <v>343</v>
      </c>
      <c r="F4" s="20" t="s">
        <v>344</v>
      </c>
      <c r="G4" s="20" t="s">
        <v>345</v>
      </c>
      <c r="H4" s="20" t="s">
        <v>346</v>
      </c>
      <c r="I4" s="20" t="s">
        <v>347</v>
      </c>
      <c r="J4" s="20" t="s">
        <v>348</v>
      </c>
      <c r="K4" s="20" t="s">
        <v>349</v>
      </c>
      <c r="L4" s="21" t="s">
        <v>350</v>
      </c>
      <c r="M4" s="12" t="s">
        <v>351</v>
      </c>
      <c r="N4" s="22" t="s">
        <v>352</v>
      </c>
      <c r="O4" s="22" t="s">
        <v>353</v>
      </c>
      <c r="P4" s="23" t="s">
        <v>354</v>
      </c>
      <c r="Q4" s="24" t="s">
        <v>355</v>
      </c>
    </row>
    <row r="5" spans="2:17" x14ac:dyDescent="0.2">
      <c r="C5" s="12" t="s">
        <v>356</v>
      </c>
      <c r="D5" s="12">
        <v>0</v>
      </c>
      <c r="E5" s="12">
        <v>21</v>
      </c>
      <c r="F5" s="12">
        <v>2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26">
        <v>23</v>
      </c>
      <c r="N5">
        <v>18</v>
      </c>
      <c r="O5">
        <v>5</v>
      </c>
      <c r="P5">
        <v>0</v>
      </c>
      <c r="Q5" s="27">
        <v>0</v>
      </c>
    </row>
    <row r="6" spans="2:17" x14ac:dyDescent="0.2">
      <c r="C6" s="12" t="s">
        <v>77</v>
      </c>
      <c r="D6" s="12">
        <v>0</v>
      </c>
      <c r="E6" s="12">
        <v>1</v>
      </c>
      <c r="F6" s="12">
        <v>4</v>
      </c>
      <c r="G6" s="12">
        <v>4</v>
      </c>
      <c r="H6" s="12">
        <v>4</v>
      </c>
      <c r="I6" s="12">
        <v>1</v>
      </c>
      <c r="J6" s="12">
        <v>0</v>
      </c>
      <c r="K6" s="12">
        <v>0</v>
      </c>
      <c r="L6" s="12">
        <v>0</v>
      </c>
      <c r="M6" s="12">
        <v>22</v>
      </c>
      <c r="N6">
        <v>4</v>
      </c>
      <c r="O6">
        <v>10</v>
      </c>
      <c r="P6">
        <v>6</v>
      </c>
      <c r="Q6" s="27">
        <v>2</v>
      </c>
    </row>
    <row r="7" spans="2:17" x14ac:dyDescent="0.2">
      <c r="C7" s="12" t="s">
        <v>255</v>
      </c>
      <c r="D7" s="12">
        <v>0</v>
      </c>
      <c r="E7" s="12">
        <v>0</v>
      </c>
      <c r="F7" s="12">
        <v>0</v>
      </c>
      <c r="G7" s="12">
        <v>5</v>
      </c>
      <c r="H7" s="12">
        <v>6</v>
      </c>
      <c r="I7" s="12">
        <v>3</v>
      </c>
      <c r="J7" s="12">
        <v>0</v>
      </c>
      <c r="K7" s="12">
        <v>1</v>
      </c>
      <c r="L7" s="12">
        <v>0</v>
      </c>
      <c r="M7" s="12">
        <v>23</v>
      </c>
      <c r="N7">
        <v>9</v>
      </c>
      <c r="O7">
        <v>6</v>
      </c>
      <c r="P7">
        <v>2</v>
      </c>
      <c r="Q7" s="27">
        <v>6</v>
      </c>
    </row>
    <row r="8" spans="2:17" x14ac:dyDescent="0.2">
      <c r="C8" s="28" t="s">
        <v>276</v>
      </c>
      <c r="D8" s="12">
        <v>0</v>
      </c>
      <c r="E8" s="12">
        <v>0</v>
      </c>
      <c r="F8" s="12">
        <v>4</v>
      </c>
      <c r="G8" s="12">
        <v>12</v>
      </c>
      <c r="H8" s="12">
        <v>4</v>
      </c>
      <c r="I8" s="12">
        <v>1</v>
      </c>
      <c r="J8" s="12">
        <v>1</v>
      </c>
      <c r="K8" s="12">
        <v>0</v>
      </c>
      <c r="L8" s="12">
        <v>0</v>
      </c>
      <c r="M8" s="12">
        <v>24</v>
      </c>
      <c r="N8">
        <v>14</v>
      </c>
      <c r="O8">
        <v>8</v>
      </c>
      <c r="P8">
        <v>1</v>
      </c>
      <c r="Q8" s="27">
        <v>1</v>
      </c>
    </row>
    <row r="9" spans="2:17" x14ac:dyDescent="0.2">
      <c r="C9" s="12" t="s">
        <v>267</v>
      </c>
      <c r="D9" s="12">
        <v>0</v>
      </c>
      <c r="E9" s="12">
        <v>0</v>
      </c>
      <c r="F9" s="12">
        <v>12</v>
      </c>
      <c r="G9" s="12">
        <v>7</v>
      </c>
      <c r="H9" s="12">
        <v>3</v>
      </c>
      <c r="I9" s="12">
        <v>2</v>
      </c>
      <c r="J9" s="12">
        <v>0</v>
      </c>
      <c r="K9" s="12">
        <v>0</v>
      </c>
      <c r="L9" s="12">
        <v>0</v>
      </c>
      <c r="M9" s="12">
        <v>24</v>
      </c>
      <c r="N9">
        <v>20</v>
      </c>
      <c r="O9">
        <v>4</v>
      </c>
      <c r="P9">
        <v>0</v>
      </c>
      <c r="Q9" s="27">
        <v>0</v>
      </c>
    </row>
    <row r="10" spans="2:17" x14ac:dyDescent="0.2">
      <c r="C10" s="28" t="s">
        <v>188</v>
      </c>
      <c r="D10" s="12">
        <v>0</v>
      </c>
      <c r="E10" s="12">
        <v>18</v>
      </c>
      <c r="F10" s="12">
        <v>3</v>
      </c>
      <c r="G10" s="12">
        <v>0</v>
      </c>
      <c r="H10" s="12">
        <v>1</v>
      </c>
      <c r="I10" s="12">
        <v>0</v>
      </c>
      <c r="J10" s="12">
        <v>0</v>
      </c>
      <c r="K10" s="12">
        <v>0</v>
      </c>
      <c r="L10" s="12">
        <v>0</v>
      </c>
      <c r="M10" s="12">
        <v>22</v>
      </c>
      <c r="N10">
        <v>18</v>
      </c>
      <c r="O10">
        <v>4</v>
      </c>
      <c r="P10">
        <v>0</v>
      </c>
      <c r="Q10" s="27">
        <v>0</v>
      </c>
    </row>
    <row r="11" spans="2:17" x14ac:dyDescent="0.2">
      <c r="C11" s="12" t="s">
        <v>163</v>
      </c>
      <c r="D11" s="12">
        <v>0</v>
      </c>
      <c r="E11" s="12">
        <v>1</v>
      </c>
      <c r="F11" s="12">
        <v>10</v>
      </c>
      <c r="G11" s="12">
        <v>8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19</v>
      </c>
      <c r="N11">
        <v>17</v>
      </c>
      <c r="O11">
        <v>1</v>
      </c>
      <c r="P11">
        <v>1</v>
      </c>
      <c r="Q11" s="27">
        <v>0</v>
      </c>
    </row>
    <row r="12" spans="2:17" ht="17" thickBot="1" x14ac:dyDescent="0.25">
      <c r="C12" s="12" t="s">
        <v>295</v>
      </c>
      <c r="D12" s="12">
        <v>0</v>
      </c>
      <c r="E12" s="12">
        <v>0</v>
      </c>
      <c r="F12" s="12">
        <v>0</v>
      </c>
      <c r="G12" s="12">
        <v>4</v>
      </c>
      <c r="H12" s="12">
        <v>0</v>
      </c>
      <c r="I12" s="12">
        <v>1</v>
      </c>
      <c r="J12" s="12">
        <v>0</v>
      </c>
      <c r="K12" s="12">
        <v>0</v>
      </c>
      <c r="L12" s="12">
        <v>1</v>
      </c>
      <c r="M12" s="12">
        <v>21</v>
      </c>
      <c r="N12" s="29">
        <v>0</v>
      </c>
      <c r="O12" s="29">
        <v>6</v>
      </c>
      <c r="P12" s="29">
        <v>15</v>
      </c>
      <c r="Q12" s="30">
        <v>0</v>
      </c>
    </row>
    <row r="14" spans="2:17" x14ac:dyDescent="0.2">
      <c r="O14" t="s">
        <v>357</v>
      </c>
      <c r="P14" t="s">
        <v>358</v>
      </c>
      <c r="Q14" t="s">
        <v>359</v>
      </c>
    </row>
    <row r="17" spans="2:15" ht="17" thickBot="1" x14ac:dyDescent="0.25">
      <c r="C17" t="s">
        <v>340</v>
      </c>
      <c r="E17" t="s">
        <v>78</v>
      </c>
    </row>
    <row r="18" spans="2:15" ht="17" thickBot="1" x14ac:dyDescent="0.25">
      <c r="C18" s="19" t="s">
        <v>341</v>
      </c>
      <c r="D18" t="s">
        <v>360</v>
      </c>
      <c r="E18" s="12" t="s">
        <v>356</v>
      </c>
      <c r="F18" s="12" t="s">
        <v>77</v>
      </c>
      <c r="G18" s="28" t="s">
        <v>188</v>
      </c>
      <c r="H18" s="31" t="s">
        <v>276</v>
      </c>
      <c r="K18" s="32" t="s">
        <v>356</v>
      </c>
      <c r="L18" s="32" t="s">
        <v>361</v>
      </c>
      <c r="M18" s="33" t="s">
        <v>362</v>
      </c>
      <c r="N18" s="32" t="s">
        <v>363</v>
      </c>
      <c r="O18" t="s">
        <v>360</v>
      </c>
    </row>
    <row r="19" spans="2:15" ht="17" thickBot="1" x14ac:dyDescent="0.25">
      <c r="B19" s="16">
        <v>46091</v>
      </c>
      <c r="C19" s="20" t="s">
        <v>342</v>
      </c>
      <c r="D19">
        <v>5</v>
      </c>
      <c r="E19" s="12">
        <v>0</v>
      </c>
      <c r="F19" s="12">
        <v>0</v>
      </c>
      <c r="G19" s="12">
        <v>0</v>
      </c>
      <c r="H19" s="34">
        <v>0</v>
      </c>
      <c r="K19" s="32">
        <f>SUM(E19)/E28</f>
        <v>0</v>
      </c>
      <c r="L19" s="32">
        <f>SUM(F19)/F28</f>
        <v>0</v>
      </c>
      <c r="M19" s="32">
        <f>SUM(G19)/G28</f>
        <v>0</v>
      </c>
      <c r="N19" s="32">
        <f>SUM(H19)/H28</f>
        <v>0</v>
      </c>
      <c r="O19">
        <v>5</v>
      </c>
    </row>
    <row r="20" spans="2:15" ht="17" thickBot="1" x14ac:dyDescent="0.25">
      <c r="B20" s="16">
        <v>46092</v>
      </c>
      <c r="C20" s="20" t="s">
        <v>343</v>
      </c>
      <c r="D20">
        <v>6</v>
      </c>
      <c r="E20" s="12">
        <v>21</v>
      </c>
      <c r="F20" s="12">
        <v>1</v>
      </c>
      <c r="G20" s="12">
        <v>18</v>
      </c>
      <c r="H20" s="34">
        <v>0</v>
      </c>
      <c r="K20" s="32">
        <f>SUM(E19:E20)/E28</f>
        <v>0.875</v>
      </c>
      <c r="L20" s="32">
        <f>SUM(F19:F20)/F28</f>
        <v>4.5454545454545456E-2</v>
      </c>
      <c r="M20" s="32">
        <f>SUM(G19:G20)/G28</f>
        <v>0.81818181818181823</v>
      </c>
      <c r="N20" s="32">
        <f>SUM(H19:H20)/H28</f>
        <v>0</v>
      </c>
      <c r="O20">
        <v>6</v>
      </c>
    </row>
    <row r="21" spans="2:15" ht="17" thickBot="1" x14ac:dyDescent="0.25">
      <c r="B21" s="16">
        <v>46093</v>
      </c>
      <c r="C21" s="20" t="s">
        <v>344</v>
      </c>
      <c r="D21">
        <v>7</v>
      </c>
      <c r="E21" s="12">
        <v>2</v>
      </c>
      <c r="F21" s="12">
        <v>4</v>
      </c>
      <c r="G21" s="12">
        <v>3</v>
      </c>
      <c r="H21" s="34">
        <v>4</v>
      </c>
      <c r="K21" s="32">
        <f>SUM(E19:E21)/E28</f>
        <v>0.95833333333333337</v>
      </c>
      <c r="L21" s="32">
        <f>SUM(F19:F21)/F28</f>
        <v>0.22727272727272727</v>
      </c>
      <c r="M21" s="32">
        <f>SUM(G19:G21)/G28</f>
        <v>0.95454545454545459</v>
      </c>
      <c r="N21" s="32">
        <f>SUM(H19:H21)/H28</f>
        <v>0.16666666666666666</v>
      </c>
      <c r="O21">
        <v>7</v>
      </c>
    </row>
    <row r="22" spans="2:15" ht="17" thickBot="1" x14ac:dyDescent="0.25">
      <c r="B22" s="16">
        <v>46094</v>
      </c>
      <c r="C22" s="20" t="s">
        <v>345</v>
      </c>
      <c r="D22">
        <v>8</v>
      </c>
      <c r="E22" s="12">
        <v>1</v>
      </c>
      <c r="F22" s="12">
        <v>4</v>
      </c>
      <c r="G22" s="12">
        <v>0</v>
      </c>
      <c r="H22" s="34">
        <v>12</v>
      </c>
      <c r="K22" s="32">
        <f>SUM(E19:E22)/E28</f>
        <v>1</v>
      </c>
      <c r="L22" s="32">
        <f>SUM(F19:F22)/F28</f>
        <v>0.40909090909090912</v>
      </c>
      <c r="M22" s="32">
        <f>SUM(G19:G22)/G28</f>
        <v>0.95454545454545459</v>
      </c>
      <c r="N22" s="32">
        <f>SUM(H19:H22)/H28</f>
        <v>0.66666666666666663</v>
      </c>
      <c r="O22">
        <v>8</v>
      </c>
    </row>
    <row r="23" spans="2:15" ht="17" thickBot="1" x14ac:dyDescent="0.25">
      <c r="B23" s="16">
        <v>46095</v>
      </c>
      <c r="C23" s="20" t="s">
        <v>346</v>
      </c>
      <c r="D23">
        <v>9</v>
      </c>
      <c r="E23" s="12">
        <v>0</v>
      </c>
      <c r="F23" s="12">
        <v>4</v>
      </c>
      <c r="G23" s="12">
        <v>1</v>
      </c>
      <c r="H23" s="34">
        <v>4</v>
      </c>
      <c r="K23" s="32">
        <f>SUM(E19:E23)/E28</f>
        <v>1</v>
      </c>
      <c r="L23" s="32">
        <f>SUM(F19:F23)/F28</f>
        <v>0.59090909090909094</v>
      </c>
      <c r="M23" s="32">
        <f>SUM(G19:G23)/G28</f>
        <v>1</v>
      </c>
      <c r="N23" s="32">
        <f>SUM(H19:H23)/H28</f>
        <v>0.83333333333333337</v>
      </c>
      <c r="O23">
        <v>9</v>
      </c>
    </row>
    <row r="24" spans="2:15" ht="17" thickBot="1" x14ac:dyDescent="0.25">
      <c r="B24" s="16">
        <v>46096</v>
      </c>
      <c r="C24" s="20" t="s">
        <v>347</v>
      </c>
      <c r="D24">
        <v>10</v>
      </c>
      <c r="E24" s="12">
        <v>0</v>
      </c>
      <c r="F24" s="12">
        <v>1</v>
      </c>
      <c r="G24" s="12">
        <v>0</v>
      </c>
      <c r="H24" s="34">
        <v>1</v>
      </c>
      <c r="K24" s="32">
        <f>SUM(E19:E24)/E28</f>
        <v>1</v>
      </c>
      <c r="L24" s="32">
        <f>SUM(F19:F24)/F28</f>
        <v>0.63636363636363635</v>
      </c>
      <c r="M24" s="32">
        <f>SUM(G19:G24)/G28</f>
        <v>1</v>
      </c>
      <c r="N24" s="32">
        <f>SUM(H19:H24)/H28</f>
        <v>0.875</v>
      </c>
      <c r="O24">
        <v>10</v>
      </c>
    </row>
    <row r="25" spans="2:15" ht="17" thickBot="1" x14ac:dyDescent="0.25">
      <c r="B25" s="16">
        <v>46097</v>
      </c>
      <c r="C25" s="20" t="s">
        <v>348</v>
      </c>
      <c r="D25">
        <v>11</v>
      </c>
      <c r="E25" s="12">
        <v>0</v>
      </c>
      <c r="F25" s="12">
        <v>0</v>
      </c>
      <c r="G25" s="12">
        <v>0</v>
      </c>
      <c r="H25" s="34">
        <v>1</v>
      </c>
      <c r="K25" s="32">
        <f>SUM(E19:E25)/E28</f>
        <v>1</v>
      </c>
      <c r="L25" s="32">
        <f>SUM(F19:F25)/F28</f>
        <v>0.63636363636363635</v>
      </c>
      <c r="M25" s="32">
        <f>SUM(G19:G25)/G28</f>
        <v>1</v>
      </c>
      <c r="N25" s="32">
        <f>SUM(H19:H25)/H28</f>
        <v>0.91666666666666663</v>
      </c>
      <c r="O25">
        <v>11</v>
      </c>
    </row>
    <row r="26" spans="2:15" ht="17" thickBot="1" x14ac:dyDescent="0.25">
      <c r="B26" s="16">
        <v>46098</v>
      </c>
      <c r="C26" s="20" t="s">
        <v>349</v>
      </c>
      <c r="D26">
        <v>12</v>
      </c>
      <c r="E26" s="12">
        <v>0</v>
      </c>
      <c r="F26" s="12">
        <v>0</v>
      </c>
      <c r="G26" s="12">
        <v>0</v>
      </c>
      <c r="H26" s="34">
        <v>0</v>
      </c>
      <c r="K26" s="32">
        <f>SUM(E19:E26)/E28</f>
        <v>1</v>
      </c>
      <c r="L26" s="32">
        <f>SUM(F19:F26)/F28</f>
        <v>0.63636363636363635</v>
      </c>
      <c r="M26" s="32">
        <f>SUM(G19:G26)/G28</f>
        <v>1</v>
      </c>
      <c r="N26" s="32">
        <f>SUM(H19:H26)/H28</f>
        <v>0.91666666666666663</v>
      </c>
      <c r="O26">
        <v>12</v>
      </c>
    </row>
    <row r="27" spans="2:15" ht="17" thickBot="1" x14ac:dyDescent="0.25">
      <c r="B27" s="17">
        <v>46099</v>
      </c>
      <c r="C27" s="21" t="s">
        <v>350</v>
      </c>
      <c r="D27">
        <v>13</v>
      </c>
      <c r="E27" s="12">
        <v>0</v>
      </c>
      <c r="F27" s="12">
        <v>0</v>
      </c>
      <c r="G27" s="12">
        <v>0</v>
      </c>
      <c r="H27" s="34">
        <v>0</v>
      </c>
      <c r="K27" s="32">
        <f>SUM(E19:E27)/E28</f>
        <v>1</v>
      </c>
      <c r="L27" s="32">
        <f>SUM(F19:F27)/F28</f>
        <v>0.63636363636363635</v>
      </c>
      <c r="M27" s="32">
        <f>SUM(G19:G27)/G28</f>
        <v>1</v>
      </c>
      <c r="N27" s="32">
        <f>SUM(H19:H27)/H28</f>
        <v>0.91666666666666663</v>
      </c>
      <c r="O27">
        <v>13</v>
      </c>
    </row>
    <row r="28" spans="2:15" x14ac:dyDescent="0.2">
      <c r="B28" s="18"/>
      <c r="D28" s="12" t="s">
        <v>351</v>
      </c>
      <c r="E28" s="26">
        <v>24</v>
      </c>
      <c r="F28" s="12">
        <v>22</v>
      </c>
      <c r="G28" s="12">
        <v>22</v>
      </c>
      <c r="H28" s="34">
        <v>24</v>
      </c>
    </row>
    <row r="30" spans="2:15" x14ac:dyDescent="0.2">
      <c r="E30">
        <f>SUM(E19:E27)/E28</f>
        <v>1</v>
      </c>
      <c r="F30">
        <f>SUM(F19:F27)/F28</f>
        <v>0.63636363636363635</v>
      </c>
      <c r="G30">
        <f t="shared" ref="G30:H30" si="0">SUM(G19:G27)/G28</f>
        <v>1</v>
      </c>
      <c r="H30">
        <f t="shared" si="0"/>
        <v>0.91666666666666663</v>
      </c>
    </row>
    <row r="35" spans="2:16" ht="17" thickBot="1" x14ac:dyDescent="0.25">
      <c r="C35" t="s">
        <v>340</v>
      </c>
      <c r="E35" t="s">
        <v>166</v>
      </c>
    </row>
    <row r="36" spans="2:16" ht="17" thickBot="1" x14ac:dyDescent="0.25">
      <c r="C36" s="19" t="s">
        <v>341</v>
      </c>
      <c r="D36" t="s">
        <v>360</v>
      </c>
      <c r="E36" s="12" t="s">
        <v>356</v>
      </c>
      <c r="F36" s="12" t="s">
        <v>255</v>
      </c>
      <c r="G36" s="35" t="s">
        <v>267</v>
      </c>
      <c r="H36" s="35" t="s">
        <v>163</v>
      </c>
      <c r="I36" s="12" t="s">
        <v>295</v>
      </c>
      <c r="K36" s="32" t="s">
        <v>356</v>
      </c>
      <c r="L36" s="32" t="s">
        <v>364</v>
      </c>
      <c r="M36" s="32" t="s">
        <v>365</v>
      </c>
      <c r="N36" s="32" t="s">
        <v>366</v>
      </c>
      <c r="O36" s="32" t="s">
        <v>367</v>
      </c>
      <c r="P36" t="s">
        <v>360</v>
      </c>
    </row>
    <row r="37" spans="2:16" ht="17" thickBot="1" x14ac:dyDescent="0.25">
      <c r="B37" s="16">
        <v>46091</v>
      </c>
      <c r="C37" s="20" t="s">
        <v>342</v>
      </c>
      <c r="D37">
        <v>5</v>
      </c>
      <c r="E37" s="12">
        <v>0</v>
      </c>
      <c r="F37" s="12">
        <v>0</v>
      </c>
      <c r="G37" s="12">
        <v>0</v>
      </c>
      <c r="H37" s="12">
        <v>0</v>
      </c>
      <c r="I37" s="34">
        <v>0</v>
      </c>
      <c r="K37" s="32">
        <f>SUM(E37)/E46</f>
        <v>0</v>
      </c>
      <c r="L37" s="32">
        <f>SUM(F37)/F46</f>
        <v>0</v>
      </c>
      <c r="M37" s="32">
        <f>SUM(G37)/G46</f>
        <v>0</v>
      </c>
      <c r="N37" s="32">
        <f>SUM(H37)/H46</f>
        <v>0</v>
      </c>
      <c r="O37" s="32">
        <f>SUM(I37)/I46</f>
        <v>0</v>
      </c>
      <c r="P37">
        <v>5</v>
      </c>
    </row>
    <row r="38" spans="2:16" ht="17" thickBot="1" x14ac:dyDescent="0.25">
      <c r="B38" s="16">
        <v>46092</v>
      </c>
      <c r="C38" s="20" t="s">
        <v>343</v>
      </c>
      <c r="D38">
        <v>6</v>
      </c>
      <c r="E38" s="12">
        <v>21</v>
      </c>
      <c r="F38" s="12">
        <v>0</v>
      </c>
      <c r="G38" s="12">
        <v>0</v>
      </c>
      <c r="H38" s="12">
        <v>1</v>
      </c>
      <c r="I38" s="34">
        <v>0</v>
      </c>
      <c r="K38" s="32">
        <f>SUM(E37:E38)/E46</f>
        <v>0.875</v>
      </c>
      <c r="L38" s="32">
        <f>SUM(F37:F38)/F46</f>
        <v>0</v>
      </c>
      <c r="M38" s="32">
        <f>SUM(G37:G38)/G46</f>
        <v>0</v>
      </c>
      <c r="N38" s="32">
        <f>SUM(H37:H38)/H46</f>
        <v>5.2631578947368418E-2</v>
      </c>
      <c r="O38" s="32">
        <f>SUM(I37:I38)/I46</f>
        <v>0</v>
      </c>
      <c r="P38">
        <v>6</v>
      </c>
    </row>
    <row r="39" spans="2:16" ht="17" thickBot="1" x14ac:dyDescent="0.25">
      <c r="B39" s="16">
        <v>46093</v>
      </c>
      <c r="C39" s="20" t="s">
        <v>344</v>
      </c>
      <c r="D39">
        <v>7</v>
      </c>
      <c r="E39" s="12">
        <v>2</v>
      </c>
      <c r="F39" s="12">
        <v>0</v>
      </c>
      <c r="G39" s="12">
        <v>12</v>
      </c>
      <c r="H39" s="12">
        <v>10</v>
      </c>
      <c r="I39" s="34">
        <v>0</v>
      </c>
      <c r="K39" s="32">
        <f>SUM(E37:E39)/E46</f>
        <v>0.95833333333333337</v>
      </c>
      <c r="L39" s="32">
        <f>SUM(F37:F39)/F46</f>
        <v>0</v>
      </c>
      <c r="M39" s="32">
        <f>SUM(G37:G39)/G46</f>
        <v>0.5</v>
      </c>
      <c r="N39" s="32">
        <f>SUM(H37:H39)/H46</f>
        <v>0.57894736842105265</v>
      </c>
      <c r="O39" s="32">
        <f>SUM(I37:I39)/I46</f>
        <v>0</v>
      </c>
      <c r="P39">
        <v>7</v>
      </c>
    </row>
    <row r="40" spans="2:16" ht="17" thickBot="1" x14ac:dyDescent="0.25">
      <c r="B40" s="16">
        <v>46094</v>
      </c>
      <c r="C40" s="20" t="s">
        <v>345</v>
      </c>
      <c r="D40">
        <v>8</v>
      </c>
      <c r="E40" s="12">
        <v>1</v>
      </c>
      <c r="F40" s="12">
        <v>5</v>
      </c>
      <c r="G40" s="12">
        <v>7</v>
      </c>
      <c r="H40" s="12">
        <v>8</v>
      </c>
      <c r="I40" s="34">
        <v>4</v>
      </c>
      <c r="K40" s="32">
        <f>SUM(E37:E40)/E46</f>
        <v>1</v>
      </c>
      <c r="L40" s="32">
        <f>SUM(F37:F40)/F46</f>
        <v>0.21739130434782608</v>
      </c>
      <c r="M40" s="32">
        <f>SUM(G37:G40)/G46</f>
        <v>0.79166666666666663</v>
      </c>
      <c r="N40" s="32">
        <f>SUM(H37:H40)/H46</f>
        <v>1</v>
      </c>
      <c r="O40" s="32">
        <f>SUM(I37:I40)/I46</f>
        <v>0.19047619047619047</v>
      </c>
      <c r="P40">
        <v>8</v>
      </c>
    </row>
    <row r="41" spans="2:16" ht="17" thickBot="1" x14ac:dyDescent="0.25">
      <c r="B41" s="16">
        <v>46095</v>
      </c>
      <c r="C41" s="20" t="s">
        <v>346</v>
      </c>
      <c r="D41">
        <v>9</v>
      </c>
      <c r="E41" s="12">
        <v>0</v>
      </c>
      <c r="F41" s="12">
        <v>6</v>
      </c>
      <c r="G41" s="12">
        <v>3</v>
      </c>
      <c r="H41" s="12">
        <v>0</v>
      </c>
      <c r="I41" s="34">
        <v>0</v>
      </c>
      <c r="K41" s="32">
        <f>SUM(E37:E41)/E46</f>
        <v>1</v>
      </c>
      <c r="L41" s="32">
        <f>SUM(F37:F41)/F46</f>
        <v>0.47826086956521741</v>
      </c>
      <c r="M41" s="32">
        <f>SUM(G37:G41)/G46</f>
        <v>0.91666666666666663</v>
      </c>
      <c r="N41" s="32">
        <f>SUM(H37:H41)/H46</f>
        <v>1</v>
      </c>
      <c r="O41" s="32">
        <f>SUM(I37:I41)/I46</f>
        <v>0.19047619047619047</v>
      </c>
      <c r="P41">
        <v>9</v>
      </c>
    </row>
    <row r="42" spans="2:16" ht="17" thickBot="1" x14ac:dyDescent="0.25">
      <c r="B42" s="16">
        <v>46096</v>
      </c>
      <c r="C42" s="20" t="s">
        <v>347</v>
      </c>
      <c r="D42">
        <v>10</v>
      </c>
      <c r="E42" s="12">
        <v>0</v>
      </c>
      <c r="F42" s="12">
        <v>3</v>
      </c>
      <c r="G42" s="12">
        <v>2</v>
      </c>
      <c r="H42" s="12">
        <v>0</v>
      </c>
      <c r="I42" s="34">
        <v>1</v>
      </c>
      <c r="K42" s="32">
        <f>SUM(E37:E42)/E46</f>
        <v>1</v>
      </c>
      <c r="L42" s="32">
        <f>SUM(F37:F42)/F46</f>
        <v>0.60869565217391308</v>
      </c>
      <c r="M42" s="32">
        <f>SUM(G37:G42)/G46</f>
        <v>1</v>
      </c>
      <c r="N42" s="32">
        <f>SUM(H37:H42)/H46</f>
        <v>1</v>
      </c>
      <c r="O42" s="32">
        <f>SUM(I37:I42)/I46</f>
        <v>0.23809523809523808</v>
      </c>
      <c r="P42">
        <v>10</v>
      </c>
    </row>
    <row r="43" spans="2:16" ht="17" thickBot="1" x14ac:dyDescent="0.25">
      <c r="B43" s="16">
        <v>46097</v>
      </c>
      <c r="C43" s="20" t="s">
        <v>348</v>
      </c>
      <c r="D43">
        <v>11</v>
      </c>
      <c r="E43" s="12">
        <v>0</v>
      </c>
      <c r="F43" s="12">
        <v>0</v>
      </c>
      <c r="G43" s="12">
        <v>0</v>
      </c>
      <c r="H43" s="12">
        <v>0</v>
      </c>
      <c r="I43" s="34">
        <v>0</v>
      </c>
      <c r="K43" s="32">
        <f>SUM(E37:E43)/E46</f>
        <v>1</v>
      </c>
      <c r="L43" s="32">
        <f>SUM(F37:F43)/F46</f>
        <v>0.60869565217391308</v>
      </c>
      <c r="M43" s="32">
        <f>SUM(G37:G43)/G46</f>
        <v>1</v>
      </c>
      <c r="N43" s="32">
        <f>SUM(H37:H43)/H46</f>
        <v>1</v>
      </c>
      <c r="O43" s="32">
        <f>SUM(I37:I43)/I46</f>
        <v>0.23809523809523808</v>
      </c>
      <c r="P43">
        <v>11</v>
      </c>
    </row>
    <row r="44" spans="2:16" ht="17" thickBot="1" x14ac:dyDescent="0.25">
      <c r="B44" s="16">
        <v>46098</v>
      </c>
      <c r="C44" s="20" t="s">
        <v>349</v>
      </c>
      <c r="D44">
        <v>12</v>
      </c>
      <c r="E44" s="12">
        <v>0</v>
      </c>
      <c r="F44" s="12">
        <v>1</v>
      </c>
      <c r="G44" s="12">
        <v>0</v>
      </c>
      <c r="H44" s="12">
        <v>0</v>
      </c>
      <c r="I44" s="34">
        <v>0</v>
      </c>
      <c r="K44" s="32">
        <f>SUM(E37:E44)/E46</f>
        <v>1</v>
      </c>
      <c r="L44" s="32">
        <f>SUM(F37:F44)/F46</f>
        <v>0.65217391304347827</v>
      </c>
      <c r="M44" s="32">
        <f>SUM(G37:G44)/G46</f>
        <v>1</v>
      </c>
      <c r="N44" s="32">
        <f>SUM(H37:H44)/H46</f>
        <v>1</v>
      </c>
      <c r="O44" s="32">
        <f>SUM(I37:I44)/I46</f>
        <v>0.23809523809523808</v>
      </c>
      <c r="P44">
        <v>12</v>
      </c>
    </row>
    <row r="45" spans="2:16" ht="17" thickBot="1" x14ac:dyDescent="0.25">
      <c r="B45" s="17">
        <v>46099</v>
      </c>
      <c r="C45" s="21" t="s">
        <v>350</v>
      </c>
      <c r="D45">
        <v>13</v>
      </c>
      <c r="E45" s="12">
        <v>0</v>
      </c>
      <c r="F45" s="12">
        <v>0</v>
      </c>
      <c r="G45" s="12">
        <v>0</v>
      </c>
      <c r="H45" s="12">
        <v>0</v>
      </c>
      <c r="I45" s="34">
        <v>1</v>
      </c>
      <c r="K45" s="32">
        <f>SUM(E37:E45)/E46</f>
        <v>1</v>
      </c>
      <c r="L45" s="32">
        <f>SUM(F37:F45)/F46</f>
        <v>0.65217391304347827</v>
      </c>
      <c r="M45" s="32">
        <f>SUM(G37:G45)/G46</f>
        <v>1</v>
      </c>
      <c r="N45" s="32">
        <f>SUM(H37:H45)/H46</f>
        <v>1</v>
      </c>
      <c r="O45" s="32">
        <f>SUM(I37:I45)/I46</f>
        <v>0.2857142857142857</v>
      </c>
      <c r="P45">
        <v>13</v>
      </c>
    </row>
    <row r="46" spans="2:16" x14ac:dyDescent="0.2">
      <c r="B46" s="18"/>
      <c r="D46" s="12" t="s">
        <v>351</v>
      </c>
      <c r="E46" s="26">
        <v>24</v>
      </c>
      <c r="F46" s="12">
        <v>23</v>
      </c>
      <c r="G46" s="12">
        <v>24</v>
      </c>
      <c r="H46" s="12">
        <v>19</v>
      </c>
      <c r="I46" s="34">
        <v>21</v>
      </c>
      <c r="J46" s="36"/>
      <c r="K46" s="36"/>
      <c r="L46" s="36"/>
      <c r="M46" s="36"/>
      <c r="N46" s="36"/>
    </row>
    <row r="48" spans="2:16" x14ac:dyDescent="0.2">
      <c r="E48">
        <f>SUM(E37:E45)/E46</f>
        <v>1</v>
      </c>
      <c r="F48">
        <f>SUM(F37:F45)/F46</f>
        <v>0.65217391304347827</v>
      </c>
      <c r="G48">
        <f t="shared" ref="G48:I48" si="1">SUM(G37:G45)/G46</f>
        <v>1</v>
      </c>
      <c r="H48">
        <f t="shared" si="1"/>
        <v>1</v>
      </c>
      <c r="I48">
        <f t="shared" si="1"/>
        <v>0.2857142857142857</v>
      </c>
    </row>
    <row r="50" spans="4:8" ht="17" thickBot="1" x14ac:dyDescent="0.25"/>
    <row r="51" spans="4:8" x14ac:dyDescent="0.2">
      <c r="E51" s="22" t="s">
        <v>352</v>
      </c>
      <c r="F51" s="22" t="s">
        <v>353</v>
      </c>
      <c r="G51" s="23" t="s">
        <v>354</v>
      </c>
      <c r="H51" s="24" t="s">
        <v>355</v>
      </c>
    </row>
    <row r="52" spans="4:8" x14ac:dyDescent="0.2">
      <c r="D52" s="12" t="s">
        <v>356</v>
      </c>
      <c r="E52">
        <v>18</v>
      </c>
      <c r="F52">
        <v>5</v>
      </c>
      <c r="G52">
        <v>0</v>
      </c>
      <c r="H52" s="27">
        <v>0</v>
      </c>
    </row>
    <row r="53" spans="4:8" x14ac:dyDescent="0.2">
      <c r="D53" s="28" t="s">
        <v>188</v>
      </c>
      <c r="E53">
        <v>18</v>
      </c>
      <c r="F53">
        <v>4</v>
      </c>
      <c r="G53">
        <v>0</v>
      </c>
      <c r="H53" s="27">
        <v>0</v>
      </c>
    </row>
    <row r="54" spans="4:8" x14ac:dyDescent="0.2">
      <c r="D54" s="28" t="s">
        <v>276</v>
      </c>
      <c r="E54">
        <v>14</v>
      </c>
      <c r="F54">
        <v>8</v>
      </c>
      <c r="G54">
        <v>1</v>
      </c>
      <c r="H54" s="27">
        <v>1</v>
      </c>
    </row>
    <row r="55" spans="4:8" x14ac:dyDescent="0.2">
      <c r="D55" s="12" t="s">
        <v>77</v>
      </c>
      <c r="E55">
        <v>4</v>
      </c>
      <c r="F55">
        <v>10</v>
      </c>
      <c r="G55">
        <v>6</v>
      </c>
      <c r="H55" s="27">
        <v>2</v>
      </c>
    </row>
    <row r="57" spans="4:8" ht="17" thickBot="1" x14ac:dyDescent="0.25"/>
    <row r="58" spans="4:8" x14ac:dyDescent="0.2">
      <c r="D58" s="12" t="s">
        <v>351</v>
      </c>
      <c r="E58" s="22" t="s">
        <v>352</v>
      </c>
      <c r="F58" s="22" t="s">
        <v>353</v>
      </c>
      <c r="G58" s="23" t="s">
        <v>354</v>
      </c>
      <c r="H58" s="24" t="s">
        <v>355</v>
      </c>
    </row>
    <row r="59" spans="4:8" x14ac:dyDescent="0.2">
      <c r="D59" s="12" t="s">
        <v>356</v>
      </c>
      <c r="E59">
        <v>18</v>
      </c>
      <c r="F59">
        <v>5</v>
      </c>
      <c r="G59">
        <v>0</v>
      </c>
      <c r="H59" s="27">
        <v>0</v>
      </c>
    </row>
    <row r="60" spans="4:8" x14ac:dyDescent="0.2">
      <c r="D60" s="12" t="s">
        <v>267</v>
      </c>
      <c r="E60">
        <v>20</v>
      </c>
      <c r="F60">
        <v>4</v>
      </c>
      <c r="G60">
        <v>0</v>
      </c>
      <c r="H60" s="27">
        <v>0</v>
      </c>
    </row>
    <row r="61" spans="4:8" x14ac:dyDescent="0.2">
      <c r="D61" s="12" t="s">
        <v>163</v>
      </c>
      <c r="E61">
        <v>17</v>
      </c>
      <c r="F61">
        <v>1</v>
      </c>
      <c r="G61">
        <v>1</v>
      </c>
      <c r="H61" s="27">
        <v>0</v>
      </c>
    </row>
    <row r="62" spans="4:8" x14ac:dyDescent="0.2">
      <c r="D62" s="12" t="s">
        <v>255</v>
      </c>
      <c r="E62">
        <v>9</v>
      </c>
      <c r="F62">
        <v>6</v>
      </c>
      <c r="G62">
        <v>2</v>
      </c>
      <c r="H62" s="27">
        <v>6</v>
      </c>
    </row>
    <row r="63" spans="4:8" ht="17" thickBot="1" x14ac:dyDescent="0.25">
      <c r="D63" s="12" t="s">
        <v>295</v>
      </c>
      <c r="E63" s="29">
        <v>0</v>
      </c>
      <c r="F63" s="29">
        <v>6</v>
      </c>
      <c r="G63" s="29">
        <v>15</v>
      </c>
      <c r="H63" s="30">
        <v>0</v>
      </c>
    </row>
  </sheetData>
  <mergeCells count="2">
    <mergeCell ref="D2:L2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S4 Isolates Abundance</vt:lpstr>
      <vt:lpstr>gtdbtk_Isolates_annotation</vt:lpstr>
      <vt:lpstr>hatch2026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Yuan, Jing</dc:creator>
  <cp:keywords/>
  <dc:description/>
  <cp:lastModifiedBy>Yuan, Jing</cp:lastModifiedBy>
  <cp:revision/>
  <dcterms:created xsi:type="dcterms:W3CDTF">2025-12-29T15:51:46Z</dcterms:created>
  <dcterms:modified xsi:type="dcterms:W3CDTF">2026-06-23T20:38:28Z</dcterms:modified>
  <cp:category/>
  <cp:contentStatus/>
</cp:coreProperties>
</file>