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y/Desktop/Nanopore-Adaptive-Sequencing/4_MAGs/"/>
    </mc:Choice>
  </mc:AlternateContent>
  <xr:revisionPtr revIDLastSave="0" documentId="13_ncr:1_{192CBAAF-3C22-8D4E-8B51-BB4E006FD393}" xr6:coauthVersionLast="47" xr6:coauthVersionMax="47" xr10:uidLastSave="{00000000-0000-0000-0000-000000000000}"/>
  <bookViews>
    <workbookView xWindow="0" yWindow="760" windowWidth="30240" windowHeight="17340" activeTab="4" xr2:uid="{83819237-C7AC-FD40-9E91-27D3D43085C6}"/>
  </bookViews>
  <sheets>
    <sheet name="Table S3 Bins" sheetId="4" r:id="rId1"/>
    <sheet name="MAGs_all" sheetId="8" r:id="rId2"/>
    <sheet name="MAGs_reads" sheetId="9" r:id="rId3"/>
    <sheet name="MAGs_ANI" sheetId="10" r:id="rId4"/>
    <sheet name="Bins_colony_HGT_all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8" l="1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H2" i="4"/>
  <c r="H3" i="4"/>
  <c r="H4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</calcChain>
</file>

<file path=xl/sharedStrings.xml><?xml version="1.0" encoding="utf-8"?>
<sst xmlns="http://schemas.openxmlformats.org/spreadsheetml/2006/main" count="1351" uniqueCount="239">
  <si>
    <t>Resources</t>
  </si>
  <si>
    <t>Names</t>
  </si>
  <si>
    <t>Bins</t>
  </si>
  <si>
    <t>unique_SCGs</t>
  </si>
  <si>
    <t>redundant_SCGs</t>
  </si>
  <si>
    <t>SCG_set</t>
  </si>
  <si>
    <t>size(kb)</t>
  </si>
  <si>
    <t>size(MB)</t>
  </si>
  <si>
    <t>contigs</t>
  </si>
  <si>
    <t>N50</t>
  </si>
  <si>
    <t>bin_score</t>
  </si>
  <si>
    <t>SCG_completeness</t>
  </si>
  <si>
    <t>SCG_redundancy</t>
  </si>
  <si>
    <t>gtdbtk_classification</t>
  </si>
  <si>
    <t>Colony</t>
  </si>
  <si>
    <t>C1</t>
  </si>
  <si>
    <t>metabat1 </t>
  </si>
  <si>
    <t>bacteria </t>
  </si>
  <si>
    <t>d__Bacteria;</t>
  </si>
  <si>
    <t>p__Bacteroidota;</t>
  </si>
  <si>
    <t>c__Flavobacteriia;</t>
  </si>
  <si>
    <t>o__Flavobacteriales;</t>
  </si>
  <si>
    <t>f__Weeksellaceae;</t>
  </si>
  <si>
    <t>g__Elizabethkingia;</t>
  </si>
  <si>
    <t>s__Elizabethkingia_bruuniana</t>
  </si>
  <si>
    <t>C2</t>
  </si>
  <si>
    <t>metabat3 </t>
  </si>
  <si>
    <t>d__Bacteria; p__Bacteroidota; c__Flavobacteriia; o__Flavobacteriales; f__Weeksellaceae; g__Chryseobacterium; s__Chryseobacterium_sp030146295</t>
  </si>
  <si>
    <t>Hamden</t>
  </si>
  <si>
    <t>h1</t>
  </si>
  <si>
    <t>1_maxbin_.001</t>
  </si>
  <si>
    <t>bacteria</t>
  </si>
  <si>
    <t>d__Bacteria;p__Pseudomonadota;c__Gammaproteobacteria;o__Enterobacterales;f__Enterobacteriaceae;g__Chania;s__Chania sp033095805</t>
  </si>
  <si>
    <t>h2</t>
  </si>
  <si>
    <t>1_maxbin_.002</t>
  </si>
  <si>
    <t>d__Bacteria;p__Bacillota;c__Clostridia;o__Clostridiales;f__Clostridiaceae;g__;s__</t>
  </si>
  <si>
    <t>h3</t>
  </si>
  <si>
    <t>2_metacoag_bin_3_8</t>
  </si>
  <si>
    <t>h4</t>
  </si>
  <si>
    <t>3_metabat_.1</t>
  </si>
  <si>
    <t>Unclassified Bacteria</t>
  </si>
  <si>
    <t>h5</t>
  </si>
  <si>
    <t>3_metabat_.2</t>
  </si>
  <si>
    <t>h6</t>
  </si>
  <si>
    <t>3_metabat_.3</t>
  </si>
  <si>
    <t>h7</t>
  </si>
  <si>
    <t>3_metabat_.4</t>
  </si>
  <si>
    <t>Guilford</t>
  </si>
  <si>
    <t>g1</t>
  </si>
  <si>
    <t>d__Bacteria;p__Bacteroidota;c__Bacteroidia;o__Sphingobacteriales;f__Sphingobacteriaceae;g__Mucilaginibacter;s__</t>
  </si>
  <si>
    <t>g2</t>
  </si>
  <si>
    <t>g3</t>
  </si>
  <si>
    <t>d__Bacteria;p__Pseudomonadota;c__Gammaproteobacteria;o__Burkholderiales;f__Burkholderiaceae;g__Comamonas;s__Comamonas acidovorans</t>
  </si>
  <si>
    <t>Tau</t>
  </si>
  <si>
    <t>t1</t>
  </si>
  <si>
    <t>d__Bacteria;p__Bacillota;c__Bacilli;o__Bacillales;f__Bacillaceae_G;g__Bacillus_A;s__Bacillus_A sp003400245</t>
  </si>
  <si>
    <t>t2</t>
  </si>
  <si>
    <t>d__Bacteria;p__Pseudomonadota;c__Alphaproteobacteria;o__Rhizobiales;f__Kaistiaceae;g__Kaistia;s__Kaistia hirudinis</t>
  </si>
  <si>
    <t>t3</t>
  </si>
  <si>
    <t>1_maxbin_.003</t>
  </si>
  <si>
    <t>t4</t>
  </si>
  <si>
    <t>1_maxbin_.004</t>
  </si>
  <si>
    <t>d__Bacteria;p__Pseudomonadota;c__Gammaproteobacteria;o__Enterobacterales;f__Aeromonadaceae;g__Aeromonas;s__</t>
  </si>
  <si>
    <t>t5</t>
  </si>
  <si>
    <t>2_metacoag_bin_0</t>
  </si>
  <si>
    <t>t6</t>
  </si>
  <si>
    <t>2_metacoag_bin_1</t>
  </si>
  <si>
    <t>d__Bacteria;p__Pseudomonadota;c__Gammaproteobacteria;o__Enterobacterales;f__Aeromonadaceae;g__Aeromonas;s__Aeromonas hydrophila</t>
  </si>
  <si>
    <t>t7</t>
  </si>
  <si>
    <t>2_metacoag_bin_2</t>
  </si>
  <si>
    <t>t8</t>
  </si>
  <si>
    <t>2_metacoag_bin_3</t>
  </si>
  <si>
    <t>t9</t>
  </si>
  <si>
    <t>2_metacoag_bin_6</t>
  </si>
  <si>
    <t>d__Bacteria;p__Pseudomonadota;c__Alphaproteobacteria;o__Acetobacterales;f__Acetobacteraceae;g__Roseococcus;s__</t>
  </si>
  <si>
    <t>t10</t>
  </si>
  <si>
    <t>t11</t>
  </si>
  <si>
    <t>3_metabat_.10</t>
  </si>
  <si>
    <t>t12</t>
  </si>
  <si>
    <t>t13</t>
  </si>
  <si>
    <t>t14</t>
  </si>
  <si>
    <t>t15</t>
  </si>
  <si>
    <t>3_metabat_.5</t>
  </si>
  <si>
    <t>t16</t>
  </si>
  <si>
    <t>3_metabat_.6</t>
  </si>
  <si>
    <t>d__Bacteria;p__Pseudomonadota;c__Gammaproteobacteria;o__Enterobacterales;f__Enterobacteriaceae;g__Chania;s__Chania fonticola_B</t>
  </si>
  <si>
    <t>t17</t>
  </si>
  <si>
    <t>3_metabat_bin_6</t>
  </si>
  <si>
    <t>t18</t>
  </si>
  <si>
    <t>3_metabat_.7</t>
  </si>
  <si>
    <t>t19</t>
  </si>
  <si>
    <t>3_metabat_.8</t>
  </si>
  <si>
    <t>item</t>
  </si>
  <si>
    <t>bin</t>
  </si>
  <si>
    <t>size</t>
  </si>
  <si>
    <t>non</t>
  </si>
  <si>
    <t>non1</t>
  </si>
  <si>
    <t>non2</t>
  </si>
  <si>
    <t>non3</t>
  </si>
  <si>
    <t>non4</t>
  </si>
  <si>
    <t>archaea</t>
  </si>
  <si>
    <t>non5</t>
  </si>
  <si>
    <t>ada</t>
  </si>
  <si>
    <t>ada1</t>
  </si>
  <si>
    <t>ada2</t>
  </si>
  <si>
    <t>ada3</t>
  </si>
  <si>
    <t>ada4</t>
  </si>
  <si>
    <t>ada5</t>
  </si>
  <si>
    <t>3_metabat_.2_sub</t>
  </si>
  <si>
    <t>ada6</t>
  </si>
  <si>
    <t>ada7</t>
  </si>
  <si>
    <t>ada8</t>
  </si>
  <si>
    <t>h</t>
  </si>
  <si>
    <t>g</t>
  </si>
  <si>
    <t>t</t>
  </si>
  <si>
    <t>bins</t>
  </si>
  <si>
    <t>Isolates</t>
  </si>
  <si>
    <t>ANI</t>
  </si>
  <si>
    <t>a1</t>
  </si>
  <si>
    <t>a2</t>
  </si>
  <si>
    <t>hgt3_b23</t>
  </si>
  <si>
    <t>id</t>
  </si>
  <si>
    <t>hgt3_b24</t>
  </si>
  <si>
    <t>Isolate22</t>
  </si>
  <si>
    <t>hgt3_b19</t>
  </si>
  <si>
    <t>Isolate20</t>
  </si>
  <si>
    <t>hgt3_b5</t>
  </si>
  <si>
    <t>Isolate17</t>
  </si>
  <si>
    <t>hgt3_b11</t>
  </si>
  <si>
    <t>Isolate21</t>
  </si>
  <si>
    <t>hgt3_b20</t>
  </si>
  <si>
    <t>Isolate23</t>
  </si>
  <si>
    <t>hgt3_b16</t>
  </si>
  <si>
    <t>Isolate24</t>
  </si>
  <si>
    <t>hgt3_b2</t>
  </si>
  <si>
    <t>Isolate18</t>
  </si>
  <si>
    <t>hgt3_b14</t>
  </si>
  <si>
    <t>Isolate19</t>
  </si>
  <si>
    <t>hgt3_b15</t>
  </si>
  <si>
    <t>hgt3_b10</t>
  </si>
  <si>
    <t>hgt3_b18</t>
  </si>
  <si>
    <t>hgt3_b3</t>
  </si>
  <si>
    <t>hgt3_b7</t>
  </si>
  <si>
    <t>hgt3_b6</t>
  </si>
  <si>
    <t>hgt3_b4</t>
  </si>
  <si>
    <t>hgt3_b12</t>
  </si>
  <si>
    <t>3_metabat_.9</t>
  </si>
  <si>
    <t>hgt3_b17</t>
  </si>
  <si>
    <t>hgt3_b21</t>
  </si>
  <si>
    <t>hgt3_b22</t>
  </si>
  <si>
    <t>hgt3_b9</t>
  </si>
  <si>
    <t>hgt3_b1</t>
  </si>
  <si>
    <t>user_genome</t>
  </si>
  <si>
    <t>closest_genome_ani</t>
  </si>
  <si>
    <t>N/A</t>
  </si>
  <si>
    <t>T</t>
  </si>
  <si>
    <t>sample</t>
  </si>
  <si>
    <t>total_reads</t>
  </si>
  <si>
    <t>mapped_reads</t>
  </si>
  <si>
    <t>mapped_percent</t>
  </si>
  <si>
    <t>avg_coverage</t>
  </si>
  <si>
    <t>breadth</t>
  </si>
  <si>
    <t>mapped_bases</t>
  </si>
  <si>
    <t>norm_cov_per_Mreads</t>
  </si>
  <si>
    <t>t5(2_metacoag_bin_0)</t>
  </si>
  <si>
    <t>hgt1_b11_filt_filt</t>
  </si>
  <si>
    <t>hgt1_b12_filt_filt</t>
  </si>
  <si>
    <t>t7(2_metacoag_bin_2)</t>
  </si>
  <si>
    <t>t14(3_metabat_.4)</t>
  </si>
  <si>
    <t>hgt1_b13_filt_filt</t>
  </si>
  <si>
    <t>Bacillus_A sp003400245</t>
  </si>
  <si>
    <t>Comamonas acidovorans</t>
  </si>
  <si>
    <t>Kaistia hirudinis</t>
  </si>
  <si>
    <t>hgt2_b17_filt</t>
  </si>
  <si>
    <t>reads_samples</t>
  </si>
  <si>
    <t>sources</t>
  </si>
  <si>
    <t>hgt2_b18_filt</t>
  </si>
  <si>
    <t>hgt2_b20_filt</t>
  </si>
  <si>
    <t>hgt4_b21_filt_filt</t>
  </si>
  <si>
    <t>hgt4_b22_filt_filt</t>
  </si>
  <si>
    <t>hgt4_b23_filt_filt</t>
  </si>
  <si>
    <t>Column</t>
  </si>
  <si>
    <t>Meaning</t>
  </si>
  <si>
    <t>How to interpret</t>
  </si>
  <si>
    <t>Name of each FASTQ file (sample)</t>
  </si>
  <si>
    <t>Which sample the data belongs to</t>
  </si>
  <si>
    <t>Total Nanopore reads in that sample</t>
  </si>
  <si>
    <t>Gives sequencing depth for each run</t>
  </si>
  <si>
    <t>Number of reads that mapped to your MAG</t>
  </si>
  <si>
    <t>Higher means more of this MAG present</t>
  </si>
  <si>
    <t>% of total reads that mapped</t>
  </si>
  <si>
    <t>Direct estimate of how abundant the MAG is in that sample (higher = more abundant)</t>
  </si>
  <si>
    <t>Average number of reads covering each base in the MAG</t>
  </si>
  <si>
    <t>Reflects how deeply the MAG is represented (e.g., 30_ means each base seen ~30 times)</t>
  </si>
  <si>
    <t>Fraction of the MAG covered by at least 1 read (0–1)</t>
  </si>
  <si>
    <t>1.0 = full MAG covered; &lt;1.0 = partial coverage</t>
  </si>
  <si>
    <t>Total number of bases from reads mapping to the MAG</t>
  </si>
  <si>
    <t>Raw measure of data aligning to that genome</t>
  </si>
  <si>
    <t>Normalized coverage per 1,000,000 reads</t>
  </si>
  <si>
    <t>Helps compare samples with different total reads</t>
  </si>
  <si>
    <t>Sources</t>
  </si>
  <si>
    <t>MAG_id</t>
  </si>
  <si>
    <t>Isolates_id</t>
  </si>
  <si>
    <t>h1_Chania sp033095805</t>
  </si>
  <si>
    <t>T2: Bacillus_A sp003400245</t>
  </si>
  <si>
    <t>T3: Bacillus_A thuringiensis</t>
  </si>
  <si>
    <t>T1: Bacillus_A cereus</t>
  </si>
  <si>
    <t>H1: Bacillus_A manliponensis</t>
  </si>
  <si>
    <t>h2_Clostridiaceae;g__;s__</t>
  </si>
  <si>
    <t>G6: Shinella zoogloeoides_A</t>
  </si>
  <si>
    <t>t3_Comamonas acidovorans</t>
  </si>
  <si>
    <t>T5: Comamonas acidovorans</t>
  </si>
  <si>
    <t>G2: Comamonas acidovorans</t>
  </si>
  <si>
    <t>H3: Comamonas testosteroni_G</t>
  </si>
  <si>
    <t>G7: Stenotrophomonas maltophilia_AP</t>
  </si>
  <si>
    <t>G8: Stenotrophomonas_s__</t>
  </si>
  <si>
    <t>G1: Brevundimonas_s__</t>
  </si>
  <si>
    <t>t4_Aeromonas;s__</t>
  </si>
  <si>
    <t>T4: Chania fonticola_B</t>
  </si>
  <si>
    <t>H2: Chania sp033095805</t>
  </si>
  <si>
    <t>t5_Bacillus_A sp003400245</t>
  </si>
  <si>
    <t>t7_Comamonas acidovorans</t>
  </si>
  <si>
    <t>t8_Kaistia hirudinis</t>
  </si>
  <si>
    <t>t9_Roseococcus;s__</t>
  </si>
  <si>
    <t>t11_Comamonas acidovorans</t>
  </si>
  <si>
    <t>h4_Unclassified Bacteria</t>
  </si>
  <si>
    <t>h5_Chania sp033095805</t>
  </si>
  <si>
    <t>H4: Lysinibacillus pinottii</t>
  </si>
  <si>
    <t>H7: Rossellomorea marisflavi_B</t>
  </si>
  <si>
    <t>H5: Lysinibacillus pinottii</t>
  </si>
  <si>
    <t>h7_Chania sp033095805</t>
  </si>
  <si>
    <t>t15_Bacillus_A sp003400245</t>
  </si>
  <si>
    <t>t16_Chania fonticola_B</t>
  </si>
  <si>
    <t>G3: Enterobacter_D_s__</t>
  </si>
  <si>
    <t>t18_Roseococcus;s__</t>
  </si>
  <si>
    <t>t19_Unclassified Bacteria</t>
  </si>
  <si>
    <t>t17_Roseococcus;s__</t>
  </si>
  <si>
    <t>t6_Aeromonas hydrophila</t>
  </si>
  <si>
    <t>h6_Clostridiaceae;g__;s__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</si>
</sst>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sz val="12"/>
      <color rgb="FF006100"/>
      <name val="Aptos Narrow"/>
      <family val="2"/>
    </font>
    <font>
      <sz val="12"/>
      <name val="Aptos Narrow"/>
      <family val="2"/>
    </font>
    <font>
      <sz val="11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3" fillId="3" borderId="0" xfId="0" applyFont="1" applyFill="1"/>
    <xf numFmtId="0" fontId="2" fillId="2" borderId="0" xfId="1"/>
    <xf numFmtId="0" fontId="2" fillId="0" borderId="0" xfId="1" applyFill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5" borderId="0" xfId="0" applyFill="1"/>
    <xf numFmtId="0" fontId="3" fillId="6" borderId="0" xfId="0" applyFont="1" applyFill="1"/>
    <xf numFmtId="0" fontId="3" fillId="5" borderId="0" xfId="0" applyFont="1" applyFill="1"/>
    <xf numFmtId="0" fontId="3" fillId="4" borderId="0" xfId="0" applyFont="1" applyFill="1"/>
    <xf numFmtId="0" fontId="0" fillId="3" borderId="0" xfId="0" applyFill="1"/>
    <xf numFmtId="0" fontId="3" fillId="7" borderId="0" xfId="0" applyFont="1" applyFill="1"/>
    <xf numFmtId="0" fontId="10" fillId="5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A471-F363-1947-949A-F54E9E354861}">
  <dimension ref="A1:T32"/>
  <sheetViews>
    <sheetView workbookViewId="0">
      <selection activeCell="D29" sqref="D29"/>
    </sheetView>
  </sheetViews>
  <sheetFormatPr baseColWidth="10" defaultColWidth="11" defaultRowHeight="16" x14ac:dyDescent="0.2"/>
  <cols>
    <col min="1" max="1" width="11" customWidth="1"/>
    <col min="2" max="2" width="6.5" customWidth="1"/>
    <col min="3" max="3" width="22.83203125" style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0" x14ac:dyDescent="0.2">
      <c r="A2" s="1" t="s">
        <v>14</v>
      </c>
      <c r="B2" s="1" t="s">
        <v>15</v>
      </c>
      <c r="C2" s="1" t="s">
        <v>16</v>
      </c>
      <c r="D2">
        <v>46</v>
      </c>
      <c r="E2">
        <v>0</v>
      </c>
      <c r="F2" t="s">
        <v>17</v>
      </c>
      <c r="G2">
        <v>4175792</v>
      </c>
      <c r="H2" s="1">
        <f t="shared" ref="H2:H32" si="0">G2/1000000</f>
        <v>4.1757920000000004</v>
      </c>
      <c r="I2">
        <v>26</v>
      </c>
      <c r="J2">
        <v>206335</v>
      </c>
      <c r="K2">
        <v>0.90196078431372495</v>
      </c>
      <c r="L2">
        <v>90</v>
      </c>
      <c r="M2" s="1">
        <v>0</v>
      </c>
      <c r="N2" s="1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</row>
    <row r="3" spans="1:20" x14ac:dyDescent="0.2">
      <c r="A3" s="1" t="s">
        <v>14</v>
      </c>
      <c r="B3" s="1" t="s">
        <v>25</v>
      </c>
      <c r="C3" s="1" t="s">
        <v>26</v>
      </c>
      <c r="D3">
        <v>30</v>
      </c>
      <c r="E3">
        <v>0</v>
      </c>
      <c r="F3" t="s">
        <v>17</v>
      </c>
      <c r="G3">
        <v>4896303</v>
      </c>
      <c r="H3" s="1">
        <f t="shared" si="0"/>
        <v>4.8963029999999996</v>
      </c>
      <c r="I3">
        <v>113</v>
      </c>
      <c r="J3">
        <v>70099</v>
      </c>
      <c r="K3">
        <v>0.58823529411764697</v>
      </c>
      <c r="L3">
        <v>59</v>
      </c>
      <c r="M3" s="1">
        <v>0</v>
      </c>
      <c r="N3" s="1" t="s">
        <v>27</v>
      </c>
    </row>
    <row r="4" spans="1:20" x14ac:dyDescent="0.2">
      <c r="A4" s="1" t="s">
        <v>28</v>
      </c>
      <c r="B4" s="1" t="s">
        <v>29</v>
      </c>
      <c r="C4" s="1" t="s">
        <v>30</v>
      </c>
      <c r="D4" s="1">
        <v>21</v>
      </c>
      <c r="E4" s="1">
        <v>5</v>
      </c>
      <c r="F4" s="1" t="s">
        <v>31</v>
      </c>
      <c r="G4" s="1">
        <v>2519132</v>
      </c>
      <c r="H4" s="1">
        <f t="shared" si="0"/>
        <v>2.5191319999999999</v>
      </c>
      <c r="I4" s="1">
        <v>180</v>
      </c>
      <c r="J4" s="1">
        <v>22055</v>
      </c>
      <c r="K4" s="1">
        <v>0.219887955</v>
      </c>
      <c r="L4" s="1">
        <v>41</v>
      </c>
      <c r="M4" s="1">
        <v>10</v>
      </c>
      <c r="N4" s="1" t="s">
        <v>32</v>
      </c>
    </row>
    <row r="5" spans="1:20" x14ac:dyDescent="0.2">
      <c r="A5" s="1" t="s">
        <v>28</v>
      </c>
      <c r="B5" s="1" t="s">
        <v>33</v>
      </c>
      <c r="C5" s="1" t="s">
        <v>34</v>
      </c>
      <c r="D5" s="1">
        <v>35</v>
      </c>
      <c r="E5" s="1">
        <v>19</v>
      </c>
      <c r="F5" s="1" t="s">
        <v>31</v>
      </c>
      <c r="G5" s="1">
        <v>4373374</v>
      </c>
      <c r="H5" s="1">
        <f t="shared" si="0"/>
        <v>4.3733740000000001</v>
      </c>
      <c r="I5" s="1">
        <v>386</v>
      </c>
      <c r="J5" s="1">
        <v>19133</v>
      </c>
      <c r="K5" s="1">
        <v>0.15467787099999999</v>
      </c>
      <c r="L5" s="1">
        <v>69</v>
      </c>
      <c r="M5" s="1">
        <v>37</v>
      </c>
      <c r="N5" s="1" t="s">
        <v>35</v>
      </c>
    </row>
    <row r="6" spans="1:20" x14ac:dyDescent="0.2">
      <c r="A6" s="1" t="s">
        <v>28</v>
      </c>
      <c r="B6" s="1" t="s">
        <v>36</v>
      </c>
      <c r="C6" s="1" t="s">
        <v>37</v>
      </c>
      <c r="D6" s="1">
        <v>12</v>
      </c>
      <c r="E6" s="1">
        <v>0</v>
      </c>
      <c r="F6" s="1" t="s">
        <v>31</v>
      </c>
      <c r="G6" s="1">
        <v>2269205</v>
      </c>
      <c r="H6" s="1">
        <f t="shared" si="0"/>
        <v>2.2692049999999999</v>
      </c>
      <c r="I6" s="1">
        <v>155</v>
      </c>
      <c r="J6" s="1">
        <v>22476</v>
      </c>
      <c r="K6" s="1">
        <v>0.235294118</v>
      </c>
      <c r="L6" s="1">
        <v>24</v>
      </c>
      <c r="M6" s="1">
        <v>0</v>
      </c>
      <c r="N6" s="1" t="s">
        <v>32</v>
      </c>
    </row>
    <row r="7" spans="1:20" x14ac:dyDescent="0.2">
      <c r="A7" s="1" t="s">
        <v>28</v>
      </c>
      <c r="B7" s="1" t="s">
        <v>38</v>
      </c>
      <c r="C7" s="1" t="s">
        <v>39</v>
      </c>
      <c r="D7" s="1">
        <v>2</v>
      </c>
      <c r="E7" s="1">
        <v>0</v>
      </c>
      <c r="F7" s="1" t="s">
        <v>31</v>
      </c>
      <c r="G7" s="1">
        <v>241036</v>
      </c>
      <c r="H7" s="1">
        <f t="shared" si="0"/>
        <v>0.241036</v>
      </c>
      <c r="I7" s="1">
        <v>16</v>
      </c>
      <c r="J7" s="1">
        <v>20825</v>
      </c>
      <c r="K7" s="1">
        <v>3.9215686E-2</v>
      </c>
      <c r="L7" s="1">
        <v>4</v>
      </c>
      <c r="M7" s="1">
        <v>0</v>
      </c>
      <c r="N7" s="1" t="s">
        <v>40</v>
      </c>
    </row>
    <row r="8" spans="1:20" x14ac:dyDescent="0.2">
      <c r="A8" s="1" t="s">
        <v>28</v>
      </c>
      <c r="B8" s="1" t="s">
        <v>41</v>
      </c>
      <c r="C8" s="1" t="s">
        <v>42</v>
      </c>
      <c r="D8" s="1">
        <v>6</v>
      </c>
      <c r="E8" s="1">
        <v>0</v>
      </c>
      <c r="F8" s="1" t="s">
        <v>31</v>
      </c>
      <c r="G8" s="1">
        <v>1364418</v>
      </c>
      <c r="H8" s="1">
        <f t="shared" si="0"/>
        <v>1.3644179999999999</v>
      </c>
      <c r="I8" s="1">
        <v>79</v>
      </c>
      <c r="J8" s="1">
        <v>23039</v>
      </c>
      <c r="K8" s="1">
        <v>0.117647059</v>
      </c>
      <c r="L8" s="1">
        <v>12</v>
      </c>
      <c r="M8" s="1">
        <v>0</v>
      </c>
      <c r="N8" s="1" t="s">
        <v>32</v>
      </c>
    </row>
    <row r="9" spans="1:20" x14ac:dyDescent="0.2">
      <c r="A9" s="1" t="s">
        <v>28</v>
      </c>
      <c r="B9" s="1" t="s">
        <v>43</v>
      </c>
      <c r="C9" s="1" t="s">
        <v>44</v>
      </c>
      <c r="D9" s="1">
        <v>32</v>
      </c>
      <c r="E9" s="1">
        <v>14</v>
      </c>
      <c r="F9" s="1" t="s">
        <v>31</v>
      </c>
      <c r="G9" s="1">
        <v>2860618</v>
      </c>
      <c r="H9" s="1">
        <f t="shared" si="0"/>
        <v>2.8606180000000001</v>
      </c>
      <c r="I9" s="1">
        <v>159</v>
      </c>
      <c r="J9" s="1">
        <v>25217</v>
      </c>
      <c r="K9" s="1">
        <v>0.227696078</v>
      </c>
      <c r="L9" s="1">
        <v>63</v>
      </c>
      <c r="M9" s="1">
        <v>27</v>
      </c>
      <c r="N9" s="1" t="s">
        <v>35</v>
      </c>
    </row>
    <row r="10" spans="1:20" x14ac:dyDescent="0.2">
      <c r="A10" s="1" t="s">
        <v>28</v>
      </c>
      <c r="B10" s="1" t="s">
        <v>45</v>
      </c>
      <c r="C10" s="1" t="s">
        <v>46</v>
      </c>
      <c r="D10" s="1">
        <v>6</v>
      </c>
      <c r="E10" s="1">
        <v>0</v>
      </c>
      <c r="F10" s="1" t="s">
        <v>31</v>
      </c>
      <c r="G10" s="1">
        <v>380667</v>
      </c>
      <c r="H10" s="1">
        <f t="shared" si="0"/>
        <v>0.38066699999999998</v>
      </c>
      <c r="I10" s="1">
        <v>13</v>
      </c>
      <c r="J10" s="1">
        <v>38667</v>
      </c>
      <c r="K10" s="1">
        <v>0.117647059</v>
      </c>
      <c r="L10" s="1">
        <v>12</v>
      </c>
      <c r="M10" s="1">
        <v>0</v>
      </c>
      <c r="N10" s="1" t="s">
        <v>32</v>
      </c>
    </row>
    <row r="11" spans="1:20" x14ac:dyDescent="0.2">
      <c r="A11" s="1" t="s">
        <v>47</v>
      </c>
      <c r="B11" s="1" t="s">
        <v>48</v>
      </c>
      <c r="C11" s="1" t="s">
        <v>30</v>
      </c>
      <c r="D11" s="1">
        <v>11</v>
      </c>
      <c r="E11" s="1">
        <v>0</v>
      </c>
      <c r="F11" s="1" t="s">
        <v>31</v>
      </c>
      <c r="G11" s="1">
        <v>300609</v>
      </c>
      <c r="H11" s="1">
        <f t="shared" si="0"/>
        <v>0.30060900000000002</v>
      </c>
      <c r="I11" s="1">
        <v>55</v>
      </c>
      <c r="J11" s="1">
        <v>9613</v>
      </c>
      <c r="K11" s="1">
        <v>0.21568627500000001</v>
      </c>
      <c r="L11" s="1">
        <v>22</v>
      </c>
      <c r="M11" s="1">
        <v>0</v>
      </c>
      <c r="N11" s="1" t="s">
        <v>49</v>
      </c>
    </row>
    <row r="12" spans="1:20" x14ac:dyDescent="0.2">
      <c r="A12" s="1" t="s">
        <v>47</v>
      </c>
      <c r="B12" s="1" t="s">
        <v>50</v>
      </c>
      <c r="C12" s="1" t="s">
        <v>34</v>
      </c>
      <c r="D12" s="1">
        <v>28</v>
      </c>
      <c r="E12" s="1">
        <v>4</v>
      </c>
      <c r="F12" s="1" t="s">
        <v>31</v>
      </c>
      <c r="G12" s="1">
        <v>4746146</v>
      </c>
      <c r="H12" s="1">
        <f t="shared" si="0"/>
        <v>4.7461460000000004</v>
      </c>
      <c r="I12" s="1">
        <v>352</v>
      </c>
      <c r="J12" s="1">
        <v>22140</v>
      </c>
      <c r="K12" s="1">
        <v>0.42408963599999999</v>
      </c>
      <c r="L12" s="1">
        <v>55</v>
      </c>
      <c r="M12" s="1">
        <v>8</v>
      </c>
      <c r="N12" s="1" t="s">
        <v>40</v>
      </c>
    </row>
    <row r="13" spans="1:20" x14ac:dyDescent="0.2">
      <c r="A13" s="1" t="s">
        <v>47</v>
      </c>
      <c r="B13" s="1" t="s">
        <v>51</v>
      </c>
      <c r="C13" s="1" t="s">
        <v>39</v>
      </c>
      <c r="D13" s="1">
        <v>9</v>
      </c>
      <c r="E13" s="1">
        <v>0</v>
      </c>
      <c r="F13" s="1" t="s">
        <v>31</v>
      </c>
      <c r="G13" s="1">
        <v>1339431</v>
      </c>
      <c r="H13" s="1">
        <f t="shared" si="0"/>
        <v>1.339431</v>
      </c>
      <c r="I13" s="1">
        <v>70</v>
      </c>
      <c r="J13" s="1">
        <v>28080</v>
      </c>
      <c r="K13" s="1">
        <v>0.17647058800000001</v>
      </c>
      <c r="L13" s="1">
        <v>18</v>
      </c>
      <c r="M13" s="1">
        <v>0</v>
      </c>
      <c r="N13" s="1" t="s">
        <v>52</v>
      </c>
    </row>
    <row r="14" spans="1:20" x14ac:dyDescent="0.2">
      <c r="A14" s="1" t="s">
        <v>53</v>
      </c>
      <c r="B14" s="1" t="s">
        <v>54</v>
      </c>
      <c r="C14" s="1" t="s">
        <v>30</v>
      </c>
      <c r="D14" s="1">
        <v>51</v>
      </c>
      <c r="E14" s="1">
        <v>4</v>
      </c>
      <c r="F14" s="1" t="s">
        <v>31</v>
      </c>
      <c r="G14" s="1">
        <v>6685854</v>
      </c>
      <c r="H14" s="1">
        <f t="shared" si="0"/>
        <v>6.685854</v>
      </c>
      <c r="I14" s="1">
        <v>101</v>
      </c>
      <c r="J14" s="1">
        <v>700500</v>
      </c>
      <c r="K14" s="1">
        <v>0.90392156899999998</v>
      </c>
      <c r="L14" s="1">
        <v>100</v>
      </c>
      <c r="M14" s="1">
        <v>8</v>
      </c>
      <c r="N14" s="1" t="s">
        <v>55</v>
      </c>
    </row>
    <row r="15" spans="1:20" x14ac:dyDescent="0.2">
      <c r="A15" s="1" t="s">
        <v>53</v>
      </c>
      <c r="B15" s="1" t="s">
        <v>56</v>
      </c>
      <c r="C15" s="1" t="s">
        <v>34</v>
      </c>
      <c r="D15" s="1">
        <v>48</v>
      </c>
      <c r="E15" s="1">
        <v>0</v>
      </c>
      <c r="F15" s="1" t="s">
        <v>31</v>
      </c>
      <c r="G15" s="1">
        <v>5600970</v>
      </c>
      <c r="H15" s="1">
        <f t="shared" si="0"/>
        <v>5.6009700000000002</v>
      </c>
      <c r="I15" s="1">
        <v>73</v>
      </c>
      <c r="J15" s="1">
        <v>204946</v>
      </c>
      <c r="K15" s="1">
        <v>0.94117647100000001</v>
      </c>
      <c r="L15" s="1">
        <v>94</v>
      </c>
      <c r="M15" s="1">
        <v>0</v>
      </c>
      <c r="N15" s="1" t="s">
        <v>57</v>
      </c>
    </row>
    <row r="16" spans="1:20" x14ac:dyDescent="0.2">
      <c r="A16" s="1" t="s">
        <v>53</v>
      </c>
      <c r="B16" s="1" t="s">
        <v>58</v>
      </c>
      <c r="C16" s="1" t="s">
        <v>59</v>
      </c>
      <c r="D16" s="1">
        <v>51</v>
      </c>
      <c r="E16" s="1">
        <v>13</v>
      </c>
      <c r="F16" s="1" t="s">
        <v>31</v>
      </c>
      <c r="G16" s="1">
        <v>8711195</v>
      </c>
      <c r="H16" s="1">
        <f t="shared" si="0"/>
        <v>8.711195</v>
      </c>
      <c r="I16" s="1">
        <v>99</v>
      </c>
      <c r="J16" s="1">
        <v>491702</v>
      </c>
      <c r="K16" s="1">
        <v>0.71960784300000002</v>
      </c>
      <c r="L16" s="1">
        <v>100</v>
      </c>
      <c r="M16" s="1">
        <v>25</v>
      </c>
      <c r="N16" s="1" t="s">
        <v>52</v>
      </c>
    </row>
    <row r="17" spans="1:14" x14ac:dyDescent="0.2">
      <c r="A17" s="1" t="s">
        <v>53</v>
      </c>
      <c r="B17" s="1" t="s">
        <v>60</v>
      </c>
      <c r="C17" s="1" t="s">
        <v>61</v>
      </c>
      <c r="D17" s="1">
        <v>34</v>
      </c>
      <c r="E17" s="1">
        <v>12</v>
      </c>
      <c r="F17" s="1" t="s">
        <v>31</v>
      </c>
      <c r="G17" s="1">
        <v>5063676</v>
      </c>
      <c r="H17" s="1">
        <f t="shared" si="0"/>
        <v>5.0636760000000001</v>
      </c>
      <c r="I17" s="1">
        <v>210</v>
      </c>
      <c r="J17" s="1">
        <v>32630</v>
      </c>
      <c r="K17" s="1">
        <v>0.33725490200000002</v>
      </c>
      <c r="L17" s="1">
        <v>67</v>
      </c>
      <c r="M17" s="1">
        <v>24</v>
      </c>
      <c r="N17" s="1" t="s">
        <v>62</v>
      </c>
    </row>
    <row r="18" spans="1:14" x14ac:dyDescent="0.2">
      <c r="A18" s="1" t="s">
        <v>53</v>
      </c>
      <c r="B18" s="1" t="s">
        <v>63</v>
      </c>
      <c r="C18" s="1" t="s">
        <v>64</v>
      </c>
      <c r="D18" s="1">
        <v>51</v>
      </c>
      <c r="E18" s="1">
        <v>0</v>
      </c>
      <c r="F18" s="1" t="s">
        <v>31</v>
      </c>
      <c r="G18" s="1">
        <v>2580674</v>
      </c>
      <c r="H18" s="1">
        <f t="shared" si="0"/>
        <v>2.5806740000000001</v>
      </c>
      <c r="I18" s="1">
        <v>26</v>
      </c>
      <c r="J18" s="1">
        <v>880955</v>
      </c>
      <c r="K18" s="1">
        <v>1</v>
      </c>
      <c r="L18" s="1">
        <v>100</v>
      </c>
      <c r="M18" s="1">
        <v>0</v>
      </c>
      <c r="N18" s="1" t="s">
        <v>55</v>
      </c>
    </row>
    <row r="19" spans="1:14" x14ac:dyDescent="0.2">
      <c r="A19" s="1" t="s">
        <v>53</v>
      </c>
      <c r="B19" s="1" t="s">
        <v>65</v>
      </c>
      <c r="C19" s="1" t="s">
        <v>66</v>
      </c>
      <c r="D19" s="1">
        <v>17</v>
      </c>
      <c r="E19" s="1">
        <v>0</v>
      </c>
      <c r="F19" s="1" t="s">
        <v>31</v>
      </c>
      <c r="G19" s="1">
        <v>2479287</v>
      </c>
      <c r="H19" s="1">
        <f t="shared" si="0"/>
        <v>2.4792869999999998</v>
      </c>
      <c r="I19" s="1">
        <v>94</v>
      </c>
      <c r="J19" s="1">
        <v>35979</v>
      </c>
      <c r="K19" s="1">
        <v>0.33333333300000001</v>
      </c>
      <c r="L19" s="1">
        <v>33</v>
      </c>
      <c r="M19" s="1">
        <v>0</v>
      </c>
      <c r="N19" s="1" t="s">
        <v>67</v>
      </c>
    </row>
    <row r="20" spans="1:14" x14ac:dyDescent="0.2">
      <c r="A20" s="1" t="s">
        <v>53</v>
      </c>
      <c r="B20" s="1" t="s">
        <v>68</v>
      </c>
      <c r="C20" s="1" t="s">
        <v>69</v>
      </c>
      <c r="D20" s="1">
        <v>49</v>
      </c>
      <c r="E20" s="1">
        <v>0</v>
      </c>
      <c r="F20" s="1" t="s">
        <v>31</v>
      </c>
      <c r="G20" s="1">
        <v>6526351</v>
      </c>
      <c r="H20" s="1">
        <f t="shared" si="0"/>
        <v>6.526351</v>
      </c>
      <c r="I20" s="1">
        <v>34</v>
      </c>
      <c r="J20" s="1">
        <v>636909</v>
      </c>
      <c r="K20" s="1">
        <v>0.96078431399999997</v>
      </c>
      <c r="L20" s="1">
        <v>96</v>
      </c>
      <c r="M20" s="1">
        <v>0</v>
      </c>
      <c r="N20" s="1" t="s">
        <v>52</v>
      </c>
    </row>
    <row r="21" spans="1:14" x14ac:dyDescent="0.2">
      <c r="A21" s="1" t="s">
        <v>53</v>
      </c>
      <c r="B21" s="1" t="s">
        <v>70</v>
      </c>
      <c r="C21" s="1" t="s">
        <v>71</v>
      </c>
      <c r="D21" s="1">
        <v>21</v>
      </c>
      <c r="E21" s="1">
        <v>0</v>
      </c>
      <c r="F21" s="1" t="s">
        <v>31</v>
      </c>
      <c r="G21" s="1">
        <v>5050549</v>
      </c>
      <c r="H21" s="1">
        <f t="shared" si="0"/>
        <v>5.0505490000000002</v>
      </c>
      <c r="I21" s="1">
        <v>39</v>
      </c>
      <c r="J21" s="1">
        <v>247716</v>
      </c>
      <c r="K21" s="1">
        <v>0.41176470599999998</v>
      </c>
      <c r="L21" s="1">
        <v>41</v>
      </c>
      <c r="M21" s="1">
        <v>0</v>
      </c>
      <c r="N21" s="1" t="s">
        <v>57</v>
      </c>
    </row>
    <row r="22" spans="1:14" x14ac:dyDescent="0.2">
      <c r="A22" s="1" t="s">
        <v>53</v>
      </c>
      <c r="B22" s="1" t="s">
        <v>72</v>
      </c>
      <c r="C22" s="1" t="s">
        <v>73</v>
      </c>
      <c r="D22" s="1">
        <v>15</v>
      </c>
      <c r="E22" s="1">
        <v>0</v>
      </c>
      <c r="F22" s="1" t="s">
        <v>31</v>
      </c>
      <c r="G22" s="1">
        <v>2120257</v>
      </c>
      <c r="H22" s="1">
        <f t="shared" si="0"/>
        <v>2.1202570000000001</v>
      </c>
      <c r="I22" s="1">
        <v>58</v>
      </c>
      <c r="J22" s="1">
        <v>50622</v>
      </c>
      <c r="K22" s="1">
        <v>0.29411764699999998</v>
      </c>
      <c r="L22" s="1">
        <v>29</v>
      </c>
      <c r="M22" s="1">
        <v>0</v>
      </c>
      <c r="N22" s="1" t="s">
        <v>74</v>
      </c>
    </row>
    <row r="23" spans="1:14" x14ac:dyDescent="0.2">
      <c r="A23" s="1" t="s">
        <v>53</v>
      </c>
      <c r="B23" s="1" t="s">
        <v>75</v>
      </c>
      <c r="C23" s="1" t="s">
        <v>39</v>
      </c>
      <c r="D23" s="1">
        <v>13</v>
      </c>
      <c r="E23" s="1">
        <v>0</v>
      </c>
      <c r="F23" s="1" t="s">
        <v>31</v>
      </c>
      <c r="G23" s="1">
        <v>1240270</v>
      </c>
      <c r="H23" s="1">
        <f t="shared" si="0"/>
        <v>1.24027</v>
      </c>
      <c r="I23" s="1">
        <v>3</v>
      </c>
      <c r="J23" s="1">
        <v>880955</v>
      </c>
      <c r="K23" s="1">
        <v>0.25490196100000001</v>
      </c>
      <c r="L23" s="1">
        <v>25</v>
      </c>
      <c r="M23" s="1">
        <v>0</v>
      </c>
      <c r="N23" s="1" t="s">
        <v>55</v>
      </c>
    </row>
    <row r="24" spans="1:14" x14ac:dyDescent="0.2">
      <c r="A24" s="1" t="s">
        <v>53</v>
      </c>
      <c r="B24" s="1" t="s">
        <v>76</v>
      </c>
      <c r="C24" s="1" t="s">
        <v>77</v>
      </c>
      <c r="D24" s="1">
        <v>49</v>
      </c>
      <c r="E24" s="1">
        <v>0</v>
      </c>
      <c r="F24" s="1" t="s">
        <v>31</v>
      </c>
      <c r="G24" s="1">
        <v>6414333</v>
      </c>
      <c r="H24" s="1">
        <f t="shared" si="0"/>
        <v>6.4143330000000001</v>
      </c>
      <c r="I24" s="1">
        <v>19</v>
      </c>
      <c r="J24" s="1">
        <v>636909</v>
      </c>
      <c r="K24" s="1">
        <v>0.96078431399999997</v>
      </c>
      <c r="L24" s="1">
        <v>96</v>
      </c>
      <c r="M24" s="1">
        <v>0</v>
      </c>
      <c r="N24" s="1" t="s">
        <v>52</v>
      </c>
    </row>
    <row r="25" spans="1:14" x14ac:dyDescent="0.2">
      <c r="A25" s="1" t="s">
        <v>53</v>
      </c>
      <c r="B25" s="1" t="s">
        <v>78</v>
      </c>
      <c r="C25" s="1" t="s">
        <v>42</v>
      </c>
      <c r="D25" s="1">
        <v>31</v>
      </c>
      <c r="E25" s="1">
        <v>0</v>
      </c>
      <c r="F25" s="1" t="s">
        <v>31</v>
      </c>
      <c r="G25" s="1">
        <v>260693</v>
      </c>
      <c r="H25" s="1">
        <f t="shared" si="0"/>
        <v>0.26069300000000001</v>
      </c>
      <c r="I25" s="1">
        <v>2</v>
      </c>
      <c r="J25" s="1">
        <v>187565</v>
      </c>
      <c r="K25" s="1">
        <v>0.60784313700000003</v>
      </c>
      <c r="L25" s="1">
        <v>61</v>
      </c>
      <c r="M25" s="1">
        <v>0</v>
      </c>
      <c r="N25" s="1" t="s">
        <v>55</v>
      </c>
    </row>
    <row r="26" spans="1:14" x14ac:dyDescent="0.2">
      <c r="A26" s="1" t="s">
        <v>53</v>
      </c>
      <c r="B26" s="1" t="s">
        <v>79</v>
      </c>
      <c r="C26" s="1" t="s">
        <v>44</v>
      </c>
      <c r="D26" s="1">
        <v>17</v>
      </c>
      <c r="E26" s="1">
        <v>0</v>
      </c>
      <c r="F26" s="1" t="s">
        <v>31</v>
      </c>
      <c r="G26" s="1">
        <v>2275433</v>
      </c>
      <c r="H26" s="1">
        <f t="shared" si="0"/>
        <v>2.275433</v>
      </c>
      <c r="I26" s="1">
        <v>81</v>
      </c>
      <c r="J26" s="1">
        <v>34168</v>
      </c>
      <c r="K26" s="1">
        <v>0.33333333300000001</v>
      </c>
      <c r="L26" s="1">
        <v>33</v>
      </c>
      <c r="M26" s="1">
        <v>0</v>
      </c>
      <c r="N26" s="1" t="s">
        <v>67</v>
      </c>
    </row>
    <row r="27" spans="1:14" x14ac:dyDescent="0.2">
      <c r="A27" s="1" t="s">
        <v>53</v>
      </c>
      <c r="B27" s="1" t="s">
        <v>80</v>
      </c>
      <c r="C27" s="1" t="s">
        <v>46</v>
      </c>
      <c r="D27" s="1">
        <v>48</v>
      </c>
      <c r="E27" s="1">
        <v>0</v>
      </c>
      <c r="F27" s="1" t="s">
        <v>31</v>
      </c>
      <c r="G27" s="1">
        <v>5124404</v>
      </c>
      <c r="H27" s="1">
        <f t="shared" si="0"/>
        <v>5.1244040000000002</v>
      </c>
      <c r="I27" s="1">
        <v>35</v>
      </c>
      <c r="J27" s="1">
        <v>247716</v>
      </c>
      <c r="K27" s="1">
        <v>0.94117647100000001</v>
      </c>
      <c r="L27" s="1">
        <v>94</v>
      </c>
      <c r="M27" s="1">
        <v>0</v>
      </c>
      <c r="N27" s="1" t="s">
        <v>57</v>
      </c>
    </row>
    <row r="28" spans="1:14" x14ac:dyDescent="0.2">
      <c r="A28" s="1" t="s">
        <v>53</v>
      </c>
      <c r="B28" s="1" t="s">
        <v>81</v>
      </c>
      <c r="C28" s="1" t="s">
        <v>82</v>
      </c>
      <c r="D28" s="1">
        <v>10</v>
      </c>
      <c r="E28" s="1">
        <v>1</v>
      </c>
      <c r="F28" s="1" t="s">
        <v>31</v>
      </c>
      <c r="G28" s="1">
        <v>3082242</v>
      </c>
      <c r="H28" s="1">
        <f t="shared" si="0"/>
        <v>3.0822419999999999</v>
      </c>
      <c r="I28" s="1">
        <v>7</v>
      </c>
      <c r="J28" s="1">
        <v>887207</v>
      </c>
      <c r="K28" s="1">
        <v>0.12627451000000001</v>
      </c>
      <c r="L28" s="1">
        <v>20</v>
      </c>
      <c r="M28" s="1">
        <v>2</v>
      </c>
      <c r="N28" s="1" t="s">
        <v>55</v>
      </c>
    </row>
    <row r="29" spans="1:14" x14ac:dyDescent="0.2">
      <c r="A29" s="1" t="s">
        <v>53</v>
      </c>
      <c r="B29" s="1" t="s">
        <v>83</v>
      </c>
      <c r="C29" s="1" t="s">
        <v>84</v>
      </c>
      <c r="D29" s="1">
        <v>9</v>
      </c>
      <c r="E29" s="1">
        <v>0</v>
      </c>
      <c r="F29" s="1" t="s">
        <v>31</v>
      </c>
      <c r="G29" s="1">
        <v>1831948</v>
      </c>
      <c r="H29" s="1">
        <f t="shared" si="0"/>
        <v>1.8319479999999999</v>
      </c>
      <c r="I29" s="1">
        <v>67</v>
      </c>
      <c r="J29" s="1">
        <v>33283</v>
      </c>
      <c r="K29" s="1">
        <v>0.17647058800000001</v>
      </c>
      <c r="L29" s="1">
        <v>18</v>
      </c>
      <c r="M29" s="1">
        <v>0</v>
      </c>
      <c r="N29" s="1" t="s">
        <v>85</v>
      </c>
    </row>
    <row r="30" spans="1:14" x14ac:dyDescent="0.2">
      <c r="A30" s="1" t="s">
        <v>53</v>
      </c>
      <c r="B30" s="1" t="s">
        <v>86</v>
      </c>
      <c r="C30" s="1" t="s">
        <v>87</v>
      </c>
      <c r="D30" s="1">
        <v>15</v>
      </c>
      <c r="E30" s="1">
        <v>0</v>
      </c>
      <c r="F30" s="1" t="s">
        <v>31</v>
      </c>
      <c r="G30" s="1">
        <v>2120257</v>
      </c>
      <c r="H30" s="1">
        <f t="shared" si="0"/>
        <v>2.1202570000000001</v>
      </c>
      <c r="I30" s="1">
        <v>58</v>
      </c>
      <c r="J30" s="1">
        <v>50622</v>
      </c>
      <c r="K30" s="1">
        <v>0.29411764699999998</v>
      </c>
      <c r="L30" s="1">
        <v>29</v>
      </c>
      <c r="M30" s="1">
        <v>0</v>
      </c>
      <c r="N30" s="1" t="s">
        <v>74</v>
      </c>
    </row>
    <row r="31" spans="1:14" x14ac:dyDescent="0.2">
      <c r="A31" s="1" t="s">
        <v>53</v>
      </c>
      <c r="B31" s="1" t="s">
        <v>88</v>
      </c>
      <c r="C31" s="1" t="s">
        <v>89</v>
      </c>
      <c r="D31" s="1">
        <v>14</v>
      </c>
      <c r="E31" s="1">
        <v>0</v>
      </c>
      <c r="F31" s="1" t="s">
        <v>31</v>
      </c>
      <c r="G31" s="1">
        <v>1994969</v>
      </c>
      <c r="H31" s="1">
        <f t="shared" si="0"/>
        <v>1.994969</v>
      </c>
      <c r="I31" s="1">
        <v>50</v>
      </c>
      <c r="J31" s="1">
        <v>52209</v>
      </c>
      <c r="K31" s="1">
        <v>0.27450980400000002</v>
      </c>
      <c r="L31" s="1">
        <v>27</v>
      </c>
      <c r="M31" s="1">
        <v>0</v>
      </c>
      <c r="N31" s="1" t="s">
        <v>74</v>
      </c>
    </row>
    <row r="32" spans="1:14" x14ac:dyDescent="0.2">
      <c r="A32" s="1" t="s">
        <v>53</v>
      </c>
      <c r="B32" s="1" t="s">
        <v>90</v>
      </c>
      <c r="C32" s="1" t="s">
        <v>91</v>
      </c>
      <c r="D32" s="1">
        <v>1</v>
      </c>
      <c r="E32" s="1">
        <v>0</v>
      </c>
      <c r="F32" s="1" t="s">
        <v>31</v>
      </c>
      <c r="G32" s="1">
        <v>1435051</v>
      </c>
      <c r="H32" s="1">
        <f t="shared" si="0"/>
        <v>1.4350510000000001</v>
      </c>
      <c r="I32" s="1">
        <v>12</v>
      </c>
      <c r="J32" s="1">
        <v>151591</v>
      </c>
      <c r="K32" s="1">
        <v>1.9607843E-2</v>
      </c>
      <c r="L32" s="1">
        <v>2</v>
      </c>
      <c r="M32" s="1">
        <v>0</v>
      </c>
      <c r="N32" s="1" t="s">
        <v>40</v>
      </c>
    </row>
  </sheetData>
  <sortState xmlns:xlrd2="http://schemas.microsoft.com/office/spreadsheetml/2017/richdata2" ref="B35:D43">
    <sortCondition ref="B35:B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ADC6-C2FB-CF48-8889-1327DCFCD2B8}">
  <dimension ref="A1:P30"/>
  <sheetViews>
    <sheetView workbookViewId="0">
      <selection activeCell="C36" sqref="C36"/>
    </sheetView>
  </sheetViews>
  <sheetFormatPr baseColWidth="10" defaultRowHeight="16" x14ac:dyDescent="0.2"/>
  <sheetData>
    <row r="1" spans="1:16" x14ac:dyDescent="0.2">
      <c r="A1" s="12" t="s">
        <v>92</v>
      </c>
      <c r="B1" s="12"/>
      <c r="C1" s="12" t="s">
        <v>93</v>
      </c>
      <c r="D1" s="13" t="s">
        <v>153</v>
      </c>
      <c r="E1" s="12" t="s">
        <v>3</v>
      </c>
      <c r="F1" s="12" t="s">
        <v>4</v>
      </c>
      <c r="G1" s="12" t="s">
        <v>5</v>
      </c>
      <c r="H1" s="12" t="s">
        <v>94</v>
      </c>
      <c r="I1" s="12" t="s">
        <v>7</v>
      </c>
      <c r="J1" s="12" t="s">
        <v>8</v>
      </c>
      <c r="K1" s="2" t="s">
        <v>9</v>
      </c>
      <c r="L1" s="12" t="s">
        <v>10</v>
      </c>
      <c r="M1" s="2" t="s">
        <v>11</v>
      </c>
      <c r="N1" s="2" t="s">
        <v>12</v>
      </c>
      <c r="O1" t="s">
        <v>152</v>
      </c>
      <c r="P1" t="s">
        <v>13</v>
      </c>
    </row>
    <row r="2" spans="1:16" x14ac:dyDescent="0.2">
      <c r="A2" s="12" t="s">
        <v>112</v>
      </c>
      <c r="B2" s="12" t="s">
        <v>29</v>
      </c>
      <c r="C2" s="12" t="s">
        <v>30</v>
      </c>
      <c r="D2" s="13">
        <v>98.43</v>
      </c>
      <c r="E2" s="12">
        <v>21</v>
      </c>
      <c r="F2" s="12">
        <v>5</v>
      </c>
      <c r="G2" s="12" t="s">
        <v>31</v>
      </c>
      <c r="H2" s="12">
        <v>2519132</v>
      </c>
      <c r="I2" s="12">
        <f>H2/1000000</f>
        <v>2.5191319999999999</v>
      </c>
      <c r="J2" s="12">
        <v>180</v>
      </c>
      <c r="K2" s="2">
        <v>22055</v>
      </c>
      <c r="L2" s="12">
        <v>0.219887955</v>
      </c>
      <c r="M2" s="2">
        <v>41</v>
      </c>
      <c r="N2" s="2">
        <v>10</v>
      </c>
      <c r="O2" t="s">
        <v>30</v>
      </c>
      <c r="P2" t="s">
        <v>32</v>
      </c>
    </row>
    <row r="3" spans="1:16" x14ac:dyDescent="0.2">
      <c r="A3" s="12" t="s">
        <v>112</v>
      </c>
      <c r="B3" s="12" t="s">
        <v>33</v>
      </c>
      <c r="C3" s="12" t="s">
        <v>34</v>
      </c>
      <c r="D3" s="13" t="s">
        <v>154</v>
      </c>
      <c r="E3" s="12">
        <v>35</v>
      </c>
      <c r="F3" s="12">
        <v>19</v>
      </c>
      <c r="G3" s="12" t="s">
        <v>31</v>
      </c>
      <c r="H3" s="12">
        <v>4373374</v>
      </c>
      <c r="I3" s="12">
        <f t="shared" ref="I3:I30" si="0">H3/1000000</f>
        <v>4.3733740000000001</v>
      </c>
      <c r="J3" s="12">
        <v>386</v>
      </c>
      <c r="K3" s="2">
        <v>19133</v>
      </c>
      <c r="L3" s="12">
        <v>0.15467787099999999</v>
      </c>
      <c r="M3" s="2">
        <v>69</v>
      </c>
      <c r="N3" s="2">
        <v>37</v>
      </c>
      <c r="O3" t="s">
        <v>34</v>
      </c>
      <c r="P3" t="s">
        <v>35</v>
      </c>
    </row>
    <row r="4" spans="1:16" x14ac:dyDescent="0.2">
      <c r="A4" s="12" t="s">
        <v>112</v>
      </c>
      <c r="B4" s="12" t="s">
        <v>36</v>
      </c>
      <c r="C4" s="12" t="s">
        <v>37</v>
      </c>
      <c r="D4" s="13">
        <v>98.43</v>
      </c>
      <c r="E4" s="12">
        <v>12</v>
      </c>
      <c r="F4" s="12">
        <v>0</v>
      </c>
      <c r="G4" s="12" t="s">
        <v>31</v>
      </c>
      <c r="H4" s="12">
        <v>2269205</v>
      </c>
      <c r="I4" s="12">
        <f t="shared" si="0"/>
        <v>2.2692049999999999</v>
      </c>
      <c r="J4" s="12">
        <v>155</v>
      </c>
      <c r="K4" s="2">
        <v>22476</v>
      </c>
      <c r="L4" s="12">
        <v>0.235294118</v>
      </c>
      <c r="M4" s="2">
        <v>24</v>
      </c>
      <c r="N4" s="2">
        <v>0</v>
      </c>
      <c r="O4" t="s">
        <v>37</v>
      </c>
      <c r="P4" t="s">
        <v>32</v>
      </c>
    </row>
    <row r="5" spans="1:16" x14ac:dyDescent="0.2">
      <c r="A5" s="12" t="s">
        <v>112</v>
      </c>
      <c r="B5" s="12" t="s">
        <v>38</v>
      </c>
      <c r="C5" s="12" t="s">
        <v>39</v>
      </c>
      <c r="D5" s="13" t="s">
        <v>154</v>
      </c>
      <c r="E5" s="12">
        <v>2</v>
      </c>
      <c r="F5" s="12">
        <v>0</v>
      </c>
      <c r="G5" s="12" t="s">
        <v>31</v>
      </c>
      <c r="H5" s="12">
        <v>241036</v>
      </c>
      <c r="I5" s="12">
        <f t="shared" si="0"/>
        <v>0.241036</v>
      </c>
      <c r="J5" s="12">
        <v>16</v>
      </c>
      <c r="K5" s="2">
        <v>20825</v>
      </c>
      <c r="L5" s="12">
        <v>3.9215686E-2</v>
      </c>
      <c r="M5" s="2">
        <v>4</v>
      </c>
      <c r="N5" s="2">
        <v>0</v>
      </c>
      <c r="O5" t="s">
        <v>39</v>
      </c>
      <c r="P5" t="s">
        <v>40</v>
      </c>
    </row>
    <row r="6" spans="1:16" x14ac:dyDescent="0.2">
      <c r="A6" s="12" t="s">
        <v>112</v>
      </c>
      <c r="B6" s="12" t="s">
        <v>41</v>
      </c>
      <c r="C6" s="12" t="s">
        <v>42</v>
      </c>
      <c r="D6" s="13">
        <v>98.81</v>
      </c>
      <c r="E6" s="12">
        <v>6</v>
      </c>
      <c r="F6" s="12">
        <v>0</v>
      </c>
      <c r="G6" s="12" t="s">
        <v>31</v>
      </c>
      <c r="H6" s="12">
        <v>1364418</v>
      </c>
      <c r="I6" s="12">
        <f t="shared" si="0"/>
        <v>1.3644179999999999</v>
      </c>
      <c r="J6" s="12">
        <v>79</v>
      </c>
      <c r="K6" s="2">
        <v>23039</v>
      </c>
      <c r="L6" s="12">
        <v>0.117647059</v>
      </c>
      <c r="M6" s="2">
        <v>12</v>
      </c>
      <c r="N6" s="2">
        <v>0</v>
      </c>
      <c r="O6" t="s">
        <v>42</v>
      </c>
      <c r="P6" t="s">
        <v>32</v>
      </c>
    </row>
    <row r="7" spans="1:16" x14ac:dyDescent="0.2">
      <c r="A7" s="12" t="s">
        <v>112</v>
      </c>
      <c r="B7" s="12" t="s">
        <v>43</v>
      </c>
      <c r="C7" s="12" t="s">
        <v>44</v>
      </c>
      <c r="D7" s="13" t="s">
        <v>154</v>
      </c>
      <c r="E7" s="12">
        <v>32</v>
      </c>
      <c r="F7" s="12">
        <v>14</v>
      </c>
      <c r="G7" s="12" t="s">
        <v>31</v>
      </c>
      <c r="H7" s="12">
        <v>2860618</v>
      </c>
      <c r="I7" s="12">
        <f t="shared" si="0"/>
        <v>2.8606180000000001</v>
      </c>
      <c r="J7" s="12">
        <v>159</v>
      </c>
      <c r="K7" s="2">
        <v>25217</v>
      </c>
      <c r="L7" s="12">
        <v>0.227696078</v>
      </c>
      <c r="M7" s="2">
        <v>63</v>
      </c>
      <c r="N7" s="2">
        <v>27</v>
      </c>
      <c r="O7" t="s">
        <v>44</v>
      </c>
      <c r="P7" t="s">
        <v>35</v>
      </c>
    </row>
    <row r="8" spans="1:16" x14ac:dyDescent="0.2">
      <c r="A8" s="12" t="s">
        <v>112</v>
      </c>
      <c r="B8" s="12" t="s">
        <v>45</v>
      </c>
      <c r="C8" s="12" t="s">
        <v>46</v>
      </c>
      <c r="D8" s="13">
        <v>99.18</v>
      </c>
      <c r="E8" s="12">
        <v>6</v>
      </c>
      <c r="F8" s="12">
        <v>0</v>
      </c>
      <c r="G8" s="12" t="s">
        <v>31</v>
      </c>
      <c r="H8" s="12">
        <v>380667</v>
      </c>
      <c r="I8" s="12">
        <f t="shared" si="0"/>
        <v>0.38066699999999998</v>
      </c>
      <c r="J8" s="12">
        <v>13</v>
      </c>
      <c r="K8" s="2">
        <v>38667</v>
      </c>
      <c r="L8" s="12">
        <v>0.117647059</v>
      </c>
      <c r="M8" s="2">
        <v>12</v>
      </c>
      <c r="N8" s="2">
        <v>0</v>
      </c>
      <c r="O8" t="s">
        <v>46</v>
      </c>
      <c r="P8" t="s">
        <v>32</v>
      </c>
    </row>
    <row r="9" spans="1:16" x14ac:dyDescent="0.2">
      <c r="A9" s="12" t="s">
        <v>113</v>
      </c>
      <c r="B9" s="12" t="s">
        <v>48</v>
      </c>
      <c r="C9" s="12" t="s">
        <v>30</v>
      </c>
      <c r="D9" s="13" t="s">
        <v>154</v>
      </c>
      <c r="E9" s="12">
        <v>11</v>
      </c>
      <c r="F9" s="12">
        <v>0</v>
      </c>
      <c r="G9" s="12" t="s">
        <v>31</v>
      </c>
      <c r="H9" s="12">
        <v>300609</v>
      </c>
      <c r="I9" s="12">
        <f t="shared" si="0"/>
        <v>0.30060900000000002</v>
      </c>
      <c r="J9" s="12">
        <v>55</v>
      </c>
      <c r="K9" s="2">
        <v>9613</v>
      </c>
      <c r="L9" s="12">
        <v>0.21568627500000001</v>
      </c>
      <c r="M9" s="2">
        <v>22</v>
      </c>
      <c r="N9" s="2">
        <v>0</v>
      </c>
      <c r="O9" t="s">
        <v>30</v>
      </c>
      <c r="P9" t="s">
        <v>49</v>
      </c>
    </row>
    <row r="10" spans="1:16" x14ac:dyDescent="0.2">
      <c r="A10" s="12" t="s">
        <v>113</v>
      </c>
      <c r="B10" s="12" t="s">
        <v>50</v>
      </c>
      <c r="C10" s="12" t="s">
        <v>34</v>
      </c>
      <c r="D10" s="13" t="s">
        <v>154</v>
      </c>
      <c r="E10" s="12">
        <v>28</v>
      </c>
      <c r="F10" s="12">
        <v>4</v>
      </c>
      <c r="G10" s="12" t="s">
        <v>31</v>
      </c>
      <c r="H10" s="12">
        <v>4746146</v>
      </c>
      <c r="I10" s="12">
        <f t="shared" si="0"/>
        <v>4.7461460000000004</v>
      </c>
      <c r="J10" s="12">
        <v>352</v>
      </c>
      <c r="K10" s="2">
        <v>22140</v>
      </c>
      <c r="L10" s="12">
        <v>0.42408963599999999</v>
      </c>
      <c r="M10" s="14">
        <v>55</v>
      </c>
      <c r="N10" s="14">
        <v>8</v>
      </c>
      <c r="O10" t="s">
        <v>34</v>
      </c>
      <c r="P10" t="s">
        <v>40</v>
      </c>
    </row>
    <row r="11" spans="1:16" x14ac:dyDescent="0.2">
      <c r="A11" s="12" t="s">
        <v>113</v>
      </c>
      <c r="B11" s="12" t="s">
        <v>51</v>
      </c>
      <c r="C11" s="12" t="s">
        <v>39</v>
      </c>
      <c r="D11" s="13">
        <v>97.03</v>
      </c>
      <c r="E11" s="12">
        <v>9</v>
      </c>
      <c r="F11" s="12">
        <v>0</v>
      </c>
      <c r="G11" s="12" t="s">
        <v>31</v>
      </c>
      <c r="H11" s="12">
        <v>1339431</v>
      </c>
      <c r="I11" s="12">
        <f t="shared" si="0"/>
        <v>1.339431</v>
      </c>
      <c r="J11" s="12">
        <v>70</v>
      </c>
      <c r="K11" s="2">
        <v>28080</v>
      </c>
      <c r="L11" s="12">
        <v>0.17647058800000001</v>
      </c>
      <c r="M11" s="2">
        <v>18</v>
      </c>
      <c r="N11" s="2">
        <v>0</v>
      </c>
      <c r="O11" t="s">
        <v>39</v>
      </c>
      <c r="P11" t="s">
        <v>52</v>
      </c>
    </row>
    <row r="12" spans="1:16" x14ac:dyDescent="0.2">
      <c r="A12" s="12" t="s">
        <v>114</v>
      </c>
      <c r="B12" s="12" t="s">
        <v>54</v>
      </c>
      <c r="C12" s="12" t="s">
        <v>30</v>
      </c>
      <c r="D12" s="13">
        <v>98.78</v>
      </c>
      <c r="E12" s="12">
        <v>51</v>
      </c>
      <c r="F12" s="12">
        <v>4</v>
      </c>
      <c r="G12" s="12" t="s">
        <v>31</v>
      </c>
      <c r="H12" s="12">
        <v>6685854</v>
      </c>
      <c r="I12" s="12">
        <f t="shared" si="0"/>
        <v>6.685854</v>
      </c>
      <c r="J12" s="12">
        <v>101</v>
      </c>
      <c r="K12" s="2">
        <v>700500</v>
      </c>
      <c r="L12" s="12">
        <v>0.90392156899999998</v>
      </c>
      <c r="M12" s="14">
        <v>100</v>
      </c>
      <c r="N12" s="14">
        <v>8</v>
      </c>
      <c r="O12" t="s">
        <v>30</v>
      </c>
      <c r="P12" t="s">
        <v>55</v>
      </c>
    </row>
    <row r="13" spans="1:16" x14ac:dyDescent="0.2">
      <c r="A13" s="12" t="s">
        <v>114</v>
      </c>
      <c r="B13" s="12" t="s">
        <v>56</v>
      </c>
      <c r="C13" s="12" t="s">
        <v>34</v>
      </c>
      <c r="D13" s="13">
        <v>96.55</v>
      </c>
      <c r="E13" s="12">
        <v>48</v>
      </c>
      <c r="F13" s="12">
        <v>0</v>
      </c>
      <c r="G13" s="12" t="s">
        <v>31</v>
      </c>
      <c r="H13" s="12">
        <v>5600970</v>
      </c>
      <c r="I13" s="12">
        <f t="shared" si="0"/>
        <v>5.6009700000000002</v>
      </c>
      <c r="J13" s="12">
        <v>73</v>
      </c>
      <c r="K13" s="2">
        <v>204946</v>
      </c>
      <c r="L13" s="12">
        <v>0.94117647100000001</v>
      </c>
      <c r="M13" s="15">
        <v>94</v>
      </c>
      <c r="N13" s="15">
        <v>0</v>
      </c>
      <c r="O13" t="s">
        <v>34</v>
      </c>
      <c r="P13" t="s">
        <v>57</v>
      </c>
    </row>
    <row r="14" spans="1:16" x14ac:dyDescent="0.2">
      <c r="A14" s="12" t="s">
        <v>114</v>
      </c>
      <c r="B14" s="12" t="s">
        <v>58</v>
      </c>
      <c r="C14" s="12" t="s">
        <v>59</v>
      </c>
      <c r="D14" s="13">
        <v>97.66</v>
      </c>
      <c r="E14" s="12">
        <v>51</v>
      </c>
      <c r="F14" s="12">
        <v>13</v>
      </c>
      <c r="G14" s="12" t="s">
        <v>31</v>
      </c>
      <c r="H14" s="12">
        <v>8711195</v>
      </c>
      <c r="I14" s="12">
        <f t="shared" si="0"/>
        <v>8.711195</v>
      </c>
      <c r="J14" s="12">
        <v>99</v>
      </c>
      <c r="K14" s="2">
        <v>491702</v>
      </c>
      <c r="L14" s="12">
        <v>0.71960784300000002</v>
      </c>
      <c r="M14" s="2">
        <v>100</v>
      </c>
      <c r="N14" s="2">
        <v>25</v>
      </c>
      <c r="O14" t="s">
        <v>59</v>
      </c>
      <c r="P14" t="s">
        <v>52</v>
      </c>
    </row>
    <row r="15" spans="1:16" x14ac:dyDescent="0.2">
      <c r="A15" s="12" t="s">
        <v>114</v>
      </c>
      <c r="B15" s="12" t="s">
        <v>60</v>
      </c>
      <c r="C15" s="12" t="s">
        <v>61</v>
      </c>
      <c r="D15" s="13" t="s">
        <v>154</v>
      </c>
      <c r="E15" s="12">
        <v>34</v>
      </c>
      <c r="F15" s="12">
        <v>12</v>
      </c>
      <c r="G15" s="12" t="s">
        <v>31</v>
      </c>
      <c r="H15" s="12">
        <v>5063676</v>
      </c>
      <c r="I15" s="12">
        <f t="shared" si="0"/>
        <v>5.0636760000000001</v>
      </c>
      <c r="J15" s="12">
        <v>210</v>
      </c>
      <c r="K15" s="2">
        <v>32630</v>
      </c>
      <c r="L15" s="12">
        <v>0.33725490200000002</v>
      </c>
      <c r="M15" s="2">
        <v>67</v>
      </c>
      <c r="N15" s="2">
        <v>24</v>
      </c>
      <c r="O15" t="s">
        <v>61</v>
      </c>
      <c r="P15" t="s">
        <v>62</v>
      </c>
    </row>
    <row r="16" spans="1:16" x14ac:dyDescent="0.2">
      <c r="A16" s="3" t="s">
        <v>114</v>
      </c>
      <c r="B16" s="3" t="s">
        <v>63</v>
      </c>
      <c r="C16" s="3" t="s">
        <v>64</v>
      </c>
      <c r="D16" s="13">
        <v>99.32</v>
      </c>
      <c r="E16" s="3">
        <v>51</v>
      </c>
      <c r="F16" s="3">
        <v>0</v>
      </c>
      <c r="G16" s="3" t="s">
        <v>31</v>
      </c>
      <c r="H16" s="3">
        <v>2580674</v>
      </c>
      <c r="I16" s="12">
        <f t="shared" si="0"/>
        <v>2.5806740000000001</v>
      </c>
      <c r="J16" s="3">
        <v>26</v>
      </c>
      <c r="K16" s="3">
        <v>880955</v>
      </c>
      <c r="L16" s="3">
        <v>1</v>
      </c>
      <c r="M16" s="16">
        <v>100</v>
      </c>
      <c r="N16" s="3">
        <v>0</v>
      </c>
      <c r="O16" s="17" t="s">
        <v>64</v>
      </c>
      <c r="P16" s="17" t="s">
        <v>55</v>
      </c>
    </row>
    <row r="17" spans="1:16" x14ac:dyDescent="0.2">
      <c r="A17" s="12" t="s">
        <v>114</v>
      </c>
      <c r="B17" s="12" t="s">
        <v>65</v>
      </c>
      <c r="C17" s="12" t="s">
        <v>66</v>
      </c>
      <c r="D17" s="13">
        <v>96.74</v>
      </c>
      <c r="E17" s="12">
        <v>17</v>
      </c>
      <c r="F17" s="12">
        <v>0</v>
      </c>
      <c r="G17" s="12" t="s">
        <v>31</v>
      </c>
      <c r="H17" s="12">
        <v>2479287</v>
      </c>
      <c r="I17" s="12">
        <f t="shared" si="0"/>
        <v>2.4792869999999998</v>
      </c>
      <c r="J17" s="12">
        <v>94</v>
      </c>
      <c r="K17" s="2">
        <v>35979</v>
      </c>
      <c r="L17" s="12">
        <v>0.33333333300000001</v>
      </c>
      <c r="M17" s="2">
        <v>33</v>
      </c>
      <c r="N17" s="2">
        <v>0</v>
      </c>
      <c r="O17" t="s">
        <v>66</v>
      </c>
      <c r="P17" t="s">
        <v>67</v>
      </c>
    </row>
    <row r="18" spans="1:16" x14ac:dyDescent="0.2">
      <c r="A18" s="3" t="s">
        <v>114</v>
      </c>
      <c r="B18" s="3" t="s">
        <v>68</v>
      </c>
      <c r="C18" s="3" t="s">
        <v>69</v>
      </c>
      <c r="D18" s="13">
        <v>97.66</v>
      </c>
      <c r="E18" s="3">
        <v>49</v>
      </c>
      <c r="F18" s="3">
        <v>0</v>
      </c>
      <c r="G18" s="3" t="s">
        <v>31</v>
      </c>
      <c r="H18" s="3">
        <v>6526351</v>
      </c>
      <c r="I18" s="12">
        <f t="shared" si="0"/>
        <v>6.526351</v>
      </c>
      <c r="J18" s="3">
        <v>34</v>
      </c>
      <c r="K18" s="3">
        <v>636909</v>
      </c>
      <c r="L18" s="3">
        <v>0.96078431399999997</v>
      </c>
      <c r="M18" s="16">
        <v>96</v>
      </c>
      <c r="N18" s="3">
        <v>0</v>
      </c>
      <c r="O18" s="17" t="s">
        <v>69</v>
      </c>
      <c r="P18" s="17" t="s">
        <v>52</v>
      </c>
    </row>
    <row r="19" spans="1:16" x14ac:dyDescent="0.2">
      <c r="A19" s="12" t="s">
        <v>114</v>
      </c>
      <c r="B19" s="12" t="s">
        <v>70</v>
      </c>
      <c r="C19" s="12" t="s">
        <v>71</v>
      </c>
      <c r="D19" s="13">
        <v>96.55</v>
      </c>
      <c r="E19" s="12">
        <v>21</v>
      </c>
      <c r="F19" s="12">
        <v>0</v>
      </c>
      <c r="G19" s="12" t="s">
        <v>31</v>
      </c>
      <c r="H19" s="12">
        <v>5050549</v>
      </c>
      <c r="I19" s="12">
        <f t="shared" si="0"/>
        <v>5.0505490000000002</v>
      </c>
      <c r="J19" s="12">
        <v>39</v>
      </c>
      <c r="K19" s="2">
        <v>247716</v>
      </c>
      <c r="L19" s="12">
        <v>0.41176470599999998</v>
      </c>
      <c r="M19" s="2">
        <v>41</v>
      </c>
      <c r="N19" s="2">
        <v>0</v>
      </c>
      <c r="O19" t="s">
        <v>71</v>
      </c>
      <c r="P19" t="s">
        <v>57</v>
      </c>
    </row>
    <row r="20" spans="1:16" x14ac:dyDescent="0.2">
      <c r="A20" s="12" t="s">
        <v>114</v>
      </c>
      <c r="B20" s="12" t="s">
        <v>72</v>
      </c>
      <c r="C20" s="12" t="s">
        <v>73</v>
      </c>
      <c r="D20" s="13" t="s">
        <v>154</v>
      </c>
      <c r="E20" s="12">
        <v>15</v>
      </c>
      <c r="F20" s="12">
        <v>0</v>
      </c>
      <c r="G20" s="12" t="s">
        <v>31</v>
      </c>
      <c r="H20" s="12">
        <v>2120257</v>
      </c>
      <c r="I20" s="12">
        <f t="shared" si="0"/>
        <v>2.1202570000000001</v>
      </c>
      <c r="J20" s="12">
        <v>58</v>
      </c>
      <c r="K20" s="2">
        <v>50622</v>
      </c>
      <c r="L20" s="12">
        <v>0.29411764699999998</v>
      </c>
      <c r="M20" s="2">
        <v>29</v>
      </c>
      <c r="N20" s="2">
        <v>0</v>
      </c>
      <c r="O20" t="s">
        <v>73</v>
      </c>
      <c r="P20" t="s">
        <v>74</v>
      </c>
    </row>
    <row r="21" spans="1:16" x14ac:dyDescent="0.2">
      <c r="A21" s="12" t="s">
        <v>114</v>
      </c>
      <c r="B21" s="12" t="s">
        <v>75</v>
      </c>
      <c r="C21" s="12" t="s">
        <v>39</v>
      </c>
      <c r="D21" s="13">
        <v>99.28</v>
      </c>
      <c r="E21" s="12">
        <v>13</v>
      </c>
      <c r="F21" s="12">
        <v>0</v>
      </c>
      <c r="G21" s="12" t="s">
        <v>31</v>
      </c>
      <c r="H21" s="12">
        <v>1240270</v>
      </c>
      <c r="I21" s="12">
        <f t="shared" si="0"/>
        <v>1.24027</v>
      </c>
      <c r="J21" s="12">
        <v>3</v>
      </c>
      <c r="K21" s="2">
        <v>880955</v>
      </c>
      <c r="L21" s="12">
        <v>0.25490196100000001</v>
      </c>
      <c r="M21" s="2">
        <v>25</v>
      </c>
      <c r="N21" s="2">
        <v>0</v>
      </c>
      <c r="O21" t="s">
        <v>39</v>
      </c>
      <c r="P21" t="s">
        <v>55</v>
      </c>
    </row>
    <row r="22" spans="1:16" x14ac:dyDescent="0.2">
      <c r="A22" s="12" t="s">
        <v>114</v>
      </c>
      <c r="B22" s="12" t="s">
        <v>76</v>
      </c>
      <c r="C22" s="12" t="s">
        <v>77</v>
      </c>
      <c r="D22" s="13">
        <v>97.65</v>
      </c>
      <c r="E22" s="12">
        <v>49</v>
      </c>
      <c r="F22" s="12">
        <v>0</v>
      </c>
      <c r="G22" s="12" t="s">
        <v>31</v>
      </c>
      <c r="H22" s="12">
        <v>6414333</v>
      </c>
      <c r="I22" s="12">
        <f t="shared" si="0"/>
        <v>6.4143330000000001</v>
      </c>
      <c r="J22" s="12">
        <v>19</v>
      </c>
      <c r="K22" s="2">
        <v>636909</v>
      </c>
      <c r="L22" s="12">
        <v>0.96078431399999997</v>
      </c>
      <c r="M22" s="14">
        <v>96</v>
      </c>
      <c r="N22" s="14">
        <v>0</v>
      </c>
      <c r="O22" t="s">
        <v>77</v>
      </c>
      <c r="P22" t="s">
        <v>52</v>
      </c>
    </row>
    <row r="23" spans="1:16" x14ac:dyDescent="0.2">
      <c r="A23" s="12" t="s">
        <v>114</v>
      </c>
      <c r="B23" s="12" t="s">
        <v>78</v>
      </c>
      <c r="C23" s="12" t="s">
        <v>42</v>
      </c>
      <c r="D23" s="13">
        <v>99.18</v>
      </c>
      <c r="E23" s="12">
        <v>31</v>
      </c>
      <c r="F23" s="12">
        <v>0</v>
      </c>
      <c r="G23" s="12" t="s">
        <v>31</v>
      </c>
      <c r="H23" s="12">
        <v>260693</v>
      </c>
      <c r="I23" s="12">
        <f t="shared" si="0"/>
        <v>0.26069300000000001</v>
      </c>
      <c r="J23" s="12">
        <v>2</v>
      </c>
      <c r="K23" s="2">
        <v>187565</v>
      </c>
      <c r="L23" s="12">
        <v>0.60784313700000003</v>
      </c>
      <c r="M23" s="14">
        <v>61</v>
      </c>
      <c r="N23" s="14">
        <v>0</v>
      </c>
      <c r="O23" t="s">
        <v>42</v>
      </c>
      <c r="P23" t="s">
        <v>55</v>
      </c>
    </row>
    <row r="24" spans="1:16" x14ac:dyDescent="0.2">
      <c r="A24" s="12" t="s">
        <v>114</v>
      </c>
      <c r="B24" s="12" t="s">
        <v>79</v>
      </c>
      <c r="C24" s="12" t="s">
        <v>44</v>
      </c>
      <c r="D24" s="13">
        <v>96.75</v>
      </c>
      <c r="E24" s="12">
        <v>17</v>
      </c>
      <c r="F24" s="12">
        <v>0</v>
      </c>
      <c r="G24" s="12" t="s">
        <v>31</v>
      </c>
      <c r="H24" s="12">
        <v>2275433</v>
      </c>
      <c r="I24" s="12">
        <f t="shared" si="0"/>
        <v>2.275433</v>
      </c>
      <c r="J24" s="12">
        <v>81</v>
      </c>
      <c r="K24" s="2">
        <v>34168</v>
      </c>
      <c r="L24" s="12">
        <v>0.33333333300000001</v>
      </c>
      <c r="M24" s="2">
        <v>33</v>
      </c>
      <c r="N24" s="2">
        <v>0</v>
      </c>
      <c r="O24" t="s">
        <v>44</v>
      </c>
      <c r="P24" t="s">
        <v>67</v>
      </c>
    </row>
    <row r="25" spans="1:16" x14ac:dyDescent="0.2">
      <c r="A25" s="3" t="s">
        <v>114</v>
      </c>
      <c r="B25" s="3" t="s">
        <v>80</v>
      </c>
      <c r="C25" s="3" t="s">
        <v>46</v>
      </c>
      <c r="D25" s="13">
        <v>96.53</v>
      </c>
      <c r="E25" s="3">
        <v>48</v>
      </c>
      <c r="F25" s="3">
        <v>0</v>
      </c>
      <c r="G25" s="3" t="s">
        <v>31</v>
      </c>
      <c r="H25" s="3">
        <v>5124404</v>
      </c>
      <c r="I25" s="12">
        <f t="shared" si="0"/>
        <v>5.1244040000000002</v>
      </c>
      <c r="J25" s="3">
        <v>35</v>
      </c>
      <c r="K25" s="3">
        <v>247716</v>
      </c>
      <c r="L25" s="3">
        <v>0.94117647100000001</v>
      </c>
      <c r="M25" s="18">
        <v>94</v>
      </c>
      <c r="N25" s="15">
        <v>0</v>
      </c>
      <c r="O25" s="17" t="s">
        <v>46</v>
      </c>
      <c r="P25" s="17" t="s">
        <v>57</v>
      </c>
    </row>
    <row r="26" spans="1:16" x14ac:dyDescent="0.2">
      <c r="A26" s="12" t="s">
        <v>114</v>
      </c>
      <c r="B26" s="12" t="s">
        <v>81</v>
      </c>
      <c r="C26" s="12" t="s">
        <v>82</v>
      </c>
      <c r="D26" s="13">
        <v>99.02</v>
      </c>
      <c r="E26" s="12">
        <v>10</v>
      </c>
      <c r="F26" s="12">
        <v>1</v>
      </c>
      <c r="G26" s="12" t="s">
        <v>31</v>
      </c>
      <c r="H26" s="12">
        <v>3082242</v>
      </c>
      <c r="I26" s="12">
        <f t="shared" si="0"/>
        <v>3.0822419999999999</v>
      </c>
      <c r="J26" s="12">
        <v>7</v>
      </c>
      <c r="K26" s="2">
        <v>887207</v>
      </c>
      <c r="L26" s="12">
        <v>0.12627451000000001</v>
      </c>
      <c r="M26" s="2">
        <v>20</v>
      </c>
      <c r="N26" s="2">
        <v>2</v>
      </c>
      <c r="O26" t="s">
        <v>82</v>
      </c>
      <c r="P26" t="s">
        <v>55</v>
      </c>
    </row>
    <row r="27" spans="1:16" x14ac:dyDescent="0.2">
      <c r="A27" s="12" t="s">
        <v>114</v>
      </c>
      <c r="B27" s="12" t="s">
        <v>83</v>
      </c>
      <c r="C27" s="12" t="s">
        <v>84</v>
      </c>
      <c r="D27" s="13">
        <v>96.82</v>
      </c>
      <c r="E27" s="12">
        <v>9</v>
      </c>
      <c r="F27" s="12">
        <v>0</v>
      </c>
      <c r="G27" s="12" t="s">
        <v>31</v>
      </c>
      <c r="H27" s="12">
        <v>1831948</v>
      </c>
      <c r="I27" s="12">
        <f t="shared" si="0"/>
        <v>1.8319479999999999</v>
      </c>
      <c r="J27" s="12">
        <v>67</v>
      </c>
      <c r="K27" s="2">
        <v>33283</v>
      </c>
      <c r="L27" s="12">
        <v>0.17647058800000001</v>
      </c>
      <c r="M27" s="2">
        <v>18</v>
      </c>
      <c r="N27" s="2">
        <v>0</v>
      </c>
      <c r="O27" t="s">
        <v>84</v>
      </c>
      <c r="P27" t="s">
        <v>85</v>
      </c>
    </row>
    <row r="28" spans="1:16" x14ac:dyDescent="0.2">
      <c r="A28" s="12" t="s">
        <v>114</v>
      </c>
      <c r="B28" s="12" t="s">
        <v>86</v>
      </c>
      <c r="C28" s="12" t="s">
        <v>87</v>
      </c>
      <c r="D28" s="13" t="s">
        <v>154</v>
      </c>
      <c r="E28" s="12">
        <v>15</v>
      </c>
      <c r="F28" s="12">
        <v>0</v>
      </c>
      <c r="G28" s="12" t="s">
        <v>31</v>
      </c>
      <c r="H28" s="12">
        <v>2120257</v>
      </c>
      <c r="I28" s="12">
        <f t="shared" si="0"/>
        <v>2.1202570000000001</v>
      </c>
      <c r="J28" s="12">
        <v>58</v>
      </c>
      <c r="K28" s="2">
        <v>50622</v>
      </c>
      <c r="L28" s="12">
        <v>0.29411764699999998</v>
      </c>
      <c r="M28" s="2">
        <v>29</v>
      </c>
      <c r="N28" s="2">
        <v>0</v>
      </c>
      <c r="O28" t="s">
        <v>87</v>
      </c>
      <c r="P28" t="s">
        <v>74</v>
      </c>
    </row>
    <row r="29" spans="1:16" x14ac:dyDescent="0.2">
      <c r="A29" s="12" t="s">
        <v>114</v>
      </c>
      <c r="B29" s="12" t="s">
        <v>88</v>
      </c>
      <c r="C29" s="12" t="s">
        <v>89</v>
      </c>
      <c r="D29" s="13" t="s">
        <v>154</v>
      </c>
      <c r="E29" s="12">
        <v>14</v>
      </c>
      <c r="F29" s="12">
        <v>0</v>
      </c>
      <c r="G29" s="12" t="s">
        <v>31</v>
      </c>
      <c r="H29" s="12">
        <v>1994969</v>
      </c>
      <c r="I29" s="12">
        <f t="shared" si="0"/>
        <v>1.994969</v>
      </c>
      <c r="J29" s="12">
        <v>50</v>
      </c>
      <c r="K29" s="2">
        <v>52209</v>
      </c>
      <c r="L29" s="12">
        <v>0.27450980400000002</v>
      </c>
      <c r="M29" s="2">
        <v>27</v>
      </c>
      <c r="N29" s="2">
        <v>0</v>
      </c>
      <c r="O29" t="s">
        <v>89</v>
      </c>
      <c r="P29" t="s">
        <v>74</v>
      </c>
    </row>
    <row r="30" spans="1:16" x14ac:dyDescent="0.2">
      <c r="A30" s="12" t="s">
        <v>114</v>
      </c>
      <c r="B30" s="12" t="s">
        <v>90</v>
      </c>
      <c r="C30" s="12" t="s">
        <v>91</v>
      </c>
      <c r="D30" s="13" t="s">
        <v>154</v>
      </c>
      <c r="E30" s="12">
        <v>1</v>
      </c>
      <c r="F30" s="12">
        <v>0</v>
      </c>
      <c r="G30" s="12" t="s">
        <v>31</v>
      </c>
      <c r="H30" s="12">
        <v>1435051</v>
      </c>
      <c r="I30" s="12">
        <f t="shared" si="0"/>
        <v>1.4350510000000001</v>
      </c>
      <c r="J30" s="12">
        <v>12</v>
      </c>
      <c r="K30" s="2">
        <v>151591</v>
      </c>
      <c r="L30" s="12">
        <v>1.9607843E-2</v>
      </c>
      <c r="M30" s="2">
        <v>2</v>
      </c>
      <c r="N30" s="2">
        <v>0</v>
      </c>
      <c r="O30" t="s">
        <v>146</v>
      </c>
      <c r="P3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BE1E-D892-354A-B891-C661302D7018}">
  <dimension ref="A1:P39"/>
  <sheetViews>
    <sheetView workbookViewId="0">
      <selection activeCell="B17" sqref="B17"/>
    </sheetView>
  </sheetViews>
  <sheetFormatPr baseColWidth="10" defaultColWidth="11" defaultRowHeight="16" x14ac:dyDescent="0.2"/>
  <cols>
    <col min="1" max="1" width="22.83203125" customWidth="1"/>
    <col min="2" max="2" width="18.33203125" customWidth="1"/>
  </cols>
  <sheetData>
    <row r="1" spans="1:16" x14ac:dyDescent="0.2">
      <c r="B1" t="s">
        <v>156</v>
      </c>
      <c r="C1" t="s">
        <v>157</v>
      </c>
      <c r="D1" t="s">
        <v>158</v>
      </c>
      <c r="E1" s="2" t="s">
        <v>159</v>
      </c>
      <c r="F1" t="s">
        <v>160</v>
      </c>
      <c r="G1" t="s">
        <v>161</v>
      </c>
      <c r="H1" t="s">
        <v>162</v>
      </c>
      <c r="I1" t="s">
        <v>163</v>
      </c>
    </row>
    <row r="2" spans="1:16" x14ac:dyDescent="0.2">
      <c r="A2" t="s">
        <v>164</v>
      </c>
      <c r="B2" t="s">
        <v>165</v>
      </c>
      <c r="C2">
        <v>16991</v>
      </c>
      <c r="D2">
        <v>1011</v>
      </c>
      <c r="E2" s="2">
        <v>5.9501999999999997</v>
      </c>
      <c r="F2">
        <v>0.21679999999999999</v>
      </c>
      <c r="G2">
        <v>0.1116</v>
      </c>
      <c r="H2">
        <v>1187936</v>
      </c>
      <c r="I2">
        <v>12.759696</v>
      </c>
      <c r="N2" t="s">
        <v>159</v>
      </c>
    </row>
    <row r="3" spans="1:16" x14ac:dyDescent="0.2">
      <c r="A3" t="s">
        <v>164</v>
      </c>
      <c r="B3" t="s">
        <v>166</v>
      </c>
      <c r="C3">
        <v>37651</v>
      </c>
      <c r="D3">
        <v>1393</v>
      </c>
      <c r="E3" s="2">
        <v>3.6998000000000002</v>
      </c>
      <c r="F3">
        <v>0.30109999999999998</v>
      </c>
      <c r="G3">
        <v>4.1300000000000003E-2</v>
      </c>
      <c r="H3">
        <v>1400568</v>
      </c>
      <c r="I3">
        <v>7.9971319999999997</v>
      </c>
      <c r="N3" t="s">
        <v>164</v>
      </c>
      <c r="O3" t="s">
        <v>167</v>
      </c>
      <c r="P3" t="s">
        <v>168</v>
      </c>
    </row>
    <row r="4" spans="1:16" x14ac:dyDescent="0.2">
      <c r="A4" t="s">
        <v>164</v>
      </c>
      <c r="B4" t="s">
        <v>169</v>
      </c>
      <c r="C4">
        <v>51453</v>
      </c>
      <c r="D4">
        <v>8227</v>
      </c>
      <c r="E4" s="2">
        <v>15.9893</v>
      </c>
      <c r="F4">
        <v>8.0286000000000008</v>
      </c>
      <c r="G4">
        <v>0.98409999999999997</v>
      </c>
      <c r="H4">
        <v>25534779</v>
      </c>
      <c r="I4">
        <v>156.03754900000001</v>
      </c>
      <c r="N4" t="s">
        <v>170</v>
      </c>
      <c r="O4" t="s">
        <v>171</v>
      </c>
      <c r="P4" t="s">
        <v>172</v>
      </c>
    </row>
    <row r="5" spans="1:16" x14ac:dyDescent="0.2">
      <c r="A5" t="s">
        <v>164</v>
      </c>
      <c r="B5" t="s">
        <v>173</v>
      </c>
      <c r="C5">
        <v>19617</v>
      </c>
      <c r="D5">
        <v>1156</v>
      </c>
      <c r="E5" s="2">
        <v>5.8928000000000003</v>
      </c>
      <c r="F5">
        <v>0.21029999999999999</v>
      </c>
      <c r="G5">
        <v>9.3399999999999997E-2</v>
      </c>
      <c r="H5">
        <v>1096503</v>
      </c>
      <c r="I5">
        <v>10.720294000000001</v>
      </c>
      <c r="K5" t="s">
        <v>174</v>
      </c>
      <c r="L5" t="s">
        <v>121</v>
      </c>
      <c r="M5" t="s">
        <v>175</v>
      </c>
      <c r="N5" t="s">
        <v>63</v>
      </c>
      <c r="O5" t="s">
        <v>68</v>
      </c>
      <c r="P5" t="s">
        <v>80</v>
      </c>
    </row>
    <row r="6" spans="1:16" x14ac:dyDescent="0.2">
      <c r="A6" t="s">
        <v>164</v>
      </c>
      <c r="B6" t="s">
        <v>176</v>
      </c>
      <c r="C6">
        <v>30664</v>
      </c>
      <c r="D6">
        <v>1016</v>
      </c>
      <c r="E6" s="2">
        <v>3.3132999999999999</v>
      </c>
      <c r="F6">
        <v>0.20760000000000001</v>
      </c>
      <c r="G6">
        <v>3.15E-2</v>
      </c>
      <c r="H6">
        <v>896056</v>
      </c>
      <c r="I6">
        <v>6.7701539999999998</v>
      </c>
      <c r="K6" t="s">
        <v>165</v>
      </c>
      <c r="L6" t="s">
        <v>29</v>
      </c>
      <c r="M6" t="s">
        <v>112</v>
      </c>
      <c r="N6" s="2">
        <v>5.9501999999999997</v>
      </c>
      <c r="O6" s="2">
        <v>11.5649</v>
      </c>
      <c r="P6" s="2">
        <v>2.4424999999999999</v>
      </c>
    </row>
    <row r="7" spans="1:16" x14ac:dyDescent="0.2">
      <c r="A7" t="s">
        <v>164</v>
      </c>
      <c r="B7" t="s">
        <v>177</v>
      </c>
      <c r="C7">
        <v>28191</v>
      </c>
      <c r="D7">
        <v>4501</v>
      </c>
      <c r="E7" s="2">
        <v>15.966100000000001</v>
      </c>
      <c r="F7">
        <v>4.0625</v>
      </c>
      <c r="G7">
        <v>0.93820000000000003</v>
      </c>
      <c r="H7">
        <v>13224209</v>
      </c>
      <c r="I7">
        <v>144.10627500000001</v>
      </c>
      <c r="K7" t="s">
        <v>166</v>
      </c>
      <c r="L7" t="s">
        <v>48</v>
      </c>
      <c r="M7" t="s">
        <v>113</v>
      </c>
      <c r="N7" s="2">
        <v>3.6998000000000002</v>
      </c>
      <c r="O7" s="2">
        <v>9.8270999999999997</v>
      </c>
      <c r="P7" s="2">
        <v>4.0423999999999998</v>
      </c>
    </row>
    <row r="8" spans="1:16" x14ac:dyDescent="0.2">
      <c r="A8" t="s">
        <v>164</v>
      </c>
      <c r="B8" t="s">
        <v>178</v>
      </c>
      <c r="C8">
        <v>86893</v>
      </c>
      <c r="D8">
        <v>3920</v>
      </c>
      <c r="E8" s="2">
        <v>4.5113000000000003</v>
      </c>
      <c r="F8">
        <v>0.70979999999999999</v>
      </c>
      <c r="G8">
        <v>0.18490000000000001</v>
      </c>
      <c r="H8">
        <v>3707254</v>
      </c>
      <c r="I8">
        <v>8.1686669999999992</v>
      </c>
      <c r="K8" t="s">
        <v>169</v>
      </c>
      <c r="L8" t="s">
        <v>54</v>
      </c>
      <c r="M8" t="s">
        <v>114</v>
      </c>
      <c r="N8" s="2">
        <v>15.9893</v>
      </c>
      <c r="O8" s="2">
        <v>18.2225</v>
      </c>
      <c r="P8" s="2">
        <v>19.217500000000001</v>
      </c>
    </row>
    <row r="9" spans="1:16" x14ac:dyDescent="0.2">
      <c r="A9" t="s">
        <v>164</v>
      </c>
      <c r="B9" t="s">
        <v>179</v>
      </c>
      <c r="C9">
        <v>81322</v>
      </c>
      <c r="D9">
        <v>5739</v>
      </c>
      <c r="E9" s="2">
        <v>7.0571000000000002</v>
      </c>
      <c r="F9">
        <v>0.85170000000000001</v>
      </c>
      <c r="G9">
        <v>2.8899999999999999E-2</v>
      </c>
      <c r="H9">
        <v>4681339</v>
      </c>
      <c r="I9">
        <v>10.473181</v>
      </c>
      <c r="K9" t="s">
        <v>173</v>
      </c>
      <c r="L9" t="s">
        <v>33</v>
      </c>
      <c r="M9" t="s">
        <v>112</v>
      </c>
      <c r="N9" s="2">
        <v>5.8928000000000003</v>
      </c>
      <c r="O9" s="2">
        <v>9.3541000000000007</v>
      </c>
      <c r="P9" s="2">
        <v>1.9065000000000001</v>
      </c>
    </row>
    <row r="10" spans="1:16" x14ac:dyDescent="0.2">
      <c r="A10" t="s">
        <v>164</v>
      </c>
      <c r="B10" t="s">
        <v>180</v>
      </c>
      <c r="C10">
        <v>143043</v>
      </c>
      <c r="D10">
        <v>10027</v>
      </c>
      <c r="E10" s="2">
        <v>7.0098000000000003</v>
      </c>
      <c r="F10">
        <v>6.9047999999999998</v>
      </c>
      <c r="G10">
        <v>0.97740000000000005</v>
      </c>
      <c r="H10">
        <v>23009449</v>
      </c>
      <c r="I10">
        <v>48.270800000000001</v>
      </c>
      <c r="K10" t="s">
        <v>176</v>
      </c>
      <c r="L10" t="s">
        <v>50</v>
      </c>
      <c r="M10" t="s">
        <v>113</v>
      </c>
      <c r="N10" s="2">
        <v>3.3132999999999999</v>
      </c>
      <c r="O10" s="2">
        <v>7.5235000000000003</v>
      </c>
      <c r="P10" s="2">
        <v>3.2513999999999998</v>
      </c>
    </row>
    <row r="11" spans="1:16" x14ac:dyDescent="0.2">
      <c r="A11" t="s">
        <v>167</v>
      </c>
      <c r="B11" t="s">
        <v>165</v>
      </c>
      <c r="C11">
        <v>16991</v>
      </c>
      <c r="D11">
        <v>1965</v>
      </c>
      <c r="E11" s="2">
        <v>11.5649</v>
      </c>
      <c r="F11">
        <v>0.38090000000000002</v>
      </c>
      <c r="G11">
        <v>0.2361</v>
      </c>
      <c r="H11">
        <v>5314314</v>
      </c>
      <c r="I11">
        <v>22.417750999999999</v>
      </c>
      <c r="K11" t="s">
        <v>177</v>
      </c>
      <c r="L11" t="s">
        <v>56</v>
      </c>
      <c r="M11" t="s">
        <v>114</v>
      </c>
      <c r="N11" s="2">
        <v>15.966100000000001</v>
      </c>
      <c r="O11" s="2">
        <v>16.242799999999999</v>
      </c>
      <c r="P11" s="2">
        <v>17.668800000000001</v>
      </c>
    </row>
    <row r="12" spans="1:16" x14ac:dyDescent="0.2">
      <c r="A12" t="s">
        <v>167</v>
      </c>
      <c r="B12" t="s">
        <v>166</v>
      </c>
      <c r="C12">
        <v>37651</v>
      </c>
      <c r="D12">
        <v>3700</v>
      </c>
      <c r="E12" s="2">
        <v>9.8270999999999997</v>
      </c>
      <c r="F12">
        <v>1.1232</v>
      </c>
      <c r="G12">
        <v>0.5706</v>
      </c>
      <c r="H12">
        <v>14925588</v>
      </c>
      <c r="I12">
        <v>29.831876999999999</v>
      </c>
      <c r="K12" t="s">
        <v>178</v>
      </c>
      <c r="L12" t="s">
        <v>36</v>
      </c>
      <c r="M12" t="s">
        <v>112</v>
      </c>
      <c r="N12" s="2">
        <v>4.5113000000000003</v>
      </c>
      <c r="O12" s="2">
        <v>2.6711</v>
      </c>
      <c r="P12" s="2">
        <v>0.52939999999999998</v>
      </c>
    </row>
    <row r="13" spans="1:16" x14ac:dyDescent="0.2">
      <c r="A13" t="s">
        <v>167</v>
      </c>
      <c r="B13" t="s">
        <v>169</v>
      </c>
      <c r="C13">
        <v>51453</v>
      </c>
      <c r="D13">
        <v>9376</v>
      </c>
      <c r="E13" s="2">
        <v>18.2225</v>
      </c>
      <c r="F13">
        <v>4.5590000000000002</v>
      </c>
      <c r="G13">
        <v>0.97850000000000004</v>
      </c>
      <c r="H13">
        <v>43376007</v>
      </c>
      <c r="I13">
        <v>88.605135000000004</v>
      </c>
      <c r="K13" t="s">
        <v>179</v>
      </c>
      <c r="L13" t="s">
        <v>51</v>
      </c>
      <c r="M13" t="s">
        <v>113</v>
      </c>
      <c r="N13" s="2">
        <v>7.0571000000000002</v>
      </c>
      <c r="O13" s="2">
        <v>2.6880999999999999</v>
      </c>
      <c r="P13" s="2">
        <v>0.84970000000000001</v>
      </c>
    </row>
    <row r="14" spans="1:16" x14ac:dyDescent="0.2">
      <c r="A14" t="s">
        <v>167</v>
      </c>
      <c r="B14" t="s">
        <v>173</v>
      </c>
      <c r="C14">
        <v>19617</v>
      </c>
      <c r="D14">
        <v>1835</v>
      </c>
      <c r="E14" s="2">
        <v>9.3541000000000007</v>
      </c>
      <c r="F14">
        <v>0.3362</v>
      </c>
      <c r="G14">
        <v>0.20030000000000001</v>
      </c>
      <c r="H14">
        <v>4539439</v>
      </c>
      <c r="I14">
        <v>17.138196000000001</v>
      </c>
      <c r="K14" t="s">
        <v>180</v>
      </c>
      <c r="L14" t="s">
        <v>58</v>
      </c>
      <c r="M14" t="s">
        <v>114</v>
      </c>
      <c r="N14" s="2">
        <v>7.0098000000000003</v>
      </c>
      <c r="O14" s="2">
        <v>4.1826999999999996</v>
      </c>
      <c r="P14" s="2">
        <v>4.1273999999999997</v>
      </c>
    </row>
    <row r="15" spans="1:16" x14ac:dyDescent="0.2">
      <c r="A15" t="s">
        <v>167</v>
      </c>
      <c r="B15" t="s">
        <v>176</v>
      </c>
      <c r="C15">
        <v>30664</v>
      </c>
      <c r="D15">
        <v>2307</v>
      </c>
      <c r="E15" s="2">
        <v>7.5235000000000003</v>
      </c>
      <c r="F15">
        <v>0.63739999999999997</v>
      </c>
      <c r="G15">
        <v>0.40160000000000001</v>
      </c>
      <c r="H15">
        <v>8287323</v>
      </c>
      <c r="I15">
        <v>20.78659</v>
      </c>
    </row>
    <row r="16" spans="1:16" x14ac:dyDescent="0.2">
      <c r="A16" t="s">
        <v>167</v>
      </c>
      <c r="B16" t="s">
        <v>177</v>
      </c>
      <c r="C16">
        <v>28191</v>
      </c>
      <c r="D16">
        <v>4579</v>
      </c>
      <c r="E16" s="2">
        <v>16.242799999999999</v>
      </c>
      <c r="F16">
        <v>2.0550999999999999</v>
      </c>
      <c r="G16">
        <v>0.81850000000000001</v>
      </c>
      <c r="H16">
        <v>19637968</v>
      </c>
      <c r="I16">
        <v>72.899152000000001</v>
      </c>
    </row>
    <row r="17" spans="1:9" x14ac:dyDescent="0.2">
      <c r="A17" t="s">
        <v>167</v>
      </c>
      <c r="B17" t="s">
        <v>178</v>
      </c>
      <c r="C17">
        <v>86893</v>
      </c>
      <c r="D17">
        <v>2321</v>
      </c>
      <c r="E17" s="2">
        <v>2.6711</v>
      </c>
      <c r="F17">
        <v>0.4113</v>
      </c>
      <c r="G17">
        <v>0.2319</v>
      </c>
      <c r="H17">
        <v>5151553</v>
      </c>
      <c r="I17">
        <v>4.7334079999999998</v>
      </c>
    </row>
    <row r="18" spans="1:9" x14ac:dyDescent="0.2">
      <c r="A18" t="s">
        <v>167</v>
      </c>
      <c r="B18" t="s">
        <v>179</v>
      </c>
      <c r="C18">
        <v>81322</v>
      </c>
      <c r="D18">
        <v>2186</v>
      </c>
      <c r="E18" s="2">
        <v>2.6880999999999999</v>
      </c>
      <c r="F18">
        <v>0.70350000000000001</v>
      </c>
      <c r="G18">
        <v>0.44529999999999997</v>
      </c>
      <c r="H18">
        <v>7671036</v>
      </c>
      <c r="I18">
        <v>8.6507959999999997</v>
      </c>
    </row>
    <row r="19" spans="1:9" x14ac:dyDescent="0.2">
      <c r="A19" t="s">
        <v>167</v>
      </c>
      <c r="B19" t="s">
        <v>180</v>
      </c>
      <c r="C19">
        <v>143043</v>
      </c>
      <c r="D19">
        <v>5983</v>
      </c>
      <c r="E19" s="2">
        <v>4.1826999999999996</v>
      </c>
      <c r="F19">
        <v>2.7873000000000001</v>
      </c>
      <c r="G19">
        <v>0.90790000000000004</v>
      </c>
      <c r="H19">
        <v>24122759</v>
      </c>
      <c r="I19">
        <v>19.485748999999998</v>
      </c>
    </row>
    <row r="20" spans="1:9" x14ac:dyDescent="0.2">
      <c r="A20" t="s">
        <v>168</v>
      </c>
      <c r="B20" t="s">
        <v>165</v>
      </c>
      <c r="C20">
        <v>16991</v>
      </c>
      <c r="D20">
        <v>415</v>
      </c>
      <c r="E20" s="2">
        <v>2.4424999999999999</v>
      </c>
      <c r="F20">
        <v>9.8699999999999996E-2</v>
      </c>
      <c r="G20">
        <v>5.11E-2</v>
      </c>
      <c r="H20">
        <v>1994732</v>
      </c>
      <c r="I20">
        <v>5.8089579999999996</v>
      </c>
    </row>
    <row r="21" spans="1:9" x14ac:dyDescent="0.2">
      <c r="A21" t="s">
        <v>168</v>
      </c>
      <c r="B21" t="s">
        <v>166</v>
      </c>
      <c r="C21">
        <v>37651</v>
      </c>
      <c r="D21">
        <v>1522</v>
      </c>
      <c r="E21" s="2">
        <v>4.0423999999999998</v>
      </c>
      <c r="F21">
        <v>0.38669999999999999</v>
      </c>
      <c r="G21">
        <v>0.1822</v>
      </c>
      <c r="H21">
        <v>8368089</v>
      </c>
      <c r="I21">
        <v>10.270644000000001</v>
      </c>
    </row>
    <row r="22" spans="1:9" x14ac:dyDescent="0.2">
      <c r="A22" t="s">
        <v>168</v>
      </c>
      <c r="B22" t="s">
        <v>169</v>
      </c>
      <c r="C22">
        <v>51453</v>
      </c>
      <c r="D22">
        <v>9888</v>
      </c>
      <c r="E22" s="2">
        <v>19.217500000000001</v>
      </c>
      <c r="F22">
        <v>5.0561999999999996</v>
      </c>
      <c r="G22">
        <v>0.97940000000000005</v>
      </c>
      <c r="H22">
        <v>39354914</v>
      </c>
      <c r="I22">
        <v>98.268322999999995</v>
      </c>
    </row>
    <row r="23" spans="1:9" x14ac:dyDescent="0.2">
      <c r="A23" t="s">
        <v>168</v>
      </c>
      <c r="B23" t="s">
        <v>173</v>
      </c>
      <c r="C23">
        <v>19617</v>
      </c>
      <c r="D23">
        <v>374</v>
      </c>
      <c r="E23" s="2">
        <v>1.9065000000000001</v>
      </c>
      <c r="F23">
        <v>8.6999999999999994E-2</v>
      </c>
      <c r="G23">
        <v>3.9199999999999999E-2</v>
      </c>
      <c r="H23">
        <v>2085661</v>
      </c>
      <c r="I23">
        <v>4.4349290000000003</v>
      </c>
    </row>
    <row r="24" spans="1:9" x14ac:dyDescent="0.2">
      <c r="A24" t="s">
        <v>168</v>
      </c>
      <c r="B24" t="s">
        <v>176</v>
      </c>
      <c r="C24">
        <v>30664</v>
      </c>
      <c r="D24">
        <v>997</v>
      </c>
      <c r="E24" s="2">
        <v>3.2513999999999998</v>
      </c>
      <c r="F24">
        <v>0.22389999999999999</v>
      </c>
      <c r="G24">
        <v>0.1343</v>
      </c>
      <c r="H24">
        <v>5077866</v>
      </c>
      <c r="I24">
        <v>7.3017219999999998</v>
      </c>
    </row>
    <row r="25" spans="1:9" x14ac:dyDescent="0.2">
      <c r="A25" t="s">
        <v>168</v>
      </c>
      <c r="B25" t="s">
        <v>177</v>
      </c>
      <c r="C25">
        <v>28191</v>
      </c>
      <c r="D25">
        <v>4981</v>
      </c>
      <c r="E25" s="2">
        <v>17.668800000000001</v>
      </c>
      <c r="F25">
        <v>2.4809999999999999</v>
      </c>
      <c r="G25">
        <v>0.876</v>
      </c>
      <c r="H25">
        <v>18699308</v>
      </c>
      <c r="I25">
        <v>88.006810999999999</v>
      </c>
    </row>
    <row r="26" spans="1:9" x14ac:dyDescent="0.2">
      <c r="A26" t="s">
        <v>168</v>
      </c>
      <c r="B26" t="s">
        <v>178</v>
      </c>
      <c r="C26">
        <v>86893</v>
      </c>
      <c r="D26">
        <v>460</v>
      </c>
      <c r="E26" s="2">
        <v>0.52939999999999998</v>
      </c>
      <c r="F26">
        <v>0.1273</v>
      </c>
      <c r="G26">
        <v>3.2899999999999999E-2</v>
      </c>
      <c r="H26">
        <v>2209197</v>
      </c>
      <c r="I26">
        <v>1.46502</v>
      </c>
    </row>
    <row r="27" spans="1:9" x14ac:dyDescent="0.2">
      <c r="A27" t="s">
        <v>168</v>
      </c>
      <c r="B27" t="s">
        <v>179</v>
      </c>
      <c r="C27">
        <v>81322</v>
      </c>
      <c r="D27">
        <v>691</v>
      </c>
      <c r="E27" s="2">
        <v>0.84970000000000001</v>
      </c>
      <c r="F27">
        <v>0.16880000000000001</v>
      </c>
      <c r="G27">
        <v>0.1036</v>
      </c>
      <c r="H27">
        <v>3670700</v>
      </c>
      <c r="I27">
        <v>2.0756990000000002</v>
      </c>
    </row>
    <row r="28" spans="1:9" x14ac:dyDescent="0.2">
      <c r="A28" t="s">
        <v>168</v>
      </c>
      <c r="B28" t="s">
        <v>180</v>
      </c>
      <c r="C28">
        <v>143043</v>
      </c>
      <c r="D28">
        <v>5904</v>
      </c>
      <c r="E28" s="2">
        <v>4.1273999999999997</v>
      </c>
      <c r="F28">
        <v>2.9929999999999999</v>
      </c>
      <c r="G28">
        <v>0.91930000000000001</v>
      </c>
      <c r="H28">
        <v>21869394</v>
      </c>
      <c r="I28">
        <v>20.923777999999999</v>
      </c>
    </row>
    <row r="31" spans="1:9" x14ac:dyDescent="0.2">
      <c r="A31" t="s">
        <v>181</v>
      </c>
      <c r="B31" t="s">
        <v>182</v>
      </c>
      <c r="C31" t="s">
        <v>183</v>
      </c>
    </row>
    <row r="32" spans="1:9" x14ac:dyDescent="0.2">
      <c r="A32" t="s">
        <v>156</v>
      </c>
      <c r="B32" t="s">
        <v>184</v>
      </c>
      <c r="C32" t="s">
        <v>185</v>
      </c>
    </row>
    <row r="33" spans="1:3" x14ac:dyDescent="0.2">
      <c r="A33" t="s">
        <v>157</v>
      </c>
      <c r="B33" t="s">
        <v>186</v>
      </c>
      <c r="C33" t="s">
        <v>187</v>
      </c>
    </row>
    <row r="34" spans="1:3" x14ac:dyDescent="0.2">
      <c r="A34" t="s">
        <v>158</v>
      </c>
      <c r="B34" t="s">
        <v>188</v>
      </c>
      <c r="C34" t="s">
        <v>189</v>
      </c>
    </row>
    <row r="35" spans="1:3" x14ac:dyDescent="0.2">
      <c r="A35" t="s">
        <v>159</v>
      </c>
      <c r="B35" t="s">
        <v>190</v>
      </c>
      <c r="C35" t="s">
        <v>191</v>
      </c>
    </row>
    <row r="36" spans="1:3" x14ac:dyDescent="0.2">
      <c r="A36" t="s">
        <v>160</v>
      </c>
      <c r="B36" t="s">
        <v>192</v>
      </c>
      <c r="C36" t="s">
        <v>193</v>
      </c>
    </row>
    <row r="37" spans="1:3" x14ac:dyDescent="0.2">
      <c r="A37" t="s">
        <v>161</v>
      </c>
      <c r="B37" t="s">
        <v>194</v>
      </c>
      <c r="C37" t="s">
        <v>195</v>
      </c>
    </row>
    <row r="38" spans="1:3" x14ac:dyDescent="0.2">
      <c r="A38" t="s">
        <v>162</v>
      </c>
      <c r="B38" t="s">
        <v>196</v>
      </c>
      <c r="C38" t="s">
        <v>197</v>
      </c>
    </row>
    <row r="39" spans="1:3" x14ac:dyDescent="0.2">
      <c r="A39" t="s">
        <v>163</v>
      </c>
      <c r="B39" t="s">
        <v>198</v>
      </c>
      <c r="C39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D03D-4E93-BB44-B9C4-6E2BD06F6578}">
  <dimension ref="A1:N169"/>
  <sheetViews>
    <sheetView topLeftCell="A112" workbookViewId="0">
      <selection activeCell="H33" sqref="H33"/>
    </sheetView>
  </sheetViews>
  <sheetFormatPr baseColWidth="10" defaultRowHeight="16" x14ac:dyDescent="0.2"/>
  <cols>
    <col min="2" max="2" width="19.33203125" customWidth="1"/>
    <col min="4" max="4" width="16.5" customWidth="1"/>
    <col min="6" max="6" width="7.83203125" customWidth="1"/>
    <col min="7" max="7" width="8.33203125" customWidth="1"/>
    <col min="8" max="8" width="6.1640625" customWidth="1"/>
    <col min="9" max="9" width="11"/>
    <col min="11" max="11" width="21" customWidth="1"/>
  </cols>
  <sheetData>
    <row r="1" spans="1:14" x14ac:dyDescent="0.2">
      <c r="A1" t="s">
        <v>200</v>
      </c>
      <c r="B1" t="s">
        <v>115</v>
      </c>
      <c r="C1" s="12" t="s">
        <v>201</v>
      </c>
      <c r="D1" t="s">
        <v>116</v>
      </c>
      <c r="E1" s="12" t="s">
        <v>202</v>
      </c>
      <c r="F1" t="s">
        <v>117</v>
      </c>
      <c r="G1" t="s">
        <v>118</v>
      </c>
      <c r="H1" t="s">
        <v>119</v>
      </c>
      <c r="J1" s="6"/>
      <c r="K1" s="6" t="s">
        <v>64</v>
      </c>
      <c r="L1" s="6" t="s">
        <v>69</v>
      </c>
      <c r="M1" s="6" t="s">
        <v>46</v>
      </c>
      <c r="N1" s="7"/>
    </row>
    <row r="2" spans="1:14" x14ac:dyDescent="0.2">
      <c r="A2" t="s">
        <v>155</v>
      </c>
      <c r="B2" t="s">
        <v>30</v>
      </c>
      <c r="C2" t="s">
        <v>203</v>
      </c>
      <c r="D2" t="s">
        <v>120</v>
      </c>
      <c r="E2" s="12" t="s">
        <v>204</v>
      </c>
      <c r="F2">
        <v>99.833399999999997</v>
      </c>
      <c r="G2">
        <v>1981</v>
      </c>
      <c r="H2">
        <v>2176</v>
      </c>
      <c r="J2" s="8" t="s">
        <v>121</v>
      </c>
      <c r="K2" s="9" t="s">
        <v>63</v>
      </c>
      <c r="L2" s="9" t="s">
        <v>68</v>
      </c>
      <c r="M2" s="9" t="s">
        <v>80</v>
      </c>
    </row>
    <row r="3" spans="1:14" x14ac:dyDescent="0.2">
      <c r="A3" t="s">
        <v>155</v>
      </c>
      <c r="B3" t="s">
        <v>30</v>
      </c>
      <c r="C3" t="s">
        <v>203</v>
      </c>
      <c r="D3" t="s">
        <v>122</v>
      </c>
      <c r="E3" s="12" t="s">
        <v>205</v>
      </c>
      <c r="F3">
        <v>92.287300000000002</v>
      </c>
      <c r="G3">
        <v>1648</v>
      </c>
      <c r="H3">
        <v>2176</v>
      </c>
      <c r="J3" s="10" t="s">
        <v>123</v>
      </c>
      <c r="K3" s="6">
        <v>0</v>
      </c>
      <c r="L3" s="6">
        <v>0</v>
      </c>
      <c r="M3" s="6">
        <v>0</v>
      </c>
    </row>
    <row r="4" spans="1:14" x14ac:dyDescent="0.2">
      <c r="A4" t="s">
        <v>155</v>
      </c>
      <c r="B4" t="s">
        <v>30</v>
      </c>
      <c r="C4" t="s">
        <v>203</v>
      </c>
      <c r="D4" t="s">
        <v>124</v>
      </c>
      <c r="E4" s="12" t="s">
        <v>206</v>
      </c>
      <c r="F4">
        <v>92.005200000000002</v>
      </c>
      <c r="G4">
        <v>1676</v>
      </c>
      <c r="H4">
        <v>2176</v>
      </c>
      <c r="J4" s="10" t="s">
        <v>125</v>
      </c>
      <c r="K4" s="6">
        <v>0</v>
      </c>
      <c r="L4" s="6">
        <v>0</v>
      </c>
      <c r="M4" s="6">
        <v>0</v>
      </c>
    </row>
    <row r="5" spans="1:14" x14ac:dyDescent="0.2">
      <c r="A5" t="s">
        <v>155</v>
      </c>
      <c r="B5" t="s">
        <v>30</v>
      </c>
      <c r="C5" t="s">
        <v>203</v>
      </c>
      <c r="D5" t="s">
        <v>126</v>
      </c>
      <c r="E5" s="12" t="s">
        <v>207</v>
      </c>
      <c r="F5">
        <v>80.634900000000002</v>
      </c>
      <c r="G5">
        <v>697</v>
      </c>
      <c r="H5">
        <v>2176</v>
      </c>
      <c r="J5" s="10" t="s">
        <v>127</v>
      </c>
      <c r="K5" s="6">
        <v>93.025300000000001</v>
      </c>
      <c r="L5" s="6">
        <v>0</v>
      </c>
      <c r="M5" s="6">
        <v>0</v>
      </c>
    </row>
    <row r="6" spans="1:14" x14ac:dyDescent="0.2">
      <c r="A6" t="s">
        <v>155</v>
      </c>
      <c r="B6" t="s">
        <v>34</v>
      </c>
      <c r="C6" t="s">
        <v>208</v>
      </c>
      <c r="D6" t="s">
        <v>128</v>
      </c>
      <c r="E6" s="12" t="s">
        <v>209</v>
      </c>
      <c r="F6">
        <v>77.675299999999993</v>
      </c>
      <c r="G6">
        <v>501</v>
      </c>
      <c r="H6">
        <v>1828</v>
      </c>
      <c r="J6" s="10" t="s">
        <v>129</v>
      </c>
      <c r="K6" s="6">
        <v>0</v>
      </c>
      <c r="L6" s="6">
        <v>99.929599999999994</v>
      </c>
      <c r="M6" s="6">
        <v>0</v>
      </c>
    </row>
    <row r="7" spans="1:14" x14ac:dyDescent="0.2">
      <c r="A7" t="s">
        <v>155</v>
      </c>
      <c r="B7" s="2" t="s">
        <v>59</v>
      </c>
      <c r="C7" t="s">
        <v>210</v>
      </c>
      <c r="D7" s="2" t="s">
        <v>130</v>
      </c>
      <c r="E7" s="12" t="s">
        <v>211</v>
      </c>
      <c r="F7" s="2">
        <v>99.905799999999999</v>
      </c>
      <c r="G7">
        <v>2127</v>
      </c>
      <c r="H7">
        <v>2855</v>
      </c>
      <c r="J7" s="10" t="s">
        <v>131</v>
      </c>
      <c r="K7" s="6">
        <v>0</v>
      </c>
      <c r="L7" s="6">
        <v>0</v>
      </c>
      <c r="M7" s="6">
        <v>0</v>
      </c>
    </row>
    <row r="8" spans="1:14" x14ac:dyDescent="0.2">
      <c r="A8" t="s">
        <v>155</v>
      </c>
      <c r="B8" s="2" t="s">
        <v>59</v>
      </c>
      <c r="C8" t="s">
        <v>210</v>
      </c>
      <c r="D8" s="2" t="s">
        <v>132</v>
      </c>
      <c r="E8" s="12" t="s">
        <v>212</v>
      </c>
      <c r="F8" s="2">
        <v>97.766499999999994</v>
      </c>
      <c r="G8">
        <v>1948</v>
      </c>
      <c r="H8">
        <v>2855</v>
      </c>
      <c r="J8" s="10" t="s">
        <v>133</v>
      </c>
      <c r="K8" s="6">
        <v>0</v>
      </c>
      <c r="L8" s="6">
        <v>0</v>
      </c>
      <c r="M8" s="6">
        <v>0</v>
      </c>
    </row>
    <row r="9" spans="1:14" x14ac:dyDescent="0.2">
      <c r="A9" t="s">
        <v>155</v>
      </c>
      <c r="B9" s="2" t="s">
        <v>59</v>
      </c>
      <c r="C9" t="s">
        <v>210</v>
      </c>
      <c r="D9" s="2" t="s">
        <v>134</v>
      </c>
      <c r="E9" s="12" t="s">
        <v>213</v>
      </c>
      <c r="F9" s="2">
        <v>82.251099999999994</v>
      </c>
      <c r="G9">
        <v>1041</v>
      </c>
      <c r="H9">
        <v>2855</v>
      </c>
      <c r="J9" s="10" t="s">
        <v>135</v>
      </c>
      <c r="K9" s="6">
        <v>99.907600000000002</v>
      </c>
      <c r="L9" s="6">
        <v>0</v>
      </c>
      <c r="M9" s="6">
        <v>0</v>
      </c>
    </row>
    <row r="10" spans="1:14" x14ac:dyDescent="0.2">
      <c r="A10" t="s">
        <v>155</v>
      </c>
      <c r="B10" t="s">
        <v>59</v>
      </c>
      <c r="C10" t="s">
        <v>210</v>
      </c>
      <c r="D10" t="s">
        <v>136</v>
      </c>
      <c r="E10" s="12" t="s">
        <v>214</v>
      </c>
      <c r="F10">
        <v>76.564599999999999</v>
      </c>
      <c r="G10">
        <v>363</v>
      </c>
      <c r="H10">
        <v>2855</v>
      </c>
      <c r="J10" s="10" t="s">
        <v>137</v>
      </c>
      <c r="K10" s="6">
        <v>93.100099999999998</v>
      </c>
      <c r="L10" s="6">
        <v>0</v>
      </c>
      <c r="M10" s="6">
        <v>0</v>
      </c>
    </row>
    <row r="11" spans="1:14" x14ac:dyDescent="0.2">
      <c r="A11" t="s">
        <v>155</v>
      </c>
      <c r="B11" t="s">
        <v>59</v>
      </c>
      <c r="C11" t="s">
        <v>210</v>
      </c>
      <c r="D11" t="s">
        <v>138</v>
      </c>
      <c r="E11" s="12" t="s">
        <v>215</v>
      </c>
      <c r="F11">
        <v>76.358099999999993</v>
      </c>
      <c r="G11">
        <v>330</v>
      </c>
      <c r="H11">
        <v>2855</v>
      </c>
      <c r="J11" s="11"/>
    </row>
    <row r="12" spans="1:14" x14ac:dyDescent="0.2">
      <c r="A12" t="s">
        <v>155</v>
      </c>
      <c r="B12" t="s">
        <v>59</v>
      </c>
      <c r="C12" t="s">
        <v>210</v>
      </c>
      <c r="D12" t="s">
        <v>139</v>
      </c>
      <c r="E12" s="12" t="s">
        <v>216</v>
      </c>
      <c r="F12">
        <v>75.827299999999994</v>
      </c>
      <c r="G12">
        <v>214</v>
      </c>
      <c r="H12">
        <v>2855</v>
      </c>
      <c r="J12" s="11"/>
    </row>
    <row r="13" spans="1:14" x14ac:dyDescent="0.2">
      <c r="A13" t="s">
        <v>155</v>
      </c>
      <c r="B13" t="s">
        <v>61</v>
      </c>
      <c r="C13" t="s">
        <v>217</v>
      </c>
      <c r="D13" t="s">
        <v>140</v>
      </c>
      <c r="E13" s="12" t="s">
        <v>218</v>
      </c>
      <c r="F13">
        <v>97.630300000000005</v>
      </c>
      <c r="G13">
        <v>798</v>
      </c>
      <c r="H13">
        <v>1575</v>
      </c>
      <c r="J13" s="11"/>
    </row>
    <row r="14" spans="1:14" x14ac:dyDescent="0.2">
      <c r="A14" t="s">
        <v>155</v>
      </c>
      <c r="B14" t="s">
        <v>61</v>
      </c>
      <c r="C14" t="s">
        <v>217</v>
      </c>
      <c r="D14" t="s">
        <v>141</v>
      </c>
      <c r="E14" s="12" t="s">
        <v>219</v>
      </c>
      <c r="F14">
        <v>80.590400000000002</v>
      </c>
      <c r="G14">
        <v>310</v>
      </c>
      <c r="H14">
        <v>1575</v>
      </c>
      <c r="J14" s="11"/>
    </row>
    <row r="15" spans="1:14" x14ac:dyDescent="0.2">
      <c r="A15" t="s">
        <v>155</v>
      </c>
      <c r="B15" s="2" t="s">
        <v>64</v>
      </c>
      <c r="C15" t="s">
        <v>220</v>
      </c>
      <c r="D15" s="2" t="s">
        <v>120</v>
      </c>
      <c r="E15" s="12" t="s">
        <v>204</v>
      </c>
      <c r="F15" s="2">
        <v>99.907600000000002</v>
      </c>
      <c r="G15">
        <v>793</v>
      </c>
      <c r="H15">
        <v>846</v>
      </c>
      <c r="J15" s="11"/>
    </row>
    <row r="16" spans="1:14" x14ac:dyDescent="0.2">
      <c r="A16" t="s">
        <v>155</v>
      </c>
      <c r="B16" s="2" t="s">
        <v>64</v>
      </c>
      <c r="C16" t="s">
        <v>220</v>
      </c>
      <c r="D16" s="2" t="s">
        <v>122</v>
      </c>
      <c r="E16" s="12" t="s">
        <v>205</v>
      </c>
      <c r="F16" s="2">
        <v>93.100099999999998</v>
      </c>
      <c r="G16">
        <v>754</v>
      </c>
      <c r="H16">
        <v>846</v>
      </c>
      <c r="J16" s="11"/>
    </row>
    <row r="17" spans="1:10" x14ac:dyDescent="0.2">
      <c r="A17" t="s">
        <v>155</v>
      </c>
      <c r="B17" s="2" t="s">
        <v>64</v>
      </c>
      <c r="C17" t="s">
        <v>220</v>
      </c>
      <c r="D17" s="2" t="s">
        <v>124</v>
      </c>
      <c r="E17" s="12" t="s">
        <v>206</v>
      </c>
      <c r="F17" s="2">
        <v>93.025300000000001</v>
      </c>
      <c r="G17">
        <v>745</v>
      </c>
      <c r="H17">
        <v>846</v>
      </c>
      <c r="J17" s="11"/>
    </row>
    <row r="18" spans="1:10" x14ac:dyDescent="0.2">
      <c r="A18" t="s">
        <v>155</v>
      </c>
      <c r="B18" s="2" t="s">
        <v>64</v>
      </c>
      <c r="C18" t="s">
        <v>220</v>
      </c>
      <c r="D18" s="2" t="s">
        <v>126</v>
      </c>
      <c r="E18" s="12" t="s">
        <v>207</v>
      </c>
      <c r="F18" s="2">
        <v>81.747799999999998</v>
      </c>
      <c r="G18">
        <v>452</v>
      </c>
      <c r="H18">
        <v>846</v>
      </c>
      <c r="J18" s="11"/>
    </row>
    <row r="19" spans="1:10" x14ac:dyDescent="0.2">
      <c r="A19" t="s">
        <v>155</v>
      </c>
      <c r="B19" s="2" t="s">
        <v>69</v>
      </c>
      <c r="C19" t="s">
        <v>221</v>
      </c>
      <c r="D19" s="2" t="s">
        <v>130</v>
      </c>
      <c r="E19" s="12" t="s">
        <v>211</v>
      </c>
      <c r="F19" s="2">
        <v>99.929599999999994</v>
      </c>
      <c r="G19">
        <v>2125</v>
      </c>
      <c r="H19">
        <v>2158</v>
      </c>
      <c r="J19" s="11"/>
    </row>
    <row r="20" spans="1:10" x14ac:dyDescent="0.2">
      <c r="A20" t="s">
        <v>155</v>
      </c>
      <c r="B20" s="2" t="s">
        <v>69</v>
      </c>
      <c r="C20" s="13" t="s">
        <v>221</v>
      </c>
      <c r="D20" s="2" t="s">
        <v>132</v>
      </c>
      <c r="E20" s="19" t="s">
        <v>212</v>
      </c>
      <c r="F20" s="2">
        <v>97.826099999999997</v>
      </c>
      <c r="G20">
        <v>1943</v>
      </c>
      <c r="H20">
        <v>2158</v>
      </c>
      <c r="J20" s="11"/>
    </row>
    <row r="21" spans="1:10" x14ac:dyDescent="0.2">
      <c r="A21" t="s">
        <v>155</v>
      </c>
      <c r="B21" s="2" t="s">
        <v>69</v>
      </c>
      <c r="C21" t="s">
        <v>221</v>
      </c>
      <c r="D21" s="2" t="s">
        <v>134</v>
      </c>
      <c r="E21" s="12" t="s">
        <v>213</v>
      </c>
      <c r="F21" s="2">
        <v>82.356800000000007</v>
      </c>
      <c r="G21">
        <v>1027</v>
      </c>
      <c r="H21">
        <v>2158</v>
      </c>
      <c r="J21" s="11"/>
    </row>
    <row r="22" spans="1:10" x14ac:dyDescent="0.2">
      <c r="A22" t="s">
        <v>155</v>
      </c>
      <c r="B22" t="s">
        <v>71</v>
      </c>
      <c r="C22" s="13" t="s">
        <v>222</v>
      </c>
      <c r="D22" t="s">
        <v>128</v>
      </c>
      <c r="E22" s="19" t="s">
        <v>209</v>
      </c>
      <c r="F22">
        <v>77.671599999999998</v>
      </c>
      <c r="G22">
        <v>475</v>
      </c>
      <c r="H22">
        <v>1663</v>
      </c>
    </row>
    <row r="23" spans="1:10" x14ac:dyDescent="0.2">
      <c r="A23" t="s">
        <v>155</v>
      </c>
      <c r="B23" t="s">
        <v>73</v>
      </c>
      <c r="C23" t="s">
        <v>223</v>
      </c>
      <c r="D23" t="s">
        <v>128</v>
      </c>
      <c r="E23" s="12" t="s">
        <v>209</v>
      </c>
      <c r="F23">
        <v>75.804599999999994</v>
      </c>
      <c r="G23">
        <v>141</v>
      </c>
      <c r="H23">
        <v>678</v>
      </c>
    </row>
    <row r="24" spans="1:10" x14ac:dyDescent="0.2">
      <c r="A24" t="s">
        <v>155</v>
      </c>
      <c r="B24" t="s">
        <v>73</v>
      </c>
      <c r="C24" t="s">
        <v>223</v>
      </c>
      <c r="D24" t="s">
        <v>130</v>
      </c>
      <c r="E24" s="12" t="s">
        <v>211</v>
      </c>
      <c r="F24">
        <v>75.101900000000001</v>
      </c>
      <c r="G24">
        <v>171</v>
      </c>
      <c r="H24">
        <v>678</v>
      </c>
    </row>
    <row r="25" spans="1:10" x14ac:dyDescent="0.2">
      <c r="A25" t="s">
        <v>155</v>
      </c>
      <c r="B25" t="s">
        <v>73</v>
      </c>
      <c r="C25" t="s">
        <v>223</v>
      </c>
      <c r="D25" t="s">
        <v>132</v>
      </c>
      <c r="E25" s="12" t="s">
        <v>212</v>
      </c>
      <c r="F25">
        <v>75.092699999999994</v>
      </c>
      <c r="G25">
        <v>180</v>
      </c>
      <c r="H25">
        <v>678</v>
      </c>
    </row>
    <row r="26" spans="1:10" x14ac:dyDescent="0.2">
      <c r="A26" t="s">
        <v>155</v>
      </c>
      <c r="B26" s="2" t="s">
        <v>77</v>
      </c>
      <c r="C26" t="s">
        <v>224</v>
      </c>
      <c r="D26" s="2" t="s">
        <v>130</v>
      </c>
      <c r="E26" s="12" t="s">
        <v>211</v>
      </c>
      <c r="F26" s="2">
        <v>99.930400000000006</v>
      </c>
      <c r="G26">
        <v>2120</v>
      </c>
      <c r="H26">
        <v>2128</v>
      </c>
    </row>
    <row r="27" spans="1:10" x14ac:dyDescent="0.2">
      <c r="A27" t="s">
        <v>155</v>
      </c>
      <c r="B27" s="2" t="s">
        <v>77</v>
      </c>
      <c r="C27" t="s">
        <v>224</v>
      </c>
      <c r="D27" s="2" t="s">
        <v>132</v>
      </c>
      <c r="E27" s="12" t="s">
        <v>212</v>
      </c>
      <c r="F27" s="2">
        <v>97.825199999999995</v>
      </c>
      <c r="G27">
        <v>1938</v>
      </c>
      <c r="H27">
        <v>2128</v>
      </c>
    </row>
    <row r="28" spans="1:10" x14ac:dyDescent="0.2">
      <c r="A28" t="s">
        <v>155</v>
      </c>
      <c r="B28" s="2" t="s">
        <v>77</v>
      </c>
      <c r="C28" t="s">
        <v>224</v>
      </c>
      <c r="D28" s="2" t="s">
        <v>134</v>
      </c>
      <c r="E28" s="12" t="s">
        <v>213</v>
      </c>
      <c r="F28" s="2">
        <v>82.342299999999994</v>
      </c>
      <c r="G28">
        <v>1023</v>
      </c>
      <c r="H28">
        <v>2128</v>
      </c>
    </row>
    <row r="29" spans="1:10" x14ac:dyDescent="0.2">
      <c r="A29" t="s">
        <v>155</v>
      </c>
      <c r="B29" t="s">
        <v>39</v>
      </c>
      <c r="C29" t="s">
        <v>225</v>
      </c>
      <c r="D29" t="s">
        <v>120</v>
      </c>
      <c r="E29" s="12" t="s">
        <v>204</v>
      </c>
      <c r="F29">
        <v>99.870400000000004</v>
      </c>
      <c r="G29">
        <v>411</v>
      </c>
      <c r="H29">
        <v>412</v>
      </c>
    </row>
    <row r="30" spans="1:10" x14ac:dyDescent="0.2">
      <c r="A30" t="s">
        <v>155</v>
      </c>
      <c r="B30" t="s">
        <v>39</v>
      </c>
      <c r="C30" t="s">
        <v>225</v>
      </c>
      <c r="D30" t="s">
        <v>124</v>
      </c>
      <c r="E30" s="12" t="s">
        <v>206</v>
      </c>
      <c r="F30">
        <v>92.883899999999997</v>
      </c>
      <c r="G30">
        <v>379</v>
      </c>
      <c r="H30">
        <v>412</v>
      </c>
    </row>
    <row r="31" spans="1:10" x14ac:dyDescent="0.2">
      <c r="A31" t="s">
        <v>155</v>
      </c>
      <c r="B31" t="s">
        <v>39</v>
      </c>
      <c r="C31" t="s">
        <v>225</v>
      </c>
      <c r="D31" t="s">
        <v>122</v>
      </c>
      <c r="E31" s="12" t="s">
        <v>205</v>
      </c>
      <c r="F31">
        <v>92.859899999999996</v>
      </c>
      <c r="G31">
        <v>388</v>
      </c>
      <c r="H31">
        <v>412</v>
      </c>
    </row>
    <row r="32" spans="1:10" x14ac:dyDescent="0.2">
      <c r="A32" t="s">
        <v>155</v>
      </c>
      <c r="B32" t="s">
        <v>39</v>
      </c>
      <c r="C32" t="s">
        <v>225</v>
      </c>
      <c r="D32" t="s">
        <v>126</v>
      </c>
      <c r="E32" s="12" t="s">
        <v>207</v>
      </c>
      <c r="F32">
        <v>81.192599999999999</v>
      </c>
      <c r="G32">
        <v>228</v>
      </c>
      <c r="H32">
        <v>412</v>
      </c>
    </row>
    <row r="33" spans="1:8" x14ac:dyDescent="0.2">
      <c r="A33" t="s">
        <v>155</v>
      </c>
      <c r="B33" t="s">
        <v>42</v>
      </c>
      <c r="C33" t="s">
        <v>226</v>
      </c>
      <c r="D33" t="s">
        <v>120</v>
      </c>
      <c r="E33" s="12" t="s">
        <v>204</v>
      </c>
      <c r="F33">
        <v>99.916700000000006</v>
      </c>
      <c r="G33">
        <v>82</v>
      </c>
      <c r="H33">
        <v>86</v>
      </c>
    </row>
    <row r="34" spans="1:8" x14ac:dyDescent="0.2">
      <c r="A34" t="s">
        <v>155</v>
      </c>
      <c r="B34" t="s">
        <v>42</v>
      </c>
      <c r="C34" t="s">
        <v>226</v>
      </c>
      <c r="D34" t="s">
        <v>124</v>
      </c>
      <c r="E34" s="12" t="s">
        <v>206</v>
      </c>
      <c r="F34">
        <v>93.988200000000006</v>
      </c>
      <c r="G34">
        <v>80</v>
      </c>
      <c r="H34">
        <v>86</v>
      </c>
    </row>
    <row r="35" spans="1:8" x14ac:dyDescent="0.2">
      <c r="A35" t="s">
        <v>155</v>
      </c>
      <c r="B35" t="s">
        <v>42</v>
      </c>
      <c r="C35" t="s">
        <v>226</v>
      </c>
      <c r="D35" t="s">
        <v>122</v>
      </c>
      <c r="E35" s="12" t="s">
        <v>205</v>
      </c>
      <c r="F35">
        <v>93.892499999999998</v>
      </c>
      <c r="G35">
        <v>81</v>
      </c>
      <c r="H35">
        <v>86</v>
      </c>
    </row>
    <row r="36" spans="1:8" x14ac:dyDescent="0.2">
      <c r="A36" t="s">
        <v>155</v>
      </c>
      <c r="B36" t="s">
        <v>42</v>
      </c>
      <c r="C36" t="s">
        <v>226</v>
      </c>
      <c r="D36" t="s">
        <v>126</v>
      </c>
      <c r="E36" s="12" t="s">
        <v>207</v>
      </c>
      <c r="F36">
        <v>86.100399999999993</v>
      </c>
      <c r="G36">
        <v>62</v>
      </c>
      <c r="H36">
        <v>86</v>
      </c>
    </row>
    <row r="37" spans="1:8" x14ac:dyDescent="0.2">
      <c r="A37" t="s">
        <v>155</v>
      </c>
      <c r="B37" t="s">
        <v>42</v>
      </c>
      <c r="C37" t="s">
        <v>226</v>
      </c>
      <c r="D37" t="s">
        <v>142</v>
      </c>
      <c r="E37" s="12" t="s">
        <v>227</v>
      </c>
      <c r="F37">
        <v>84.067599999999999</v>
      </c>
      <c r="G37">
        <v>21</v>
      </c>
      <c r="H37">
        <v>86</v>
      </c>
    </row>
    <row r="38" spans="1:8" x14ac:dyDescent="0.2">
      <c r="A38" t="s">
        <v>155</v>
      </c>
      <c r="B38" t="s">
        <v>42</v>
      </c>
      <c r="C38" t="s">
        <v>226</v>
      </c>
      <c r="D38" t="s">
        <v>143</v>
      </c>
      <c r="E38" s="12" t="s">
        <v>228</v>
      </c>
      <c r="F38">
        <v>83.8583</v>
      </c>
      <c r="G38">
        <v>20</v>
      </c>
      <c r="H38">
        <v>86</v>
      </c>
    </row>
    <row r="39" spans="1:8" x14ac:dyDescent="0.2">
      <c r="A39" t="s">
        <v>155</v>
      </c>
      <c r="B39" t="s">
        <v>42</v>
      </c>
      <c r="C39" t="s">
        <v>226</v>
      </c>
      <c r="D39" t="s">
        <v>144</v>
      </c>
      <c r="E39" s="12" t="s">
        <v>229</v>
      </c>
      <c r="F39">
        <v>83.121700000000004</v>
      </c>
      <c r="G39">
        <v>22</v>
      </c>
      <c r="H39">
        <v>86</v>
      </c>
    </row>
    <row r="40" spans="1:8" x14ac:dyDescent="0.2">
      <c r="A40" t="s">
        <v>155</v>
      </c>
      <c r="B40" t="s">
        <v>46</v>
      </c>
      <c r="C40" t="s">
        <v>230</v>
      </c>
      <c r="D40" t="s">
        <v>128</v>
      </c>
      <c r="E40" s="12" t="s">
        <v>209</v>
      </c>
      <c r="F40">
        <v>77.738299999999995</v>
      </c>
      <c r="G40">
        <v>489</v>
      </c>
      <c r="H40">
        <v>1690</v>
      </c>
    </row>
    <row r="41" spans="1:8" x14ac:dyDescent="0.2">
      <c r="A41" t="s">
        <v>155</v>
      </c>
      <c r="B41" s="2" t="s">
        <v>82</v>
      </c>
      <c r="C41" t="s">
        <v>231</v>
      </c>
      <c r="D41" s="2" t="s">
        <v>120</v>
      </c>
      <c r="E41" s="12" t="s">
        <v>204</v>
      </c>
      <c r="F41" s="2">
        <v>99.893100000000004</v>
      </c>
      <c r="G41">
        <v>1019</v>
      </c>
      <c r="H41">
        <v>1023</v>
      </c>
    </row>
    <row r="42" spans="1:8" x14ac:dyDescent="0.2">
      <c r="A42" t="s">
        <v>155</v>
      </c>
      <c r="B42" s="2" t="s">
        <v>82</v>
      </c>
      <c r="C42" t="s">
        <v>231</v>
      </c>
      <c r="D42" s="2" t="s">
        <v>122</v>
      </c>
      <c r="E42" s="12" t="s">
        <v>205</v>
      </c>
      <c r="F42" s="2">
        <v>91.847399999999993</v>
      </c>
      <c r="G42">
        <v>861</v>
      </c>
      <c r="H42">
        <v>1023</v>
      </c>
    </row>
    <row r="43" spans="1:8" x14ac:dyDescent="0.2">
      <c r="A43" t="s">
        <v>155</v>
      </c>
      <c r="B43" s="2" t="s">
        <v>82</v>
      </c>
      <c r="C43" t="s">
        <v>231</v>
      </c>
      <c r="D43" s="2" t="s">
        <v>124</v>
      </c>
      <c r="E43" s="12" t="s">
        <v>206</v>
      </c>
      <c r="F43" s="2">
        <v>91.749799999999993</v>
      </c>
      <c r="G43">
        <v>884</v>
      </c>
      <c r="H43">
        <v>1023</v>
      </c>
    </row>
    <row r="44" spans="1:8" x14ac:dyDescent="0.2">
      <c r="A44" t="s">
        <v>155</v>
      </c>
      <c r="B44" s="2" t="s">
        <v>82</v>
      </c>
      <c r="C44" t="s">
        <v>231</v>
      </c>
      <c r="D44" s="2" t="s">
        <v>126</v>
      </c>
      <c r="E44" s="12" t="s">
        <v>207</v>
      </c>
      <c r="F44" s="2">
        <v>79.627399999999994</v>
      </c>
      <c r="G44">
        <v>373</v>
      </c>
      <c r="H44">
        <v>1023</v>
      </c>
    </row>
    <row r="45" spans="1:8" x14ac:dyDescent="0.2">
      <c r="A45" t="s">
        <v>155</v>
      </c>
      <c r="B45" s="2" t="s">
        <v>84</v>
      </c>
      <c r="C45" t="s">
        <v>232</v>
      </c>
      <c r="D45" s="2" t="s">
        <v>140</v>
      </c>
      <c r="E45" s="12" t="s">
        <v>218</v>
      </c>
      <c r="F45" s="2">
        <v>99.591200000000001</v>
      </c>
      <c r="G45">
        <v>572</v>
      </c>
      <c r="H45">
        <v>576</v>
      </c>
    </row>
    <row r="46" spans="1:8" x14ac:dyDescent="0.2">
      <c r="A46" t="s">
        <v>155</v>
      </c>
      <c r="B46" s="2" t="s">
        <v>84</v>
      </c>
      <c r="C46" t="s">
        <v>232</v>
      </c>
      <c r="D46" s="2" t="s">
        <v>141</v>
      </c>
      <c r="E46" s="12" t="s">
        <v>219</v>
      </c>
      <c r="F46" s="2">
        <v>80.980400000000003</v>
      </c>
      <c r="G46">
        <v>252</v>
      </c>
      <c r="H46">
        <v>576</v>
      </c>
    </row>
    <row r="47" spans="1:8" x14ac:dyDescent="0.2">
      <c r="A47" t="s">
        <v>155</v>
      </c>
      <c r="B47" t="s">
        <v>84</v>
      </c>
      <c r="C47" t="s">
        <v>232</v>
      </c>
      <c r="D47" t="s">
        <v>145</v>
      </c>
      <c r="E47" s="12" t="s">
        <v>233</v>
      </c>
      <c r="F47">
        <v>78.386300000000006</v>
      </c>
      <c r="G47">
        <v>162</v>
      </c>
      <c r="H47">
        <v>576</v>
      </c>
    </row>
    <row r="48" spans="1:8" x14ac:dyDescent="0.2">
      <c r="A48" t="s">
        <v>155</v>
      </c>
      <c r="B48" t="s">
        <v>89</v>
      </c>
      <c r="C48" t="s">
        <v>234</v>
      </c>
      <c r="D48" t="s">
        <v>128</v>
      </c>
      <c r="E48" s="12" t="s">
        <v>209</v>
      </c>
      <c r="F48">
        <v>75.740700000000004</v>
      </c>
      <c r="G48">
        <v>132</v>
      </c>
      <c r="H48">
        <v>641</v>
      </c>
    </row>
    <row r="49" spans="1:8" x14ac:dyDescent="0.2">
      <c r="A49" t="s">
        <v>155</v>
      </c>
      <c r="B49" t="s">
        <v>89</v>
      </c>
      <c r="C49" t="s">
        <v>234</v>
      </c>
      <c r="D49" t="s">
        <v>130</v>
      </c>
      <c r="E49" s="12" t="s">
        <v>211</v>
      </c>
      <c r="F49">
        <v>75.119900000000001</v>
      </c>
      <c r="G49">
        <v>163</v>
      </c>
      <c r="H49">
        <v>641</v>
      </c>
    </row>
    <row r="50" spans="1:8" x14ac:dyDescent="0.2">
      <c r="A50" t="s">
        <v>155</v>
      </c>
      <c r="B50" t="s">
        <v>89</v>
      </c>
      <c r="C50" t="s">
        <v>234</v>
      </c>
      <c r="D50" t="s">
        <v>132</v>
      </c>
      <c r="E50" s="12" t="s">
        <v>212</v>
      </c>
      <c r="F50">
        <v>75.116200000000006</v>
      </c>
      <c r="G50">
        <v>170</v>
      </c>
      <c r="H50">
        <v>641</v>
      </c>
    </row>
    <row r="51" spans="1:8" x14ac:dyDescent="0.2">
      <c r="A51" t="s">
        <v>155</v>
      </c>
      <c r="B51" t="s">
        <v>91</v>
      </c>
      <c r="C51" t="e">
        <v>#N/A</v>
      </c>
      <c r="D51" t="s">
        <v>120</v>
      </c>
      <c r="E51" s="12" t="s">
        <v>204</v>
      </c>
      <c r="F51">
        <v>99.674700000000001</v>
      </c>
      <c r="G51">
        <v>448</v>
      </c>
      <c r="H51">
        <v>473</v>
      </c>
    </row>
    <row r="52" spans="1:8" x14ac:dyDescent="0.2">
      <c r="A52" t="s">
        <v>155</v>
      </c>
      <c r="B52" t="s">
        <v>91</v>
      </c>
      <c r="C52" t="e">
        <v>#N/A</v>
      </c>
      <c r="D52" t="s">
        <v>122</v>
      </c>
      <c r="E52" s="12" t="s">
        <v>205</v>
      </c>
      <c r="F52">
        <v>89.069100000000006</v>
      </c>
      <c r="G52">
        <v>277</v>
      </c>
      <c r="H52">
        <v>473</v>
      </c>
    </row>
    <row r="53" spans="1:8" x14ac:dyDescent="0.2">
      <c r="A53" t="s">
        <v>155</v>
      </c>
      <c r="B53" t="s">
        <v>91</v>
      </c>
      <c r="C53" t="e">
        <v>#N/A</v>
      </c>
      <c r="D53" t="s">
        <v>124</v>
      </c>
      <c r="E53" s="12" t="s">
        <v>206</v>
      </c>
      <c r="F53">
        <v>88.898499999999999</v>
      </c>
      <c r="G53">
        <v>306</v>
      </c>
      <c r="H53">
        <v>473</v>
      </c>
    </row>
    <row r="54" spans="1:8" x14ac:dyDescent="0.2">
      <c r="A54" t="s">
        <v>155</v>
      </c>
      <c r="B54" t="s">
        <v>146</v>
      </c>
      <c r="C54" t="s">
        <v>235</v>
      </c>
      <c r="D54" t="s">
        <v>140</v>
      </c>
      <c r="E54" s="12" t="s">
        <v>218</v>
      </c>
      <c r="F54">
        <v>99.552999999999997</v>
      </c>
      <c r="G54">
        <v>81</v>
      </c>
      <c r="H54">
        <v>81</v>
      </c>
    </row>
    <row r="55" spans="1:8" x14ac:dyDescent="0.2">
      <c r="A55" t="s">
        <v>155</v>
      </c>
      <c r="B55" t="s">
        <v>87</v>
      </c>
      <c r="C55" t="s">
        <v>236</v>
      </c>
      <c r="D55" t="s">
        <v>128</v>
      </c>
      <c r="E55" s="12" t="s">
        <v>209</v>
      </c>
      <c r="F55">
        <v>75.804599999999994</v>
      </c>
      <c r="G55">
        <v>141</v>
      </c>
      <c r="H55">
        <v>678</v>
      </c>
    </row>
    <row r="56" spans="1:8" x14ac:dyDescent="0.2">
      <c r="A56" t="s">
        <v>155</v>
      </c>
      <c r="B56" t="s">
        <v>87</v>
      </c>
      <c r="C56" t="s">
        <v>236</v>
      </c>
      <c r="D56" t="s">
        <v>130</v>
      </c>
      <c r="E56" s="12" t="s">
        <v>211</v>
      </c>
      <c r="F56">
        <v>75.101900000000001</v>
      </c>
      <c r="G56">
        <v>171</v>
      </c>
      <c r="H56">
        <v>678</v>
      </c>
    </row>
    <row r="57" spans="1:8" x14ac:dyDescent="0.2">
      <c r="A57" t="s">
        <v>155</v>
      </c>
      <c r="B57" t="s">
        <v>87</v>
      </c>
      <c r="C57" t="s">
        <v>236</v>
      </c>
      <c r="D57" t="s">
        <v>132</v>
      </c>
      <c r="E57" s="12" t="s">
        <v>212</v>
      </c>
      <c r="F57">
        <v>75.092699999999994</v>
      </c>
      <c r="G57">
        <v>180</v>
      </c>
      <c r="H57">
        <v>678</v>
      </c>
    </row>
    <row r="58" spans="1:8" x14ac:dyDescent="0.2">
      <c r="A58" t="s">
        <v>155</v>
      </c>
      <c r="B58" t="s">
        <v>30</v>
      </c>
      <c r="C58" t="s">
        <v>203</v>
      </c>
      <c r="D58" t="s">
        <v>91</v>
      </c>
      <c r="E58" s="12"/>
      <c r="F58">
        <v>100</v>
      </c>
      <c r="G58">
        <v>472</v>
      </c>
      <c r="H58">
        <v>2176</v>
      </c>
    </row>
    <row r="59" spans="1:8" x14ac:dyDescent="0.2">
      <c r="A59" t="s">
        <v>155</v>
      </c>
      <c r="B59" t="s">
        <v>30</v>
      </c>
      <c r="C59" t="s">
        <v>203</v>
      </c>
      <c r="D59" t="s">
        <v>42</v>
      </c>
      <c r="E59" s="12"/>
      <c r="F59">
        <v>100</v>
      </c>
      <c r="G59">
        <v>86</v>
      </c>
      <c r="H59">
        <v>2176</v>
      </c>
    </row>
    <row r="60" spans="1:8" x14ac:dyDescent="0.2">
      <c r="A60" t="s">
        <v>155</v>
      </c>
      <c r="B60" t="s">
        <v>30</v>
      </c>
      <c r="C60" t="s">
        <v>203</v>
      </c>
      <c r="D60" t="s">
        <v>64</v>
      </c>
      <c r="E60" s="12"/>
      <c r="F60">
        <v>99.990700000000004</v>
      </c>
      <c r="G60">
        <v>843</v>
      </c>
      <c r="H60">
        <v>2176</v>
      </c>
    </row>
    <row r="61" spans="1:8" x14ac:dyDescent="0.2">
      <c r="A61" t="s">
        <v>155</v>
      </c>
      <c r="B61" t="s">
        <v>30</v>
      </c>
      <c r="C61" t="s">
        <v>203</v>
      </c>
      <c r="D61" t="s">
        <v>82</v>
      </c>
      <c r="E61" s="12"/>
      <c r="F61">
        <v>99.983000000000004</v>
      </c>
      <c r="G61">
        <v>1025</v>
      </c>
      <c r="H61">
        <v>2176</v>
      </c>
    </row>
    <row r="62" spans="1:8" x14ac:dyDescent="0.2">
      <c r="A62" t="s">
        <v>155</v>
      </c>
      <c r="B62" t="s">
        <v>30</v>
      </c>
      <c r="C62" t="s">
        <v>203</v>
      </c>
      <c r="D62" t="s">
        <v>39</v>
      </c>
      <c r="E62" s="12"/>
      <c r="F62">
        <v>99.980900000000005</v>
      </c>
      <c r="G62">
        <v>412</v>
      </c>
      <c r="H62">
        <v>2176</v>
      </c>
    </row>
    <row r="63" spans="1:8" x14ac:dyDescent="0.2">
      <c r="A63" t="s">
        <v>155</v>
      </c>
      <c r="B63" t="s">
        <v>34</v>
      </c>
      <c r="C63" t="s">
        <v>208</v>
      </c>
      <c r="D63" t="s">
        <v>71</v>
      </c>
      <c r="E63" s="12"/>
      <c r="F63">
        <v>99.989900000000006</v>
      </c>
      <c r="G63">
        <v>1660</v>
      </c>
      <c r="H63">
        <v>1828</v>
      </c>
    </row>
    <row r="64" spans="1:8" x14ac:dyDescent="0.2">
      <c r="A64" t="s">
        <v>155</v>
      </c>
      <c r="B64" t="s">
        <v>34</v>
      </c>
      <c r="C64" t="s">
        <v>208</v>
      </c>
      <c r="D64" t="s">
        <v>46</v>
      </c>
      <c r="E64" s="12"/>
      <c r="F64">
        <v>99.987399999999994</v>
      </c>
      <c r="G64">
        <v>1690</v>
      </c>
      <c r="H64">
        <v>1828</v>
      </c>
    </row>
    <row r="65" spans="1:8" x14ac:dyDescent="0.2">
      <c r="A65" t="s">
        <v>155</v>
      </c>
      <c r="B65" t="s">
        <v>34</v>
      </c>
      <c r="C65" t="s">
        <v>208</v>
      </c>
      <c r="D65" t="s">
        <v>89</v>
      </c>
      <c r="E65" s="12"/>
      <c r="F65">
        <v>76.575199999999995</v>
      </c>
      <c r="G65">
        <v>144</v>
      </c>
      <c r="H65">
        <v>1828</v>
      </c>
    </row>
    <row r="66" spans="1:8" x14ac:dyDescent="0.2">
      <c r="A66" t="s">
        <v>155</v>
      </c>
      <c r="B66" t="s">
        <v>34</v>
      </c>
      <c r="C66" t="s">
        <v>208</v>
      </c>
      <c r="D66" t="s">
        <v>87</v>
      </c>
      <c r="E66" s="12"/>
      <c r="F66">
        <v>76.464299999999994</v>
      </c>
      <c r="G66">
        <v>155</v>
      </c>
      <c r="H66">
        <v>1828</v>
      </c>
    </row>
    <row r="67" spans="1:8" x14ac:dyDescent="0.2">
      <c r="A67" t="s">
        <v>155</v>
      </c>
      <c r="B67" t="s">
        <v>34</v>
      </c>
      <c r="C67" t="s">
        <v>208</v>
      </c>
      <c r="D67" t="s">
        <v>73</v>
      </c>
      <c r="E67" s="12"/>
      <c r="F67">
        <v>76.464299999999994</v>
      </c>
      <c r="G67">
        <v>155</v>
      </c>
      <c r="H67">
        <v>1828</v>
      </c>
    </row>
    <row r="68" spans="1:8" x14ac:dyDescent="0.2">
      <c r="A68" t="s">
        <v>155</v>
      </c>
      <c r="B68" t="s">
        <v>59</v>
      </c>
      <c r="C68" t="s">
        <v>210</v>
      </c>
      <c r="D68" t="s">
        <v>69</v>
      </c>
      <c r="E68" s="12"/>
      <c r="F68">
        <v>99.988299999999995</v>
      </c>
      <c r="G68">
        <v>2157</v>
      </c>
      <c r="H68">
        <v>2855</v>
      </c>
    </row>
    <row r="69" spans="1:8" x14ac:dyDescent="0.2">
      <c r="A69" t="s">
        <v>155</v>
      </c>
      <c r="B69" t="s">
        <v>59</v>
      </c>
      <c r="C69" t="s">
        <v>210</v>
      </c>
      <c r="D69" t="s">
        <v>77</v>
      </c>
      <c r="E69" s="12"/>
      <c r="F69">
        <v>99.976200000000006</v>
      </c>
      <c r="G69">
        <v>2128</v>
      </c>
      <c r="H69">
        <v>2855</v>
      </c>
    </row>
    <row r="70" spans="1:8" x14ac:dyDescent="0.2">
      <c r="A70" t="s">
        <v>155</v>
      </c>
      <c r="B70" t="s">
        <v>59</v>
      </c>
      <c r="C70" t="s">
        <v>210</v>
      </c>
      <c r="D70" t="s">
        <v>89</v>
      </c>
      <c r="E70" s="12"/>
      <c r="F70">
        <v>99.721199999999996</v>
      </c>
      <c r="G70">
        <v>630</v>
      </c>
      <c r="H70">
        <v>2855</v>
      </c>
    </row>
    <row r="71" spans="1:8" x14ac:dyDescent="0.2">
      <c r="A71" t="s">
        <v>155</v>
      </c>
      <c r="B71" t="s">
        <v>59</v>
      </c>
      <c r="C71" t="s">
        <v>210</v>
      </c>
      <c r="D71" t="s">
        <v>73</v>
      </c>
      <c r="E71" s="12"/>
      <c r="F71">
        <v>99.697900000000004</v>
      </c>
      <c r="G71">
        <v>666</v>
      </c>
      <c r="H71">
        <v>2855</v>
      </c>
    </row>
    <row r="72" spans="1:8" x14ac:dyDescent="0.2">
      <c r="A72" t="s">
        <v>155</v>
      </c>
      <c r="B72" t="s">
        <v>59</v>
      </c>
      <c r="C72" t="s">
        <v>210</v>
      </c>
      <c r="D72" t="s">
        <v>87</v>
      </c>
      <c r="E72" s="12"/>
      <c r="F72">
        <v>99.697900000000004</v>
      </c>
      <c r="G72">
        <v>666</v>
      </c>
      <c r="H72">
        <v>2855</v>
      </c>
    </row>
    <row r="73" spans="1:8" x14ac:dyDescent="0.2">
      <c r="A73" t="s">
        <v>155</v>
      </c>
      <c r="B73" t="s">
        <v>61</v>
      </c>
      <c r="C73" t="s">
        <v>217</v>
      </c>
      <c r="D73" t="s">
        <v>146</v>
      </c>
      <c r="E73" s="12"/>
      <c r="F73">
        <v>100</v>
      </c>
      <c r="G73">
        <v>80</v>
      </c>
      <c r="H73">
        <v>1575</v>
      </c>
    </row>
    <row r="74" spans="1:8" x14ac:dyDescent="0.2">
      <c r="A74" t="s">
        <v>155</v>
      </c>
      <c r="B74" t="s">
        <v>61</v>
      </c>
      <c r="C74" t="s">
        <v>217</v>
      </c>
      <c r="D74" t="s">
        <v>44</v>
      </c>
      <c r="E74" s="12"/>
      <c r="F74">
        <v>100</v>
      </c>
      <c r="G74">
        <v>695</v>
      </c>
      <c r="H74">
        <v>1575</v>
      </c>
    </row>
    <row r="75" spans="1:8" x14ac:dyDescent="0.2">
      <c r="A75" t="s">
        <v>155</v>
      </c>
      <c r="B75" t="s">
        <v>61</v>
      </c>
      <c r="C75" t="s">
        <v>217</v>
      </c>
      <c r="D75" t="s">
        <v>66</v>
      </c>
      <c r="E75" s="12"/>
      <c r="F75">
        <v>100</v>
      </c>
      <c r="G75">
        <v>756</v>
      </c>
      <c r="H75">
        <v>1575</v>
      </c>
    </row>
    <row r="76" spans="1:8" x14ac:dyDescent="0.2">
      <c r="A76" t="s">
        <v>155</v>
      </c>
      <c r="B76" t="s">
        <v>61</v>
      </c>
      <c r="C76" t="s">
        <v>217</v>
      </c>
      <c r="D76" t="s">
        <v>84</v>
      </c>
      <c r="E76" s="12"/>
      <c r="F76">
        <v>99.955299999999994</v>
      </c>
      <c r="G76">
        <v>570</v>
      </c>
      <c r="H76">
        <v>1575</v>
      </c>
    </row>
    <row r="77" spans="1:8" x14ac:dyDescent="0.2">
      <c r="A77" t="s">
        <v>155</v>
      </c>
      <c r="B77" t="s">
        <v>64</v>
      </c>
      <c r="C77" t="s">
        <v>220</v>
      </c>
      <c r="D77" t="s">
        <v>30</v>
      </c>
      <c r="E77" s="12"/>
      <c r="F77">
        <v>100</v>
      </c>
      <c r="G77">
        <v>842</v>
      </c>
      <c r="H77">
        <v>846</v>
      </c>
    </row>
    <row r="78" spans="1:8" x14ac:dyDescent="0.2">
      <c r="A78" t="s">
        <v>155</v>
      </c>
      <c r="B78" t="s">
        <v>64</v>
      </c>
      <c r="C78" t="s">
        <v>220</v>
      </c>
      <c r="D78" t="s">
        <v>42</v>
      </c>
      <c r="E78" s="12"/>
      <c r="F78">
        <v>100</v>
      </c>
      <c r="G78">
        <v>86</v>
      </c>
      <c r="H78">
        <v>846</v>
      </c>
    </row>
    <row r="79" spans="1:8" x14ac:dyDescent="0.2">
      <c r="A79" t="s">
        <v>155</v>
      </c>
      <c r="B79" t="s">
        <v>64</v>
      </c>
      <c r="C79" t="s">
        <v>220</v>
      </c>
      <c r="D79" t="s">
        <v>39</v>
      </c>
      <c r="E79" s="12"/>
      <c r="F79">
        <v>100</v>
      </c>
      <c r="G79">
        <v>411</v>
      </c>
      <c r="H79">
        <v>846</v>
      </c>
    </row>
    <row r="80" spans="1:8" x14ac:dyDescent="0.2">
      <c r="A80" t="s">
        <v>155</v>
      </c>
      <c r="B80" t="s">
        <v>64</v>
      </c>
      <c r="C80" t="s">
        <v>220</v>
      </c>
      <c r="D80" t="s">
        <v>82</v>
      </c>
      <c r="E80" s="12"/>
      <c r="F80">
        <v>98.561700000000002</v>
      </c>
      <c r="G80">
        <v>321</v>
      </c>
      <c r="H80">
        <v>846</v>
      </c>
    </row>
    <row r="81" spans="1:8" x14ac:dyDescent="0.2">
      <c r="A81" t="s">
        <v>155</v>
      </c>
      <c r="B81" t="s">
        <v>66</v>
      </c>
      <c r="C81" t="s">
        <v>237</v>
      </c>
      <c r="D81" t="s">
        <v>44</v>
      </c>
      <c r="E81" s="12"/>
      <c r="F81">
        <v>100</v>
      </c>
      <c r="G81">
        <v>707</v>
      </c>
      <c r="H81">
        <v>773</v>
      </c>
    </row>
    <row r="82" spans="1:8" x14ac:dyDescent="0.2">
      <c r="A82" t="s">
        <v>155</v>
      </c>
      <c r="B82" t="s">
        <v>66</v>
      </c>
      <c r="C82" t="s">
        <v>237</v>
      </c>
      <c r="D82" t="s">
        <v>61</v>
      </c>
      <c r="E82" s="12"/>
      <c r="F82">
        <v>100</v>
      </c>
      <c r="G82">
        <v>756</v>
      </c>
      <c r="H82">
        <v>773</v>
      </c>
    </row>
    <row r="83" spans="1:8" x14ac:dyDescent="0.2">
      <c r="A83" t="s">
        <v>155</v>
      </c>
      <c r="B83" t="s">
        <v>69</v>
      </c>
      <c r="C83" t="s">
        <v>221</v>
      </c>
      <c r="D83" t="s">
        <v>59</v>
      </c>
      <c r="E83" s="12"/>
      <c r="F83">
        <v>100</v>
      </c>
      <c r="G83">
        <v>2156</v>
      </c>
      <c r="H83">
        <v>2158</v>
      </c>
    </row>
    <row r="84" spans="1:8" x14ac:dyDescent="0.2">
      <c r="A84" t="s">
        <v>155</v>
      </c>
      <c r="B84" t="s">
        <v>69</v>
      </c>
      <c r="C84" t="s">
        <v>221</v>
      </c>
      <c r="D84" t="s">
        <v>77</v>
      </c>
      <c r="E84" s="12"/>
      <c r="F84">
        <v>99.988</v>
      </c>
      <c r="G84">
        <v>2127</v>
      </c>
      <c r="H84">
        <v>2158</v>
      </c>
    </row>
    <row r="85" spans="1:8" x14ac:dyDescent="0.2">
      <c r="A85" t="s">
        <v>155</v>
      </c>
      <c r="B85" t="s">
        <v>69</v>
      </c>
      <c r="C85" t="s">
        <v>221</v>
      </c>
      <c r="D85" t="s">
        <v>89</v>
      </c>
      <c r="E85" s="12"/>
      <c r="F85">
        <v>75.148600000000002</v>
      </c>
      <c r="G85">
        <v>172</v>
      </c>
      <c r="H85">
        <v>2158</v>
      </c>
    </row>
    <row r="86" spans="1:8" x14ac:dyDescent="0.2">
      <c r="A86" t="s">
        <v>155</v>
      </c>
      <c r="B86" t="s">
        <v>69</v>
      </c>
      <c r="C86" t="s">
        <v>221</v>
      </c>
      <c r="D86" t="s">
        <v>73</v>
      </c>
      <c r="E86" s="12"/>
      <c r="F86">
        <v>75.132000000000005</v>
      </c>
      <c r="G86">
        <v>181</v>
      </c>
      <c r="H86">
        <v>2158</v>
      </c>
    </row>
    <row r="87" spans="1:8" x14ac:dyDescent="0.2">
      <c r="A87" t="s">
        <v>155</v>
      </c>
      <c r="B87" t="s">
        <v>69</v>
      </c>
      <c r="C87" t="s">
        <v>221</v>
      </c>
      <c r="D87" t="s">
        <v>87</v>
      </c>
      <c r="E87" s="12"/>
      <c r="F87">
        <v>75.132000000000005</v>
      </c>
      <c r="G87">
        <v>181</v>
      </c>
      <c r="H87">
        <v>2158</v>
      </c>
    </row>
    <row r="88" spans="1:8" x14ac:dyDescent="0.2">
      <c r="A88" t="s">
        <v>155</v>
      </c>
      <c r="B88" t="s">
        <v>71</v>
      </c>
      <c r="C88" t="s">
        <v>222</v>
      </c>
      <c r="D88" t="s">
        <v>46</v>
      </c>
      <c r="E88" s="12"/>
      <c r="F88">
        <v>100</v>
      </c>
      <c r="G88">
        <v>1649</v>
      </c>
      <c r="H88">
        <v>1663</v>
      </c>
    </row>
    <row r="89" spans="1:8" x14ac:dyDescent="0.2">
      <c r="A89" t="s">
        <v>155</v>
      </c>
      <c r="B89" t="s">
        <v>71</v>
      </c>
      <c r="C89" t="s">
        <v>222</v>
      </c>
      <c r="D89" t="s">
        <v>34</v>
      </c>
      <c r="E89" s="12"/>
      <c r="F89">
        <v>99.977199999999996</v>
      </c>
      <c r="G89">
        <v>1661</v>
      </c>
      <c r="H89">
        <v>1663</v>
      </c>
    </row>
    <row r="90" spans="1:8" x14ac:dyDescent="0.2">
      <c r="A90" t="s">
        <v>155</v>
      </c>
      <c r="B90" t="s">
        <v>71</v>
      </c>
      <c r="C90" t="s">
        <v>222</v>
      </c>
      <c r="D90" t="s">
        <v>73</v>
      </c>
      <c r="E90" s="12"/>
      <c r="F90">
        <v>75.450199999999995</v>
      </c>
      <c r="G90">
        <v>138</v>
      </c>
      <c r="H90">
        <v>1663</v>
      </c>
    </row>
    <row r="91" spans="1:8" x14ac:dyDescent="0.2">
      <c r="A91" t="s">
        <v>155</v>
      </c>
      <c r="B91" t="s">
        <v>71</v>
      </c>
      <c r="C91" t="s">
        <v>222</v>
      </c>
      <c r="D91" t="s">
        <v>87</v>
      </c>
      <c r="E91" s="12"/>
      <c r="F91">
        <v>75.450199999999995</v>
      </c>
      <c r="G91">
        <v>138</v>
      </c>
      <c r="H91">
        <v>1663</v>
      </c>
    </row>
    <row r="92" spans="1:8" x14ac:dyDescent="0.2">
      <c r="A92" t="s">
        <v>155</v>
      </c>
      <c r="B92" t="s">
        <v>73</v>
      </c>
      <c r="C92" t="s">
        <v>223</v>
      </c>
      <c r="D92" t="s">
        <v>89</v>
      </c>
      <c r="E92" s="12"/>
      <c r="F92">
        <v>100</v>
      </c>
      <c r="G92">
        <v>635</v>
      </c>
      <c r="H92">
        <v>678</v>
      </c>
    </row>
    <row r="93" spans="1:8" x14ac:dyDescent="0.2">
      <c r="A93" t="s">
        <v>155</v>
      </c>
      <c r="B93" t="s">
        <v>73</v>
      </c>
      <c r="C93" t="s">
        <v>223</v>
      </c>
      <c r="D93" t="s">
        <v>87</v>
      </c>
      <c r="E93" s="12"/>
      <c r="F93">
        <v>100</v>
      </c>
      <c r="G93">
        <v>675</v>
      </c>
      <c r="H93">
        <v>678</v>
      </c>
    </row>
    <row r="94" spans="1:8" x14ac:dyDescent="0.2">
      <c r="A94" t="s">
        <v>155</v>
      </c>
      <c r="B94" t="s">
        <v>73</v>
      </c>
      <c r="C94" t="s">
        <v>223</v>
      </c>
      <c r="D94" t="s">
        <v>59</v>
      </c>
      <c r="E94" s="12"/>
      <c r="F94">
        <v>99.922499999999999</v>
      </c>
      <c r="G94">
        <v>660</v>
      </c>
      <c r="H94">
        <v>678</v>
      </c>
    </row>
    <row r="95" spans="1:8" x14ac:dyDescent="0.2">
      <c r="A95" t="s">
        <v>155</v>
      </c>
      <c r="B95" t="s">
        <v>73</v>
      </c>
      <c r="C95" t="s">
        <v>223</v>
      </c>
      <c r="D95" t="s">
        <v>34</v>
      </c>
      <c r="E95" s="12"/>
      <c r="F95">
        <v>76.602699999999999</v>
      </c>
      <c r="G95">
        <v>140</v>
      </c>
      <c r="H95">
        <v>678</v>
      </c>
    </row>
    <row r="96" spans="1:8" x14ac:dyDescent="0.2">
      <c r="A96" t="s">
        <v>155</v>
      </c>
      <c r="B96" t="s">
        <v>73</v>
      </c>
      <c r="C96" t="s">
        <v>223</v>
      </c>
      <c r="D96" t="s">
        <v>69</v>
      </c>
      <c r="E96" s="12"/>
      <c r="F96">
        <v>75.122200000000007</v>
      </c>
      <c r="G96">
        <v>169</v>
      </c>
      <c r="H96">
        <v>678</v>
      </c>
    </row>
    <row r="97" spans="1:8" x14ac:dyDescent="0.2">
      <c r="A97" t="s">
        <v>155</v>
      </c>
      <c r="B97" t="s">
        <v>73</v>
      </c>
      <c r="C97" t="s">
        <v>223</v>
      </c>
      <c r="D97" t="s">
        <v>77</v>
      </c>
      <c r="E97" s="12"/>
      <c r="F97">
        <v>75.122200000000007</v>
      </c>
      <c r="G97">
        <v>169</v>
      </c>
      <c r="H97">
        <v>678</v>
      </c>
    </row>
    <row r="98" spans="1:8" x14ac:dyDescent="0.2">
      <c r="A98" t="s">
        <v>155</v>
      </c>
      <c r="B98" t="s">
        <v>77</v>
      </c>
      <c r="C98" t="s">
        <v>224</v>
      </c>
      <c r="D98" t="s">
        <v>59</v>
      </c>
      <c r="E98" s="12"/>
      <c r="F98">
        <v>100</v>
      </c>
      <c r="G98">
        <v>2126</v>
      </c>
      <c r="H98">
        <v>2128</v>
      </c>
    </row>
    <row r="99" spans="1:8" x14ac:dyDescent="0.2">
      <c r="A99" t="s">
        <v>155</v>
      </c>
      <c r="B99" t="s">
        <v>77</v>
      </c>
      <c r="C99" t="s">
        <v>224</v>
      </c>
      <c r="D99" t="s">
        <v>69</v>
      </c>
      <c r="E99" s="12"/>
      <c r="F99">
        <v>100</v>
      </c>
      <c r="G99">
        <v>2126</v>
      </c>
      <c r="H99">
        <v>2128</v>
      </c>
    </row>
    <row r="100" spans="1:8" x14ac:dyDescent="0.2">
      <c r="A100" t="s">
        <v>155</v>
      </c>
      <c r="B100" t="s">
        <v>77</v>
      </c>
      <c r="C100" t="s">
        <v>224</v>
      </c>
      <c r="D100" t="s">
        <v>89</v>
      </c>
      <c r="E100" s="12"/>
      <c r="F100">
        <v>75.148600000000002</v>
      </c>
      <c r="G100">
        <v>172</v>
      </c>
      <c r="H100">
        <v>2128</v>
      </c>
    </row>
    <row r="101" spans="1:8" x14ac:dyDescent="0.2">
      <c r="A101" t="s">
        <v>155</v>
      </c>
      <c r="B101" t="s">
        <v>77</v>
      </c>
      <c r="C101" t="s">
        <v>224</v>
      </c>
      <c r="D101" t="s">
        <v>73</v>
      </c>
      <c r="E101" s="12"/>
      <c r="F101">
        <v>75.132000000000005</v>
      </c>
      <c r="G101">
        <v>181</v>
      </c>
      <c r="H101">
        <v>2128</v>
      </c>
    </row>
    <row r="102" spans="1:8" x14ac:dyDescent="0.2">
      <c r="A102" t="s">
        <v>155</v>
      </c>
      <c r="B102" t="s">
        <v>77</v>
      </c>
      <c r="C102" t="s">
        <v>224</v>
      </c>
      <c r="D102" t="s">
        <v>87</v>
      </c>
      <c r="E102" s="12"/>
      <c r="F102">
        <v>75.132000000000005</v>
      </c>
      <c r="G102">
        <v>181</v>
      </c>
      <c r="H102">
        <v>2128</v>
      </c>
    </row>
    <row r="103" spans="1:8" x14ac:dyDescent="0.2">
      <c r="A103" t="s">
        <v>155</v>
      </c>
      <c r="B103" t="s">
        <v>39</v>
      </c>
      <c r="C103" t="s">
        <v>225</v>
      </c>
      <c r="D103" t="s">
        <v>30</v>
      </c>
      <c r="E103" s="12"/>
      <c r="F103">
        <v>100</v>
      </c>
      <c r="G103">
        <v>411</v>
      </c>
      <c r="H103">
        <v>412</v>
      </c>
    </row>
    <row r="104" spans="1:8" x14ac:dyDescent="0.2">
      <c r="A104" t="s">
        <v>155</v>
      </c>
      <c r="B104" t="s">
        <v>39</v>
      </c>
      <c r="C104" t="s">
        <v>225</v>
      </c>
      <c r="D104" t="s">
        <v>64</v>
      </c>
      <c r="E104" s="12"/>
      <c r="F104">
        <v>100</v>
      </c>
      <c r="G104">
        <v>411</v>
      </c>
      <c r="H104">
        <v>412</v>
      </c>
    </row>
    <row r="105" spans="1:8" x14ac:dyDescent="0.2">
      <c r="A105" t="s">
        <v>155</v>
      </c>
      <c r="B105" t="s">
        <v>42</v>
      </c>
      <c r="C105" t="s">
        <v>226</v>
      </c>
      <c r="D105" t="s">
        <v>30</v>
      </c>
      <c r="E105" s="12"/>
      <c r="F105">
        <v>100</v>
      </c>
      <c r="G105">
        <v>86</v>
      </c>
      <c r="H105">
        <v>86</v>
      </c>
    </row>
    <row r="106" spans="1:8" x14ac:dyDescent="0.2">
      <c r="A106" t="s">
        <v>155</v>
      </c>
      <c r="B106" t="s">
        <v>42</v>
      </c>
      <c r="C106" t="s">
        <v>226</v>
      </c>
      <c r="D106" t="s">
        <v>64</v>
      </c>
      <c r="E106" s="12"/>
      <c r="F106">
        <v>100</v>
      </c>
      <c r="G106">
        <v>86</v>
      </c>
      <c r="H106">
        <v>86</v>
      </c>
    </row>
    <row r="107" spans="1:8" x14ac:dyDescent="0.2">
      <c r="A107" t="s">
        <v>155</v>
      </c>
      <c r="B107" t="s">
        <v>44</v>
      </c>
      <c r="C107" t="s">
        <v>238</v>
      </c>
      <c r="D107" t="s">
        <v>61</v>
      </c>
      <c r="E107" s="12"/>
      <c r="F107">
        <v>100</v>
      </c>
      <c r="G107">
        <v>695</v>
      </c>
      <c r="H107">
        <v>712</v>
      </c>
    </row>
    <row r="108" spans="1:8" x14ac:dyDescent="0.2">
      <c r="A108" t="s">
        <v>155</v>
      </c>
      <c r="B108" t="s">
        <v>44</v>
      </c>
      <c r="C108" t="s">
        <v>238</v>
      </c>
      <c r="D108" t="s">
        <v>66</v>
      </c>
      <c r="E108" s="12"/>
      <c r="F108">
        <v>100</v>
      </c>
      <c r="G108">
        <v>707</v>
      </c>
      <c r="H108">
        <v>712</v>
      </c>
    </row>
    <row r="109" spans="1:8" x14ac:dyDescent="0.2">
      <c r="A109" t="s">
        <v>155</v>
      </c>
      <c r="B109" t="s">
        <v>46</v>
      </c>
      <c r="C109" t="s">
        <v>230</v>
      </c>
      <c r="D109" t="s">
        <v>34</v>
      </c>
      <c r="E109" s="12"/>
      <c r="F109">
        <v>100</v>
      </c>
      <c r="G109">
        <v>1689</v>
      </c>
      <c r="H109">
        <v>1690</v>
      </c>
    </row>
    <row r="110" spans="1:8" x14ac:dyDescent="0.2">
      <c r="A110" t="s">
        <v>155</v>
      </c>
      <c r="B110" t="s">
        <v>46</v>
      </c>
      <c r="C110" t="s">
        <v>230</v>
      </c>
      <c r="D110" t="s">
        <v>71</v>
      </c>
      <c r="E110" s="12"/>
      <c r="F110">
        <v>100</v>
      </c>
      <c r="G110">
        <v>1649</v>
      </c>
      <c r="H110">
        <v>1690</v>
      </c>
    </row>
    <row r="111" spans="1:8" x14ac:dyDescent="0.2">
      <c r="A111" t="s">
        <v>155</v>
      </c>
      <c r="B111" t="s">
        <v>46</v>
      </c>
      <c r="C111" t="s">
        <v>230</v>
      </c>
      <c r="D111" t="s">
        <v>89</v>
      </c>
      <c r="E111" s="12"/>
      <c r="F111">
        <v>75.5886</v>
      </c>
      <c r="G111">
        <v>129</v>
      </c>
      <c r="H111">
        <v>1690</v>
      </c>
    </row>
    <row r="112" spans="1:8" x14ac:dyDescent="0.2">
      <c r="A112" t="s">
        <v>155</v>
      </c>
      <c r="B112" t="s">
        <v>46</v>
      </c>
      <c r="C112" t="s">
        <v>230</v>
      </c>
      <c r="D112" t="s">
        <v>73</v>
      </c>
      <c r="E112" s="12"/>
      <c r="F112">
        <v>75.543199999999999</v>
      </c>
      <c r="G112">
        <v>140</v>
      </c>
      <c r="H112">
        <v>1690</v>
      </c>
    </row>
    <row r="113" spans="1:8" x14ac:dyDescent="0.2">
      <c r="A113" t="s">
        <v>155</v>
      </c>
      <c r="B113" t="s">
        <v>46</v>
      </c>
      <c r="C113" t="s">
        <v>230</v>
      </c>
      <c r="D113" t="s">
        <v>87</v>
      </c>
      <c r="E113" s="12"/>
      <c r="F113">
        <v>75.543199999999999</v>
      </c>
      <c r="G113">
        <v>140</v>
      </c>
      <c r="H113">
        <v>1690</v>
      </c>
    </row>
    <row r="114" spans="1:8" x14ac:dyDescent="0.2">
      <c r="A114" t="s">
        <v>155</v>
      </c>
      <c r="B114" t="s">
        <v>82</v>
      </c>
      <c r="C114" t="s">
        <v>231</v>
      </c>
      <c r="D114" t="s">
        <v>30</v>
      </c>
      <c r="E114" s="12"/>
      <c r="F114">
        <v>100</v>
      </c>
      <c r="G114">
        <v>1022</v>
      </c>
      <c r="H114">
        <v>1023</v>
      </c>
    </row>
    <row r="115" spans="1:8" x14ac:dyDescent="0.2">
      <c r="A115" t="s">
        <v>155</v>
      </c>
      <c r="B115" t="s">
        <v>82</v>
      </c>
      <c r="C115" t="s">
        <v>231</v>
      </c>
      <c r="D115" t="s">
        <v>64</v>
      </c>
      <c r="E115" s="12"/>
      <c r="F115">
        <v>98.313699999999997</v>
      </c>
      <c r="G115">
        <v>323</v>
      </c>
      <c r="H115">
        <v>1023</v>
      </c>
    </row>
    <row r="116" spans="1:8" x14ac:dyDescent="0.2">
      <c r="A116" t="s">
        <v>155</v>
      </c>
      <c r="B116" t="s">
        <v>84</v>
      </c>
      <c r="C116" t="s">
        <v>232</v>
      </c>
      <c r="D116" t="s">
        <v>61</v>
      </c>
      <c r="E116" s="12"/>
      <c r="F116">
        <v>100</v>
      </c>
      <c r="G116">
        <v>569</v>
      </c>
      <c r="H116">
        <v>576</v>
      </c>
    </row>
    <row r="117" spans="1:8" x14ac:dyDescent="0.2">
      <c r="A117" t="s">
        <v>155</v>
      </c>
      <c r="B117" t="s">
        <v>89</v>
      </c>
      <c r="C117" t="s">
        <v>234</v>
      </c>
      <c r="D117" t="s">
        <v>87</v>
      </c>
      <c r="E117" s="12"/>
      <c r="F117">
        <v>100</v>
      </c>
      <c r="G117">
        <v>635</v>
      </c>
      <c r="H117">
        <v>641</v>
      </c>
    </row>
    <row r="118" spans="1:8" x14ac:dyDescent="0.2">
      <c r="A118" t="s">
        <v>155</v>
      </c>
      <c r="B118" t="s">
        <v>89</v>
      </c>
      <c r="C118" t="s">
        <v>234</v>
      </c>
      <c r="D118" t="s">
        <v>73</v>
      </c>
      <c r="E118" s="12"/>
      <c r="F118">
        <v>100</v>
      </c>
      <c r="G118">
        <v>635</v>
      </c>
      <c r="H118">
        <v>641</v>
      </c>
    </row>
    <row r="119" spans="1:8" x14ac:dyDescent="0.2">
      <c r="A119" t="s">
        <v>155</v>
      </c>
      <c r="B119" t="s">
        <v>89</v>
      </c>
      <c r="C119" t="s">
        <v>234</v>
      </c>
      <c r="D119" t="s">
        <v>59</v>
      </c>
      <c r="E119" s="12"/>
      <c r="F119">
        <v>99.918199999999999</v>
      </c>
      <c r="G119">
        <v>625</v>
      </c>
      <c r="H119">
        <v>641</v>
      </c>
    </row>
    <row r="120" spans="1:8" x14ac:dyDescent="0.2">
      <c r="A120" t="s">
        <v>155</v>
      </c>
      <c r="B120" t="s">
        <v>89</v>
      </c>
      <c r="C120" t="s">
        <v>234</v>
      </c>
      <c r="D120" t="s">
        <v>34</v>
      </c>
      <c r="E120" s="12"/>
      <c r="F120">
        <v>76.638900000000007</v>
      </c>
      <c r="G120">
        <v>133</v>
      </c>
      <c r="H120">
        <v>641</v>
      </c>
    </row>
    <row r="121" spans="1:8" x14ac:dyDescent="0.2">
      <c r="A121" t="s">
        <v>155</v>
      </c>
      <c r="B121" t="s">
        <v>89</v>
      </c>
      <c r="C121" t="s">
        <v>234</v>
      </c>
      <c r="D121" t="s">
        <v>77</v>
      </c>
      <c r="E121" s="12"/>
      <c r="F121">
        <v>75.137200000000007</v>
      </c>
      <c r="G121">
        <v>162</v>
      </c>
      <c r="H121">
        <v>641</v>
      </c>
    </row>
    <row r="122" spans="1:8" x14ac:dyDescent="0.2">
      <c r="A122" t="s">
        <v>155</v>
      </c>
      <c r="B122" t="s">
        <v>89</v>
      </c>
      <c r="C122" t="s">
        <v>234</v>
      </c>
      <c r="D122" t="s">
        <v>69</v>
      </c>
      <c r="E122" s="12"/>
      <c r="F122">
        <v>75.137200000000007</v>
      </c>
      <c r="G122">
        <v>162</v>
      </c>
      <c r="H122">
        <v>641</v>
      </c>
    </row>
    <row r="123" spans="1:8" x14ac:dyDescent="0.2">
      <c r="A123" t="s">
        <v>155</v>
      </c>
      <c r="B123" t="s">
        <v>91</v>
      </c>
      <c r="C123" t="e">
        <v>#N/A</v>
      </c>
      <c r="D123" t="s">
        <v>30</v>
      </c>
      <c r="E123" s="12"/>
      <c r="F123">
        <v>100</v>
      </c>
      <c r="G123">
        <v>472</v>
      </c>
      <c r="H123">
        <v>473</v>
      </c>
    </row>
    <row r="124" spans="1:8" x14ac:dyDescent="0.2">
      <c r="A124" t="s">
        <v>155</v>
      </c>
      <c r="B124" t="s">
        <v>146</v>
      </c>
      <c r="C124" t="s">
        <v>235</v>
      </c>
      <c r="D124" t="s">
        <v>61</v>
      </c>
      <c r="E124" s="12"/>
      <c r="F124">
        <v>100</v>
      </c>
      <c r="G124">
        <v>80</v>
      </c>
      <c r="H124">
        <v>81</v>
      </c>
    </row>
    <row r="125" spans="1:8" x14ac:dyDescent="0.2">
      <c r="A125" t="s">
        <v>155</v>
      </c>
      <c r="B125" t="s">
        <v>87</v>
      </c>
      <c r="C125" t="s">
        <v>236</v>
      </c>
      <c r="D125" t="s">
        <v>73</v>
      </c>
      <c r="E125" s="12"/>
      <c r="F125">
        <v>100</v>
      </c>
      <c r="G125">
        <v>675</v>
      </c>
      <c r="H125">
        <v>678</v>
      </c>
    </row>
    <row r="126" spans="1:8" x14ac:dyDescent="0.2">
      <c r="A126" t="s">
        <v>155</v>
      </c>
      <c r="B126" t="s">
        <v>87</v>
      </c>
      <c r="C126" t="s">
        <v>236</v>
      </c>
      <c r="D126" t="s">
        <v>89</v>
      </c>
      <c r="E126" s="12"/>
      <c r="F126">
        <v>100</v>
      </c>
      <c r="G126">
        <v>635</v>
      </c>
      <c r="H126">
        <v>678</v>
      </c>
    </row>
    <row r="127" spans="1:8" x14ac:dyDescent="0.2">
      <c r="A127" t="s">
        <v>155</v>
      </c>
      <c r="B127" t="s">
        <v>87</v>
      </c>
      <c r="C127" t="s">
        <v>236</v>
      </c>
      <c r="D127" t="s">
        <v>59</v>
      </c>
      <c r="E127" s="12"/>
      <c r="F127">
        <v>99.922499999999999</v>
      </c>
      <c r="G127">
        <v>660</v>
      </c>
      <c r="H127">
        <v>678</v>
      </c>
    </row>
    <row r="128" spans="1:8" x14ac:dyDescent="0.2">
      <c r="A128" t="s">
        <v>155</v>
      </c>
      <c r="B128" t="s">
        <v>87</v>
      </c>
      <c r="C128" t="s">
        <v>236</v>
      </c>
      <c r="D128" t="s">
        <v>34</v>
      </c>
      <c r="E128" s="12"/>
      <c r="F128">
        <v>76.602699999999999</v>
      </c>
      <c r="G128">
        <v>140</v>
      </c>
      <c r="H128">
        <v>678</v>
      </c>
    </row>
    <row r="129" spans="1:8" x14ac:dyDescent="0.2">
      <c r="A129" t="s">
        <v>155</v>
      </c>
      <c r="B129" t="s">
        <v>87</v>
      </c>
      <c r="C129" t="s">
        <v>236</v>
      </c>
      <c r="D129" t="s">
        <v>69</v>
      </c>
      <c r="E129" s="12"/>
      <c r="F129">
        <v>75.122200000000007</v>
      </c>
      <c r="G129">
        <v>169</v>
      </c>
      <c r="H129">
        <v>678</v>
      </c>
    </row>
    <row r="130" spans="1:8" x14ac:dyDescent="0.2">
      <c r="A130" t="s">
        <v>155</v>
      </c>
      <c r="B130" t="s">
        <v>87</v>
      </c>
      <c r="C130" t="s">
        <v>236</v>
      </c>
      <c r="D130" t="s">
        <v>77</v>
      </c>
      <c r="E130" s="12"/>
      <c r="F130">
        <v>75.122200000000007</v>
      </c>
      <c r="G130">
        <v>169</v>
      </c>
      <c r="H130">
        <v>678</v>
      </c>
    </row>
    <row r="131" spans="1:8" x14ac:dyDescent="0.2">
      <c r="B131" t="s">
        <v>145</v>
      </c>
      <c r="D131" t="s">
        <v>140</v>
      </c>
      <c r="F131">
        <v>79.005799999999994</v>
      </c>
      <c r="G131">
        <v>474</v>
      </c>
      <c r="H131">
        <v>1607</v>
      </c>
    </row>
    <row r="132" spans="1:8" x14ac:dyDescent="0.2">
      <c r="B132" t="s">
        <v>136</v>
      </c>
      <c r="D132" t="s">
        <v>138</v>
      </c>
      <c r="F132">
        <v>87.552300000000002</v>
      </c>
      <c r="G132">
        <v>1095</v>
      </c>
      <c r="H132">
        <v>1550</v>
      </c>
    </row>
    <row r="133" spans="1:8" x14ac:dyDescent="0.2">
      <c r="B133" t="s">
        <v>138</v>
      </c>
      <c r="D133" t="s">
        <v>136</v>
      </c>
      <c r="F133">
        <v>87.600899999999996</v>
      </c>
      <c r="G133">
        <v>1085</v>
      </c>
      <c r="H133">
        <v>1365</v>
      </c>
    </row>
    <row r="134" spans="1:8" x14ac:dyDescent="0.2">
      <c r="B134" t="s">
        <v>132</v>
      </c>
      <c r="D134" t="s">
        <v>130</v>
      </c>
      <c r="F134">
        <v>98.028899999999993</v>
      </c>
      <c r="G134">
        <v>1944</v>
      </c>
      <c r="H134">
        <v>2109</v>
      </c>
    </row>
    <row r="135" spans="1:8" x14ac:dyDescent="0.2">
      <c r="B135" t="s">
        <v>132</v>
      </c>
      <c r="D135" t="s">
        <v>134</v>
      </c>
      <c r="F135">
        <v>82.426000000000002</v>
      </c>
      <c r="G135">
        <v>1026</v>
      </c>
      <c r="H135">
        <v>2109</v>
      </c>
    </row>
    <row r="136" spans="1:8" x14ac:dyDescent="0.2">
      <c r="B136" t="s">
        <v>147</v>
      </c>
      <c r="D136" t="s">
        <v>148</v>
      </c>
      <c r="F136">
        <v>98.789299999999997</v>
      </c>
      <c r="G136">
        <v>1069</v>
      </c>
      <c r="H136">
        <v>1138</v>
      </c>
    </row>
    <row r="137" spans="1:8" x14ac:dyDescent="0.2">
      <c r="B137" t="s">
        <v>147</v>
      </c>
      <c r="D137" t="s">
        <v>149</v>
      </c>
      <c r="F137">
        <v>83.277100000000004</v>
      </c>
      <c r="G137">
        <v>766</v>
      </c>
      <c r="H137">
        <v>1138</v>
      </c>
    </row>
    <row r="138" spans="1:8" x14ac:dyDescent="0.2">
      <c r="B138" t="s">
        <v>147</v>
      </c>
      <c r="D138" t="s">
        <v>150</v>
      </c>
      <c r="F138">
        <v>78.343299999999999</v>
      </c>
      <c r="G138">
        <v>326</v>
      </c>
      <c r="H138">
        <v>1138</v>
      </c>
    </row>
    <row r="139" spans="1:8" x14ac:dyDescent="0.2">
      <c r="B139" t="s">
        <v>140</v>
      </c>
      <c r="D139" t="s">
        <v>141</v>
      </c>
      <c r="F139">
        <v>81.110200000000006</v>
      </c>
      <c r="G139">
        <v>754</v>
      </c>
      <c r="H139">
        <v>1913</v>
      </c>
    </row>
    <row r="140" spans="1:8" x14ac:dyDescent="0.2">
      <c r="B140" t="s">
        <v>140</v>
      </c>
      <c r="D140" t="s">
        <v>145</v>
      </c>
      <c r="F140">
        <v>78.904200000000003</v>
      </c>
      <c r="G140">
        <v>475</v>
      </c>
      <c r="H140">
        <v>1913</v>
      </c>
    </row>
    <row r="141" spans="1:8" x14ac:dyDescent="0.2">
      <c r="B141" t="s">
        <v>124</v>
      </c>
      <c r="D141" t="s">
        <v>122</v>
      </c>
      <c r="F141">
        <v>98.599299999999999</v>
      </c>
      <c r="G141">
        <v>1751</v>
      </c>
      <c r="H141">
        <v>1999</v>
      </c>
    </row>
    <row r="142" spans="1:8" x14ac:dyDescent="0.2">
      <c r="B142" t="s">
        <v>124</v>
      </c>
      <c r="D142" t="s">
        <v>120</v>
      </c>
      <c r="F142">
        <v>91.506900000000002</v>
      </c>
      <c r="G142">
        <v>1615</v>
      </c>
      <c r="H142">
        <v>1999</v>
      </c>
    </row>
    <row r="143" spans="1:8" x14ac:dyDescent="0.2">
      <c r="B143" t="s">
        <v>124</v>
      </c>
      <c r="D143" t="s">
        <v>126</v>
      </c>
      <c r="F143">
        <v>80.810199999999995</v>
      </c>
      <c r="G143">
        <v>670</v>
      </c>
      <c r="H143">
        <v>1999</v>
      </c>
    </row>
    <row r="144" spans="1:8" x14ac:dyDescent="0.2">
      <c r="B144" t="s">
        <v>151</v>
      </c>
      <c r="D144" t="s">
        <v>151</v>
      </c>
      <c r="F144">
        <v>100</v>
      </c>
      <c r="G144">
        <v>1791</v>
      </c>
      <c r="H144">
        <v>1791</v>
      </c>
    </row>
    <row r="145" spans="2:8" x14ac:dyDescent="0.2">
      <c r="B145" t="s">
        <v>130</v>
      </c>
      <c r="D145" t="s">
        <v>132</v>
      </c>
      <c r="F145">
        <v>97.875900000000001</v>
      </c>
      <c r="G145">
        <v>1962</v>
      </c>
      <c r="H145">
        <v>2140</v>
      </c>
    </row>
    <row r="146" spans="2:8" x14ac:dyDescent="0.2">
      <c r="B146" t="s">
        <v>130</v>
      </c>
      <c r="D146" t="s">
        <v>134</v>
      </c>
      <c r="F146">
        <v>82.4071</v>
      </c>
      <c r="G146">
        <v>1044</v>
      </c>
      <c r="H146">
        <v>2140</v>
      </c>
    </row>
    <row r="147" spans="2:8" x14ac:dyDescent="0.2">
      <c r="B147" t="s">
        <v>148</v>
      </c>
      <c r="D147" t="s">
        <v>147</v>
      </c>
      <c r="F147">
        <v>98.7697</v>
      </c>
      <c r="G147">
        <v>1067</v>
      </c>
      <c r="H147">
        <v>1171</v>
      </c>
    </row>
    <row r="148" spans="2:8" x14ac:dyDescent="0.2">
      <c r="B148" t="s">
        <v>148</v>
      </c>
      <c r="D148" t="s">
        <v>149</v>
      </c>
      <c r="F148">
        <v>83.373500000000007</v>
      </c>
      <c r="G148">
        <v>743</v>
      </c>
      <c r="H148">
        <v>1171</v>
      </c>
    </row>
    <row r="149" spans="2:8" x14ac:dyDescent="0.2">
      <c r="B149" t="s">
        <v>148</v>
      </c>
      <c r="D149" t="s">
        <v>150</v>
      </c>
      <c r="F149">
        <v>78.364999999999995</v>
      </c>
      <c r="G149">
        <v>319</v>
      </c>
      <c r="H149">
        <v>1171</v>
      </c>
    </row>
    <row r="150" spans="2:8" x14ac:dyDescent="0.2">
      <c r="B150" t="s">
        <v>149</v>
      </c>
      <c r="D150" t="s">
        <v>147</v>
      </c>
      <c r="F150">
        <v>83.311700000000002</v>
      </c>
      <c r="G150">
        <v>764</v>
      </c>
      <c r="H150">
        <v>1262</v>
      </c>
    </row>
    <row r="151" spans="2:8" x14ac:dyDescent="0.2">
      <c r="B151" t="s">
        <v>149</v>
      </c>
      <c r="D151" t="s">
        <v>148</v>
      </c>
      <c r="F151">
        <v>83.142499999999998</v>
      </c>
      <c r="G151">
        <v>779</v>
      </c>
      <c r="H151">
        <v>1262</v>
      </c>
    </row>
    <row r="152" spans="2:8" x14ac:dyDescent="0.2">
      <c r="B152" t="s">
        <v>149</v>
      </c>
      <c r="D152" t="s">
        <v>150</v>
      </c>
      <c r="F152">
        <v>78.070499999999996</v>
      </c>
      <c r="G152">
        <v>294</v>
      </c>
      <c r="H152">
        <v>1262</v>
      </c>
    </row>
    <row r="153" spans="2:8" x14ac:dyDescent="0.2">
      <c r="B153" t="s">
        <v>120</v>
      </c>
      <c r="D153" t="s">
        <v>122</v>
      </c>
      <c r="F153">
        <v>91.560400000000001</v>
      </c>
      <c r="G153">
        <v>1577</v>
      </c>
      <c r="H153">
        <v>2018</v>
      </c>
    </row>
    <row r="154" spans="2:8" x14ac:dyDescent="0.2">
      <c r="B154" t="s">
        <v>120</v>
      </c>
      <c r="D154" t="s">
        <v>124</v>
      </c>
      <c r="F154">
        <v>91.4816</v>
      </c>
      <c r="G154">
        <v>1613</v>
      </c>
      <c r="H154">
        <v>2018</v>
      </c>
    </row>
    <row r="155" spans="2:8" x14ac:dyDescent="0.2">
      <c r="B155" t="s">
        <v>120</v>
      </c>
      <c r="D155" t="s">
        <v>126</v>
      </c>
      <c r="F155">
        <v>80.643000000000001</v>
      </c>
      <c r="G155">
        <v>690</v>
      </c>
      <c r="H155">
        <v>2018</v>
      </c>
    </row>
    <row r="156" spans="2:8" x14ac:dyDescent="0.2">
      <c r="B156" t="s">
        <v>122</v>
      </c>
      <c r="D156" t="s">
        <v>124</v>
      </c>
      <c r="F156">
        <v>98.611199999999997</v>
      </c>
      <c r="G156">
        <v>1739</v>
      </c>
      <c r="H156">
        <v>2020</v>
      </c>
    </row>
    <row r="157" spans="2:8" x14ac:dyDescent="0.2">
      <c r="B157" t="s">
        <v>122</v>
      </c>
      <c r="D157" t="s">
        <v>120</v>
      </c>
      <c r="F157">
        <v>91.675399999999996</v>
      </c>
      <c r="G157">
        <v>1576</v>
      </c>
      <c r="H157">
        <v>2020</v>
      </c>
    </row>
    <row r="158" spans="2:8" x14ac:dyDescent="0.2">
      <c r="B158" t="s">
        <v>122</v>
      </c>
      <c r="D158" t="s">
        <v>126</v>
      </c>
      <c r="F158">
        <v>80.636899999999997</v>
      </c>
      <c r="G158">
        <v>689</v>
      </c>
      <c r="H158">
        <v>2020</v>
      </c>
    </row>
    <row r="159" spans="2:8" x14ac:dyDescent="0.2">
      <c r="B159" t="s">
        <v>134</v>
      </c>
      <c r="D159" t="s">
        <v>132</v>
      </c>
      <c r="F159">
        <v>82.654399999999995</v>
      </c>
      <c r="G159">
        <v>1011</v>
      </c>
      <c r="H159">
        <v>1827</v>
      </c>
    </row>
    <row r="160" spans="2:8" x14ac:dyDescent="0.2">
      <c r="B160" t="s">
        <v>134</v>
      </c>
      <c r="D160" t="s">
        <v>130</v>
      </c>
      <c r="F160">
        <v>82.556399999999996</v>
      </c>
      <c r="G160">
        <v>1009</v>
      </c>
      <c r="H160">
        <v>1827</v>
      </c>
    </row>
    <row r="161" spans="2:8" x14ac:dyDescent="0.2">
      <c r="B161" t="s">
        <v>141</v>
      </c>
      <c r="D161" t="s">
        <v>140</v>
      </c>
      <c r="F161">
        <v>81.085700000000003</v>
      </c>
      <c r="G161">
        <v>749</v>
      </c>
      <c r="H161">
        <v>1436</v>
      </c>
    </row>
    <row r="162" spans="2:8" x14ac:dyDescent="0.2">
      <c r="B162" t="s">
        <v>144</v>
      </c>
      <c r="D162" t="s">
        <v>142</v>
      </c>
      <c r="F162">
        <v>99.436700000000002</v>
      </c>
      <c r="G162">
        <v>1433</v>
      </c>
      <c r="H162">
        <v>1503</v>
      </c>
    </row>
    <row r="163" spans="2:8" x14ac:dyDescent="0.2">
      <c r="B163" t="s">
        <v>126</v>
      </c>
      <c r="D163" t="s">
        <v>122</v>
      </c>
      <c r="F163">
        <v>80.785700000000006</v>
      </c>
      <c r="G163">
        <v>681</v>
      </c>
      <c r="H163">
        <v>1472</v>
      </c>
    </row>
    <row r="164" spans="2:8" x14ac:dyDescent="0.2">
      <c r="B164" t="s">
        <v>126</v>
      </c>
      <c r="D164" t="s">
        <v>124</v>
      </c>
      <c r="F164">
        <v>80.744699999999995</v>
      </c>
      <c r="G164">
        <v>668</v>
      </c>
      <c r="H164">
        <v>1472</v>
      </c>
    </row>
    <row r="165" spans="2:8" x14ac:dyDescent="0.2">
      <c r="B165" t="s">
        <v>126</v>
      </c>
      <c r="D165" t="s">
        <v>120</v>
      </c>
      <c r="F165">
        <v>80.584400000000002</v>
      </c>
      <c r="G165">
        <v>688</v>
      </c>
      <c r="H165">
        <v>1472</v>
      </c>
    </row>
    <row r="166" spans="2:8" x14ac:dyDescent="0.2">
      <c r="B166" t="s">
        <v>142</v>
      </c>
      <c r="D166" t="s">
        <v>144</v>
      </c>
      <c r="F166">
        <v>99.409700000000001</v>
      </c>
      <c r="G166">
        <v>1444</v>
      </c>
      <c r="H166">
        <v>1568</v>
      </c>
    </row>
    <row r="167" spans="2:8" x14ac:dyDescent="0.2">
      <c r="B167" t="s">
        <v>150</v>
      </c>
      <c r="D167" t="s">
        <v>148</v>
      </c>
      <c r="F167">
        <v>78.267099999999999</v>
      </c>
      <c r="G167">
        <v>325</v>
      </c>
      <c r="H167">
        <v>1258</v>
      </c>
    </row>
    <row r="168" spans="2:8" x14ac:dyDescent="0.2">
      <c r="B168" t="s">
        <v>150</v>
      </c>
      <c r="D168" t="s">
        <v>147</v>
      </c>
      <c r="F168">
        <v>78.165099999999995</v>
      </c>
      <c r="G168">
        <v>333</v>
      </c>
      <c r="H168">
        <v>1258</v>
      </c>
    </row>
    <row r="169" spans="2:8" x14ac:dyDescent="0.2">
      <c r="B169" t="s">
        <v>150</v>
      </c>
      <c r="D169" t="s">
        <v>149</v>
      </c>
      <c r="F169">
        <v>77.973299999999995</v>
      </c>
      <c r="G169">
        <v>303</v>
      </c>
      <c r="H169">
        <v>1258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DF2B-5FB3-124A-A503-75978939DF6B}">
  <dimension ref="A1:L43"/>
  <sheetViews>
    <sheetView tabSelected="1" workbookViewId="0">
      <selection activeCell="D15" sqref="D15"/>
    </sheetView>
  </sheetViews>
  <sheetFormatPr baseColWidth="10" defaultRowHeight="16" x14ac:dyDescent="0.2"/>
  <sheetData>
    <row r="1" spans="1:12" x14ac:dyDescent="0.2">
      <c r="A1" t="s">
        <v>92</v>
      </c>
      <c r="C1" t="s">
        <v>93</v>
      </c>
      <c r="D1" t="s">
        <v>3</v>
      </c>
      <c r="E1" t="s">
        <v>4</v>
      </c>
      <c r="F1" t="s">
        <v>5</v>
      </c>
      <c r="G1" t="s">
        <v>94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 t="s">
        <v>95</v>
      </c>
      <c r="B2" t="s">
        <v>96</v>
      </c>
      <c r="C2" t="s">
        <v>30</v>
      </c>
      <c r="D2">
        <v>1</v>
      </c>
      <c r="E2">
        <v>0</v>
      </c>
      <c r="F2" t="s">
        <v>31</v>
      </c>
      <c r="G2">
        <v>12415712</v>
      </c>
      <c r="H2">
        <v>2059</v>
      </c>
      <c r="I2">
        <v>8101</v>
      </c>
      <c r="J2">
        <v>1.9607843137254902E-2</v>
      </c>
      <c r="K2">
        <v>2</v>
      </c>
      <c r="L2">
        <v>0</v>
      </c>
    </row>
    <row r="3" spans="1:12" x14ac:dyDescent="0.2">
      <c r="A3" t="s">
        <v>95</v>
      </c>
      <c r="B3" t="s">
        <v>97</v>
      </c>
      <c r="C3" t="s">
        <v>34</v>
      </c>
      <c r="D3">
        <v>1</v>
      </c>
      <c r="E3">
        <v>0</v>
      </c>
      <c r="F3" t="s">
        <v>31</v>
      </c>
      <c r="G3">
        <v>21119140</v>
      </c>
      <c r="H3">
        <v>3047</v>
      </c>
      <c r="I3">
        <v>9822</v>
      </c>
      <c r="J3">
        <v>1.9607843137254902E-2</v>
      </c>
      <c r="K3">
        <v>2</v>
      </c>
      <c r="L3">
        <v>0</v>
      </c>
    </row>
    <row r="4" spans="1:12" x14ac:dyDescent="0.2">
      <c r="A4" t="s">
        <v>95</v>
      </c>
      <c r="B4" t="s">
        <v>98</v>
      </c>
      <c r="C4" t="s">
        <v>59</v>
      </c>
      <c r="D4">
        <v>9</v>
      </c>
      <c r="E4">
        <v>0</v>
      </c>
      <c r="F4" t="s">
        <v>31</v>
      </c>
      <c r="G4">
        <v>20948730</v>
      </c>
      <c r="H4">
        <v>3407</v>
      </c>
      <c r="I4">
        <v>7966</v>
      </c>
      <c r="J4">
        <v>0.17647058823529399</v>
      </c>
      <c r="K4">
        <v>18</v>
      </c>
      <c r="L4">
        <v>0</v>
      </c>
    </row>
    <row r="5" spans="1:12" x14ac:dyDescent="0.2">
      <c r="A5" t="s">
        <v>95</v>
      </c>
      <c r="B5" t="s">
        <v>99</v>
      </c>
      <c r="C5" t="s">
        <v>61</v>
      </c>
      <c r="D5">
        <v>1</v>
      </c>
      <c r="E5">
        <v>0</v>
      </c>
      <c r="F5" t="s">
        <v>100</v>
      </c>
      <c r="G5">
        <v>21921260</v>
      </c>
      <c r="H5">
        <v>4029</v>
      </c>
      <c r="I5">
        <v>7019</v>
      </c>
      <c r="J5">
        <v>2.6315789473684199E-2</v>
      </c>
      <c r="K5">
        <v>3</v>
      </c>
      <c r="L5">
        <v>0</v>
      </c>
    </row>
    <row r="6" spans="1:12" x14ac:dyDescent="0.2">
      <c r="A6" t="s">
        <v>95</v>
      </c>
      <c r="B6" t="s">
        <v>101</v>
      </c>
      <c r="C6" t="s">
        <v>39</v>
      </c>
      <c r="D6">
        <v>10</v>
      </c>
      <c r="E6">
        <v>0</v>
      </c>
      <c r="F6" t="s">
        <v>31</v>
      </c>
      <c r="G6">
        <v>853365</v>
      </c>
      <c r="H6">
        <v>53</v>
      </c>
      <c r="I6">
        <v>19708</v>
      </c>
      <c r="J6">
        <v>0.19607843137254899</v>
      </c>
      <c r="K6">
        <v>20</v>
      </c>
      <c r="L6">
        <v>0</v>
      </c>
    </row>
    <row r="7" spans="1:12" x14ac:dyDescent="0.2">
      <c r="A7" t="s">
        <v>102</v>
      </c>
      <c r="B7" t="s">
        <v>103</v>
      </c>
      <c r="C7" t="s">
        <v>30</v>
      </c>
      <c r="D7">
        <v>47</v>
      </c>
      <c r="E7">
        <v>6</v>
      </c>
      <c r="F7" t="s">
        <v>31</v>
      </c>
      <c r="G7">
        <v>4812366</v>
      </c>
      <c r="H7">
        <v>78</v>
      </c>
      <c r="I7">
        <v>204169</v>
      </c>
      <c r="J7">
        <v>0.786149353358365</v>
      </c>
      <c r="K7">
        <v>92</v>
      </c>
      <c r="L7">
        <v>12</v>
      </c>
    </row>
    <row r="8" spans="1:12" x14ac:dyDescent="0.2">
      <c r="A8" t="s">
        <v>102</v>
      </c>
      <c r="B8" t="s">
        <v>104</v>
      </c>
      <c r="C8" t="s">
        <v>66</v>
      </c>
      <c r="D8">
        <v>28</v>
      </c>
      <c r="E8">
        <v>0</v>
      </c>
      <c r="F8" t="s">
        <v>31</v>
      </c>
      <c r="G8">
        <v>13823964</v>
      </c>
      <c r="H8">
        <v>1587</v>
      </c>
      <c r="I8">
        <v>12712</v>
      </c>
      <c r="J8">
        <v>0.54901960784313697</v>
      </c>
      <c r="K8">
        <v>55</v>
      </c>
      <c r="L8">
        <v>0</v>
      </c>
    </row>
    <row r="9" spans="1:12" x14ac:dyDescent="0.2">
      <c r="A9" s="2" t="s">
        <v>102</v>
      </c>
      <c r="B9" t="s">
        <v>105</v>
      </c>
      <c r="C9" s="2" t="s">
        <v>69</v>
      </c>
      <c r="D9" s="2">
        <v>48</v>
      </c>
      <c r="E9" s="2">
        <v>0</v>
      </c>
      <c r="F9" s="2" t="s">
        <v>31</v>
      </c>
      <c r="G9" s="2">
        <v>5515311</v>
      </c>
      <c r="H9" s="2">
        <v>293</v>
      </c>
      <c r="I9" s="2">
        <v>168586</v>
      </c>
      <c r="J9" s="2">
        <v>0.94117647058823495</v>
      </c>
      <c r="K9" s="2">
        <v>94</v>
      </c>
      <c r="L9" s="2">
        <v>0</v>
      </c>
    </row>
    <row r="10" spans="1:12" x14ac:dyDescent="0.2">
      <c r="A10" s="2" t="s">
        <v>102</v>
      </c>
      <c r="B10" t="s">
        <v>106</v>
      </c>
      <c r="C10" s="2" t="s">
        <v>42</v>
      </c>
      <c r="D10" s="2">
        <v>30</v>
      </c>
      <c r="E10" s="2">
        <v>0</v>
      </c>
      <c r="F10" s="2" t="s">
        <v>31</v>
      </c>
      <c r="G10" s="2">
        <v>4901728</v>
      </c>
      <c r="H10" s="2">
        <v>113</v>
      </c>
      <c r="I10" s="2">
        <v>68791</v>
      </c>
      <c r="J10" s="2">
        <v>0.58823529411764697</v>
      </c>
      <c r="K10" s="2">
        <v>59</v>
      </c>
      <c r="L10" s="2">
        <v>0</v>
      </c>
    </row>
    <row r="11" spans="1:12" x14ac:dyDescent="0.2">
      <c r="A11" s="2" t="s">
        <v>102</v>
      </c>
      <c r="B11" t="s">
        <v>107</v>
      </c>
      <c r="C11" s="3" t="s">
        <v>108</v>
      </c>
      <c r="D11" s="3">
        <v>28</v>
      </c>
      <c r="E11" s="3">
        <v>0</v>
      </c>
      <c r="F11" s="3" t="s">
        <v>31</v>
      </c>
      <c r="G11" s="3">
        <v>4520209</v>
      </c>
      <c r="H11" s="3">
        <v>102</v>
      </c>
      <c r="I11" s="3">
        <v>68791</v>
      </c>
      <c r="J11" s="3">
        <v>0.54901960784313697</v>
      </c>
      <c r="K11" s="3">
        <v>55</v>
      </c>
      <c r="L11" s="3">
        <v>0</v>
      </c>
    </row>
    <row r="12" spans="1:12" x14ac:dyDescent="0.2">
      <c r="A12" t="s">
        <v>102</v>
      </c>
      <c r="B12" t="s">
        <v>109</v>
      </c>
      <c r="C12" t="s">
        <v>44</v>
      </c>
      <c r="D12">
        <v>46</v>
      </c>
      <c r="E12">
        <v>0</v>
      </c>
      <c r="F12" t="s">
        <v>31</v>
      </c>
      <c r="G12">
        <v>4175800</v>
      </c>
      <c r="H12">
        <v>26</v>
      </c>
      <c r="I12">
        <v>206335</v>
      </c>
      <c r="J12">
        <v>0.90196078431372595</v>
      </c>
      <c r="K12">
        <v>90</v>
      </c>
      <c r="L12">
        <v>0</v>
      </c>
    </row>
    <row r="13" spans="1:12" x14ac:dyDescent="0.2">
      <c r="A13" t="s">
        <v>102</v>
      </c>
      <c r="B13" t="s">
        <v>110</v>
      </c>
      <c r="C13" t="s">
        <v>34</v>
      </c>
      <c r="D13">
        <v>22</v>
      </c>
      <c r="E13">
        <v>1</v>
      </c>
      <c r="F13" t="s">
        <v>31</v>
      </c>
      <c r="G13">
        <v>4755013</v>
      </c>
      <c r="H13">
        <v>162</v>
      </c>
      <c r="I13">
        <v>68791</v>
      </c>
      <c r="J13">
        <v>0.394295900178253</v>
      </c>
      <c r="K13">
        <v>43</v>
      </c>
      <c r="L13">
        <v>2</v>
      </c>
    </row>
    <row r="14" spans="1:12" x14ac:dyDescent="0.2">
      <c r="A14" t="s">
        <v>102</v>
      </c>
      <c r="B14" t="s">
        <v>111</v>
      </c>
      <c r="C14" t="s">
        <v>59</v>
      </c>
      <c r="D14">
        <v>1</v>
      </c>
      <c r="E14">
        <v>0</v>
      </c>
      <c r="F14" t="s">
        <v>31</v>
      </c>
      <c r="G14">
        <v>15355226</v>
      </c>
      <c r="H14">
        <v>2614</v>
      </c>
      <c r="I14">
        <v>7663</v>
      </c>
      <c r="J14">
        <v>1.9607843137254902E-2</v>
      </c>
      <c r="K14">
        <v>2</v>
      </c>
      <c r="L14">
        <v>0</v>
      </c>
    </row>
    <row r="15" spans="1:12" x14ac:dyDescent="0.2">
      <c r="A15" t="s">
        <v>112</v>
      </c>
      <c r="B15" t="s">
        <v>29</v>
      </c>
      <c r="C15" t="s">
        <v>30</v>
      </c>
      <c r="D15">
        <v>21</v>
      </c>
      <c r="E15">
        <v>5</v>
      </c>
      <c r="F15" t="s">
        <v>31</v>
      </c>
      <c r="G15">
        <v>2519132</v>
      </c>
      <c r="H15">
        <v>180</v>
      </c>
      <c r="I15">
        <v>22055</v>
      </c>
      <c r="J15">
        <v>0.21988795518207299</v>
      </c>
      <c r="K15">
        <v>41</v>
      </c>
      <c r="L15">
        <v>10</v>
      </c>
    </row>
    <row r="16" spans="1:12" x14ac:dyDescent="0.2">
      <c r="A16" t="s">
        <v>112</v>
      </c>
      <c r="B16" t="s">
        <v>33</v>
      </c>
      <c r="C16" t="s">
        <v>34</v>
      </c>
      <c r="D16">
        <v>35</v>
      </c>
      <c r="E16">
        <v>19</v>
      </c>
      <c r="F16" t="s">
        <v>31</v>
      </c>
      <c r="G16">
        <v>4373374</v>
      </c>
      <c r="H16">
        <v>386</v>
      </c>
      <c r="I16">
        <v>19133</v>
      </c>
      <c r="J16">
        <v>0.15467787114845899</v>
      </c>
      <c r="K16" s="4">
        <v>69</v>
      </c>
      <c r="L16">
        <v>37</v>
      </c>
    </row>
    <row r="17" spans="1:12" x14ac:dyDescent="0.2">
      <c r="A17" t="s">
        <v>112</v>
      </c>
      <c r="B17" t="s">
        <v>36</v>
      </c>
      <c r="C17" t="s">
        <v>37</v>
      </c>
      <c r="D17">
        <v>12</v>
      </c>
      <c r="E17">
        <v>0</v>
      </c>
      <c r="F17" t="s">
        <v>31</v>
      </c>
      <c r="G17">
        <v>2269205</v>
      </c>
      <c r="H17">
        <v>155</v>
      </c>
      <c r="I17">
        <v>22476</v>
      </c>
      <c r="J17">
        <v>0.23529411764705899</v>
      </c>
      <c r="K17">
        <v>24</v>
      </c>
      <c r="L17">
        <v>0</v>
      </c>
    </row>
    <row r="18" spans="1:12" x14ac:dyDescent="0.2">
      <c r="A18" t="s">
        <v>112</v>
      </c>
      <c r="B18" t="s">
        <v>38</v>
      </c>
      <c r="C18" t="s">
        <v>39</v>
      </c>
      <c r="D18">
        <v>2</v>
      </c>
      <c r="E18">
        <v>0</v>
      </c>
      <c r="F18" t="s">
        <v>31</v>
      </c>
      <c r="G18">
        <v>241036</v>
      </c>
      <c r="H18">
        <v>16</v>
      </c>
      <c r="I18">
        <v>20825</v>
      </c>
      <c r="J18">
        <v>3.9215686274509803E-2</v>
      </c>
      <c r="K18">
        <v>4</v>
      </c>
      <c r="L18">
        <v>0</v>
      </c>
    </row>
    <row r="19" spans="1:12" x14ac:dyDescent="0.2">
      <c r="A19" t="s">
        <v>112</v>
      </c>
      <c r="B19" t="s">
        <v>41</v>
      </c>
      <c r="C19" t="s">
        <v>42</v>
      </c>
      <c r="D19">
        <v>6</v>
      </c>
      <c r="E19">
        <v>0</v>
      </c>
      <c r="F19" t="s">
        <v>31</v>
      </c>
      <c r="G19">
        <v>1364418</v>
      </c>
      <c r="H19">
        <v>79</v>
      </c>
      <c r="I19">
        <v>23039</v>
      </c>
      <c r="J19">
        <v>0.11764705882352899</v>
      </c>
      <c r="K19">
        <v>12</v>
      </c>
      <c r="L19">
        <v>0</v>
      </c>
    </row>
    <row r="20" spans="1:12" x14ac:dyDescent="0.2">
      <c r="A20" t="s">
        <v>112</v>
      </c>
      <c r="B20" t="s">
        <v>43</v>
      </c>
      <c r="C20" t="s">
        <v>44</v>
      </c>
      <c r="D20">
        <v>32</v>
      </c>
      <c r="E20">
        <v>14</v>
      </c>
      <c r="F20" t="s">
        <v>31</v>
      </c>
      <c r="G20">
        <v>2860618</v>
      </c>
      <c r="H20">
        <v>159</v>
      </c>
      <c r="I20">
        <v>25217</v>
      </c>
      <c r="J20">
        <v>0.22769607843137299</v>
      </c>
      <c r="K20" s="4">
        <v>63</v>
      </c>
      <c r="L20">
        <v>27</v>
      </c>
    </row>
    <row r="21" spans="1:12" x14ac:dyDescent="0.2">
      <c r="A21" t="s">
        <v>112</v>
      </c>
      <c r="B21" t="s">
        <v>45</v>
      </c>
      <c r="C21" t="s">
        <v>46</v>
      </c>
      <c r="D21">
        <v>6</v>
      </c>
      <c r="E21">
        <v>0</v>
      </c>
      <c r="F21" t="s">
        <v>31</v>
      </c>
      <c r="G21">
        <v>380667</v>
      </c>
      <c r="H21">
        <v>13</v>
      </c>
      <c r="I21">
        <v>38667</v>
      </c>
      <c r="J21">
        <v>0.11764705882352899</v>
      </c>
      <c r="K21">
        <v>12</v>
      </c>
      <c r="L21">
        <v>0</v>
      </c>
    </row>
    <row r="22" spans="1:12" x14ac:dyDescent="0.2">
      <c r="A22" t="s">
        <v>113</v>
      </c>
      <c r="B22" t="s">
        <v>48</v>
      </c>
      <c r="C22" t="s">
        <v>30</v>
      </c>
      <c r="D22">
        <v>11</v>
      </c>
      <c r="E22">
        <v>0</v>
      </c>
      <c r="F22" t="s">
        <v>31</v>
      </c>
      <c r="G22">
        <v>300609</v>
      </c>
      <c r="H22">
        <v>55</v>
      </c>
      <c r="I22">
        <v>9613</v>
      </c>
      <c r="J22">
        <v>0.21568627450980399</v>
      </c>
      <c r="K22">
        <v>22</v>
      </c>
      <c r="L22">
        <v>0</v>
      </c>
    </row>
    <row r="23" spans="1:12" x14ac:dyDescent="0.2">
      <c r="A23" t="s">
        <v>113</v>
      </c>
      <c r="B23" t="s">
        <v>50</v>
      </c>
      <c r="C23" t="s">
        <v>34</v>
      </c>
      <c r="D23">
        <v>28</v>
      </c>
      <c r="E23">
        <v>4</v>
      </c>
      <c r="F23" t="s">
        <v>31</v>
      </c>
      <c r="G23">
        <v>4746146</v>
      </c>
      <c r="H23">
        <v>352</v>
      </c>
      <c r="I23">
        <v>22140</v>
      </c>
      <c r="J23">
        <v>0.42408963585434201</v>
      </c>
      <c r="K23" s="5">
        <v>55</v>
      </c>
      <c r="L23">
        <v>8</v>
      </c>
    </row>
    <row r="24" spans="1:12" x14ac:dyDescent="0.2">
      <c r="A24" t="s">
        <v>113</v>
      </c>
      <c r="B24" t="s">
        <v>51</v>
      </c>
      <c r="C24" t="s">
        <v>39</v>
      </c>
      <c r="D24">
        <v>9</v>
      </c>
      <c r="E24">
        <v>0</v>
      </c>
      <c r="F24" t="s">
        <v>31</v>
      </c>
      <c r="G24">
        <v>1339431</v>
      </c>
      <c r="H24">
        <v>70</v>
      </c>
      <c r="I24">
        <v>28080</v>
      </c>
      <c r="J24">
        <v>0.17647058823529399</v>
      </c>
      <c r="K24">
        <v>18</v>
      </c>
      <c r="L24">
        <v>0</v>
      </c>
    </row>
    <row r="25" spans="1:12" x14ac:dyDescent="0.2">
      <c r="A25" t="s">
        <v>114</v>
      </c>
      <c r="B25" t="s">
        <v>54</v>
      </c>
      <c r="C25" t="s">
        <v>30</v>
      </c>
      <c r="D25">
        <v>51</v>
      </c>
      <c r="E25">
        <v>4</v>
      </c>
      <c r="F25" t="s">
        <v>31</v>
      </c>
      <c r="G25">
        <v>6685854</v>
      </c>
      <c r="H25">
        <v>101</v>
      </c>
      <c r="I25">
        <v>700500</v>
      </c>
      <c r="J25">
        <v>0.90392156862745099</v>
      </c>
      <c r="K25" s="4">
        <v>100</v>
      </c>
      <c r="L25">
        <v>8</v>
      </c>
    </row>
    <row r="26" spans="1:12" x14ac:dyDescent="0.2">
      <c r="A26" t="s">
        <v>114</v>
      </c>
      <c r="B26" t="s">
        <v>56</v>
      </c>
      <c r="C26" t="s">
        <v>34</v>
      </c>
      <c r="D26">
        <v>48</v>
      </c>
      <c r="E26">
        <v>0</v>
      </c>
      <c r="F26" t="s">
        <v>31</v>
      </c>
      <c r="G26">
        <v>5600970</v>
      </c>
      <c r="H26">
        <v>73</v>
      </c>
      <c r="I26">
        <v>204946</v>
      </c>
      <c r="J26">
        <v>0.94117647058823495</v>
      </c>
      <c r="K26" s="4">
        <v>94</v>
      </c>
      <c r="L26">
        <v>0</v>
      </c>
    </row>
    <row r="27" spans="1:12" x14ac:dyDescent="0.2">
      <c r="A27" t="s">
        <v>114</v>
      </c>
      <c r="B27" t="s">
        <v>58</v>
      </c>
      <c r="C27" t="s">
        <v>59</v>
      </c>
      <c r="D27">
        <v>51</v>
      </c>
      <c r="E27">
        <v>13</v>
      </c>
      <c r="F27" t="s">
        <v>31</v>
      </c>
      <c r="G27">
        <v>8711195</v>
      </c>
      <c r="H27">
        <v>99</v>
      </c>
      <c r="I27">
        <v>491702</v>
      </c>
      <c r="J27">
        <v>0.71960784313725501</v>
      </c>
      <c r="K27" s="4">
        <v>100</v>
      </c>
      <c r="L27">
        <v>25</v>
      </c>
    </row>
    <row r="28" spans="1:12" x14ac:dyDescent="0.2">
      <c r="A28" t="s">
        <v>114</v>
      </c>
      <c r="B28" t="s">
        <v>60</v>
      </c>
      <c r="C28" t="s">
        <v>61</v>
      </c>
      <c r="D28">
        <v>34</v>
      </c>
      <c r="E28">
        <v>12</v>
      </c>
      <c r="F28" t="s">
        <v>31</v>
      </c>
      <c r="G28">
        <v>5063676</v>
      </c>
      <c r="H28">
        <v>210</v>
      </c>
      <c r="I28">
        <v>32630</v>
      </c>
      <c r="J28">
        <v>0.337254901960784</v>
      </c>
      <c r="K28" s="5">
        <v>67</v>
      </c>
      <c r="L28">
        <v>24</v>
      </c>
    </row>
    <row r="29" spans="1:12" x14ac:dyDescent="0.2">
      <c r="A29" s="2" t="s">
        <v>114</v>
      </c>
      <c r="B29" s="2" t="s">
        <v>63</v>
      </c>
      <c r="C29" s="2" t="s">
        <v>64</v>
      </c>
      <c r="D29" s="2">
        <v>51</v>
      </c>
      <c r="E29" s="2">
        <v>0</v>
      </c>
      <c r="F29" s="2" t="s">
        <v>31</v>
      </c>
      <c r="G29" s="2">
        <v>2580674</v>
      </c>
      <c r="H29" s="2">
        <v>26</v>
      </c>
      <c r="I29" s="2">
        <v>880955</v>
      </c>
      <c r="J29" s="2">
        <v>1</v>
      </c>
      <c r="K29" s="4">
        <v>100</v>
      </c>
      <c r="L29" s="2">
        <v>0</v>
      </c>
    </row>
    <row r="30" spans="1:12" x14ac:dyDescent="0.2">
      <c r="A30" t="s">
        <v>114</v>
      </c>
      <c r="B30" t="s">
        <v>65</v>
      </c>
      <c r="C30" t="s">
        <v>66</v>
      </c>
      <c r="D30">
        <v>17</v>
      </c>
      <c r="E30">
        <v>0</v>
      </c>
      <c r="F30" t="s">
        <v>31</v>
      </c>
      <c r="G30">
        <v>2479287</v>
      </c>
      <c r="H30">
        <v>94</v>
      </c>
      <c r="I30">
        <v>35979</v>
      </c>
      <c r="J30">
        <v>0.33333333333333298</v>
      </c>
      <c r="K30">
        <v>33</v>
      </c>
      <c r="L30">
        <v>0</v>
      </c>
    </row>
    <row r="31" spans="1:12" x14ac:dyDescent="0.2">
      <c r="A31" s="2" t="s">
        <v>114</v>
      </c>
      <c r="B31" s="2" t="s">
        <v>68</v>
      </c>
      <c r="C31" s="2" t="s">
        <v>69</v>
      </c>
      <c r="D31" s="2">
        <v>49</v>
      </c>
      <c r="E31" s="2">
        <v>0</v>
      </c>
      <c r="F31" s="2" t="s">
        <v>31</v>
      </c>
      <c r="G31" s="2">
        <v>6526351</v>
      </c>
      <c r="H31" s="2">
        <v>34</v>
      </c>
      <c r="I31" s="2">
        <v>636909</v>
      </c>
      <c r="J31" s="2">
        <v>0.96078431372549</v>
      </c>
      <c r="K31" s="4">
        <v>96</v>
      </c>
      <c r="L31" s="2">
        <v>0</v>
      </c>
    </row>
    <row r="32" spans="1:12" x14ac:dyDescent="0.2">
      <c r="A32" t="s">
        <v>114</v>
      </c>
      <c r="B32" t="s">
        <v>70</v>
      </c>
      <c r="C32" t="s">
        <v>71</v>
      </c>
      <c r="D32">
        <v>21</v>
      </c>
      <c r="E32">
        <v>0</v>
      </c>
      <c r="F32" t="s">
        <v>31</v>
      </c>
      <c r="G32">
        <v>5050549</v>
      </c>
      <c r="H32">
        <v>39</v>
      </c>
      <c r="I32">
        <v>247716</v>
      </c>
      <c r="J32">
        <v>0.41176470588235298</v>
      </c>
      <c r="K32">
        <v>41</v>
      </c>
      <c r="L32">
        <v>0</v>
      </c>
    </row>
    <row r="33" spans="1:12" x14ac:dyDescent="0.2">
      <c r="A33" t="s">
        <v>114</v>
      </c>
      <c r="B33" t="s">
        <v>72</v>
      </c>
      <c r="C33" t="s">
        <v>73</v>
      </c>
      <c r="D33">
        <v>15</v>
      </c>
      <c r="E33">
        <v>0</v>
      </c>
      <c r="F33" t="s">
        <v>31</v>
      </c>
      <c r="G33">
        <v>2120257</v>
      </c>
      <c r="H33">
        <v>58</v>
      </c>
      <c r="I33">
        <v>50622</v>
      </c>
      <c r="J33">
        <v>0.29411764705882398</v>
      </c>
      <c r="K33">
        <v>29</v>
      </c>
      <c r="L33">
        <v>0</v>
      </c>
    </row>
    <row r="34" spans="1:12" x14ac:dyDescent="0.2">
      <c r="A34" t="s">
        <v>114</v>
      </c>
      <c r="B34" t="s">
        <v>75</v>
      </c>
      <c r="C34" t="s">
        <v>39</v>
      </c>
      <c r="D34">
        <v>13</v>
      </c>
      <c r="E34">
        <v>0</v>
      </c>
      <c r="F34" t="s">
        <v>31</v>
      </c>
      <c r="G34">
        <v>1240270</v>
      </c>
      <c r="H34">
        <v>3</v>
      </c>
      <c r="I34">
        <v>880955</v>
      </c>
      <c r="J34">
        <v>0.25490196078431399</v>
      </c>
      <c r="K34">
        <v>25</v>
      </c>
      <c r="L34">
        <v>0</v>
      </c>
    </row>
    <row r="35" spans="1:12" x14ac:dyDescent="0.2">
      <c r="A35" t="s">
        <v>114</v>
      </c>
      <c r="B35" t="s">
        <v>76</v>
      </c>
      <c r="C35" t="s">
        <v>77</v>
      </c>
      <c r="D35">
        <v>49</v>
      </c>
      <c r="E35">
        <v>0</v>
      </c>
      <c r="F35" t="s">
        <v>31</v>
      </c>
      <c r="G35">
        <v>6414333</v>
      </c>
      <c r="H35">
        <v>19</v>
      </c>
      <c r="I35">
        <v>636909</v>
      </c>
      <c r="J35">
        <v>0.96078431372549</v>
      </c>
      <c r="K35" s="4">
        <v>96</v>
      </c>
      <c r="L35">
        <v>0</v>
      </c>
    </row>
    <row r="36" spans="1:12" x14ac:dyDescent="0.2">
      <c r="A36" t="s">
        <v>114</v>
      </c>
      <c r="B36" t="s">
        <v>78</v>
      </c>
      <c r="C36" t="s">
        <v>42</v>
      </c>
      <c r="D36">
        <v>31</v>
      </c>
      <c r="E36">
        <v>0</v>
      </c>
      <c r="F36" t="s">
        <v>31</v>
      </c>
      <c r="G36">
        <v>260693</v>
      </c>
      <c r="H36">
        <v>2</v>
      </c>
      <c r="I36">
        <v>187565</v>
      </c>
      <c r="J36">
        <v>0.60784313725490202</v>
      </c>
      <c r="K36" s="5">
        <v>61</v>
      </c>
      <c r="L36">
        <v>0</v>
      </c>
    </row>
    <row r="37" spans="1:12" x14ac:dyDescent="0.2">
      <c r="A37" t="s">
        <v>114</v>
      </c>
      <c r="B37" t="s">
        <v>79</v>
      </c>
      <c r="C37" t="s">
        <v>44</v>
      </c>
      <c r="D37">
        <v>17</v>
      </c>
      <c r="E37">
        <v>0</v>
      </c>
      <c r="F37" t="s">
        <v>31</v>
      </c>
      <c r="G37">
        <v>2275433</v>
      </c>
      <c r="H37">
        <v>81</v>
      </c>
      <c r="I37">
        <v>34168</v>
      </c>
      <c r="J37">
        <v>0.33333333333333298</v>
      </c>
      <c r="K37">
        <v>33</v>
      </c>
      <c r="L37">
        <v>0</v>
      </c>
    </row>
    <row r="38" spans="1:12" x14ac:dyDescent="0.2">
      <c r="A38" s="2" t="s">
        <v>114</v>
      </c>
      <c r="B38" s="2" t="s">
        <v>80</v>
      </c>
      <c r="C38" s="2" t="s">
        <v>46</v>
      </c>
      <c r="D38" s="2">
        <v>48</v>
      </c>
      <c r="E38" s="2">
        <v>0</v>
      </c>
      <c r="F38" s="2" t="s">
        <v>31</v>
      </c>
      <c r="G38" s="2">
        <v>5124404</v>
      </c>
      <c r="H38" s="2">
        <v>35</v>
      </c>
      <c r="I38" s="2">
        <v>247716</v>
      </c>
      <c r="J38" s="2">
        <v>0.94117647058823495</v>
      </c>
      <c r="K38" s="4">
        <v>94</v>
      </c>
      <c r="L38" s="2">
        <v>0</v>
      </c>
    </row>
    <row r="39" spans="1:12" x14ac:dyDescent="0.2">
      <c r="A39" t="s">
        <v>114</v>
      </c>
      <c r="B39" t="s">
        <v>81</v>
      </c>
      <c r="C39" t="s">
        <v>82</v>
      </c>
      <c r="D39">
        <v>10</v>
      </c>
      <c r="E39">
        <v>1</v>
      </c>
      <c r="F39" t="s">
        <v>31</v>
      </c>
      <c r="G39">
        <v>3082242</v>
      </c>
      <c r="H39">
        <v>7</v>
      </c>
      <c r="I39">
        <v>887207</v>
      </c>
      <c r="J39">
        <v>0.12627450980392199</v>
      </c>
      <c r="K39">
        <v>20</v>
      </c>
      <c r="L39">
        <v>2</v>
      </c>
    </row>
    <row r="40" spans="1:12" x14ac:dyDescent="0.2">
      <c r="A40" t="s">
        <v>114</v>
      </c>
      <c r="B40" t="s">
        <v>83</v>
      </c>
      <c r="C40" t="s">
        <v>84</v>
      </c>
      <c r="D40">
        <v>9</v>
      </c>
      <c r="E40">
        <v>0</v>
      </c>
      <c r="F40" t="s">
        <v>31</v>
      </c>
      <c r="G40">
        <v>1831948</v>
      </c>
      <c r="H40">
        <v>67</v>
      </c>
      <c r="I40">
        <v>33283</v>
      </c>
      <c r="J40">
        <v>0.17647058823529399</v>
      </c>
      <c r="K40">
        <v>18</v>
      </c>
      <c r="L40">
        <v>0</v>
      </c>
    </row>
    <row r="41" spans="1:12" x14ac:dyDescent="0.2">
      <c r="A41" t="s">
        <v>114</v>
      </c>
      <c r="B41" t="s">
        <v>86</v>
      </c>
      <c r="C41" t="s">
        <v>87</v>
      </c>
      <c r="D41">
        <v>15</v>
      </c>
      <c r="E41">
        <v>0</v>
      </c>
      <c r="F41" t="s">
        <v>31</v>
      </c>
      <c r="G41">
        <v>2120257</v>
      </c>
      <c r="H41">
        <v>58</v>
      </c>
      <c r="I41">
        <v>50622</v>
      </c>
      <c r="J41">
        <v>0.29411764705882398</v>
      </c>
      <c r="K41">
        <v>29</v>
      </c>
      <c r="L41">
        <v>0</v>
      </c>
    </row>
    <row r="42" spans="1:12" x14ac:dyDescent="0.2">
      <c r="A42" t="s">
        <v>114</v>
      </c>
      <c r="B42" t="s">
        <v>88</v>
      </c>
      <c r="C42" t="s">
        <v>89</v>
      </c>
      <c r="D42">
        <v>14</v>
      </c>
      <c r="E42">
        <v>0</v>
      </c>
      <c r="F42" t="s">
        <v>31</v>
      </c>
      <c r="G42">
        <v>1994969</v>
      </c>
      <c r="H42">
        <v>50</v>
      </c>
      <c r="I42">
        <v>52209</v>
      </c>
      <c r="J42">
        <v>0.27450980392156898</v>
      </c>
      <c r="K42">
        <v>27</v>
      </c>
      <c r="L42">
        <v>0</v>
      </c>
    </row>
    <row r="43" spans="1:12" x14ac:dyDescent="0.2">
      <c r="A43" t="s">
        <v>114</v>
      </c>
      <c r="B43" t="s">
        <v>90</v>
      </c>
      <c r="C43" t="s">
        <v>91</v>
      </c>
      <c r="D43">
        <v>1</v>
      </c>
      <c r="E43">
        <v>0</v>
      </c>
      <c r="F43" t="s">
        <v>31</v>
      </c>
      <c r="G43">
        <v>1435051</v>
      </c>
      <c r="H43">
        <v>12</v>
      </c>
      <c r="I43">
        <v>151591</v>
      </c>
      <c r="J43">
        <v>1.9607843137254902E-2</v>
      </c>
      <c r="K43">
        <v>2</v>
      </c>
      <c r="L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S3 Bins</vt:lpstr>
      <vt:lpstr>MAGs_all</vt:lpstr>
      <vt:lpstr>MAGs_reads</vt:lpstr>
      <vt:lpstr>MAGs_ANI</vt:lpstr>
      <vt:lpstr>Bins_colony_HGT_all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Yuan, Jing</dc:creator>
  <cp:keywords/>
  <dc:description/>
  <cp:lastModifiedBy>Yuan, Jing</cp:lastModifiedBy>
  <cp:revision/>
  <dcterms:created xsi:type="dcterms:W3CDTF">2025-12-29T15:51:46Z</dcterms:created>
  <dcterms:modified xsi:type="dcterms:W3CDTF">2026-06-23T20:41:11Z</dcterms:modified>
  <cp:category/>
  <cp:contentStatus/>
</cp:coreProperties>
</file>