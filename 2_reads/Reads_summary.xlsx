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jy/Desktop/Nanopore-Adaptive-Sequencing/2_reads/"/>
    </mc:Choice>
  </mc:AlternateContent>
  <xr:revisionPtr revIDLastSave="0" documentId="13_ncr:1_{78375701-29A4-D142-9279-6E651DE28FD3}" xr6:coauthVersionLast="47" xr6:coauthVersionMax="47" xr10:uidLastSave="{00000000-0000-0000-0000-000000000000}"/>
  <bookViews>
    <workbookView xWindow="0" yWindow="940" windowWidth="30240" windowHeight="17180" activeTab="4" xr2:uid="{83819237-C7AC-FD40-9E91-27D3D43085C6}"/>
  </bookViews>
  <sheets>
    <sheet name="Table S1" sheetId="1" r:id="rId1"/>
    <sheet name="Reads_minimap_kaiju" sheetId="2" r:id="rId2"/>
    <sheet name="Reads_species_NMDS" sheetId="7" r:id="rId3"/>
    <sheet name="Reads_venn" sheetId="8" r:id="rId4"/>
    <sheet name="Reads_phylum" sheetId="9" r:id="rId5"/>
    <sheet name="NCBI_colony" sheetId="3" r:id="rId6"/>
    <sheet name="NCBI_H" sheetId="4" r:id="rId7"/>
    <sheet name="NCBI_G" sheetId="5" r:id="rId8"/>
    <sheet name="NCBI_T" sheetId="6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3" i="9" l="1"/>
  <c r="J63" i="9"/>
  <c r="I63" i="9"/>
  <c r="H63" i="9"/>
  <c r="G63" i="9"/>
  <c r="F63" i="9"/>
  <c r="E63" i="9"/>
  <c r="D63" i="9"/>
  <c r="C63" i="9"/>
  <c r="L63" i="9" s="1"/>
  <c r="K62" i="9"/>
  <c r="J62" i="9"/>
  <c r="I62" i="9"/>
  <c r="H62" i="9"/>
  <c r="L62" i="9" s="1"/>
  <c r="G62" i="9"/>
  <c r="F62" i="9"/>
  <c r="E62" i="9"/>
  <c r="D62" i="9"/>
  <c r="C62" i="9"/>
  <c r="K61" i="9"/>
  <c r="J61" i="9"/>
  <c r="I61" i="9"/>
  <c r="H61" i="9"/>
  <c r="G61" i="9"/>
  <c r="F61" i="9"/>
  <c r="E61" i="9"/>
  <c r="L61" i="9" s="1"/>
  <c r="D61" i="9"/>
  <c r="C61" i="9"/>
  <c r="K60" i="9"/>
  <c r="J60" i="9"/>
  <c r="I60" i="9"/>
  <c r="H60" i="9"/>
  <c r="G60" i="9"/>
  <c r="F60" i="9"/>
  <c r="E60" i="9"/>
  <c r="D60" i="9"/>
  <c r="C60" i="9"/>
  <c r="L60" i="9" s="1"/>
  <c r="K59" i="9"/>
  <c r="J59" i="9"/>
  <c r="I59" i="9"/>
  <c r="H59" i="9"/>
  <c r="G59" i="9"/>
  <c r="F59" i="9"/>
  <c r="L59" i="9" s="1"/>
  <c r="E59" i="9"/>
  <c r="D59" i="9"/>
  <c r="C59" i="9"/>
  <c r="L58" i="9"/>
  <c r="K58" i="9"/>
  <c r="J58" i="9"/>
  <c r="I58" i="9"/>
  <c r="H58" i="9"/>
  <c r="G58" i="9"/>
  <c r="F58" i="9"/>
  <c r="E58" i="9"/>
  <c r="D58" i="9"/>
  <c r="C58" i="9"/>
  <c r="K57" i="9"/>
  <c r="J57" i="9"/>
  <c r="I57" i="9"/>
  <c r="H57" i="9"/>
  <c r="G57" i="9"/>
  <c r="F57" i="9"/>
  <c r="E57" i="9"/>
  <c r="D57" i="9"/>
  <c r="C57" i="9"/>
  <c r="L57" i="9" s="1"/>
  <c r="K56" i="9"/>
  <c r="J56" i="9"/>
  <c r="I56" i="9"/>
  <c r="H56" i="9"/>
  <c r="L56" i="9" s="1"/>
  <c r="G56" i="9"/>
  <c r="F56" i="9"/>
  <c r="E56" i="9"/>
  <c r="D56" i="9"/>
  <c r="C56" i="9"/>
  <c r="K55" i="9"/>
  <c r="J55" i="9"/>
  <c r="I55" i="9"/>
  <c r="H55" i="9"/>
  <c r="G55" i="9"/>
  <c r="F55" i="9"/>
  <c r="E55" i="9"/>
  <c r="L55" i="9" s="1"/>
  <c r="D55" i="9"/>
  <c r="C55" i="9"/>
  <c r="K54" i="9"/>
  <c r="J54" i="9"/>
  <c r="I54" i="9"/>
  <c r="H54" i="9"/>
  <c r="G54" i="9"/>
  <c r="F54" i="9"/>
  <c r="E54" i="9"/>
  <c r="D54" i="9"/>
  <c r="C54" i="9"/>
  <c r="L54" i="9" s="1"/>
  <c r="K53" i="9"/>
  <c r="J53" i="9"/>
  <c r="I53" i="9"/>
  <c r="H53" i="9"/>
  <c r="G53" i="9"/>
  <c r="F53" i="9"/>
  <c r="L53" i="9" s="1"/>
  <c r="E53" i="9"/>
  <c r="D53" i="9"/>
  <c r="C53" i="9"/>
  <c r="L52" i="9"/>
  <c r="K52" i="9"/>
  <c r="J52" i="9"/>
  <c r="I52" i="9"/>
  <c r="H52" i="9"/>
  <c r="G52" i="9"/>
  <c r="F52" i="9"/>
  <c r="E52" i="9"/>
  <c r="D52" i="9"/>
  <c r="C52" i="9"/>
  <c r="M51" i="9"/>
  <c r="L51" i="9"/>
  <c r="K51" i="9"/>
  <c r="J51" i="9"/>
  <c r="I51" i="9"/>
  <c r="H51" i="9"/>
  <c r="G51" i="9"/>
  <c r="F51" i="9"/>
  <c r="E51" i="9"/>
  <c r="D51" i="9"/>
  <c r="C51" i="9"/>
  <c r="K50" i="9"/>
  <c r="J50" i="9"/>
  <c r="L50" i="9" s="1"/>
  <c r="I50" i="9"/>
  <c r="H50" i="9"/>
  <c r="G50" i="9"/>
  <c r="F50" i="9"/>
  <c r="E50" i="9"/>
  <c r="D50" i="9"/>
  <c r="C50" i="9"/>
  <c r="K49" i="9"/>
  <c r="J49" i="9"/>
  <c r="I49" i="9"/>
  <c r="H49" i="9"/>
  <c r="L49" i="9" s="1"/>
  <c r="G49" i="9"/>
  <c r="F49" i="9"/>
  <c r="E49" i="9"/>
  <c r="D49" i="9"/>
  <c r="C49" i="9"/>
  <c r="K48" i="9"/>
  <c r="J48" i="9"/>
  <c r="I48" i="9"/>
  <c r="H48" i="9"/>
  <c r="G48" i="9"/>
  <c r="F48" i="9"/>
  <c r="E48" i="9"/>
  <c r="L48" i="9" s="1"/>
  <c r="D48" i="9"/>
  <c r="C48" i="9"/>
  <c r="K47" i="9"/>
  <c r="J47" i="9"/>
  <c r="I47" i="9"/>
  <c r="H47" i="9"/>
  <c r="G47" i="9"/>
  <c r="F47" i="9"/>
  <c r="E47" i="9"/>
  <c r="D47" i="9"/>
  <c r="C47" i="9"/>
  <c r="L47" i="9" s="1"/>
  <c r="K45" i="9"/>
  <c r="J45" i="9"/>
  <c r="I45" i="9"/>
  <c r="H45" i="9"/>
  <c r="G45" i="9"/>
  <c r="F45" i="9"/>
  <c r="E45" i="9"/>
  <c r="D45" i="9"/>
  <c r="C45" i="9"/>
  <c r="K44" i="9"/>
  <c r="J44" i="9"/>
  <c r="I44" i="9"/>
  <c r="H44" i="9"/>
  <c r="G44" i="9"/>
  <c r="F44" i="9"/>
  <c r="E44" i="9"/>
  <c r="D44" i="9"/>
  <c r="C44" i="9"/>
  <c r="K43" i="9"/>
  <c r="J43" i="9"/>
  <c r="I43" i="9"/>
  <c r="H43" i="9"/>
  <c r="G43" i="9"/>
  <c r="F43" i="9"/>
  <c r="E43" i="9"/>
  <c r="D43" i="9"/>
  <c r="C43" i="9"/>
  <c r="K42" i="9"/>
  <c r="J42" i="9"/>
  <c r="I42" i="9"/>
  <c r="H42" i="9"/>
  <c r="G42" i="9"/>
  <c r="F42" i="9"/>
  <c r="E42" i="9"/>
  <c r="D42" i="9"/>
  <c r="C42" i="9"/>
  <c r="K41" i="9"/>
  <c r="J41" i="9"/>
  <c r="I41" i="9"/>
  <c r="H41" i="9"/>
  <c r="G41" i="9"/>
  <c r="F41" i="9"/>
  <c r="E41" i="9"/>
  <c r="D41" i="9"/>
  <c r="C41" i="9"/>
  <c r="K40" i="9"/>
  <c r="J40" i="9"/>
  <c r="I40" i="9"/>
  <c r="H40" i="9"/>
  <c r="G40" i="9"/>
  <c r="F40" i="9"/>
  <c r="E40" i="9"/>
  <c r="D40" i="9"/>
  <c r="C40" i="9"/>
  <c r="K39" i="9"/>
  <c r="J39" i="9"/>
  <c r="I39" i="9"/>
  <c r="H39" i="9"/>
  <c r="G39" i="9"/>
  <c r="F39" i="9"/>
  <c r="E39" i="9"/>
  <c r="D39" i="9"/>
  <c r="C39" i="9"/>
  <c r="K38" i="9"/>
  <c r="J38" i="9"/>
  <c r="I38" i="9"/>
  <c r="H38" i="9"/>
  <c r="G38" i="9"/>
  <c r="F38" i="9"/>
  <c r="E38" i="9"/>
  <c r="D38" i="9"/>
  <c r="C38" i="9"/>
  <c r="K37" i="9"/>
  <c r="J37" i="9"/>
  <c r="I37" i="9"/>
  <c r="H37" i="9"/>
  <c r="G37" i="9"/>
  <c r="F37" i="9"/>
  <c r="E37" i="9"/>
  <c r="D37" i="9"/>
  <c r="C37" i="9"/>
  <c r="K36" i="9"/>
  <c r="J36" i="9"/>
  <c r="I36" i="9"/>
  <c r="H36" i="9"/>
  <c r="G36" i="9"/>
  <c r="F36" i="9"/>
  <c r="E36" i="9"/>
  <c r="D36" i="9"/>
  <c r="C36" i="9"/>
  <c r="K35" i="9"/>
  <c r="J35" i="9"/>
  <c r="I35" i="9"/>
  <c r="H35" i="9"/>
  <c r="G35" i="9"/>
  <c r="F35" i="9"/>
  <c r="E35" i="9"/>
  <c r="D35" i="9"/>
  <c r="C35" i="9"/>
  <c r="N51" i="9" l="1"/>
  <c r="I42" i="2" l="1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M22" i="2"/>
  <c r="I22" i="2"/>
  <c r="H22" i="2"/>
  <c r="M21" i="2"/>
  <c r="M20" i="2"/>
  <c r="M19" i="2"/>
  <c r="I19" i="2"/>
  <c r="H19" i="2"/>
  <c r="M18" i="2"/>
  <c r="M17" i="2"/>
  <c r="M16" i="2"/>
  <c r="I16" i="2"/>
  <c r="H16" i="2"/>
  <c r="M15" i="2"/>
  <c r="M14" i="2"/>
  <c r="M13" i="2"/>
  <c r="M12" i="2"/>
  <c r="M11" i="2"/>
  <c r="M10" i="2"/>
  <c r="M9" i="2"/>
  <c r="M8" i="2"/>
  <c r="M7" i="2"/>
  <c r="M6" i="2"/>
  <c r="H13" i="1" l="1"/>
  <c r="H8" i="1"/>
</calcChain>
</file>

<file path=xl/sharedStrings.xml><?xml version="1.0" encoding="utf-8"?>
<sst xmlns="http://schemas.openxmlformats.org/spreadsheetml/2006/main" count="54338" uniqueCount="15953">
  <si>
    <t>Sources</t>
  </si>
  <si>
    <t>Samples</t>
  </si>
  <si>
    <t>Quality Control (QC)</t>
  </si>
  <si>
    <t>Minimap</t>
  </si>
  <si>
    <t>clean.fastq</t>
  </si>
  <si>
    <t>Mosquito Mapped</t>
  </si>
  <si>
    <t>Non-Mosquito Mapped</t>
  </si>
  <si>
    <t>File size</t>
  </si>
  <si>
    <t>Reads</t>
  </si>
  <si>
    <t>%</t>
  </si>
  <si>
    <t>Colony</t>
  </si>
  <si>
    <t>241 Mb</t>
  </si>
  <si>
    <t>Non-adaptive</t>
  </si>
  <si>
    <t>485 MB</t>
  </si>
  <si>
    <t>1.8 Gb</t>
  </si>
  <si>
    <t>572 M</t>
  </si>
  <si>
    <t>Average</t>
  </si>
  <si>
    <t>111 Mb</t>
  </si>
  <si>
    <t>Adaptive</t>
  </si>
  <si>
    <t>223 Mb</t>
  </si>
  <si>
    <t>622 Mb</t>
  </si>
  <si>
    <t>234 Mb</t>
  </si>
  <si>
    <t>Reads-based</t>
  </si>
  <si>
    <t>Kaiju-annotation</t>
  </si>
  <si>
    <t>Replicates</t>
  </si>
  <si>
    <t>QC-passed reads</t>
  </si>
  <si>
    <t>Total Reads</t>
  </si>
  <si>
    <t>Microbial Reads</t>
  </si>
  <si>
    <t>(L&gt;150 bp)</t>
  </si>
  <si>
    <t>Sum</t>
  </si>
  <si>
    <t>Unclassified</t>
  </si>
  <si>
    <t xml:space="preserve">Non-annotated </t>
  </si>
  <si>
    <t xml:space="preserve">Annotaed </t>
  </si>
  <si>
    <t>Annotated%</t>
  </si>
  <si>
    <t>QC 150 bp</t>
  </si>
  <si>
    <t>571 Mb</t>
  </si>
  <si>
    <t>948 Mb</t>
  </si>
  <si>
    <t>(6 h)</t>
  </si>
  <si>
    <t>2.37 Gb</t>
  </si>
  <si>
    <t>1.09 Gb</t>
  </si>
  <si>
    <t>2.58 Gb</t>
  </si>
  <si>
    <t>3.76 Gb</t>
  </si>
  <si>
    <t>(12 h)</t>
  </si>
  <si>
    <t>5.27 Gb</t>
  </si>
  <si>
    <t>4.08 Gb</t>
  </si>
  <si>
    <t>Environment</t>
  </si>
  <si>
    <t>H1</t>
  </si>
  <si>
    <t>20 Gb</t>
  </si>
  <si>
    <t>H2</t>
  </si>
  <si>
    <t>22 Gb</t>
  </si>
  <si>
    <t>(72 h)</t>
  </si>
  <si>
    <t>H3</t>
  </si>
  <si>
    <t>34 Gb</t>
  </si>
  <si>
    <t>G1</t>
  </si>
  <si>
    <t>39 Gb</t>
  </si>
  <si>
    <t>G2</t>
  </si>
  <si>
    <t>32 Gb</t>
  </si>
  <si>
    <t>G3</t>
  </si>
  <si>
    <t>T1</t>
  </si>
  <si>
    <t>52 Gb</t>
  </si>
  <si>
    <t>T2</t>
  </si>
  <si>
    <t>33 Gb</t>
  </si>
  <si>
    <t>T3</t>
  </si>
  <si>
    <t>31 Gb</t>
  </si>
  <si>
    <t>(L&gt;1000 bp)</t>
  </si>
  <si>
    <t>QC 1000 bp</t>
  </si>
  <si>
    <t>84 Mb</t>
  </si>
  <si>
    <t>83 Mb</t>
  </si>
  <si>
    <t>272 Mb</t>
  </si>
  <si>
    <t>158 Mb</t>
  </si>
  <si>
    <t>117 Mb</t>
  </si>
  <si>
    <t>252 Mb</t>
  </si>
  <si>
    <t xml:space="preserve"> 331 Mb</t>
  </si>
  <si>
    <t>166 Mb</t>
  </si>
  <si>
    <t>531 Mb</t>
  </si>
  <si>
    <t>Table 1 Conoly non-substraction contigs NCBI taxonomy annotation</t>
  </si>
  <si>
    <t>Table 2 Conoly substraction contigs NCBI taxonomy annotation</t>
  </si>
  <si>
    <t>AC150254.5    Aedes aegypti, clone XX-88A20, complete sequence</t>
  </si>
  <si>
    <t>AC150255.7    Aedes aegypti, clone XX-85K2, complete sequence</t>
  </si>
  <si>
    <t>AC150256.5    Aedes aegypti, clone XX-90O23, complete sequence</t>
  </si>
  <si>
    <t>AC150257.12    Aedes aegypti, clone XX-97O18, complete sequence</t>
  </si>
  <si>
    <t>AC150258.4    Aedes aegypti, clone XX-8F24, complete sequence</t>
  </si>
  <si>
    <t>AC150259.4    Aedes aegypti, clone XX-10B1, complete sequence</t>
  </si>
  <si>
    <t>AC150260.8    Aedes aegypti, clone XX-129I16, complete sequence</t>
  </si>
  <si>
    <t>AC150261.6    Aedes aegypti, clone XX-54F19, complete sequence</t>
  </si>
  <si>
    <t>AC150262.4    Aedes aegypti, clone XX-60C14, complete sequence</t>
  </si>
  <si>
    <t>AC150263.4    Aedes aegypti, clone XX-44H3, complete sequence</t>
  </si>
  <si>
    <t>AF106703.1    Aedes aegypti steroid hormone receptor homolog (AaHR3-2) gene, partial cds</t>
  </si>
  <si>
    <t>AF107666.1    Aedes aegypti clone 403 Feilai family of SINES</t>
  </si>
  <si>
    <t>AF107667.1    Aedes aegypti clone 405 Feilai family of SINES</t>
  </si>
  <si>
    <t>AF107673.1    Aedes aegypti clone 414 Feilai family of SINES</t>
  </si>
  <si>
    <t>AF107669.1    Aedes aegypti clone 407 Feilai family of SINES</t>
  </si>
  <si>
    <t>AF107683.1    Aedes aegypti clone 423 Feilai family of SINES</t>
  </si>
  <si>
    <t>AF107670.1    Aedes aegypti clone 408 Feilai family of SINES</t>
  </si>
  <si>
    <t>AF107684.1    Aedes aegypti clone 425 Feilai family of SINES</t>
  </si>
  <si>
    <t>AF107694.1    Aedes aegypti clone 439 Feilai family of SINES</t>
  </si>
  <si>
    <t>AF107677.1    Aedes aegypti clone 417 Feilai family of SINES</t>
  </si>
  <si>
    <t>AF208676.1    Aedes aegypti clone p507, Pony-Aa-B4 MITE repeat region</t>
  </si>
  <si>
    <t>AF107679.1    Aedes aegypti clone 419 Feilai family of SINES</t>
  </si>
  <si>
    <t>AF466615.1    Aedes aegypti isolate AEA_CLU7 MITE repeat region mRNA sequence</t>
  </si>
  <si>
    <t>AH011792.2    Aedes aegypti relish (relish) genes, partial cds, alternatively spliced</t>
  </si>
  <si>
    <t>AF107686.1    Aedes aegypti clone 429 Feilai family of SINES</t>
  </si>
  <si>
    <t>AY171561.1    Aedes aegypti ferritin light-chain-like precursor (LCH) gene, complete cds</t>
  </si>
  <si>
    <t>AF107692.1    Aedes aegypti clone 436 Feilai family of SINES</t>
  </si>
  <si>
    <t>AY431403.1    Aedes aegypti ASAP ID: 35627 unknown mRNA sequence</t>
  </si>
  <si>
    <t>AF107693.1    Aedes aegypti clone 438 Feilai family of SINES</t>
  </si>
  <si>
    <t>AY431775.1    Aedes aegypti ASAP ID: 42949 unknown mRNA sequence</t>
  </si>
  <si>
    <t>AY432218.1    Aedes aegypti ASAP ID: 36861 conserved unknown mRNA sequence</t>
  </si>
  <si>
    <t>AF107695.1    Aedes aegypti clone 440 Feilai family of SINES</t>
  </si>
  <si>
    <t>AY432389.1    Aedes aegypti ASAP ID: 43043 unknown mRNA sequence</t>
  </si>
  <si>
    <t>AF107697.1    Aedes aegypti clone 441 Feilai family of SINES</t>
  </si>
  <si>
    <t>AY432483.1    Aedes aegypti ASAP ID: 37397 unknown mRNA sequence</t>
  </si>
  <si>
    <t>AF208664.1    Aedes aegypti clone 101, Pony-Aa-A1 MITE repeat region</t>
  </si>
  <si>
    <t>AY432955.1    Aedes aegypti ASAP ID: 34149 unknown mRNA sequence</t>
  </si>
  <si>
    <t>AF208665.1    Aedes aegypti clone 321, Pony-Aa-A2 MITE repeat region</t>
  </si>
  <si>
    <t>AY433185.1    Aedes aegypti ASAP ID: 36545 unknown mRNA sequence</t>
  </si>
  <si>
    <t>AF208669.1    Aedes aegypti clone p509, Pony-Aa-A11 and Pony-Aa-A12 MITE repeat regions</t>
  </si>
  <si>
    <t>AY433243.1    Aedes aegypti ASAP ID: 35405 unknown mRNA sequence</t>
  </si>
  <si>
    <t>AF208670.1    Aedes aegypti clone p513, Pony-Aa-A13 MITE repeat region</t>
  </si>
  <si>
    <t>AY433626.1    Aedes aegypti ASAP ID: 38575 putative: retroposon encoded DNA-binding mRNA sequence</t>
  </si>
  <si>
    <t>AF208671.1    Aedes aegypti clone p515, Pony-Aa-A14 MITE repeat region</t>
  </si>
  <si>
    <t>AY433742.1    Aedes aegypti ASAP ID: 37775 unknown mRNA sequence</t>
  </si>
  <si>
    <t>AY791897.1    Aedes aegypti glucosamine-6-phosphate N-acetyltransferase gene, complete cds</t>
  </si>
  <si>
    <t>AF208680.1    Aedes aegypti clone p510, Pony-Aa-B8 MITE repeat region</t>
  </si>
  <si>
    <t>AY878073.1    Aedes aegypti nanos (nos) gene, complete cds</t>
  </si>
  <si>
    <t>AF259803.1    Aedes aegypti Pony-Aa-A20 MITE repeat region</t>
  </si>
  <si>
    <t>BK006052.1    TPA_exp: Aedes aegypti acetylcholinesterase (Ace1) gene, complete cds</t>
  </si>
  <si>
    <t>AF259804.1    Aedes aegypti Pony-Aa-A21 MITE repeat region</t>
  </si>
  <si>
    <t>BK006154.1    TPA_exp: Aedes aegypti odorant receptor 21 (GPRor21) gene, complete cds</t>
  </si>
  <si>
    <t>AF259811.1    Aedes aegypti Pony-Aa-B14 MITE repeat region</t>
  </si>
  <si>
    <t>DQ138953.1    Aedes aegypti Ran GTPase-activating protein gene, complete cds</t>
  </si>
  <si>
    <t>AF259812.1    Aedes aegypti Pony-Aa-B15 MITE repeat region</t>
  </si>
  <si>
    <t>DQ250745.2    Aedes aegypti ribonucleotide reductase small subunit R2 gene, complete cds</t>
  </si>
  <si>
    <t>AF331732.1    Aedes aegypti clone TAG66.871 microsatellite family 66 sequence</t>
  </si>
  <si>
    <t>EF173366.1    Aedes aegypti clone BAC 105H24, complete sequence</t>
  </si>
  <si>
    <t>AF331748.1    Aedes aegypti clone GATA11 microsatellite sequence</t>
  </si>
  <si>
    <t>EF173367.1    Aedes aegypti clone BAC 124C17, complete sequence</t>
  </si>
  <si>
    <t>AF331750.1    Aedes aegypti clone GATA17 microsatellite sequence</t>
  </si>
  <si>
    <t>EF173368.1    Aedes aegypti clone BAC 26O21, complete sequence</t>
  </si>
  <si>
    <t>AF399922.1    Aedes aegypti glucosamine-fructose-6-phosphate aminotransferase gene, complete cds</t>
  </si>
  <si>
    <t>EF173369.1    Aedes aegypti clone BAC 92LO9, complete sequence</t>
  </si>
  <si>
    <t>EF173370.1    Aedes aegypti clone BAC ND13I3, complete sequence</t>
  </si>
  <si>
    <t>AH007163.2    Aedes aegypti ovarian ecdysteroidogenic hormone I (OEH-I) gene, complete cds</t>
  </si>
  <si>
    <t>EF173371.1    Aedes aegypti clone BAC ND22N19, complete sequence</t>
  </si>
  <si>
    <t>AH010501.2    Aedes aegypti vitellogenin receptor gene, complete cds</t>
  </si>
  <si>
    <t>EF173372.1    Aedes aegypti clone BAC ND22N5, complete sequence</t>
  </si>
  <si>
    <t>EF173373.1    Aedes aegypti clone BAC ND41B18, complete sequence</t>
  </si>
  <si>
    <t>AJ970218.1    Aedes aegypti retroposon Juan-A 35 Ae aeg, clone 5</t>
  </si>
  <si>
    <t>EF173375.1    Aedes aegypti clone BAC ND46O19, complete sequence</t>
  </si>
  <si>
    <t>AJ970222.1    Aedes aegypti retroposon 37 Ae aeg, clone 2</t>
  </si>
  <si>
    <t>EF173376.1    Aedes aegypti clone BAC ND48J19, complete sequence</t>
  </si>
  <si>
    <t>AJ970223.1    Aedes aegypti retroposon 37 Ae aeg, clone 3</t>
  </si>
  <si>
    <t>EF173377.1    Aedes aegypti clone BAC ND56P6, complete sequence</t>
  </si>
  <si>
    <t>AJ970224.1    Aedes aegypti retroposon 37 Ae aeg, clone 4</t>
  </si>
  <si>
    <t>EF173378.1    Aedes aegypti clone BAC ND67B23, complete sequence</t>
  </si>
  <si>
    <t>AP014624.1    Chryseobacterium sp. StRB126 DNA, complete genome</t>
  </si>
  <si>
    <t>EF173379.1    Aedes aegypti clone BAC ND83P15, complete sequence</t>
  </si>
  <si>
    <t>AP018153.1    Caenorhabditis sp. 34 TK-2017 DNA. chromosome 3, nearly complete genome</t>
  </si>
  <si>
    <t>EF222221.1    Aedes aegypti acetylcholinesterase (Ace1) gene, complete cds</t>
  </si>
  <si>
    <t>AP022313.1    Elizabethkingia anophelis JUNP 353 DNA, complete genome</t>
  </si>
  <si>
    <t>FJ387158.1    Aedes aegypti sensory neuron membrane protein 1 gene, complete cds</t>
  </si>
  <si>
    <t>AP024346.1    Salmonella enterica SECerM2017 plasmid pSECerM2017a DNA, complete genome</t>
  </si>
  <si>
    <t>FJ387159.1    Aedes aegypti sensory neuron membrane protein 2 gene, complete cds</t>
  </si>
  <si>
    <t>AP035792.1    Chryseobacterium sp. KCF3-3 DNA, complete genome</t>
  </si>
  <si>
    <t>FJ554568.1    Aedes aegypti strain Rockefeller sterol carrier protein-2 gene, complete cds</t>
  </si>
  <si>
    <t>AY009102.1    Aedes aegypti transposon Microuli-Aa2, complete sequence</t>
  </si>
  <si>
    <t>JN411069.1    Aedes aegypti lipophorin receptor gene, promoter region and complete cds</t>
  </si>
  <si>
    <t>AY009103.1    Aedes aegypti transposon Microuli-Aa3, complete sequence</t>
  </si>
  <si>
    <t>KY849907.1    Aedes aegypti nix (nix) gene, complete cds</t>
  </si>
  <si>
    <t>AY027890.1    Aedes aegypti vitellogenin receptor gene, partial cds</t>
  </si>
  <si>
    <t>M95171.1    Aedes aegypti LINE retrotransposon Juan-A including DNA binding protein and reverse transcriptase-like protein mRNA, complete coding regions</t>
  </si>
  <si>
    <t>AY062130.1    Aedes aegypti odorant-binding protein-related protein mRNA, complete cds</t>
  </si>
  <si>
    <t>MK733226.1    Aedes aegypti clone AC1 microsatellite sequence</t>
  </si>
  <si>
    <t>AY079079.1    Aedes aegypti transposon Ae.aegypti.ITmD37E3, complete sequence</t>
  </si>
  <si>
    <t>MT913595.1    Aedes aegypti To virus 1 isolate AaTV1/BR_TO putative RNA-dependent RNA polymerase and putative envelope protein genes, complete cds</t>
  </si>
  <si>
    <t>AY373377.1    Aedes aegypti vitellogenin-C (Vg-C) gene, complete cds</t>
  </si>
  <si>
    <t>NM_001358176.1    Aedes aegypti odorant receptor 21 (Or21), mRNA</t>
  </si>
  <si>
    <t>AY431218.1    Aedes aegypti ASAP ID: 43347 unknown mRNA sequence</t>
  </si>
  <si>
    <t>NM_001358276.1    Aedes aegypti gustatory receptor 20 (Gr20), transcript variant 3, mRNA</t>
  </si>
  <si>
    <t>OL452016.1    Synthetic construct AeaZpgC109GD, complete sequence</t>
  </si>
  <si>
    <t>OR961090.1    Cloning vector exu-cifAwAlbBTIV, complete sequence</t>
  </si>
  <si>
    <t>AY431924.1    Aedes aegypti ASAP ID: 43272 unknown mRNA sequence</t>
  </si>
  <si>
    <t>OX030900.2    Anopheles coustani genome assembly, chromosome: 2</t>
  </si>
  <si>
    <t>AY432279.1    Aedes aegypti ASAP ID: 43141 unknown mRNA sequence</t>
  </si>
  <si>
    <t>OX030919.2    Anopheles ziemanni genome assembly, chromosome: 2</t>
  </si>
  <si>
    <t>OZ187110.1    Dolichomitus mesocentrus genome assembly, chromosome: 3</t>
  </si>
  <si>
    <t>AY432826.1    Aedes aegypti ASAP ID: 38527 unknown mRNA sequence</t>
  </si>
  <si>
    <t>OZ187111.1    Dolichomitus mesocentrus genome assembly, chromosome: 4</t>
  </si>
  <si>
    <t>AY432831.1    Aedes aegypti ASAP ID: 38529 unknown mRNA sequence</t>
  </si>
  <si>
    <t>OZ187113.1    Dolichomitus mesocentrus genome assembly, chromosome: 6</t>
  </si>
  <si>
    <t>AY432840.1    Aedes aegypti ASAP ID: 35487 unknown mRNA sequence</t>
  </si>
  <si>
    <t>OZ187116.1    Dolichomitus mesocentrus genome assembly, chromosome: 9</t>
  </si>
  <si>
    <t>AY432850.1    Aedes aegypti ASAP ID: 35489 unknown mRNA sequence</t>
  </si>
  <si>
    <t>OZ187119.1    Dolichomitus mesocentrus genome assembly, chromosome: 12</t>
  </si>
  <si>
    <t>AY432860.1    Aedes aegypti ASAP ID: 38663 putative: reverse transcriptase mRNA sequence</t>
  </si>
  <si>
    <t>OZ187120.1    Dolichomitus mesocentrus genome assembly, chromosome: 13</t>
  </si>
  <si>
    <t>AY432864.1    Aedes aegypti ASAP ID: 38665 reverse transcriptase mRNA sequence</t>
  </si>
  <si>
    <t>PQ671729.1    Cloning vector pMosEYFP-exu-Cre, complete sequence</t>
  </si>
  <si>
    <t>AY432876.1    Aedes aegypti ASAP ID: 35501 conserved unknown mRNA sequence</t>
  </si>
  <si>
    <t>U65373.1    Aedes aegypti chromosome 3-specific repeat</t>
  </si>
  <si>
    <t>AY432981.1    Aedes aegypti ASAP ID: 34159 unknown mRNA sequence</t>
  </si>
  <si>
    <t>U87543.1    Aedes aegypti steroid hormone receptor homolog (AaHR3-1) gene, partial cds, and Lian-Aa1 retrotransposon protein gene, complete cds</t>
  </si>
  <si>
    <t>AY433174.1    Aedes aegypti ASAP ID: 38447 unknown mRNA sequence</t>
  </si>
  <si>
    <t>XM_001649498.2    PREDICTED: Aedes aegypti chitooligosaccharidolytic beta-N-acetylglucosaminidase (LOC5565215), transcript variant X1, mRNA</t>
  </si>
  <si>
    <t>AY433180.1    Aedes aegypti ASAP ID: 38449 unknown mRNA sequence</t>
  </si>
  <si>
    <t>XM_001656969.2    PREDICTED: Aedes aegypti F-actin-capping protein subunit alpha (LOC5578596), transcript variant X1, mRNA</t>
  </si>
  <si>
    <t>AY433184.1    Aedes aegypti ASAP ID: 38451 unknown mRNA sequence</t>
  </si>
  <si>
    <t>XM_001658424.2    PREDICTED: Aedes aegypti protein trunk (LOC5579958), mRNA</t>
  </si>
  <si>
    <t>XM_001659431.2    PREDICTED: Aedes aegypti laminin subunit alpha (LOC5571044), mRNA</t>
  </si>
  <si>
    <t>AY433374.1    Aedes aegypti ASAP ID: 36623 unknown mRNA sequence</t>
  </si>
  <si>
    <t>XM_019671847.3    PREDICTED: Aedes albopictus F-actin-capping protein subunit alpha (LOC109399409), mRNA</t>
  </si>
  <si>
    <t>AY433503.1    Aedes aegypti ASAP ID: 38379 cytosolic large ribosomal subunit L37 mRNA sequence</t>
  </si>
  <si>
    <t>XM_019689257.3    PREDICTED: Aedes albopictus paired box protein Pax-2a (LOC109415389), transcript variant X2, mRNA</t>
  </si>
  <si>
    <t>AY433559.1    Aedes aegypti ASAP ID: 36343 unknown mRNA sequence</t>
  </si>
  <si>
    <t>XM_021837953.1    PREDICTED: Aedes aegypti uncharacterized LOC5576566 (LOC5576566), transcript variant X1, mRNA</t>
  </si>
  <si>
    <t>AY433594.1    Aedes aegypti ASAP ID: 36345 unknown mRNA sequence</t>
  </si>
  <si>
    <t>XM_021837954.1    PREDICTED: Aedes aegypti uncharacterized LOC5576566 (LOC5576566), transcript variant X2, mRNA</t>
  </si>
  <si>
    <t>AY552059.1    Aedes aegypti 60S ribosomal protein L37 mRNA, complete cds</t>
  </si>
  <si>
    <t>XM_021837955.1    PREDICTED: Aedes aegypti uncharacterized LOC5576566 (LOC5576566), transcript variant X3, mRNA</t>
  </si>
  <si>
    <t>AY632694.1    Aedes aegypti UDP-N-acetylglucosamine pyrophosphorylase (UAP) gene, complete cds</t>
  </si>
  <si>
    <t>XM_021838835.1    PREDICTED: Aedes aegypti protein artichoke (LOC5572022), mRNA</t>
  </si>
  <si>
    <t>AY748244.1    Aedes aegypti Dorsal (REL1) gene, partial cds, alternatively spliced</t>
  </si>
  <si>
    <t>XM_021838897.1    PREDICTED: Aedes aegypti uncharacterized LOC5574324 (LOC5574324), mRNA</t>
  </si>
  <si>
    <t>XM_021839448.1    PREDICTED: Aedes aegypti uncharacterized LOC5578378 (LOC5578378), transcript variant X10, mRNA</t>
  </si>
  <si>
    <t>XM_021841216.1    PREDICTED: Aedes aegypti uncharacterized LOC110675648 (LOC110675648), mRNA</t>
  </si>
  <si>
    <t>XM_021841288.1    PREDICTED: Aedes aegypti chitooligosaccharidolytic beta-N-acetylglucosaminidase (LOC5565215), transcript variant X2, mRNA</t>
  </si>
  <si>
    <t>BN000947.1    TPA_inf: Aedes aegypti transposon AeTRC1</t>
  </si>
  <si>
    <t>XM_021842180.1    PREDICTED: Aedes aegypti F-actin-capping protein subunit alpha (LOC5578596), transcript variant X2, mRNA</t>
  </si>
  <si>
    <t>CP007547.1    Elizabethkingia anophelis NUHP1, complete genome</t>
  </si>
  <si>
    <t>XM_021846881.1    PREDICTED: Aedes aegypti arrestin domain-containing protein 3 (LOC5566807), mRNA</t>
  </si>
  <si>
    <t>CP014313.1    Microbacterium sp. PAMC 28756, complete genome</t>
  </si>
  <si>
    <t>XM_021847388.1    PREDICTED: Aedes aegypti protein timeless (LOC5567962), transcript variant X4, mRNA</t>
  </si>
  <si>
    <t>CP014337.1    Elizabethkingia bruuniana strain G0146, complete genome</t>
  </si>
  <si>
    <t>XM_021847389.1    PREDICTED: Aedes aegypti protein timeless (LOC5567962), transcript variant X5, mRNA</t>
  </si>
  <si>
    <t>CP015199.1    Chryseobacterium glaciei strain IHBB 10212, complete sequence</t>
  </si>
  <si>
    <t>XM_021847390.1    PREDICTED: Aedes aegypti protein timeless (LOC5567962), transcript variant X6, mRNA</t>
  </si>
  <si>
    <t>CP018786.1    Chryseobacterium indologenes strain AA5 chromosome, complete genome</t>
  </si>
  <si>
    <t>XM_021847392.1    PREDICTED: Aedes aegypti protein timeless (LOC5567962), transcript variant X8, mRNA</t>
  </si>
  <si>
    <t>CP022986.1    Chryseobacterium camelliae strain Dolsongi-HT1, complete genome</t>
  </si>
  <si>
    <t>XM_021847395.1    PREDICTED: Aedes aegypti protein timeless (LOC5567962), transcript variant X11, mRNA</t>
  </si>
  <si>
    <t>CP024170.1    Microbacterium sp. Y-01 chromosome, complete genome</t>
  </si>
  <si>
    <t>XM_021848944.1    PREDICTED: Aedes aegypti nucleoporin NUP159 (LOC5573589), mRNA</t>
  </si>
  <si>
    <t>CP025422.1    Zhihengliuella sp. ISTPL4 chromosome</t>
  </si>
  <si>
    <t>XM_021849697.1    PREDICTED: Aedes aegypti probable serine/threonine-protein kinase kinX (LOC5575804), transcript variant X1, mRNA</t>
  </si>
  <si>
    <t>CP027434.1    Microbacterium sp. str. 'China' chromosome, complete genome</t>
  </si>
  <si>
    <t>XM_021849698.1    PREDICTED: Aedes aegypti probable serine/threonine-protein kinase kinX (LOC5575804), transcript variant X2, mRNA</t>
  </si>
  <si>
    <t>CP032234.1    Anopheles stephensi strain SDA-500 chromosome 3R</t>
  </si>
  <si>
    <t>XM_021849699.1    PREDICTED: Aedes aegypti probable serine/threonine-protein kinase kinX (LOC5575804), transcript variant X3, mRNA</t>
  </si>
  <si>
    <t>CP032235.1    Anopheles stephensi strain SDA-500 chromosome 3L</t>
  </si>
  <si>
    <t>XM_021849700.1    PREDICTED: Aedes aegypti uncharacterized LOC110677892 (LOC110677892), mRNA</t>
  </si>
  <si>
    <t>CP033811.1    Chryseobacterium arthrosphaerae strain FDAARGOS_519 chromosome, complete genome</t>
  </si>
  <si>
    <t>XM_021850541.1    PREDICTED: Aedes aegypti uncharacterized LOC5572399 (LOC5572399), transcript variant X2, mRNA</t>
  </si>
  <si>
    <t>CP033828.1    Chryseobacterium indologenes strain FDAARGOS_510 chromosome, complete genome</t>
  </si>
  <si>
    <t>XM_021850542.1    PREDICTED: Aedes aegypti uncharacterized LOC5572399 (LOC5572399), transcript variant X3, mRNA</t>
  </si>
  <si>
    <t>CP033922.1    Chryseobacterium sp. G0162 chromosome, complete genome</t>
  </si>
  <si>
    <t>XM_021850543.1    PREDICTED: Aedes aegypti uncharacterized LOC5572399 (LOC5572399), transcript variant X4, mRNA</t>
  </si>
  <si>
    <t>CP033923.1    Chryseobacterium nakagawai strain G0041 chromosome, complete genome</t>
  </si>
  <si>
    <t>XM_021850544.1    PREDICTED: Aedes aegypti uncharacterized LOC5572399 (LOC5572399), transcript variant X5, mRNA</t>
  </si>
  <si>
    <t>CP033924.1    Chryseobacterium lactis strain KC_1864 chromosome, complete genome</t>
  </si>
  <si>
    <t>XM_021850545.1    PREDICTED: Aedes aegypti uncharacterized LOC5572399 (LOC5572399), transcript variant X6, mRNA</t>
  </si>
  <si>
    <t>CP033925.1    Chryseobacterium lactis strain G0197 chromosome, complete genome</t>
  </si>
  <si>
    <t>XM_021850546.1    PREDICTED: Aedes aegypti uncharacterized LOC5572399 (LOC5572399), transcript variant X7, mRNA</t>
  </si>
  <si>
    <t>CP033926.1    Chryseobacterium joostei strain DSM 16927 chromosome, complete genome</t>
  </si>
  <si>
    <t>XM_021850547.1    PREDICTED: Aedes aegypti uncharacterized LOC5572399 (LOC5572399), transcript variant X8, mRNA</t>
  </si>
  <si>
    <t>CP033932.1    Chryseobacterium bernardetii strain G0229 chromosome, complete genome</t>
  </si>
  <si>
    <t>XM_021850614.1    PREDICTED: Aedes aegypti 2-hydroxyacylsphingosine 1-beta-galactosyltransferase (LOC5566412), mRNA</t>
  </si>
  <si>
    <t>CP034661.1    Chryseobacterium aureum strain 17S1E7 chromosome</t>
  </si>
  <si>
    <t>XM_021852075.1    PREDICTED: Aedes aegypti RNA polymerase II elongation factor Ell (LOC5567364), transcript variant X4, mRNA</t>
  </si>
  <si>
    <t>CP035532.1    Chryseobacterium indologenes strain StR 01 chromosome, complete genome</t>
  </si>
  <si>
    <t>XM_021852076.1    PREDICTED: Aedes aegypti RNA polymerase II elongation factor Ell (LOC5567364), transcript variant X5, mRNA</t>
  </si>
  <si>
    <t>CP035811.1    Elizabethkingia bruuniana strain ATCC 33958 chromosome, complete genome</t>
  </si>
  <si>
    <t>XM_021852077.1    PREDICTED: Aedes aegypti RNA polymerase II elongation factor Ell (LOC5567364), transcript variant X6, mRNA</t>
  </si>
  <si>
    <t>CP043430.1    Microbacterium sp. 1S1 chromosome, complete genome</t>
  </si>
  <si>
    <t>XM_021852078.1    PREDICTED: Aedes aegypti RNA polymerase II elongation factor Ell (LOC5567364), transcript variant X7, mRNA</t>
  </si>
  <si>
    <t>CP045734.1    Chryseobacterium indologenes. StR 03 DNA, complete genome</t>
  </si>
  <si>
    <t>XM_021852079.1    PREDICTED: Aedes aegypti RNA polymerase II elongation factor Ell (LOC5567364), transcript variant X8, mRNA</t>
  </si>
  <si>
    <t>CP045735.1    Chryseobacterium indologenes. StR 04 DNA, complete genome</t>
  </si>
  <si>
    <t>XM_021852080.1    PREDICTED: Aedes aegypti RNA polymerase II elongation factor Ell (LOC5567364), transcript variant X9, mRNA</t>
  </si>
  <si>
    <t>CP064873.1    Microbacterium paraoxydans strain 70447 chromosome, complete genome</t>
  </si>
  <si>
    <t>XM_021852081.1    PREDICTED: Aedes aegypti RNA polymerase II elongation factor Ell (LOC5567364), transcript variant X10, mRNA</t>
  </si>
  <si>
    <t>CP065589.1    Chryseobacterium capnotolerans isolate DH-B6 chromosome, complete genome</t>
  </si>
  <si>
    <t>XM_021852082.1    PREDICTED: Aedes aegypti RNA polymerase II elongation factor Ell (LOC5567364), transcript variant X11, mRNA</t>
  </si>
  <si>
    <t>CP067018.1    Elizabethkingia bruuniana strain FDAARGOS_1031 chromosome, complete genome</t>
  </si>
  <si>
    <t>XM_021852083.1    PREDICTED: Aedes aegypti RNA polymerase II elongation factor Ell (LOC5567364), transcript variant X12, mRNA</t>
  </si>
  <si>
    <t>CP068486.1    Chryseobacterium gleum strain FDAARGOS_1103 chromosome</t>
  </si>
  <si>
    <t>XM_021852981.1    PREDICTED: Aedes aegypti protein TEX261 (LOC5569429), mRNA</t>
  </si>
  <si>
    <t>CP068760.1    Chryseobacterium cucumeris strain MW-6 chromosome</t>
  </si>
  <si>
    <t>XM_021853210.1    PREDICTED: Aedes aegypti receptor-type guanylate cyclase Gyc76C (LOC5570561), transcript variant X1, mRNA</t>
  </si>
  <si>
    <t>CP069793.1    Sphingobacterium multivorum strain FDAARGOS_1203 chromosome</t>
  </si>
  <si>
    <t>XM_021853211.1    PREDICTED: Aedes aegypti receptor-type guanylate cyclase Gyc76C (LOC5570561), transcript variant X2, mRNA</t>
  </si>
  <si>
    <t>CP071548.1    Elizabethkingia anophelis strain 277-17 chromosome, complete genome</t>
  </si>
  <si>
    <t>XM_021853677.1    PREDICTED: Aedes aegypti telomere-associated protein RIF1 (LOC5569795), transcript variant X1, mRNA</t>
  </si>
  <si>
    <t>CP073027.1    Chryseobacterium sp. PCH239 chromosome, complete genome</t>
  </si>
  <si>
    <t>XM_021853678.1    PREDICTED: Aedes aegypti telomere-associated protein RIF1 (LOC5569795), transcript variant X2, mRNA</t>
  </si>
  <si>
    <t>CP074372.1    Chryseobacterium indologenes strain PgBE177 chromosome, complete genome</t>
  </si>
  <si>
    <t>XM_021853679.1    PREDICTED: Aedes aegypti telomere-associated protein RIF1 (LOC5569795), transcript variant X3, mRNA</t>
  </si>
  <si>
    <t>CP075170.1    Chryseobacterium sp. MA9 chromosome, complete genome</t>
  </si>
  <si>
    <t>XM_021855367.1    PREDICTED: Aedes aegypti trichohyalin (LOC5564138), transcript variant X1, mRNA</t>
  </si>
  <si>
    <t>CP075682.1    Chryseobacterium sp. ZHDP1 chromosome, complete genome</t>
  </si>
  <si>
    <t>XM_021855368.1    PREDICTED: Aedes aegypti trichohyalin (LOC5564138), transcript variant X3, mRNA</t>
  </si>
  <si>
    <t>CP079219.1    Chryseobacterium sp. D764 chromosome, complete genome</t>
  </si>
  <si>
    <t>XM_021855369.1    PREDICTED: Aedes aegypti trichohyalin (LOC5564138), transcript variant X4, mRNA</t>
  </si>
  <si>
    <t>CP084579.1    Chryseobacterium sp. MEBOG07 chromosome</t>
  </si>
  <si>
    <t>XM_021857076.1    PREDICTED: Aedes aegypti dynein beta chain, ciliary-like (LOC110681320), transcript variant X2, mRNA</t>
  </si>
  <si>
    <t>CP084580.1    Chryseobacterium sp. MEBOG06 chromosome</t>
  </si>
  <si>
    <t>XM_029855214.2    PREDICTED: Aedes albopictus paired box protein Pax-2a (LOC109415389), transcript variant X1, mRNA</t>
  </si>
  <si>
    <t>CP097264.1    Mycolicibacterium novocastrense strain UDSM_BC02 chromosome</t>
  </si>
  <si>
    <t>XM_029855215.2    PREDICTED: Aedes albopictus paired box protein Pax-2a (LOC109415389), transcript variant X3, mRNA</t>
  </si>
  <si>
    <t>CP109907.1    Sphingobacterium sp. UGAL515B_05 chromosome, complete genome</t>
  </si>
  <si>
    <t>XM_029855611.2    PREDICTED: Aedes albopictus uncharacterized LOC115256694 (LOC115256694), transcript variant X2, mRNA</t>
  </si>
  <si>
    <t>CP119767.1    Chryseobacterium arthrosphaerae strain FS91703 chromosome, complete genome</t>
  </si>
  <si>
    <t>XM_029855987.2    PREDICTED: Aedes albopictus octopamine receptor Oamb-like (LOC109412976), transcript variant X2, mRNA</t>
  </si>
  <si>
    <t>CP120710.1    Chryseobacterium sp. WX chromosome, complete genome</t>
  </si>
  <si>
    <t>XM_029856378.2    PREDICTED: Aedes albopictus uncharacterized LOC115257075 (LOC115257075), mRNA</t>
  </si>
  <si>
    <t>CP127269.1    Elizabethkingia anophelis strain ES-CHC077 chromosome, complete genome</t>
  </si>
  <si>
    <t>XM_029869856.2    PREDICTED: Aedes albopictus chitooligosaccharidolytic beta-N-acetylglucosaminidase (LOC109406422), transcript variant X1, mRNA</t>
  </si>
  <si>
    <t>CP127270.1    Elizabethkingia anophelis strain ES-CHC014 chromosome, complete genome</t>
  </si>
  <si>
    <t>XM_029869857.2    PREDICTED: Aedes albopictus chitooligosaccharidolytic beta-N-acetylglucosaminidase (LOC109406422), transcript variant X2, mRNA</t>
  </si>
  <si>
    <t>CP127271.1    Elizabethkingia anophelis strain ES-CHC079 chromosome, complete genome</t>
  </si>
  <si>
    <t>XM_029876019.2    PREDICTED: Aedes albopictus protein lava lamp (LOC115268074), transcript variant X1, mRNA</t>
  </si>
  <si>
    <t>CP127272.1    Elizabethkingia anophelis strain ES-CHC078 chromosome, complete genome</t>
  </si>
  <si>
    <t>XM_029876020.2    PREDICTED: Aedes albopictus protein lava lamp (LOC115268074), transcript variant X2, mRNA</t>
  </si>
  <si>
    <t>CP132966.1    Chryseobacterium cucumeris strain PcE1 chromosome, complete genome</t>
  </si>
  <si>
    <t>XM_029876021.2    PREDICTED: Aedes albopictus protein lava lamp (LOC115268074), transcript variant X3, mRNA</t>
  </si>
  <si>
    <t>CP133984.1    Microbacterium meiriae (nom. nud.) strain F6_8S_P_2B chromosome</t>
  </si>
  <si>
    <t>XM_029880210.2    PREDICTED: Aedes albopictus uncharacterized LOC109424102 (LOC109424102), transcript variant X4, mRNA</t>
  </si>
  <si>
    <t>CP134622.1    Chryseobacterium sp. SG20098 chromosome, complete genome</t>
  </si>
  <si>
    <t>XM_029880213.2    PREDICTED: Aedes albopictus uncharacterized LOC109424102 (LOC109424102), transcript variant X6, mRNA</t>
  </si>
  <si>
    <t>CP139139.1    Chryseobacterium sp. HR92 chromosome, complete genome</t>
  </si>
  <si>
    <t>XM_029880214.2    PREDICTED: Aedes albopictus uncharacterized LOC109424102 (LOC109424102), transcript variant X7, mRNA</t>
  </si>
  <si>
    <t>CP143637.1    Chryseobacterium sp. CP-77 chromosome, complete genome</t>
  </si>
  <si>
    <t>XM_038262220.1    PREDICTED: Culex quinquefasciatus F-actin-capping protein subunit alpha (LOC6043973), mRNA</t>
  </si>
  <si>
    <t>CP146240.1    Microbacterium paraoxydans strain GJ_SRA_44_2022 chromosome</t>
  </si>
  <si>
    <t>XM_039581436.2    PREDICTED: Culex pipiens pallens F-actin-capping protein subunit alpha (LOC120418909), partial mRNA</t>
  </si>
  <si>
    <t>CP173626.1    Chryseobacterium sp. M5 chromosome, complete genome</t>
  </si>
  <si>
    <t>XM_055673612.1    PREDICTED: Wyeomyia smithii probable serine/threonine-protein kinase MARK-A (LOC129721260), transcript variant X1, mRNA</t>
  </si>
  <si>
    <t>CP180265.1    Chryseobacterium sp. MMS23-Vi53 chromosome, complete genome</t>
  </si>
  <si>
    <t>XM_055673613.1    PREDICTED: Wyeomyia smithii probable serine/threonine-protein kinase MARK-A (LOC129721260), transcript variant X2, mRNA</t>
  </si>
  <si>
    <t>CP182581.1    Chryseobacterium sp. PTM-20240506 chromosome, complete genome</t>
  </si>
  <si>
    <t>XM_055687124.1    PREDICTED: Wyeomyia smithii uncharacterized LOC129728674 (LOC129728674), mRNA</t>
  </si>
  <si>
    <t>CP184972.1    Escherichia coli strain 739 plasmid pCREC739-3</t>
  </si>
  <si>
    <t>XM_055747314.1    PREDICTED: Uranotaenia lowii hemicentin-1 (LOC129751670), transcript variant X1, mRNA</t>
  </si>
  <si>
    <t>CP185003.1    Klebsiella pneumoniae strain AMC20-2A plasmid unnamed3</t>
  </si>
  <si>
    <t>XM_055747315.1    PREDICTED: Uranotaenia lowii hemicentin-1 (LOC129751670), transcript variant X2, mRNA</t>
  </si>
  <si>
    <t>CP188192.1    Chryseobacterium sp. R2ACT005 strain Chryseobacterium sp. chromosome, complete genome</t>
  </si>
  <si>
    <t>XM_055768439.1    PREDICTED: Toxorhynchites rutilus septentrionalis F-actin-capping protein subunit alpha (LOC129767478), mRNA</t>
  </si>
  <si>
    <t>CP188202.1    Chryseobacterium sp. CBSDS_008 chromosome, complete genome</t>
  </si>
  <si>
    <t>XM_058976167.1    PREDICTED: Topomyia yanbarensis paired box protein Pax-8 (LOC131690416), transcript variant X2, mRNA</t>
  </si>
  <si>
    <t>CR937855.1    Single read from an extremity of a cDNA clone made from Aedes aegypti total adult females. 3-prime end of clone KW0AAB1YC13BBM1 from strain Liverpool of Aedes aegypti (yellow fever mosquito)</t>
  </si>
  <si>
    <t>XM_058976174.1    PREDICTED: Topomyia yanbarensis paired box protein Pax-8 (LOC131690416), transcript variant X3, mRNA</t>
  </si>
  <si>
    <t>XM_062683940.1    PREDICTED: Armigeres subalbatus paired box protein Pax-9 (LOC134207901), mRNA</t>
  </si>
  <si>
    <t>XM_062685270.1    PREDICTED: Armigeres subalbatus chitooligosaccharidolytic beta-N-acetylglucosaminidase (LOC134209278), transcript variant X1, mRNA</t>
  </si>
  <si>
    <t>DQ314204.1    Aedes aegypti oskar gene, complete cds</t>
  </si>
  <si>
    <t>XM_062685271.1    PREDICTED: Armigeres subalbatus chitooligosaccharidolytic beta-N-acetylglucosaminidase (LOC134209278), transcript variant X2, mRNA</t>
  </si>
  <si>
    <t>DQ440483.1    Aedes aegypti clone AET-7678 possible mucin mRNA, complete cds</t>
  </si>
  <si>
    <t>XM_062685272.1    PREDICTED: Armigeres subalbatus chitooligosaccharidolytic beta-N-acetylglucosaminidase (LOC134209278), transcript variant X3, mRNA</t>
  </si>
  <si>
    <t>DQ459305.1    Aedes aegypti cathepsin L (CAT-L3) mRNA, complete cds</t>
  </si>
  <si>
    <t>XM_062686976.1    PREDICTED: Armigeres subalbatus F-actin-capping protein subunit alpha (LOC134210737), mRNA</t>
  </si>
  <si>
    <t>DQ833528.2    Aedes aegypti beta-4 tubulin (B4t) gene, complete cds</t>
  </si>
  <si>
    <t>XM_062701920.1    PREDICTED: Armigeres subalbatus uncharacterized LOC134222761 (LOC134222761), mRNA</t>
  </si>
  <si>
    <t>XM_062705777.1    PREDICTED: Armigeres subalbatus uncharacterized protein K02A2.6-like (LOC134225583), mRNA</t>
  </si>
  <si>
    <t>XM_062708773.1    PREDICTED: Armigeres subalbatus uncharacterized LOC134227360 (LOC134227360), transcript variant X2, mRNA</t>
  </si>
  <si>
    <t>XM_062708774.1    PREDICTED: Armigeres subalbatus uncharacterized LOC134227360 (LOC134227360), transcript variant X3, mRNA</t>
  </si>
  <si>
    <t>XM_062843302.1    PREDICTED: Aedes albopictus uncharacterized LOC134284451 (LOC134284451), mRNA</t>
  </si>
  <si>
    <t>XM_062843509.1    PREDICTED: Aedes albopictus uncharacterized LOC134284532 (LOC134284532), mRNA</t>
  </si>
  <si>
    <t>XM_062843650.1    PREDICTED: Aedes albopictus uncharacterized LOC115257830 (LOC115257830), mRNA</t>
  </si>
  <si>
    <t>XM_062844950.1    PREDICTED: Aedes albopictus uncharacterized LOC115256694 (LOC115256694), transcript variant X1, mRNA</t>
  </si>
  <si>
    <t>XM_062846148.1    PREDICTED: Aedes albopictus uncharacterized LOC134285437 (LOC134285437), mRNA</t>
  </si>
  <si>
    <t>XM_062846921.1    PREDICTED: Aedes albopictus uncharacterized LOC134285676 (LOC134285676), mRNA</t>
  </si>
  <si>
    <t>XM_062847711.1    PREDICTED: Aedes albopictus uncharacterized LOC134286139 (LOC134286139), mRNA</t>
  </si>
  <si>
    <t>XM_062847830.1    PREDICTED: Aedes albopictus uncharacterized LOC134286246 (LOC134286246), mRNA</t>
  </si>
  <si>
    <t>XM_062847936.1    PREDICTED: Aedes albopictus uncharacterized LOC134286332 (LOC134286332), mRNA</t>
  </si>
  <si>
    <t>XM_062847938.1    PREDICTED: Aedes albopictus uncharacterized LOC134286334 (LOC134286334), mRNA</t>
  </si>
  <si>
    <t>XM_062848471.1    PREDICTED: Aedes albopictus uncharacterized LOC134286797 (LOC134286797), mRNA</t>
  </si>
  <si>
    <t>FJ231047.1    Aedes aegypti clone 298F10 DArT marker genomic sequence</t>
  </si>
  <si>
    <t>XM_062848600.1    PREDICTED: Aedes albopictus uncharacterized LOC134286901 (LOC134286901), mRNA</t>
  </si>
  <si>
    <t>FJ231068.1    Aedes aegypti clone 403B04 DArT marker genomic sequence</t>
  </si>
  <si>
    <t>XM_062848621.1    PREDICTED: Aedes albopictus uncharacterized LOC134286923 (LOC134286923), mRNA</t>
  </si>
  <si>
    <t>FJ231084.1    Aedes aegypti clone 462F03 DArT marker genomic sequence</t>
  </si>
  <si>
    <t>XM_062848678.1    PREDICTED: Aedes albopictus uncharacterized LOC134286965 (LOC134286965), mRNA</t>
  </si>
  <si>
    <t>XM_062848686.1    PREDICTED: Aedes albopictus uncharacterized LOC134286970 (LOC134286970), mRNA</t>
  </si>
  <si>
    <t>XM_062849018.1    PREDICTED: Aedes albopictus uncharacterized LOC134287346 (LOC134287346), mRNA</t>
  </si>
  <si>
    <t>XM_062849814.1    PREDICTED: Aedes albopictus uncharacterized LOC134287620 (LOC134287620), transcript variant X1, mRNA</t>
  </si>
  <si>
    <t>HQ285957.1    Aedes aegypti cecropin B gene, promoter region and 5' UTR</t>
  </si>
  <si>
    <t>XM_062849815.1    PREDICTED: Aedes albopictus uncharacterized LOC134287620 (LOC134287620), transcript variant X2, mRNA</t>
  </si>
  <si>
    <t>KF923690.1    Aedes aegypti cecropin N (CECN) gene, promoter region</t>
  </si>
  <si>
    <t>XM_062850425.1    PREDICTED: Aedes albopictus uncharacterized LOC109400792 (LOC109400792), mRNA</t>
  </si>
  <si>
    <t>XM_062850767.1    PREDICTED: Aedes albopictus uncharacterized LOC109422145 (LOC109422145), transcript variant X1, mRNA</t>
  </si>
  <si>
    <t>LC750323.1    Botrytis cinerea Sl3 genes for 18S rRNA, ITS1, 5.8S rRNA, ITS2, 28S rRNA, partial and complete sequence</t>
  </si>
  <si>
    <t>XM_062850768.1    PREDICTED: Aedes albopictus uncharacterized LOC109422145 (LOC109422145), transcript variant X2, mRNA</t>
  </si>
  <si>
    <t>LC754729.1    Mucor sp. M7 genes for 18S rRNA, ITS1, 5.8S rRNA, ITS2, 28S rRNA</t>
  </si>
  <si>
    <t>XM_062851276.1    PREDICTED: Aedes albopictus uncharacterized LOC109406373 (LOC109406373), mRNA</t>
  </si>
  <si>
    <t>LR134386.1    Chryseobacterium nakagawai strain NCTC13529 genome assembly, chromosome: 1</t>
  </si>
  <si>
    <t>XM_062851404.1    PREDICTED: Aedes albopictus protein trunk (LOC134287981), mRNA</t>
  </si>
  <si>
    <t>LR215967.1    Chryseobacterium indologenes strain 3012STDY6981895 genome assembly, chromosome: 1</t>
  </si>
  <si>
    <t>XM_062851854.1    PREDICTED: Aedes albopictus uncharacterized LOC109422985 (LOC109422985), mRNA</t>
  </si>
  <si>
    <t>LR824569.1    Chryseobacterium sp. JV274 strain F3_Prior genome assembly, chromosome: I</t>
  </si>
  <si>
    <t>XM_062853667.1    PREDICTED: Aedes albopictus chitooligosaccharidolytic beta-N-acetylglucosaminidase (LOC109406422), transcript variant X3, mRNA</t>
  </si>
  <si>
    <t>LR880474.1    Microbacterium sp. Nx66 genome assembly, chromosome: Nx66</t>
  </si>
  <si>
    <t>XM_062853668.1    PREDICTED: Aedes albopictus chitooligosaccharidolytic beta-N-acetylglucosaminidase (LOC109406422), transcript variant X4, mRNA</t>
  </si>
  <si>
    <t>LT629770.1    Microbacterium paraoxydans strain DSM 15019 genome assembly, chromosome: I</t>
  </si>
  <si>
    <t>XM_062853805.1    PREDICTED: Aedes albopictus uncharacterized LOC134288570 (LOC134288570), mRNA</t>
  </si>
  <si>
    <t>XM_062854029.1    PREDICTED: Aedes albopictus coronin-1C (LOC109406447), transcript variant X1, mRNA</t>
  </si>
  <si>
    <t>MH290751.1    Cloning vector pABb1-EG, complete sequence</t>
  </si>
  <si>
    <t>XM_062855442.1    PREDICTED: Aedes albopictus general odorant-binding protein 45-like (LOC115267756), mRNA</t>
  </si>
  <si>
    <t>MH290754.1    Cloning vector pABb1p10-NA3, complete sequence</t>
  </si>
  <si>
    <t>XM_062855964.1    PREDICTED: Aedes albopictus uncharacterized LOC109424102 (LOC109424102), transcript variant X5, mRNA</t>
  </si>
  <si>
    <t>MH290755.1    Cloning vector pBacb1EG-irEG, complete sequence</t>
  </si>
  <si>
    <t>XM_062856504.1    PREDICTED: Aedes albopictus uncharacterized LOC134289857 (LOC134289857), mRNA</t>
  </si>
  <si>
    <t>XM_062856620.1    PREDICTED: Aedes albopictus protein lava lamp (LOC115268074), transcript variant X4, mRNA</t>
  </si>
  <si>
    <t>MK733233.1    Aedes aegypti clone TTGT microsatellite sequence</t>
  </si>
  <si>
    <t>XM_062856942.1    PREDICTED: Aedes albopictus uncharacterized LOC109427062 (LOC109427062), transcript variant X3, mRNA</t>
  </si>
  <si>
    <t>MT808421.1    Aedes albopictus internal transcribed spacer 2 and large subunit ribosomal RNA gene, partial sequence</t>
  </si>
  <si>
    <t>XM_062857060.1    PREDICTED: Aedes albopictus uncharacterized LOC134290073 (LOC134290073), mRNA</t>
  </si>
  <si>
    <t>MZ913265.1    Helicoverpa zea isolate SIMRU ABC transporter C2 (ABCC2) gene, partial cds</t>
  </si>
  <si>
    <t>XM_062857153.1    PREDICTED: Aedes albopictus uncharacterized LOC134290116 (LOC134290116), mRNA</t>
  </si>
  <si>
    <t>NM_001358071.1    Aedes aegypti gustatory receptor 26 (Gr26), mRNA</t>
  </si>
  <si>
    <t>XM_062858036.1    PREDICTED: Aedes albopictus uncharacterized LOC134290830 (LOC134290830), mRNA</t>
  </si>
  <si>
    <t>NR_176621.1    Aedes aegypti uncharacterized LOC125505918 (LOC125505918), long non-coding RNA</t>
  </si>
  <si>
    <t>XM_062858037.1    PREDICTED: Aedes albopictus uncharacterized LOC134290831 (LOC134290831), mRNA</t>
  </si>
  <si>
    <t>OM542339.1    Aedes aegypti isolate 28S_1_Ae_aegypti_CF_S24 large subunit ribosomal RNA gene, partial sequence</t>
  </si>
  <si>
    <t>XM_062858070.1    PREDICTED: Aedes albopictus uncharacterized LOC134290856 (LOC134290856), mRNA</t>
  </si>
  <si>
    <t>OM542340.1    Aedes aegypti isolate 28S_1_Ae_aegypti_CF_S25 large subunit ribosomal RNA gene, partial sequence</t>
  </si>
  <si>
    <t>XM_062858321.1    PREDICTED: Aedes albopictus uncharacterized LOC134291054 (LOC134291054), mRNA</t>
  </si>
  <si>
    <t>OM542341.1    Aedes aegypti isolate 28S_1_Ae_aegypti_CF_S26 large subunit ribosomal RNA gene, partial sequence</t>
  </si>
  <si>
    <t>XM_062859320.1    PREDICTED: Aedes albopictus UDP-glucosyltransferase 2 (LOC109418392), transcript variant X2, mRNA</t>
  </si>
  <si>
    <t>OM542373.1    Aedes albopictus isolate 28S_1_Ae_albopictus_KH_S2 large subunit ribosomal RNA gene, partial sequence</t>
  </si>
  <si>
    <t>XM_062859321.1    PREDICTED: Aedes albopictus UDP-glucosyltransferase 2 (LOC109418392), transcript variant X3, mRNA</t>
  </si>
  <si>
    <t>OM542374.1    Aedes albopictus isolate 28S_1_Ae_albopictus_KH_S3 large subunit ribosomal RNA gene, partial sequence</t>
  </si>
  <si>
    <t>XM_062859322.1    PREDICTED: Aedes albopictus UDP-glucosyltransferase 2 (LOC109418392), transcript variant X4, mRNA</t>
  </si>
  <si>
    <t>OP728003.1    Vector AGG1095_KMOsgRNAs, complete sequence</t>
  </si>
  <si>
    <t>XM_062859323.1    PREDICTED: Aedes albopictus UDP-glucosyltransferase 2 (LOC109418392), transcript variant X5, mRNA</t>
  </si>
  <si>
    <t>OP728005.1    Vector AGG1207_AeBGCN-Cas9, complete sequence</t>
  </si>
  <si>
    <t>XM_062859441.1    PREDICTED: Aedes albopictus uncharacterized LOC115267228 (LOC115267228), transcript variant X1, mRNA</t>
  </si>
  <si>
    <t>OP823141.1    Vector AGG1208_sds3-Cas9, complete sequence</t>
  </si>
  <si>
    <t>XM_062859726.1    PREDICTED: Aedes albopictus receptor-type guanylate cyclase Gyc76C (LOC109409392), transcript variant X13, mRNA</t>
  </si>
  <si>
    <t>OQ657458.1    White spot syndrome virus isolate WSSV-MD-1, complete genome</t>
  </si>
  <si>
    <t>XM_062859728.1    PREDICTED: Aedes albopictus receptor-type guanylate cyclase Gyc76C (LOC109409392), transcript variant X14, mRNA</t>
  </si>
  <si>
    <t>OR354837.1    Staphylococcus phage S-CoN_Ph14, complete genome</t>
  </si>
  <si>
    <t>XM_062859729.1    PREDICTED: Aedes albopictus receptor-type guanylate cyclase Gyc76C (LOC109409392), transcript variant X15, mRNA</t>
  </si>
  <si>
    <t>OX336420.1    Schistosoma spindale genome assembly, chromosome: 1</t>
  </si>
  <si>
    <t>XM_062859730.1    PREDICTED: Aedes albopictus receptor-type guanylate cyclase Gyc76C (LOC109409392), transcript variant X16, mRNA</t>
  </si>
  <si>
    <t>OX336424.1    Schistosoma spindale genome assembly, chromosome: 2</t>
  </si>
  <si>
    <t>XM_062859731.1    PREDICTED: Aedes albopictus receptor-type guanylate cyclase Gyc76C (LOC109409392), transcript variant X17, mRNA</t>
  </si>
  <si>
    <t>OZ001348.2    Anopheles arabiensis genome assembly, chromosome: 2</t>
  </si>
  <si>
    <t>XM_062859732.1    PREDICTED: Aedes albopictus receptor-type guanylate cyclase Gyc76C (LOC109409392), transcript variant X18, mRNA</t>
  </si>
  <si>
    <t>OZ173930.1    Andrena helvola genome assembly, chromosome: 3</t>
  </si>
  <si>
    <t>XM_062859733.1    PREDICTED: Aedes albopictus receptor-type guanylate cyclase Gyc76C (LOC109409392), transcript variant X19, mRNA</t>
  </si>
  <si>
    <t>OZ173932.1    Andrena helvola genome assembly, chromosome: 5</t>
  </si>
  <si>
    <t>XM_062859734.1    PREDICTED: Aedes albopictus receptor-type guanylate cyclase Gyc76C (LOC109409392), transcript variant X20, mRNA</t>
  </si>
  <si>
    <t>OZ173933.1    Andrena helvola genome assembly, chromosome: 6</t>
  </si>
  <si>
    <t>XM_062859841.1    PREDICTED: Aedes albopictus uncharacterized LOC134291721 (LOC134291721), mRNA</t>
  </si>
  <si>
    <t>OZ211692.1    Eutomostethus luteiventris genome assembly, chromosome: 2</t>
  </si>
  <si>
    <t>XM_062860581.1    PREDICTED: Aedes albopictus uncharacterized LOC134291988 (LOC134291988), mRNA</t>
  </si>
  <si>
    <t>OZ239710.1    Mirificarma mulinella genome assembly, chromosome: 3</t>
  </si>
  <si>
    <t>XM_062860644.1    PREDICTED: Aedes albopictus TGF-beta receptor type-1 (LOC109415848), partial mRNA</t>
  </si>
  <si>
    <t>PP693228.1    Vector pSSA-KmoDR15-I-AniI, complete sequence</t>
  </si>
  <si>
    <t>XM_062861229.1    PREDICTED: Aedes albopictus uncharacterized protein K02A2.6-like (LOC115256875), mRNA</t>
  </si>
  <si>
    <t>PP693229.1    Vector pSSA-KmoDR15-Nos-I-SceI, complete sequence</t>
  </si>
  <si>
    <t>XM_065218149.1    PREDICTED: Ochlerotatus camptorhynchus trunk (trk), mRNA</t>
  </si>
  <si>
    <t>PP841131.1    Acinetobacter phage vB_Ab_1137_KEN_03, complete genome</t>
  </si>
  <si>
    <t>XM_065220884.1    PREDICTED: Ochlerotatus camptorhynchus uncharacterized LOC135700391 (LOC135700391), mRNA</t>
  </si>
  <si>
    <t>PQ671723.1    Cloning vector pBB-AaOrco, complete sequence</t>
  </si>
  <si>
    <t>XM_065221373.1    PREDICTED: Ochlerotatus camptorhynchus shaven (sv), transcript variant X1, mRNA</t>
  </si>
  <si>
    <t>XM_065221374.1    PREDICTED: Ochlerotatus camptorhynchus shaven (sv), transcript variant X2, mRNA</t>
  </si>
  <si>
    <t>XM_065232226.1    PREDICTED: Ochlerotatus camptorhynchus F-actin-capping protein subunit alpha (cpa), mRNA</t>
  </si>
  <si>
    <t>U87548.1    Aedes aegypti miniature inverted-repeat transposable element Wukong-Aa6, genomic sequence</t>
  </si>
  <si>
    <t>XM_065235381.1    PREDICTED: Ochlerotatus camptorhynchus uncharacterized LOC135712390 (LOC135712390), mRNA</t>
  </si>
  <si>
    <t>U87550.1    Aedes aegypti miniature inverted-repeat transposable element Wukong-Aa8, genomic sequence</t>
  </si>
  <si>
    <t>XR_002498595.1    PREDICTED: Aedes aegypti uncharacterized LOC110674043 (LOC110674043), ncRNA</t>
  </si>
  <si>
    <t>U87551.1    Aedes aegypti miniature inverted-repeat transposable element Wukong-Aa9, genomic sequence</t>
  </si>
  <si>
    <t>XR_002498698.1    PREDICTED: Aedes aegypti uncharacterized LOC110674156 (LOC110674156), ncRNA</t>
  </si>
  <si>
    <t>U88306.1    Aedes aegypti miniature inverted-repeat transposable element Wujin-Aa3, complete sequence</t>
  </si>
  <si>
    <t>XR_002498843.1    PREDICTED: Aedes aegypti uncharacterized LOC110674415 (LOC110674415), ncRNA</t>
  </si>
  <si>
    <t>U91680.1    Aedes aegypti vitelline membrane protein homolog (15a) gene, complete cds</t>
  </si>
  <si>
    <t>XR_002499158.1    PREDICTED: Aedes aegypti uncharacterized LOC110674748 (LOC110674748), ncRNA</t>
  </si>
  <si>
    <t>X67132.1    A.aegypti abd-A gene for abdominal-A protein homologue (partial)</t>
  </si>
  <si>
    <t>XR_002499242.1    PREDICTED: Aedes aegypti uncharacterized LOC110674849 (LOC110674849), ncRNA</t>
  </si>
  <si>
    <t>XM_001648662.2    PREDICTED: Aedes aegypti PR domain zinc finger protein 5 (LOC5564370), transcript variant X2, mRNA</t>
  </si>
  <si>
    <t>XR_002499416.1    PREDICTED: Aedes aegypti uncharacterized LOC110675367 (LOC110675367), ncRNA</t>
  </si>
  <si>
    <t>XM_001649156.2    PREDICTED: Aedes aegypti ribosomal protein S6 kinase 2 beta (LOC5564884), mRNA</t>
  </si>
  <si>
    <t>XR_002499669.1    PREDICTED: Aedes aegypti uncharacterized LOC110675636 (LOC110675636), ncRNA</t>
  </si>
  <si>
    <t>XM_001650856.2    PREDICTED: Aedes aegypti alpha-N-acetylgalactosaminidase (LOC5566514), transcript variant X1, mRNA</t>
  </si>
  <si>
    <t>XR_002500108.1    PREDICTED: Aedes aegypti uncharacterized LOC110676154 (LOC110676154), ncRNA</t>
  </si>
  <si>
    <t>XM_001651227.2    PREDICTED: Aedes aegypti protein ABHD17B (LOC5566852), transcript variant X2, mRNA</t>
  </si>
  <si>
    <t>XR_002500723.1    PREDICTED: Aedes aegypti uncharacterized LOC110676790 (LOC110676790), ncRNA</t>
  </si>
  <si>
    <t>XM_001651707.2    PREDICTED: Aedes aegypti uncharacterized LOC5567333 (LOC5567333), mRNA</t>
  </si>
  <si>
    <t>XR_002501377.1    PREDICTED: Aedes aegypti uncharacterized LOC110678006 (LOC110678006), ncRNA</t>
  </si>
  <si>
    <t>XM_001652793.2    PREDICTED: Aedes aegypti calumenin (LOC5569534), transcript variant X1, mRNA</t>
  </si>
  <si>
    <t>XR_002502104.1    PREDICTED: Aedes aegypti uncharacterized LOC110678978 (LOC110678978), ncRNA</t>
  </si>
  <si>
    <t>XM_001653031.2    PREDICTED: Aedes aegypti uncharacterized LOC5570094 (LOC5570094), mRNA</t>
  </si>
  <si>
    <t>XR_002502190.1    PREDICTED: Aedes aegypti uncharacterized LOC5567593 (LOC5567593), ncRNA</t>
  </si>
  <si>
    <t>XM_001653103.2    PREDICTED: Aedes aegypti coiled-coil domain-containing protein 6 (LOC5570325), mRNA</t>
  </si>
  <si>
    <t>XR_002502366.1    PREDICTED: Aedes aegypti uncharacterized LOC110679289 (LOC110679289), ncRNA</t>
  </si>
  <si>
    <t>XM_001653374.2    PREDICTED: Aedes aegypti chorion transcription factor Cf2 (LOC5570995), mRNA</t>
  </si>
  <si>
    <t>XR_002502378.1    PREDICTED: Aedes aegypti uncharacterized LOC110679308 (LOC110679308), ncRNA</t>
  </si>
  <si>
    <t>XM_001653537.2    PREDICTED: Aedes aegypti tafazzin homolog (LOC5571286), transcript variant X2, mRNA</t>
  </si>
  <si>
    <t>XR_002502456.1    PREDICTED: Aedes aegypti uncharacterized LOC110679400 (LOC110679400), ncRNA</t>
  </si>
  <si>
    <t>XM_001655379.2    PREDICTED: Aedes aegypti uncharacterized LOC5574958 (LOC5574958), transcript variant X2, mRNA</t>
  </si>
  <si>
    <t>XR_002502723.1    PREDICTED: Aedes aegypti trichohyalin (LOC5564138), transcript variant X2, misc_RNA</t>
  </si>
  <si>
    <t>XM_001655886.2    PREDICTED: Aedes aegypti E3 ubiquitin-protein ligase RING1 (LOC5580228), mRNA</t>
  </si>
  <si>
    <t>XR_002502752.1    PREDICTED: Aedes aegypti uncharacterized LOC110679845 (LOC110679845), ncRNA</t>
  </si>
  <si>
    <t>XM_001657067.2    PREDICTED: Aedes aegypti protein scarlet (LOC5578750), mRNA</t>
  </si>
  <si>
    <t>XR_002502849.1    PREDICTED: Aedes aegypti uncharacterized LOC110680368 (LOC110680368), ncRNA</t>
  </si>
  <si>
    <t>XM_001657273.2    PREDICTED: Aedes aegypti probable tRNA(His) guanylyltransferase (LOC5579197), transcript variant X2, mRNA</t>
  </si>
  <si>
    <t>XR_002503261.1    PREDICTED: Aedes aegypti uncharacterized LOC110681557 (LOC110681557), transcript variant X1, ncRNA</t>
  </si>
  <si>
    <t>XM_001658439.2    PREDICTED: Aedes aegypti general odorant-binding protein 56d (LOC5569397), mRNA</t>
  </si>
  <si>
    <t>XR_009998202.1    PREDICTED: Aedes albopictus uncharacterized LOC134288980 (LOC134288980), ncRNA</t>
  </si>
  <si>
    <t>XM_001658563.2    PREDICTED: Aedes aegypti uncharacterized LOC5569555 (LOC5569555), mRNA</t>
  </si>
  <si>
    <t>XR_009998264.1    PREDICTED: Aedes albopictus uncharacterized LOC134289086 (LOC134289086), ncRNA</t>
  </si>
  <si>
    <t>XM_001659103.2    PREDICTED: Aedes aegypti uncharacterized LOC5570448 (LOC5570448), transcript variant X1, mRNA</t>
  </si>
  <si>
    <t>XR_009998592.1    PREDICTED: Aedes albopictus uncharacterized LOC134289636 (LOC134289636), ncRNA</t>
  </si>
  <si>
    <t>XM_001659163.2    PREDICTED: Aedes aegypti A-kinase anchor protein 1, mitochondrial (LOC5570614), transcript variant X1, mRNA</t>
  </si>
  <si>
    <t>XR_009998784.1    PREDICTED: Aedes albopictus uncharacterized LOC109425116 (LOC109425116), ncRNA</t>
  </si>
  <si>
    <t>XM_001659223.2    PREDICTED: Aedes aegypti pathogenesis-related protein PRB1-3 (LOC5570679), mRNA</t>
  </si>
  <si>
    <t>XR_009999325.1    PREDICTED: Aedes albopictus uncharacterized LOC134291884 (LOC134291884), ncRNA</t>
  </si>
  <si>
    <t>XM_001659224.2    PREDICTED: Aedes aegypti protein PRY1 (LOC5570680), mRNA</t>
  </si>
  <si>
    <t>XR_009999462.1    PREDICTED: Aedes albopictus uncharacterized LOC134292098 (LOC134292098), ncRNA</t>
  </si>
  <si>
    <t>Z86117.1    A.aegypti DNA, copia-like transposable element ZebedeeI and LINE-like element JAM1</t>
  </si>
  <si>
    <t>XM_001659477.2    PREDICTED: Aedes aegypti titin (LOC5571087), mRNA</t>
  </si>
  <si>
    <t>XM_001659741.2    PREDICTED: Aedes aegypti protein CREBRF homolog (LOC5571582), transcript variant X3, mRNA</t>
  </si>
  <si>
    <t>XM_001660106.2    PREDICTED: Aedes aegypti suppressor of cytokine signaling 6 (LOC5572050), mRNA</t>
  </si>
  <si>
    <t>XM_001660574.3    PREDICTED: Aedes aegypti uncharacterized LOC5572865 (LOC5572865), mRNA</t>
  </si>
  <si>
    <t>XM_001660796.2    PREDICTED: Aedes aegypti girdin (LOC5573365), mRNA</t>
  </si>
  <si>
    <t>XM_001660976.2    PREDICTED: Aedes aegypti uncharacterized LOC5573718 (LOC5573718), mRNA</t>
  </si>
  <si>
    <t>XM_001661225.2    PREDICTED: Aedes aegypti long-chain-fatty-acid--CoA ligase 4 (LOC5574220), transcript variant X3, mRNA</t>
  </si>
  <si>
    <t>XM_001661511.2    PREDICTED: Aedes aegypti cytochrome b561 (LOC5574644), transcript variant X9, mRNA</t>
  </si>
  <si>
    <t>XM_001662184.2    PREDICTED: Aedes aegypti GTPase HRas (LOC5575808), transcript variant X7, mRNA</t>
  </si>
  <si>
    <t>XM_001662289.2    PREDICTED: Aedes aegypti uncharacterized LOC5576002 (LOC5576002), mRNA</t>
  </si>
  <si>
    <t>XM_001662529.2    PREDICTED: Aedes aegypti organic cation transporter protein (LOC5576289), mRNA</t>
  </si>
  <si>
    <t>XM_001662998.2    PREDICTED: Aedes aegypti leucine-rich repeat-containing protein let-4 (LOC5573063), transcript variant X1, mRNA</t>
  </si>
  <si>
    <t>XM_001663051.2    PREDICTED: Aedes aegypti myotubularin-related protein 8 (LOC5576998), transcript variant X2, mRNA</t>
  </si>
  <si>
    <t>XM_001663395.2    PREDICTED: Aedes aegypti GA-binding protein subunit beta-2 (LOC5577574), transcript variant X1, mRNA</t>
  </si>
  <si>
    <t>XM_011494916.2    PREDICTED: Aedes aegypti probable 60S ribosomal protein L37-A (LOC23687618), mRNA</t>
  </si>
  <si>
    <t>XM_019674701.3    PREDICTED: Aedes albopictus uncharacterized LOC109402086 (LOC109402086), mRNA</t>
  </si>
  <si>
    <t>XM_019681883.3    PREDICTED: Aedes albopictus protein sickie-like (LOC109408559), mRNA</t>
  </si>
  <si>
    <t>XM_019685120.3    PREDICTED: Aedes albopictus uncharacterized LOC109411574 (LOC109411574), mRNA</t>
  </si>
  <si>
    <t>XM_019687615.3    PREDICTED: Aedes albopictus serine/threonine-protein kinase STK11 (LOC109413893), transcript variant X1, mRNA</t>
  </si>
  <si>
    <t>XM_019687616.3    PREDICTED: Aedes albopictus serine/threonine-protein kinase STK11 (LOC109413893), transcript variant X2, mRNA</t>
  </si>
  <si>
    <t>XM_019690857.3    PREDICTED: Aedes albopictus serine-rich adhesin for platelets (LOC109416797), mRNA</t>
  </si>
  <si>
    <t>XM_019703988.3    PREDICTED: Aedes albopictus CLIP domain-containing serine protease B15 (LOC109428259), mRNA</t>
  </si>
  <si>
    <t>XM_019707578.3    PREDICTED: Aedes albopictus large ribosomal subunit protein eL37A (LOC109431357), mRNA</t>
  </si>
  <si>
    <t>XM_020075840.3    PREDICTED: Aedes albopictus protein phosphatase inhibitor 2 (LOC109621706), transcript variant X2, mRNA</t>
  </si>
  <si>
    <t>XM_020075841.3    PREDICTED: Aedes albopictus protein phosphatase inhibitor 2 (LOC109621706), transcript variant X3, mRNA</t>
  </si>
  <si>
    <t>XM_020075842.3    PREDICTED: Aedes albopictus protein phosphatase inhibitor 2 (LOC109621706), transcript variant X4, mRNA</t>
  </si>
  <si>
    <t>XM_020075843.3    PREDICTED: Aedes albopictus protein phosphatase inhibitor 2 (LOC109621706), transcript variant X1, mRNA</t>
  </si>
  <si>
    <t>XM_020076119.3    PREDICTED: Aedes albopictus WD repeat domain phosphoinositide-interacting protein 2 (LOC109621926), mRNA</t>
  </si>
  <si>
    <t>XM_020076973.3    PREDICTED: Aedes albopictus uncharacterized LOC109622581 (LOC109622581), mRNA</t>
  </si>
  <si>
    <t>XM_021837534.1    PREDICTED: Aedes aegypti alkaline phosphatase (LOC5563718), transcript variant X5, mRNA</t>
  </si>
  <si>
    <t>XM_021837896.1    PREDICTED: Aedes aegypti micronuclear linker histone polyprotein-like (LOC110674137), partial mRNA</t>
  </si>
  <si>
    <t>XM_021837952.1    PREDICTED: Aedes aegypti uncharacterized LOC110674147 (LOC110674147), partial mRNA</t>
  </si>
  <si>
    <t>XM_021837982.1    PREDICTED: Aedes aegypti uncharacterized LOC110674157 (LOC110674157), mRNA</t>
  </si>
  <si>
    <t>XM_021838070.1    PREDICTED: Aedes aegypti ubiquitin carboxyl-terminal hydrolase 34 (LOC5575651), mRNA</t>
  </si>
  <si>
    <t>XM_021838483.1    PREDICTED: Aedes aegypti uncharacterized LOC5564210 (LOC5564210), transcript variant X1, mRNA</t>
  </si>
  <si>
    <t>XM_021838484.1    PREDICTED: Aedes aegypti uncharacterized LOC5564210 (LOC5564210), transcript variant X2, mRNA</t>
  </si>
  <si>
    <t>XM_021838485.1    PREDICTED: Aedes aegypti uncharacterized LOC5564210 (LOC5564210), transcript variant X3, mRNA</t>
  </si>
  <si>
    <t>XM_021838489.1    PREDICTED: Aedes aegypti adenylosuccinate lyase (LOC23687388), mRNA</t>
  </si>
  <si>
    <t>XM_021838531.1    PREDICTED: Aedes aegypti uncharacterized LOC110674263 (LOC110674263), mRNA</t>
  </si>
  <si>
    <t>XM_021838599.1    PREDICTED: Aedes aegypti tigger transposable element-derived protein 1-like (LOC110674312), mRNA</t>
  </si>
  <si>
    <t>XM_021839005.1    PREDICTED: Aedes aegypti uncharacterized LOC5574653 (LOC5574653), transcript variant X2, mRNA</t>
  </si>
  <si>
    <t>XM_021839047.1    PREDICTED: Aedes aegypti uncharacterized LOC5578728 (LOC5578728), transcript variant X1, mRNA</t>
  </si>
  <si>
    <t>XM_021839075.1    PREDICTED: Aedes aegypti ephrin type-B receptor 5 (LOC5570397), transcript variant X1, mRNA</t>
  </si>
  <si>
    <t>XM_021839076.1    PREDICTED: Aedes aegypti ephrin type-B receptor 5 (LOC5570397), transcript variant X2, mRNA</t>
  </si>
  <si>
    <t>XM_021839077.1    PREDICTED: Aedes aegypti ephrin type-B receptor 5 (LOC5570397), transcript variant X3, mRNA</t>
  </si>
  <si>
    <t>XM_021839078.1    PREDICTED: Aedes aegypti ephrin type-B receptor 5 (LOC5570397), transcript variant X4, mRNA</t>
  </si>
  <si>
    <t>XM_021839079.1    PREDICTED: Aedes aegypti ephrin type-B receptor 5 (LOC5570397), transcript variant X5, mRNA</t>
  </si>
  <si>
    <t>XM_021839080.1    PREDICTED: Aedes aegypti ephrin type-B receptor 5 (LOC5570397), transcript variant X6, mRNA</t>
  </si>
  <si>
    <t>XM_021839081.1    PREDICTED: Aedes aegypti ephrin type-B receptor 5 (LOC5570397), transcript variant X7, mRNA</t>
  </si>
  <si>
    <t>XM_021839082.1    PREDICTED: Aedes aegypti ephrin type-B receptor 5 (LOC5570397), transcript variant X8, mRNA</t>
  </si>
  <si>
    <t>XM_021839083.1    PREDICTED: Aedes aegypti ephrin type-B receptor 5 (LOC5570397), transcript variant X9, mRNA</t>
  </si>
  <si>
    <t>XM_021839084.1    PREDICTED: Aedes aegypti ephrin type-B receptor 5 (LOC5570397), transcript variant X10, mRNA</t>
  </si>
  <si>
    <t>XM_021839303.1    PREDICTED: Aedes aegypti uncharacterized LOC5573415 (LOC5573415), transcript variant X1, mRNA</t>
  </si>
  <si>
    <t>XM_021839304.1    PREDICTED: Aedes aegypti uncharacterized LOC5573415 (LOC5573415), transcript variant X2, mRNA</t>
  </si>
  <si>
    <t>XM_021839305.1    PREDICTED: Aedes aegypti uncharacterized LOC5573415 (LOC5573415), transcript variant X3, mRNA</t>
  </si>
  <si>
    <t>XM_021839306.1    PREDICTED: Aedes aegypti uncharacterized LOC5573415 (LOC5573415), transcript variant X4, mRNA</t>
  </si>
  <si>
    <t>XM_021839307.1    PREDICTED: Aedes aegypti uncharacterized LOC5573415 (LOC5573415), transcript variant X5, mRNA</t>
  </si>
  <si>
    <t>XM_021839425.1    PREDICTED: Aedes aegypti death-associated protein kinase related (LOC5563768), mRNA</t>
  </si>
  <si>
    <t>XM_021839506.1    PREDICTED: Aedes aegypti zinc finger and BTB domain-containing protein 17-like (LOC110675125), mRNA</t>
  </si>
  <si>
    <t>XM_021839563.1    PREDICTED: Aedes aegypti uncharacterized LOC110675173 (LOC110675173), mRNA</t>
  </si>
  <si>
    <t>XM_021840055.1    PREDICTED: Aedes aegypti histone H3-5 (LOC5571772), mRNA</t>
  </si>
  <si>
    <t>XM_021840176.1    PREDICTED: Aedes aegypti tafazzin homolog (LOC5571286), transcript variant X1, mRNA</t>
  </si>
  <si>
    <t>XM_021840177.1    PREDICTED: Aedes aegypti tafazzin homolog (LOC5571286), transcript variant X3, mRNA</t>
  </si>
  <si>
    <t>XM_021840797.1    PREDICTED: Aedes aegypti tonsoku-like protein (LOC5567635), mRNA</t>
  </si>
  <si>
    <t>XM_021840959.1    PREDICTED: Aedes aegypti uncharacterized LOC5568118 (LOC5568118), transcript variant X1, mRNA</t>
  </si>
  <si>
    <t>XM_021840960.1    PREDICTED: Aedes aegypti uncharacterized LOC5568118 (LOC5568118), transcript variant X2, mRNA</t>
  </si>
  <si>
    <t>XM_021840961.1    PREDICTED: Aedes aegypti uncharacterized LOC5568118 (LOC5568118), transcript variant X3, mRNA</t>
  </si>
  <si>
    <t>XM_021840962.1    PREDICTED: Aedes aegypti uncharacterized LOC5568118 (LOC5568118), transcript variant X4, mRNA</t>
  </si>
  <si>
    <t>XM_021841527.1    PREDICTED: Aedes aegypti protein FAM46C (LOC5578975), transcript variant X8, mRNA</t>
  </si>
  <si>
    <t>XM_021841528.1    PREDICTED: Aedes aegypti protein FAM46C (LOC5578975), transcript variant X9, mRNA</t>
  </si>
  <si>
    <t>XM_021841529.1    PREDICTED: Aedes aegypti protein FAM46C (LOC5578975), transcript variant X10, mRNA</t>
  </si>
  <si>
    <t>XM_021841530.1    PREDICTED: Aedes aegypti protein FAM46C (LOC5578975), transcript variant X11, mRNA</t>
  </si>
  <si>
    <t>XM_021841563.1    PREDICTED: Aedes aegypti GA-binding protein subunit beta-2 (LOC5577574), transcript variant X2, mRNA</t>
  </si>
  <si>
    <t>XM_021841564.1    PREDICTED: Aedes aegypti GA-binding protein subunit beta-2 (LOC5577574), transcript variant X3, mRNA</t>
  </si>
  <si>
    <t>XM_021841565.1    PREDICTED: Aedes aegypti GA-binding protein subunit beta-2 (LOC5577574), transcript variant X4, mRNA</t>
  </si>
  <si>
    <t>XM_021841788.1    PREDICTED: Aedes aegypti phosphatidylinositol 3-kinase regulatory subunit alpha (LOC5578257), transcript variant X8, mRNA</t>
  </si>
  <si>
    <t>XM_021841789.1    PREDICTED: Aedes aegypti phosphatidylinositol 3-kinase regulatory subunit alpha (LOC5578257), transcript variant X9, mRNA</t>
  </si>
  <si>
    <t>XM_021841790.1    PREDICTED: Aedes aegypti phosphatidylinositol 3-kinase regulatory subunit alpha (LOC5578257), transcript variant X10, mRNA</t>
  </si>
  <si>
    <t>XM_021841791.1    PREDICTED: Aedes aegypti phosphatidylinositol 3-kinase regulatory subunit alpha (LOC5578257), transcript variant X11, mRNA</t>
  </si>
  <si>
    <t>XM_021841792.1    PREDICTED: Aedes aegypti phosphatidylinositol 3-kinase regulatory subunit alpha (LOC5578257), transcript variant X12, mRNA</t>
  </si>
  <si>
    <t>XM_021842787.1    PREDICTED: Aedes aegypti uncharacterized LOC110676129 (LOC110676129), transcript variant X3, mRNA</t>
  </si>
  <si>
    <t>XM_021842878.1    PREDICTED: Aedes aegypti WD repeat-containing protein 47 (LOC5566042), transcript variant X6, mRNA</t>
  </si>
  <si>
    <t>XM_021843098.1    PREDICTED: Aedes aegypti potassium voltage-gated channel protein Shab (LOC5572202), transcript variant X4, mRNA</t>
  </si>
  <si>
    <t>XM_021843099.1    PREDICTED: Aedes aegypti potassium voltage-gated channel protein Shab (LOC5572202), transcript variant X5, mRNA</t>
  </si>
  <si>
    <t>XM_021843100.1    PREDICTED: Aedes aegypti potassium voltage-gated channel protein Shab (LOC5572202), transcript variant X6, mRNA</t>
  </si>
  <si>
    <t>XM_021843101.1    PREDICTED: Aedes aegypti potassium voltage-gated channel protein Shab (LOC5572202), transcript variant X7, mRNA</t>
  </si>
  <si>
    <t>XM_021843118.1    PREDICTED: Aedes aegypti protein lingerer (LOC5572191), transcript variant X10, mRNA</t>
  </si>
  <si>
    <t>XM_021843119.1    PREDICTED: Aedes aegypti protein lingerer (LOC5572191), transcript variant X11, mRNA</t>
  </si>
  <si>
    <t>XM_021843120.1    PREDICTED: Aedes aegypti protein lingerer (LOC5572191), transcript variant X12, mRNA</t>
  </si>
  <si>
    <t>XM_021843121.1    PREDICTED: Aedes aegypti protein lingerer (LOC5572191), transcript variant X13, mRNA</t>
  </si>
  <si>
    <t>XM_021843122.1    PREDICTED: Aedes aegypti protein lingerer (LOC5572191), transcript variant X14, mRNA</t>
  </si>
  <si>
    <t>XM_021843123.1    PREDICTED: Aedes aegypti protein lingerer (LOC5572191), transcript variant X15, mRNA</t>
  </si>
  <si>
    <t>XM_021843124.1    PREDICTED: Aedes aegypti protein lingerer (LOC5572191), transcript variant X16, mRNA</t>
  </si>
  <si>
    <t>XM_021843275.1    PREDICTED: Aedes aegypti glycine-rich cell wall structural protein 1.8-like (LOC110676230), transcript variant X1, mRNA</t>
  </si>
  <si>
    <t>XM_021843276.1    PREDICTED: Aedes aegypti glycine-rich cell wall structural protein 1.8-like (LOC110676230), transcript variant X2, mRNA</t>
  </si>
  <si>
    <t>XM_021843879.1    PREDICTED: Aedes aegypti myotubularin-related protein 8 (LOC5576998), transcript variant X1, mRNA</t>
  </si>
  <si>
    <t>XM_021843880.1    PREDICTED: Aedes aegypti myotubularin-related protein 8 (LOC5576998), transcript variant X3, mRNA</t>
  </si>
  <si>
    <t>XM_021844083.1    PREDICTED: Aedes aegypti transcription factor Sp9 (LOC5576247), mRNA</t>
  </si>
  <si>
    <t>XM_021844147.1    PREDICTED: Aedes aegypti uncharacterized LOC110676397 (LOC110676397), mRNA</t>
  </si>
  <si>
    <t>XM_021844210.1    PREDICTED: Aedes aegypti cytochrome b561 (LOC5574644), transcript variant X2, mRNA</t>
  </si>
  <si>
    <t>XM_021844211.1    PREDICTED: Aedes aegypti cytochrome b561 (LOC5574644), transcript variant X4, mRNA</t>
  </si>
  <si>
    <t>XM_021844212.1    PREDICTED: Aedes aegypti cytochrome b561 (LOC5574644), transcript variant X5, mRNA</t>
  </si>
  <si>
    <t>XM_021844213.1    PREDICTED: Aedes aegypti cytochrome b561 (LOC5574644), transcript variant X6, mRNA</t>
  </si>
  <si>
    <t>XM_021844214.1    PREDICTED: Aedes aegypti cytochrome b561 (LOC5574644), transcript variant X7, mRNA</t>
  </si>
  <si>
    <t>XM_021844215.1    PREDICTED: Aedes aegypti cytochrome b561 (LOC5574644), transcript variant X10, mRNA</t>
  </si>
  <si>
    <t>XM_021844269.1    PREDICTED: Aedes aegypti longitudinals lacking protein, isoforms H/M/V (LOC23687660), transcript variant X1, mRNA</t>
  </si>
  <si>
    <t>XM_021844270.1    PREDICTED: Aedes aegypti longitudinals lacking protein, isoforms H/M/V (LOC23687660), transcript variant X2, mRNA</t>
  </si>
  <si>
    <t>XM_021844271.1    PREDICTED: Aedes aegypti longitudinals lacking protein, isoforms H/M/V (LOC23687660), transcript variant X3, mRNA</t>
  </si>
  <si>
    <t>XM_021844272.1    PREDICTED: Aedes aegypti longitudinals lacking protein, isoforms H/M/V (LOC23687660), transcript variant X4, mRNA</t>
  </si>
  <si>
    <t>XM_021844274.1    PREDICTED: Aedes aegypti longitudinals lacking protein, isoforms H/M/V (LOC23687660), transcript variant X6, mRNA</t>
  </si>
  <si>
    <t>XM_021845466.1    PREDICTED: Aedes aegypti alpha-N-acetylgalactosaminidase (LOC5566514), transcript variant X2, mRNA</t>
  </si>
  <si>
    <t>XM_021845467.1    PREDICTED: Aedes aegypti alpha-N-acetylgalactosaminidase (LOC5566514), transcript variant X3, mRNA</t>
  </si>
  <si>
    <t>XM_021845468.1    PREDICTED: Aedes aegypti alpha-N-acetylgalactosaminidase (LOC5566514), transcript variant X4, mRNA</t>
  </si>
  <si>
    <t>XM_021846232.1    PREDICTED: Aedes aegypti uncharacterized LOC5577104 (LOC5577104), transcript variant X1, mRNA</t>
  </si>
  <si>
    <t>XM_021846234.1    PREDICTED: Aedes aegypti uncharacterized LOC5577104 (LOC5577104), transcript variant X2, mRNA</t>
  </si>
  <si>
    <t>XM_021846235.1    PREDICTED: Aedes aegypti uncharacterized LOC5577104 (LOC5577104), transcript variant X3, mRNA</t>
  </si>
  <si>
    <t>XM_021846703.1    PREDICTED: Aedes aegypti RNA pseudouridylate synthase domain-containing protein 2 (LOC5569446), transcript variant X1, mRNA</t>
  </si>
  <si>
    <t>XM_021846704.1    PREDICTED: Aedes aegypti RNA pseudouridylate synthase domain-containing protein 2 (LOC5569446), transcript variant X2, mRNA</t>
  </si>
  <si>
    <t>XM_021846705.1    PREDICTED: Aedes aegypti RNA pseudouridylate synthase domain-containing protein 2 (LOC5569446), transcript variant X3, mRNA</t>
  </si>
  <si>
    <t>XM_021846959.1    PREDICTED: Aedes aegypti uncharacterized LOC5564557 (LOC5564557), transcript variant X1, mRNA</t>
  </si>
  <si>
    <t>XM_021846960.1    PREDICTED: Aedes aegypti uncharacterized LOC5564557 (LOC5564557), transcript variant X2, mRNA</t>
  </si>
  <si>
    <t>XM_021846961.1    PREDICTED: Aedes aegypti uncharacterized LOC5564557 (LOC5564557), transcript variant X3, mRNA</t>
  </si>
  <si>
    <t>XM_021847175.1    PREDICTED: Aedes aegypti phosphatidylinositol 4-phosphate 5-kinase type-1 alpha (LOC5566784), transcript variant X13, mRNA</t>
  </si>
  <si>
    <t>XM_021847398.1    PREDICTED: Aedes aegypti beta-1,4-galactosyltransferase 2-like (LOC110677016), transcript variant X1, mRNA</t>
  </si>
  <si>
    <t>XM_021847587.1    PREDICTED: Aedes aegypti protein kinase C and casein kinase II substrate protein 3 (LOC5573175), transcript variant X9, mRNA</t>
  </si>
  <si>
    <t>XM_021847590.1    PREDICTED: Aedes aegypti putative apoptosis-inducing factor 1, mitochondrial (LOC5573178), mRNA</t>
  </si>
  <si>
    <t>XM_021847685.1    PREDICTED: Aedes aegypti SUN domain-containing ossification factor (LOC5573936), transcript variant X3, mRNA</t>
  </si>
  <si>
    <t>XM_021847687.1    PREDICTED: Aedes aegypti SUN domain-containing ossification factor (LOC5573936), transcript variant X4, mRNA</t>
  </si>
  <si>
    <t>XM_021847688.1    PREDICTED: Aedes aegypti SUN domain-containing ossification factor (LOC5573936), transcript variant X5, mRNA</t>
  </si>
  <si>
    <t>XM_021847689.1    PREDICTED: Aedes aegypti SUN domain-containing ossification factor (LOC5573936), transcript variant X6, mRNA</t>
  </si>
  <si>
    <t>XM_021847690.1    PREDICTED: Aedes aegypti SUN domain-containing ossification factor (LOC5573936), transcript variant X7, mRNA</t>
  </si>
  <si>
    <t>XM_021847691.1    PREDICTED: Aedes aegypti SUN domain-containing ossification factor (LOC5573936), transcript variant X8, mRNA</t>
  </si>
  <si>
    <t>XM_021847692.1    PREDICTED: Aedes aegypti SUN domain-containing ossification factor (LOC5573936), transcript variant X9, mRNA</t>
  </si>
  <si>
    <t>XM_021847730.1    PREDICTED: Aedes aegypti netrin-B (LOC5576886), transcript variant X1, mRNA</t>
  </si>
  <si>
    <t>XM_021847737.1    PREDICTED: Aedes aegypti netrin-B (LOC5576886), transcript variant X2, mRNA</t>
  </si>
  <si>
    <t>XM_021847902.1    PREDICTED: Aedes aegypti serine-rich adhesin for platelets (LOC5572076), mRNA</t>
  </si>
  <si>
    <t>XM_021848046.1    PREDICTED: Aedes aegypti protein sickie-like (LOC110677175), mRNA</t>
  </si>
  <si>
    <t>XM_021848229.1    PREDICTED: Aedes aegypti zinc finger protein 37 homolog (LOC5568192), mRNA</t>
  </si>
  <si>
    <t>XM_021848313.1    PREDICTED: Aedes aegypti uncharacterized LOC110677235 (LOC110677235), mRNA</t>
  </si>
  <si>
    <t>XM_021849061.1    PREDICTED: Aedes aegypti cysteine-rich secretory protein LCCL domain-containing 1 (LOC5575868), mRNA</t>
  </si>
  <si>
    <t>XM_021849086.1    PREDICTED: Aedes aegypti F-box/LRR-repeat protein 16 (LOC5575480), transcript variant X2, mRNA</t>
  </si>
  <si>
    <t>XM_021849332.1    PREDICTED: Aedes aegypti histone H1-like (LOC110677805), mRNA</t>
  </si>
  <si>
    <t>XM_021849346.1    PREDICTED: Aedes aegypti long-chain-fatty-acid--CoA ligase 4 (LOC5574220), transcript variant X1, mRNA</t>
  </si>
  <si>
    <t>XM_021849347.1    PREDICTED: Aedes aegypti long-chain-fatty-acid--CoA ligase 4 (LOC5574220), transcript variant X2, mRNA</t>
  </si>
  <si>
    <t>XM_021849348.1    PREDICTED: Aedes aegypti long-chain-fatty-acid--CoA ligase 4 (LOC5574220), transcript variant X4, mRNA</t>
  </si>
  <si>
    <t>XM_021849596.1    PREDICTED: Aedes aegypti histone H1-like (LOC110677863), mRNA</t>
  </si>
  <si>
    <t>XM_021849778.1    PREDICTED: Aedes aegypti calumenin (LOC5569534), transcript variant X2, mRNA</t>
  </si>
  <si>
    <t>XM_021850097.1    PREDICTED: Aedes aegypti LIM domain kinase 1 (LOC5570027), transcript variant X2, mRNA</t>
  </si>
  <si>
    <t>XM_021850452.1    PREDICTED: Aedes aegypti serine/threonine-protein kinase minibrain (LOC5577988), transcript variant X3, mRNA</t>
  </si>
  <si>
    <t>XM_021850540.1    PREDICTED: Aedes aegypti uncharacterized LOC5572399 (LOC5572399), transcript variant X1, mRNA</t>
  </si>
  <si>
    <t>XM_021850752.1    PREDICTED: Aedes aegypti A-kinase anchor protein 1, mitochondrial (LOC5570614), transcript variant X2, mRNA</t>
  </si>
  <si>
    <t>XM_021850756.1    PREDICTED: Aedes aegypti A-kinase anchor protein 1, mitochondrial (LOC5570614), transcript variant X3, mRNA</t>
  </si>
  <si>
    <t>XM_021850762.1    PREDICTED: Aedes aegypti A-kinase anchor protein 1, mitochondrial (LOC5570614), transcript variant X4, mRNA</t>
  </si>
  <si>
    <t>XM_021850770.1    PREDICTED: Aedes aegypti A-kinase anchor protein 1, mitochondrial (LOC5570614), transcript variant X5, mRNA</t>
  </si>
  <si>
    <t>XM_021850776.1    PREDICTED: Aedes aegypti A-kinase anchor protein 1, mitochondrial (LOC5570614), transcript variant X6, mRNA</t>
  </si>
  <si>
    <t>XM_021850843.1    PREDICTED: Aedes aegypti histone H1-like (LOC110678225), mRNA</t>
  </si>
  <si>
    <t>XM_021851175.1    PREDICTED: Aedes aegypti uncharacterized LOC110678373 (LOC110678373), mRNA</t>
  </si>
  <si>
    <t>XM_021851752.1    PREDICTED: Aedes aegypti protein CREBRF homolog (LOC5571582), transcript variant X1, mRNA</t>
  </si>
  <si>
    <t>XM_021851897.1    PREDICTED: Aedes aegypti uncharacterized LOC110678685 (LOC110678685), mRNA</t>
  </si>
  <si>
    <t>XM_021852180.1    PREDICTED: Aedes aegypti homeobox protein cut (LOC5569395), transcript variant X2, mRNA</t>
  </si>
  <si>
    <t>XM_021852181.1    PREDICTED: Aedes aegypti homeobox protein cut (LOC5569395), transcript variant X3, mRNA</t>
  </si>
  <si>
    <t>XM_021852182.1    PREDICTED: Aedes aegypti homeobox protein cut (LOC5569395), transcript variant X4, mRNA</t>
  </si>
  <si>
    <t>XM_021852183.1    PREDICTED: Aedes aegypti homeobox protein cut (LOC5569395), transcript variant X5, mRNA</t>
  </si>
  <si>
    <t>XM_021852184.1    PREDICTED: Aedes aegypti homeobox protein cut (LOC5569395), transcript variant X6, mRNA</t>
  </si>
  <si>
    <t>XM_021852367.1    PREDICTED: Aedes aegypti uncharacterized LOC110678847 (LOC110678847), mRNA</t>
  </si>
  <si>
    <t>XM_021852453.1    PREDICTED: Aedes aegypti macoilin-2 (LOC5567490), transcript variant X4, mRNA</t>
  </si>
  <si>
    <t>XM_021852454.1    PREDICTED: Aedes aegypti macoilin-2 (LOC5567490), transcript variant X5, mRNA</t>
  </si>
  <si>
    <t>XM_021852455.1    PREDICTED: Aedes aegypti macoilin-2 (LOC5567490), transcript variant X6, mRNA</t>
  </si>
  <si>
    <t>XM_021852456.1    PREDICTED: Aedes aegypti macoilin-2 (LOC5567490), transcript variant X7, mRNA</t>
  </si>
  <si>
    <t>XM_021852457.1    PREDICTED: Aedes aegypti macoilin-2 (LOC5567490), transcript variant X8, mRNA</t>
  </si>
  <si>
    <t>XM_021852504.1    PREDICTED: Aedes aegypti GTPase HRas (LOC5575808), transcript variant X1, mRNA</t>
  </si>
  <si>
    <t>XM_021852505.1    PREDICTED: Aedes aegypti GTPase HRas (LOC5575808), transcript variant X2, mRNA</t>
  </si>
  <si>
    <t>XM_021852506.1    PREDICTED: Aedes aegypti GTPase HRas (LOC5575808), transcript variant X3, mRNA</t>
  </si>
  <si>
    <t>XM_021852507.1    PREDICTED: Aedes aegypti GTPase HRas (LOC5575808), transcript variant X4, mRNA</t>
  </si>
  <si>
    <t>XM_021852508.1    PREDICTED: Aedes aegypti GTPase HRas (LOC5575808), transcript variant X5, mRNA</t>
  </si>
  <si>
    <t>XM_021852509.1    PREDICTED: Aedes aegypti GTPase HRas (LOC5575808), transcript variant X6, mRNA</t>
  </si>
  <si>
    <t>XM_021852575.1    PREDICTED: Aedes aegypti importin-11-like (LOC110678926), mRNA</t>
  </si>
  <si>
    <t>XM_021852774.1    PREDICTED: Aedes aegypti uncharacterized LOC5579261 (LOC5579261), transcript variant X6, mRNA</t>
  </si>
  <si>
    <t>XM_021852778.1    PREDICTED: Aedes aegypti uncharacterized LOC5579261 (LOC5579261), transcript variant X7, mRNA</t>
  </si>
  <si>
    <t>XM_021853015.1    PREDICTED: Aedes aegypti uncharacterized LOC110679072 (LOC110679072), transcript variant X1, mRNA</t>
  </si>
  <si>
    <t>XM_021853016.1    PREDICTED: Aedes aegypti uncharacterized LOC110679072 (LOC110679072), transcript variant X2, mRNA</t>
  </si>
  <si>
    <t>XM_021853047.1    PREDICTED: Aedes aegypti leucine-rich repeat-containing protein let-4 (LOC5573063), transcript variant X2, mRNA</t>
  </si>
  <si>
    <t>XM_021853140.1    PREDICTED: Aedes aegypti homeobox protein vnd (LOC5573263), mRNA</t>
  </si>
  <si>
    <t>XM_021853221.1    PREDICTED: Aedes aegypti spastin (LOC5575196), transcript variant X1, mRNA</t>
  </si>
  <si>
    <t>XM_021853223.1    PREDICTED: Aedes aegypti spastin (LOC5575196), transcript variant X2, mRNA</t>
  </si>
  <si>
    <t>XM_021853224.1    PREDICTED: Aedes aegypti spastin (LOC5575196), transcript variant X3, mRNA</t>
  </si>
  <si>
    <t>XM_021853226.1    PREDICTED: Aedes aegypti cytochrome b5 reductase 4 (LOC5566541), transcript variant X1, mRNA</t>
  </si>
  <si>
    <t>XM_021853227.1    PREDICTED: Aedes aegypti cytochrome b5 reductase 4 (LOC5566541), transcript variant X2, mRNA</t>
  </si>
  <si>
    <t>XM_021853228.1    PREDICTED: Aedes aegypti cytochrome b5 reductase 4 (LOC5566541), transcript variant X3, mRNA</t>
  </si>
  <si>
    <t>XM_021853229.1    PREDICTED: Aedes aegypti cytochrome b5 reductase 4 (LOC5566541), transcript variant X4, mRNA</t>
  </si>
  <si>
    <t>XM_021853230.1    PREDICTED: Aedes aegypti cytochrome b5 reductase 4 (LOC5566541), transcript variant X5, mRNA</t>
  </si>
  <si>
    <t>XM_021853231.1    PREDICTED: Aedes aegypti cytochrome b5 reductase 4 (LOC5566541), transcript variant X6, mRNA</t>
  </si>
  <si>
    <t>XM_021853232.1    PREDICTED: Aedes aegypti cytochrome b5 reductase 4 (LOC5566541), transcript variant X7, mRNA</t>
  </si>
  <si>
    <t>XM_021853234.1    PREDICTED: Aedes aegypti cytochrome b5 reductase 4 (LOC5566541), transcript variant X8, mRNA</t>
  </si>
  <si>
    <t>XM_021853235.1    PREDICTED: Aedes aegypti cytochrome b5 reductase 4 (LOC5566541), transcript variant X9, mRNA</t>
  </si>
  <si>
    <t>XM_021853240.1    PREDICTED: Aedes aegypti spastin (LOC5575196), transcript variant X5, mRNA</t>
  </si>
  <si>
    <t>XM_021853245.1    PREDICTED: Aedes aegypti spastin (LOC5575196), transcript variant X6, mRNA</t>
  </si>
  <si>
    <t>XM_021853253.1    PREDICTED: Aedes aegypti spastin (LOC5575196), transcript variant X7, mRNA</t>
  </si>
  <si>
    <t>XM_021853725.1    PREDICTED: Aedes aegypti small conductance calcium-activated potassium channel protein (LOC5568022), transcript variant X3, mRNA</t>
  </si>
  <si>
    <t>XM_021853791.1    PREDICTED: Aedes aegypti beta-TrCP (LOC5578007), transcript variant X1, mRNA</t>
  </si>
  <si>
    <t>XM_021854447.1    PREDICTED: Aedes aegypti putative gustatory receptor 28b (LOC5577445), transcript variant X2, mRNA</t>
  </si>
  <si>
    <t>XM_021854448.1    PREDICTED: Aedes aegypti putative gustatory receptor 28b (LOC5577445), transcript variant X3, mRNA</t>
  </si>
  <si>
    <t>XM_021854934.1    PREDICTED: Aedes aegypti protein Skeletor, isoforms B/C (LOC5567409), transcript variant X2, mRNA</t>
  </si>
  <si>
    <t>XM_021855447.1    PREDICTED: Aedes aegypti histone H1 (LOC5579411), mRNA</t>
  </si>
  <si>
    <t>XM_021855449.1    PREDICTED: Aedes aegypti histone H1-like (LOC110679722), mRNA</t>
  </si>
  <si>
    <t>XM_021856335.1    PREDICTED: Aedes aegypti histone H1-like (LOC110680540), mRNA</t>
  </si>
  <si>
    <t>XM_021856405.1    PREDICTED: Aedes aegypti histone H1-like (LOC110680606), mRNA</t>
  </si>
  <si>
    <t>XM_021856463.1    PREDICTED: Aedes aegypti histone H1-like (LOC110680672), mRNA</t>
  </si>
  <si>
    <t>XM_021857143.1    PREDICTED: Aedes aegypti histone H1-like (LOC110681401), mRNA</t>
  </si>
  <si>
    <t>XM_021857147.1    PREDICTED: Aedes aegypti histone H1-like (LOC110681405), mRNA</t>
  </si>
  <si>
    <t>XM_021857395.1    PREDICTED: Aedes aegypti Ca(2+)/calmodulin-responsive adenylate cyclase (LOC5571379), transcript variant X4, mRNA</t>
  </si>
  <si>
    <t>XM_021857433.1    PREDICTED: Aedes aegypti zinc finger protein 366 (LOC5572338), mRNA</t>
  </si>
  <si>
    <t>XM_029853994.2    PREDICTED: Aedes albopictus dynein axonemal intermediate chain 4 (LOC115255812), mRNA</t>
  </si>
  <si>
    <t>XM_029861924.2    PREDICTED: Aedes albopictus uncharacterized protein K02A2.6-like (LOC109622743), mRNA</t>
  </si>
  <si>
    <t>XM_029863659.2    PREDICTED: Aedes albopictus uncharacterized LOC115261768 (LOC115261768), mRNA</t>
  </si>
  <si>
    <t>XM_029864508.2    PREDICTED: Aedes albopictus mucin-5AC (LOC109405198), transcript variant X1, mRNA</t>
  </si>
  <si>
    <t>XM_029864509.2    PREDICTED: Aedes albopictus mucin-5AC (LOC109405198), transcript variant X2, mRNA</t>
  </si>
  <si>
    <t>XM_029867613.2    PREDICTED: Aedes albopictus dual specificity mitogen-activated protein kinase kinase 4 (LOC109419238), mRNA</t>
  </si>
  <si>
    <t>XM_029868861.2    PREDICTED: Aedes albopictus adenylosuccinate lyase (LOC109412873), mRNA</t>
  </si>
  <si>
    <t>XM_029871996.2    PREDICTED: Aedes albopictus synaptotagmin-4 (LOC109431926), transcript variant X1, mRNA</t>
  </si>
  <si>
    <t>XM_029871997.2    PREDICTED: Aedes albopictus synaptotagmin-4 (LOC109431926), transcript variant X2, mRNA</t>
  </si>
  <si>
    <t>XM_029872164.2    PREDICTED: Aedes albopictus uncharacterized LOC109416812 (LOC109416812), transcript variant X1, mRNA</t>
  </si>
  <si>
    <t>XM_029872349.2    PREDICTED: Aedes albopictus uncharacterized LOC115266318 (LOC115266318), mRNA</t>
  </si>
  <si>
    <t>XM_029872639.2    PREDICTED: Aedes albopictus uncharacterized LOC115266404 (LOC115266404), mRNA</t>
  </si>
  <si>
    <t>XM_029874171.2    PREDICTED: Aedes albopictus long-chain-fatty-acid--CoA ligase 4 (LOC115253916), transcript variant X4, mRNA</t>
  </si>
  <si>
    <t>XM_029874172.2    PREDICTED: Aedes albopictus long-chain-fatty-acid--CoA ligase 4 (LOC115253916), transcript variant X3, mRNA</t>
  </si>
  <si>
    <t>XM_029874361.2    PREDICTED: Aedes albopictus uncharacterized LOC115267373 (LOC115267373), mRNA</t>
  </si>
  <si>
    <t>XM_029880209.2    PREDICTED: Aedes albopictus uncharacterized LOC109424102 (LOC109424102), transcript variant X1, mRNA</t>
  </si>
  <si>
    <t>XM_029880211.2    PREDICTED: Aedes albopictus uncharacterized LOC109424102 (LOC109424102), transcript variant X2, mRNA</t>
  </si>
  <si>
    <t>XM_029880212.2    PREDICTED: Aedes albopictus uncharacterized LOC109424102 (LOC109424102), transcript variant X3, mRNA</t>
  </si>
  <si>
    <t>XM_038261172.1    PREDICTED: Culex quinquefasciatus uncharacterized protein K02A2.6-like (LOC119769239), mRNA</t>
  </si>
  <si>
    <t>XM_038263446.1    PREDICTED: Culex quinquefasciatus uncharacterized protein K02A2.6-like (LOC119769799), mRNA</t>
  </si>
  <si>
    <t>XM_039578437.2    PREDICTED: Culex pipiens pallens uncharacterized protein K02A2.6-like (LOC120416630), partial mRNA</t>
  </si>
  <si>
    <t>XM_039581648.2    PREDICTED: Culex pipiens pallens uncharacterized LOC120419068 (LOC120419068), transcript variant X4, mRNA</t>
  </si>
  <si>
    <t>XM_039590116.2    PREDICTED: Culex pipiens pallens uncharacterized protein K02A2.6-like (LOC120425554), mRNA</t>
  </si>
  <si>
    <t>XM_041930438.1    PREDICTED: Anopheles merus casein kinase I-like (LOC121601613), partial mRNA</t>
  </si>
  <si>
    <t>XM_053033993.1    PREDICTED: Anopheles moucheti small ubiquitin-related modifier 3-like (LOC128298247), mRNA</t>
  </si>
  <si>
    <t>XM_053826242.1    PREDICTED: Sabethes cyaneus serine/threonine-protein kinase 17A (LOC128732838), mRNA</t>
  </si>
  <si>
    <t>XM_053827571.1    PREDICTED: Sabethes cyaneus uncharacterized LOC128733780 (LOC128733780), mRNA</t>
  </si>
  <si>
    <t>XM_053830370.1    PREDICTED: Sabethes cyaneus uncharacterized LOC128735887 (LOC128735887), mRNA</t>
  </si>
  <si>
    <t>XM_053835890.1    PREDICTED: Sabethes cyaneus uncharacterized LOC128740351 (LOC128740351), mRNA</t>
  </si>
  <si>
    <t>XM_055666594.1    PREDICTED: Wyeomyia smithii uncharacterized LOC129716753 (LOC129716753), mRNA</t>
  </si>
  <si>
    <t>XM_055687120.1    PREDICTED: Wyeomyia smithii uncharacterized LOC129728668 (LOC129728668), mRNA</t>
  </si>
  <si>
    <t>XM_055687463.1    PREDICTED: Wyeomyia smithii uncharacterized LOC129728989 (LOC129728989), mRNA</t>
  </si>
  <si>
    <t>XM_055687530.1    PREDICTED: Wyeomyia smithii uncharacterized LOC129729050 (LOC129729050), mRNA</t>
  </si>
  <si>
    <t>XM_055691628.1    PREDICTED: Wyeomyia smithii death-associated protein kinase related (LOC129731539), mRNA</t>
  </si>
  <si>
    <t>XM_055777662.1    PREDICTED: Toxorhynchites rutilus septentrionalis uncharacterized LOC129773979 (LOC129773979), mRNA</t>
  </si>
  <si>
    <t>XM_058593162.1    PREDICTED: Malaya genurostris uncharacterized LOC131429116 (LOC131429116), mRNA</t>
  </si>
  <si>
    <t>XM_058955080.1    PREDICTED: Topomyia yanbarensis uncharacterized LOC131675957 (LOC131675957), mRNA</t>
  </si>
  <si>
    <t>XM_058959138.1    PREDICTED: Topomyia yanbarensis probable G-protein coupled receptor 158 (LOC131678806), transcript variant X1, mRNA</t>
  </si>
  <si>
    <t>XM_058959139.1    PREDICTED: Topomyia yanbarensis probable G-protein coupled receptor 158 (LOC131678806), transcript variant X2, mRNA</t>
  </si>
  <si>
    <t>XM_058959140.1    PREDICTED: Topomyia yanbarensis probable G-protein coupled receptor 158 (LOC131678806), transcript variant X3, mRNA</t>
  </si>
  <si>
    <t>XM_058959141.1    PREDICTED: Topomyia yanbarensis probable G-protein coupled receptor 158 (LOC131678806), transcript variant X4, mRNA</t>
  </si>
  <si>
    <t>XM_058960607.1    PREDICTED: Topomyia yanbarensis uncharacterized LOC131679857 (LOC131679857), mRNA</t>
  </si>
  <si>
    <t>XM_058961307.1    PREDICTED: Topomyia yanbarensis uncharacterized LOC131680595 (LOC131680595), mRNA</t>
  </si>
  <si>
    <t>XM_058971197.1    PREDICTED: Topomyia yanbarensis uncharacterized LOC131687146 (LOC131687146), mRNA</t>
  </si>
  <si>
    <t>XM_058972563.1    PREDICTED: Topomyia yanbarensis zinc finger protein 62 homolog (LOC131688356), mRNA</t>
  </si>
  <si>
    <t>XM_058979630.1    PREDICTED: Topomyia yanbarensis RNA-binding protein 45 (LOC131692522), transcript variant X3, mRNA</t>
  </si>
  <si>
    <t>XM_058980399.1    PREDICTED: Topomyia yanbarensis uncharacterized LOC131692961 (LOC131692961), mRNA</t>
  </si>
  <si>
    <t>XM_062677323.1    PREDICTED: Armigeres subalbatus uncharacterized LOC134202293 (LOC134202293), mRNA</t>
  </si>
  <si>
    <t>XM_062678103.1    PREDICTED: Armigeres subalbatus uncharacterized LOC134203222 (LOC134203222), mRNA</t>
  </si>
  <si>
    <t>XM_062678728.1    PREDICTED: Armigeres subalbatus uncharacterized LOC134203896 (LOC134203896), mRNA</t>
  </si>
  <si>
    <t>XM_062678855.1    PREDICTED: Armigeres subalbatus uncharacterized LOC134204019 (LOC134204019), mRNA</t>
  </si>
  <si>
    <t>XM_062681872.1    PREDICTED: Armigeres subalbatus uncharacterized LOC134206181 (LOC134206181), mRNA</t>
  </si>
  <si>
    <t>XM_062682297.1    PREDICTED: Armigeres subalbatus uncharacterized LOC134206570 (LOC134206570), mRNA</t>
  </si>
  <si>
    <t>XM_062682630.1    PREDICTED: Armigeres subalbatus uncharacterized LOC134206888 (LOC134206888), mRNA</t>
  </si>
  <si>
    <t>XM_062683262.1    PREDICTED: Armigeres subalbatus uncharacterized LOC134207555 (LOC134207555), mRNA</t>
  </si>
  <si>
    <t>XM_062683445.1    PREDICTED: Armigeres subalbatus death-associated protein kinase related (LOC134207664), transcript variant X1, mRNA</t>
  </si>
  <si>
    <t>XM_062683446.1    PREDICTED: Armigeres subalbatus death-associated protein kinase related (LOC134207664), transcript variant X2, mRNA</t>
  </si>
  <si>
    <t>XM_062683447.1    PREDICTED: Armigeres subalbatus death-associated protein kinase related (LOC134207664), transcript variant X3, mRNA</t>
  </si>
  <si>
    <t>XM_062685768.1    PREDICTED: Armigeres subalbatus uncharacterized LOC134209753 (LOC134209753), mRNA</t>
  </si>
  <si>
    <t>XM_062686390.1    PREDICTED: Armigeres subalbatus uncharacterized LOC134210340 (LOC134210340), mRNA</t>
  </si>
  <si>
    <t>XM_062686416.1    PREDICTED: Armigeres subalbatus uncharacterized protein K02A2.6-like (LOC134210362), mRNA</t>
  </si>
  <si>
    <t>XM_062686437.1    PREDICTED: Armigeres subalbatus uncharacterized LOC134210387 (LOC134210387), mRNA</t>
  </si>
  <si>
    <t>XM_062692832.1    PREDICTED: Armigeres subalbatus mucin-22 (LOC134213608), transcript variant X2, mRNA</t>
  </si>
  <si>
    <t>XM_062692833.1    PREDICTED: Armigeres subalbatus mucin-22 (LOC134213608), transcript variant X3, mRNA</t>
  </si>
  <si>
    <t>XM_062692834.1    PREDICTED: Armigeres subalbatus mucin-22 (LOC134213608), transcript variant X4, mRNA</t>
  </si>
  <si>
    <t>XM_062693006.1    PREDICTED: Armigeres subalbatus protein sickie-like (LOC134213711), mRNA</t>
  </si>
  <si>
    <t>XM_062693304.1    PREDICTED: Armigeres subalbatus uncharacterized LOC134213871 (LOC134213871), transcript variant X1, mRNA</t>
  </si>
  <si>
    <t>XM_062693305.1    PREDICTED: Armigeres subalbatus uncharacterized LOC134213871 (LOC134213871), transcript variant X2, mRNA</t>
  </si>
  <si>
    <t>XM_062693306.1    PREDICTED: Armigeres subalbatus uncharacterized LOC134213871 (LOC134213871), transcript variant X3, mRNA</t>
  </si>
  <si>
    <t>XM_062693307.1    PREDICTED: Armigeres subalbatus uncharacterized LOC134213871 (LOC134213871), transcript variant X4, mRNA</t>
  </si>
  <si>
    <t>XM_062696218.1    PREDICTED: Armigeres subalbatus lipase member I-like (LOC134217452), transcript variant X1, mRNA</t>
  </si>
  <si>
    <t>XM_062696219.1    PREDICTED: Armigeres subalbatus lipase member I-like (LOC134217452), transcript variant X2, mRNA</t>
  </si>
  <si>
    <t>XM_062701131.1    PREDICTED: Armigeres subalbatus uncharacterized LOC134221974 (LOC134221974), mRNA</t>
  </si>
  <si>
    <t>XM_062701407.1    PREDICTED: Armigeres subalbatus uncharacterized LOC134222264 (LOC134222264), mRNA</t>
  </si>
  <si>
    <t>XM_062701594.1    PREDICTED: Armigeres subalbatus uncharacterized LOC134222449 (LOC134222449), mRNA</t>
  </si>
  <si>
    <t>XM_062702011.1    PREDICTED: Armigeres subalbatus uncharacterized LOC134222867 (LOC134222867), mRNA</t>
  </si>
  <si>
    <t>XM_062702233.1    PREDICTED: Armigeres subalbatus craniofacial development protein 2-like (LOC134223103), mRNA</t>
  </si>
  <si>
    <t>XM_062704576.1    PREDICTED: Armigeres subalbatus long-chain-fatty-acid--CoA ligase 4-like (LOC134224919), transcript variant X3, mRNA</t>
  </si>
  <si>
    <t>XM_062704577.1    PREDICTED: Armigeres subalbatus long-chain-fatty-acid--CoA ligase 4-like (LOC134224919), transcript variant X4, mRNA</t>
  </si>
  <si>
    <t>XM_062842415.1    PREDICTED: Aedes albopictus uncharacterized LOC134284109 (LOC134284109), mRNA</t>
  </si>
  <si>
    <t>XM_062842816.1    PREDICTED: Aedes albopictus pickpocket protein 28-like (LOC134284206), mRNA</t>
  </si>
  <si>
    <t>XM_062842860.1    PREDICTED: Aedes albopictus uncharacterized protein K02A2.6-like (LOC134284220), mRNA</t>
  </si>
  <si>
    <t>XM_062844307.1    PREDICTED: Aedes albopictus uncharacterized LOC109428467 (LOC109428467), transcript variant X2, mRNA</t>
  </si>
  <si>
    <t>XM_062844308.1    PREDICTED: Aedes albopictus uncharacterized LOC109428467 (LOC109428467), transcript variant X3, mRNA</t>
  </si>
  <si>
    <t>XM_062844309.1    PREDICTED: Aedes albopictus uncharacterized LOC109428467 (LOC109428467), transcript variant X4, mRNA</t>
  </si>
  <si>
    <t>XM_062844310.1    PREDICTED: Aedes albopictus uncharacterized LOC109428467 (LOC109428467), transcript variant X5, mRNA</t>
  </si>
  <si>
    <t>XM_062844370.1    PREDICTED: Aedes albopictus death-associated protein kinase related (LOC109416786), mRNA</t>
  </si>
  <si>
    <t>XM_062844557.1    PREDICTED: Aedes albopictus uncharacterized LOC115256613 (LOC115256613), transcript variant X3, mRNA</t>
  </si>
  <si>
    <t>XM_062844558.1    PREDICTED: Aedes albopictus uncharacterized LOC115256613 (LOC115256613), transcript variant X5, mRNA</t>
  </si>
  <si>
    <t>XM_062844872.1    PREDICTED: Aedes albopictus uncharacterized LOC115268329 (LOC115268329), transcript variant X1, mRNA</t>
  </si>
  <si>
    <t>XM_062845039.1    PREDICTED: Aedes albopictus uncharacterized LOC134285052 (LOC134285052), mRNA</t>
  </si>
  <si>
    <t>XM_062845247.1    PREDICTED: Aedes albopictus uncharacterized LOC115267211 (LOC115267211), mRNA</t>
  </si>
  <si>
    <t>XM_062845393.1    PREDICTED: Aedes albopictus uncharacterized LOC134285176 (LOC134285176), transcript variant X2, mRNA</t>
  </si>
  <si>
    <t>XM_062846093.1    PREDICTED: Aedes albopictus uncharacterized LOC134285420 (LOC134285420), transcript variant X1, mRNA</t>
  </si>
  <si>
    <t>XM_062846094.1    PREDICTED: Aedes albopictus uncharacterized LOC134285420 (LOC134285420), transcript variant X2, mRNA</t>
  </si>
  <si>
    <t>XM_062846335.1    PREDICTED: Aedes albopictus uncharacterized LOC134285497 (LOC134285497), mRNA</t>
  </si>
  <si>
    <t>XM_062846996.1    PREDICTED: Aedes albopictus uncharacterized LOC134285702 (LOC134285702), mRNA</t>
  </si>
  <si>
    <t>XM_062847155.1    PREDICTED: Aedes albopictus uncharacterized LOC115259907 (LOC115259907), mRNA</t>
  </si>
  <si>
    <t>XM_062847655.1    PREDICTED: Aedes albopictus uncharacterized LOC115253863 (LOC115253863), mRNA</t>
  </si>
  <si>
    <t>XM_062847717.1    PREDICTED: Aedes albopictus uncharacterized LOC134286146 (LOC134286146), mRNA</t>
  </si>
  <si>
    <t>XM_062847838.1    PREDICTED: Aedes albopictus uncharacterized LOC115258482 (LOC115258482), mRNA</t>
  </si>
  <si>
    <t>XM_062847864.1    PREDICTED: Aedes albopictus uncharacterized LOC134286276 (LOC134286276), mRNA</t>
  </si>
  <si>
    <t>XM_062847926.1    PREDICTED: Aedes albopictus uncharacterized LOC134286323 (LOC134286323), mRNA</t>
  </si>
  <si>
    <t>XM_062848013.1    PREDICTED: Aedes albopictus uncharacterized LOC115255979 (LOC115255979), mRNA</t>
  </si>
  <si>
    <t>XM_062848098.1    PREDICTED: Aedes albopictus uncharacterized LOC134286483 (LOC134286483), mRNA</t>
  </si>
  <si>
    <t>XM_062848184.1    PREDICTED: Aedes albopictus uncharacterized LOC134286555 (LOC134286555), mRNA</t>
  </si>
  <si>
    <t>XM_062848366.1    PREDICTED: Aedes albopictus uncharacterized LOC134286708 (LOC134286708), mRNA</t>
  </si>
  <si>
    <t>XM_062848580.1    PREDICTED: Aedes albopictus uncharacterized LOC115265217 (LOC115265217), mRNA</t>
  </si>
  <si>
    <t>XM_062848585.1    PREDICTED: Aedes albopictus uncharacterized LOC134286889 (LOC134286889), mRNA</t>
  </si>
  <si>
    <t>XM_062848609.1    PREDICTED: Aedes albopictus uncharacterized LOC134286910 (LOC134286910), mRNA</t>
  </si>
  <si>
    <t>XM_062848645.1    PREDICTED: Aedes albopictus collagen alpha-1(I) chain-like (LOC134286939), mRNA</t>
  </si>
  <si>
    <t>XM_062848981.1    PREDICTED: Aedes albopictus uncharacterized LOC109416812 (LOC109416812), transcript variant X2, mRNA</t>
  </si>
  <si>
    <t>XM_062849095.1    PREDICTED: Aedes albopictus basic proline-rich protein-like (LOC134287363), partial mRNA</t>
  </si>
  <si>
    <t>XM_062849316.1    PREDICTED: Aedes albopictus uncharacterized LOC134287465 (LOC134287465), mRNA</t>
  </si>
  <si>
    <t>XM_062849521.1    PREDICTED: Aedes albopictus uncharacterized LOC115255509 (LOC115255509), mRNA</t>
  </si>
  <si>
    <t>XM_062849648.1    PREDICTED: Aedes albopictus zinc finger protein 761-like (LOC134284000), transcript variant X2, mRNA</t>
  </si>
  <si>
    <t>XM_062849752.1    PREDICTED: Aedes albopictus neural-cadherin (LOC109418168), transcript variant X1, mRNA</t>
  </si>
  <si>
    <t>XM_062849754.1    PREDICTED: Aedes albopictus neural-cadherin (LOC109418168), transcript variant X3, mRNA</t>
  </si>
  <si>
    <t>XM_062849755.1    PREDICTED: Aedes albopictus neural-cadherin (LOC109418168), transcript variant X5, mRNA</t>
  </si>
  <si>
    <t>XM_062850013.1    PREDICTED: Aedes albopictus small ubiquitin-related modifier 3-like (LOC109415291), mRNA</t>
  </si>
  <si>
    <t>XM_062850907.1    PREDICTED: Aedes albopictus uncharacterized protein K02A2.6-like (LOC134287855), transcript variant X1, mRNA</t>
  </si>
  <si>
    <t>XM_062850908.1    PREDICTED: Aedes albopictus uncharacterized protein K02A2.6-like (LOC134287855), transcript variant X2, mRNA</t>
  </si>
  <si>
    <t>XM_062851391.1    PREDICTED: Aedes albopictus uncharacterized LOC134287977 (LOC134287977), transcript variant X1, mRNA</t>
  </si>
  <si>
    <t>XM_062851807.1    PREDICTED: Aedes albopictus uncharacterized LOC134288085 (LOC134288085), mRNA</t>
  </si>
  <si>
    <t>XM_062851823.1    PREDICTED: Aedes albopictus basic proline-rich protein-like (LOC134288097), partial mRNA</t>
  </si>
  <si>
    <t>XM_062852932.1    PREDICTED: Aedes albopictus uncharacterized LOC134288346 (LOC134288346), mRNA</t>
  </si>
  <si>
    <t>XM_062853164.1    PREDICTED: Aedes albopictus DE-cadherin (LOC109399400), transcript variant X1, mRNA</t>
  </si>
  <si>
    <t>XM_062853165.1    PREDICTED: Aedes albopictus DE-cadherin (LOC109399400), transcript variant X2, mRNA</t>
  </si>
  <si>
    <t>XM_062853166.1    PREDICTED: Aedes albopictus DE-cadherin (LOC109399400), transcript variant X3, mRNA</t>
  </si>
  <si>
    <t>XM_062853613.1    PREDICTED: Aedes albopictus uncharacterized LOC109408458 (LOC109408458), transcript variant X2, mRNA</t>
  </si>
  <si>
    <t>XM_062854669.1    PREDICTED: Aedes albopictus uncharacterized LOC115265007 (LOC115265007), mRNA</t>
  </si>
  <si>
    <t>XM_062854710.1    PREDICTED: Aedes albopictus tyrosine-protein kinase Abl-like (LOC109423868), mRNA</t>
  </si>
  <si>
    <t>XM_062854714.1    PREDICTED: Aedes albopictus uncharacterized LOC109430659 (LOC109430659), mRNA</t>
  </si>
  <si>
    <t>XM_062854765.1    PREDICTED: Aedes albopictus tigger transposable element-derived protein 1-like (LOC134288858), mRNA</t>
  </si>
  <si>
    <t>XM_062854940.1    PREDICTED: Aedes albopictus uncharacterized protein K02A2.6-like (LOC134288986), transcript variant X1, mRNA</t>
  </si>
  <si>
    <t>XM_062854941.1    PREDICTED: Aedes albopictus uncharacterized protein K02A2.6-like (LOC134288986), transcript variant X2, mRNA</t>
  </si>
  <si>
    <t>XM_062855029.1    PREDICTED: Aedes albopictus uncharacterized LOC134289034 (LOC134289034), mRNA</t>
  </si>
  <si>
    <t>XM_062855096.1    PREDICTED: Aedes albopictus uncharacterized LOC134289100 (LOC134289100), mRNA</t>
  </si>
  <si>
    <t>XM_062855119.1    PREDICTED: Aedes albopictus uncharacterized protein K02A2.6-like (LOC134289369), mRNA</t>
  </si>
  <si>
    <t>XM_062855400.1    PREDICTED: Aedes albopictus uncharacterized LOC134289515 (LOC134289515), mRNA</t>
  </si>
  <si>
    <t>XM_062855845.1    PREDICTED: Aedes albopictus uncharacterized LOC134289655 (LOC134289655), mRNA</t>
  </si>
  <si>
    <t>XM_062855970.1    PREDICTED: Aedes albopictus uncharacterized LOC134289693 (LOC134289693), mRNA</t>
  </si>
  <si>
    <t>XM_062856090.1    PREDICTED: Aedes albopictus uncharacterized LOC109412472 (LOC109412472), mRNA</t>
  </si>
  <si>
    <t>XM_062856369.1    PREDICTED: Aedes albopictus tyrosine-protein kinase-like otk (LOC109433505), mRNA</t>
  </si>
  <si>
    <t>XM_062856381.1    PREDICTED: Aedes albopictus calbindin-32 (LOC109433516), transcript variant X1, mRNA</t>
  </si>
  <si>
    <t>XM_062856382.1    PREDICTED: Aedes albopictus calbindin-32 (LOC109433516), transcript variant X2, mRNA</t>
  </si>
  <si>
    <t>XM_062856383.1    PREDICTED: Aedes albopictus calbindin-32 (LOC109433516), transcript variant X3, mRNA</t>
  </si>
  <si>
    <t>XM_062856384.1    PREDICTED: Aedes albopictus calbindin-32 (LOC109433516), transcript variant X4, mRNA</t>
  </si>
  <si>
    <t>XM_062856385.1    PREDICTED: Aedes albopictus calbindin-32 (LOC109433516), transcript variant X5, mRNA</t>
  </si>
  <si>
    <t>XM_062856934.1    PREDICTED: Aedes albopictus long-chain-fatty-acid--CoA ligase 4 (LOC115253916), transcript variant X1, mRNA</t>
  </si>
  <si>
    <t>XM_062856935.1    PREDICTED: Aedes albopictus long-chain-fatty-acid--CoA ligase 4 (LOC115253916), transcript variant X2, mRNA</t>
  </si>
  <si>
    <t>XM_062857971.1    PREDICTED: Aedes albopictus collagen alpha-2(I) chain-like (LOC134290773), mRNA</t>
  </si>
  <si>
    <t>XM_062858021.1    PREDICTED: Aedes albopictus uncharacterized LOC134290816 (LOC134290816), mRNA</t>
  </si>
  <si>
    <t>XM_062858616.1    PREDICTED: Aedes albopictus uncharacterized LOC134291174 (LOC134291174), mRNA</t>
  </si>
  <si>
    <t>XM_062858722.1    PREDICTED: Aedes albopictus uncharacterized LOC134291222 (LOC134291222), mRNA</t>
  </si>
  <si>
    <t>XM_062858790.1    PREDICTED: Aedes albopictus ankyrin-3 (LOC109423438), mRNA</t>
  </si>
  <si>
    <t>XM_062859167.1    PREDICTED: Aedes albopictus uncharacterized LOC134291435 (LOC134291435), mRNA</t>
  </si>
  <si>
    <t>XM_062859266.1    PREDICTED: Aedes albopictus uncharacterized LOC134291488 (LOC134291488), mRNA</t>
  </si>
  <si>
    <t>XM_062859575.1    PREDICTED: Aedes albopictus uncharacterized LOC109399322 (LOC109399322), transcript variant X2, mRNA</t>
  </si>
  <si>
    <t>XM_062860015.1    PREDICTED: Aedes albopictus uncharacterized LOC134291796 (LOC134291796), transcript variant X2, mRNA</t>
  </si>
  <si>
    <t>XM_062860026.1    PREDICTED: Aedes albopictus uncharacterized LOC115262083 (LOC115262083), mRNA</t>
  </si>
  <si>
    <t>XM_062860303.1    PREDICTED: Aedes albopictus uncharacterized LOC134291905 (LOC134291905), mRNA</t>
  </si>
  <si>
    <t>XM_062860329.1    PREDICTED: Aedes albopictus uncharacterized LOC134291917 (LOC134291917), mRNA</t>
  </si>
  <si>
    <t>XM_062860611.1    PREDICTED: Aedes albopictus endochitinase (LOC109409085), mRNA</t>
  </si>
  <si>
    <t>XM_062860824.1    PREDICTED: Aedes albopictus serine/threonine-protein kinase Genghis Khan (LOC109433178), transcript variant X6, mRNA</t>
  </si>
  <si>
    <t>XM_062860825.1    PREDICTED: Aedes albopictus serine/threonine-protein kinase Genghis Khan (LOC109433178), transcript variant X7, mRNA</t>
  </si>
  <si>
    <t>XM_062861073.1    PREDICTED: Aedes albopictus uncharacterized LOC134292179 (LOC134292179), mRNA</t>
  </si>
  <si>
    <t>XM_062861301.1    PREDICTED: Aedes albopictus uncharacterized LOC134292262 (LOC134292262), mRNA</t>
  </si>
  <si>
    <t>XM_063384479.1    PREDICTED: Bacillus rossius redtenbacheri small ubiquitin-related modifier 2 (LOC134541225), mRNA</t>
  </si>
  <si>
    <t>XM_065220484.1    PREDICTED: Ochlerotatus camptorhynchus uncharacterized LOC135700093 (LOC135700093), mRNA</t>
  </si>
  <si>
    <t>XM_065220724.1    PREDICTED: Ochlerotatus camptorhynchus uncharacterized LOC135700265 (LOC135700265), transcript variant X1, mRNA</t>
  </si>
  <si>
    <t>XM_065220728.1    PREDICTED: Ochlerotatus camptorhynchus uncharacterized LOC135700265 (LOC135700265), transcript variant X5, mRNA</t>
  </si>
  <si>
    <t>XM_065222310.1    PREDICTED: Ochlerotatus camptorhynchus serine protease inhibitor 28Dc-like (LOC135701499), transcript variant X1, mRNA</t>
  </si>
  <si>
    <t>XM_065222976.1    PREDICTED: Ochlerotatus camptorhynchus uncharacterized LOC135702019 (LOC135702019), transcript variant X1, mRNA</t>
  </si>
  <si>
    <t>XM_065222977.1    PREDICTED: Ochlerotatus camptorhynchus uncharacterized LOC135702019 (LOC135702019), transcript variant X2, mRNA</t>
  </si>
  <si>
    <t>XM_065223633.1    PREDICTED: Ochlerotatus camptorhynchus uncharacterized LOC135702574 (LOC135702574), mRNA</t>
  </si>
  <si>
    <t>XM_065231032.1    PREDICTED: Ochlerotatus camptorhynchus uncharacterized LOC135708851 (LOC135708851), mRNA</t>
  </si>
  <si>
    <t>XM_065232510.1    PREDICTED: Ochlerotatus camptorhynchus uncharacterized LOC135710060 (LOC135710060), mRNA</t>
  </si>
  <si>
    <t>XM_065237047.1    PREDICTED: Ochlerotatus camptorhynchus uncharacterized LOC135713813 (LOC135713813), mRNA</t>
  </si>
  <si>
    <t>XM_065238458.1    PREDICTED: Ochlerotatus camptorhynchus Death-associated protein kinase related (Drak), mRNA</t>
  </si>
  <si>
    <t>XM_065238471.1    PREDICTED: Ochlerotatus camptorhynchus protein sickie-like (LOC135715057), mRNA</t>
  </si>
  <si>
    <t>XM_065239269.1    PREDICTED: Ochlerotatus camptorhynchus phospholipase A1-like (LOC135717271), mRNA</t>
  </si>
  <si>
    <t>XR_002498625.1    PREDICTED: Aedes aegypti uncharacterized LOC110674077 (LOC110674077), ncRNA</t>
  </si>
  <si>
    <t>XR_002498756.1    PREDICTED: Aedes aegypti uncharacterized LOC110674236 (LOC110674236), ncRNA</t>
  </si>
  <si>
    <t>XR_002498869.1    PREDICTED: Aedes aegypti uncharacterized LOC110674443 (LOC110674443), ncRNA</t>
  </si>
  <si>
    <t>XR_002499149.1    PREDICTED: Aedes aegypti uncharacterized LOC110674737 (LOC110674737), ncRNA</t>
  </si>
  <si>
    <t>XR_002499174.1    PREDICTED: Aedes aegypti uncharacterized LOC5578728 (LOC5578728), transcript variant X2, misc_RNA</t>
  </si>
  <si>
    <t>XR_002499176.1    PREDICTED: Aedes aegypti uncharacterized LOC110674768 (LOC110674768), ncRNA</t>
  </si>
  <si>
    <t>XR_002499408.1    PREDICTED: Aedes aegypti syntaxin-1A (LOC5576630), transcript variant X8, misc_RNA</t>
  </si>
  <si>
    <t>XR_002499409.1    PREDICTED: Aedes aegypti syntaxin-1A (LOC5576630), transcript variant X9, misc_RNA</t>
  </si>
  <si>
    <t>XR_002499410.1    PREDICTED: Aedes aegypti syntaxin-1A (LOC5576630), transcript variant X10, misc_RNA</t>
  </si>
  <si>
    <t>XR_002499411.1    PREDICTED: Aedes aegypti syntaxin-1A (LOC5576630), transcript variant X11, misc_RNA</t>
  </si>
  <si>
    <t>XR_002499412.1    PREDICTED: Aedes aegypti syntaxin-1A (LOC5576630), transcript variant X12, misc_RNA</t>
  </si>
  <si>
    <t>XR_002499415.1    PREDICTED: Aedes aegypti uncharacterized LOC110675365 (LOC110675365), ncRNA</t>
  </si>
  <si>
    <t>XR_002499452.1    PREDICTED: Aedes aegypti uncharacterized LOC110675405 (LOC110675405), ncRNA</t>
  </si>
  <si>
    <t>XR_002499556.1    PREDICTED: Aedes aegypti uncharacterized LOC110675507 (LOC110675507), ncRNA</t>
  </si>
  <si>
    <t>XR_002499710.1    PREDICTED: Aedes aegypti uncharacterized LOC110675684 (LOC110675684), ncRNA</t>
  </si>
  <si>
    <t>XR_002499821.1    PREDICTED: Aedes aegypti uncharacterized LOC110675818 (LOC110675818), ncRNA</t>
  </si>
  <si>
    <t>XR_002499954.1    PREDICTED: Aedes aegypti uncharacterized LOC110675961 (LOC110675961), ncRNA</t>
  </si>
  <si>
    <t>XR_002500094.1    PREDICTED: Aedes aegypti uncharacterized LOC110676129 (LOC110676129), transcript variant X1, misc_RNA</t>
  </si>
  <si>
    <t>XR_002500095.1    PREDICTED: Aedes aegypti uncharacterized LOC110676129 (LOC110676129), transcript variant X2, misc_RNA</t>
  </si>
  <si>
    <t>XR_002500100.1    PREDICTED: Aedes aegypti uncharacterized LOC110676133 (LOC110676133), ncRNA</t>
  </si>
  <si>
    <t>XR_002500116.1    PREDICTED: Aedes aegypti uncharacterized LOC110676155 (LOC110676155), ncRNA</t>
  </si>
  <si>
    <t>XR_002500255.1    PREDICTED: Aedes aegypti uncharacterized LOC110676308 (LOC110676308), ncRNA</t>
  </si>
  <si>
    <t>XR_002500386.1    PREDICTED: Aedes aegypti uncharacterized LOC110676439 (LOC110676439), transcript variant X1, ncRNA</t>
  </si>
  <si>
    <t>XR_002500387.1    PREDICTED: Aedes aegypti uncharacterized LOC110676439 (LOC110676439), transcript variant X2, ncRNA</t>
  </si>
  <si>
    <t>XR_002500397.1    PREDICTED: Aedes aegypti uncharacterized LOC110676449 (LOC110676449), ncRNA</t>
  </si>
  <si>
    <t>XR_002500420.1    PREDICTED: Aedes aegypti uncharacterized LOC110676471 (LOC110676471), ncRNA</t>
  </si>
  <si>
    <t>XR_002500542.1    PREDICTED: Aedes aegypti uncharacterized LOC110676593 (LOC110676593), ncRNA</t>
  </si>
  <si>
    <t>XR_002500736.1    PREDICTED: Aedes aegypti uncharacterized LOC110676803 (LOC110676803), ncRNA</t>
  </si>
  <si>
    <t>XR_002500785.1    PREDICTED: Aedes aegypti uncharacterized LOC110676867 (LOC110676867), ncRNA</t>
  </si>
  <si>
    <t>XR_002500871.1    PREDICTED: Aedes aegypti uncharacterized LOC110676985 (LOC110676985), ncRNA</t>
  </si>
  <si>
    <t>XR_002500941.1    PREDICTED: Aedes aegypti uncharacterized LOC110677100 (LOC110677100), ncRNA</t>
  </si>
  <si>
    <t>XR_002500968.1    PREDICTED: Aedes aegypti uncharacterized LOC110677126 (LOC110677126), transcript variant X1, misc_RNA</t>
  </si>
  <si>
    <t>XR_002500997.1    PREDICTED: Aedes aegypti uncharacterized LOC110677166 (LOC110677166), ncRNA</t>
  </si>
  <si>
    <t>XR_002501172.1    PREDICTED: Aedes aegypti uncharacterized LOC110677758 (LOC110677758), ncRNA</t>
  </si>
  <si>
    <t>XR_002501195.1    PREDICTED: Aedes aegypti uncharacterized LOC110677789 (LOC110677789), ncRNA</t>
  </si>
  <si>
    <t>XR_002501388.1    PREDICTED: Aedes aegypti uncharacterized LOC110678018 (LOC110678018), ncRNA</t>
  </si>
  <si>
    <t>XR_002501474.1    PREDICTED: Aedes aegypti uncharacterized LOC110678266 (LOC110678266), ncRNA</t>
  </si>
  <si>
    <t>XR_002501519.1    PREDICTED: Aedes aegypti uncharacterized LOC5571566 (LOC5571566), ncRNA</t>
  </si>
  <si>
    <t>XR_002501557.1    PREDICTED: Aedes aegypti uncharacterized LOC110678388 (LOC110678388), ncRNA</t>
  </si>
  <si>
    <t>XR_002501798.1    PREDICTED: Aedes aegypti uncharacterized LOC110678639 (LOC110678639), ncRNA</t>
  </si>
  <si>
    <t>XR_002501820.1    PREDICTED: Aedes aegypti uncharacterized LOC110678666 (LOC110678666), ncRNA</t>
  </si>
  <si>
    <t>XR_002501870.1    PREDICTED: Aedes aegypti uncharacterized LOC110678709 (LOC110678709), ncRNA</t>
  </si>
  <si>
    <t>XR_002502076.1    PREDICTED: Aedes aegypti uncharacterized LOC110678952 (LOC110678952), transcript variant X1, ncRNA</t>
  </si>
  <si>
    <t>XR_002502077.1    PREDICTED: Aedes aegypti uncharacterized LOC110678952 (LOC110678952), transcript variant X2, ncRNA</t>
  </si>
  <si>
    <t>XR_002502078.1    PREDICTED: Aedes aegypti uncharacterized LOC110678953 (LOC110678953), transcript variant X1, ncRNA</t>
  </si>
  <si>
    <t>XR_002502079.1    PREDICTED: Aedes aegypti uncharacterized LOC110678953 (LOC110678953), transcript variant X2, ncRNA</t>
  </si>
  <si>
    <t>XR_002502154.1    PREDICTED: Aedes aegypti uncharacterized LOC110679034 (LOC110679034), ncRNA</t>
  </si>
  <si>
    <t>XR_002502193.1    PREDICTED: Aedes aegypti uncharacterized LOC110679077 (LOC110679077), ncRNA</t>
  </si>
  <si>
    <t>XR_002502413.1    PREDICTED: Aedes aegypti uncharacterized LOC110679346 (LOC110679346), transcript variant X1, ncRNA</t>
  </si>
  <si>
    <t>XR_002502543.1    PREDICTED: Aedes aegypti uncharacterized LOC110679511 (LOC110679511), ncRNA</t>
  </si>
  <si>
    <t>XR_002502730.1    PREDICTED: Aedes aegypti uncharacterized LOC110679719 (LOC110679719), ncRNA</t>
  </si>
  <si>
    <t>XR_002502780.1    PREDICTED: Aedes aegypti uncharacterized LOC110679887 (LOC110679887), ncRNA</t>
  </si>
  <si>
    <t>XR_002502809.1    PREDICTED: Aedes aegypti uncharacterized LOC110680271 (LOC110680271), transcript variant X1, ncRNA</t>
  </si>
  <si>
    <t>XR_002503092.1    PREDICTED: Aedes aegypti uncharacterized LOC110681092 (LOC110681092), ncRNA</t>
  </si>
  <si>
    <t>XR_002503216.1    PREDICTED: Aedes aegypti uncharacterized LOC110681490 (LOC110681490), ncRNA</t>
  </si>
  <si>
    <t>XR_002503231.1    PREDICTED: Aedes aegypti uncharacterized LOC110681516 (LOC110681516), ncRNA</t>
  </si>
  <si>
    <t>XR_003894104.2    PREDICTED: Aedes albopictus uncharacterized LOC109425315 (LOC109425315), transcript variant X2, ncRNA</t>
  </si>
  <si>
    <t>XR_003894282.2    PREDICTED: Aedes albopictus uncharacterized LOC115259795 (LOC115259795), ncRNA</t>
  </si>
  <si>
    <t>XR_003895190.2    PREDICTED: Aedes albopictus uncharacterized LOC115262213 (LOC115262213), ncRNA</t>
  </si>
  <si>
    <t>XR_009983835.1    PREDICTED: Armigeres subalbatus uncharacterized LOC134228109 (LOC134228109), ncRNA</t>
  </si>
  <si>
    <t>XR_009995762.1    PREDICTED: Aedes albopictus large subunit ribosomal RNA (LOC115265926), rRNA</t>
  </si>
  <si>
    <t>XR_009995828.1    PREDICTED: Aedes albopictus large subunit ribosomal RNA (LOC134284535), rRNA</t>
  </si>
  <si>
    <t>XR_009995870.1    PREDICTED: Aedes albopictus large subunit ribosomal RNA (LOC115265881), rRNA</t>
  </si>
  <si>
    <t>XR_009995913.1    PREDICTED: Aedes albopictus uncharacterized LOC109424884 (LOC109424884), transcript variant X3, misc_RNA</t>
  </si>
  <si>
    <t>XR_009995940.1    PREDICTED: Aedes albopictus large subunit ribosomal RNA (LOC115265922), rRNA</t>
  </si>
  <si>
    <t>XR_009995985.1    PREDICTED: Aedes albopictus uncharacterized LOC134284871 (LOC134284871), ncRNA</t>
  </si>
  <si>
    <t>XR_009996023.1    PREDICTED: Aedes albopictus uncharacterized LOC115256613 (LOC115256613), transcript variant X4, misc_RNA</t>
  </si>
  <si>
    <t>XR_009996072.1    PREDICTED: Aedes albopictus uncharacterized LOC134285018 (LOC134285018), transcript variant X1, misc_RNA</t>
  </si>
  <si>
    <t>XR_009996073.1    PREDICTED: Aedes albopictus uncharacterized LOC134285018 (LOC134285018), transcript variant X2, misc_RNA</t>
  </si>
  <si>
    <t>XR_009996074.1    PREDICTED: Aedes albopictus uncharacterized LOC134285018 (LOC134285018), transcript variant X3, misc_RNA</t>
  </si>
  <si>
    <t>XR_009996075.1    PREDICTED: Aedes albopictus uncharacterized LOC134285018 (LOC134285018), transcript variant X4, misc_RNA</t>
  </si>
  <si>
    <t>XR_009996076.1    PREDICTED: Aedes albopictus uncharacterized LOC134285018 (LOC134285018), transcript variant X5, misc_RNA</t>
  </si>
  <si>
    <t>XR_009996077.1    PREDICTED: Aedes albopictus uncharacterized LOC134285018 (LOC134285018), transcript variant X6, misc_RNA</t>
  </si>
  <si>
    <t>XR_009996078.1    PREDICTED: Aedes albopictus uncharacterized LOC134285018 (LOC134285018), transcript variant X7, misc_RNA</t>
  </si>
  <si>
    <t>XR_009996079.1    PREDICTED: Aedes albopictus uncharacterized LOC134285018 (LOC134285018), transcript variant X8, misc_RNA</t>
  </si>
  <si>
    <t>XR_009996139.1    PREDICTED: Aedes albopictus uncharacterized LOC134285092 (LOC134285092), ncRNA</t>
  </si>
  <si>
    <t>XR_009996190.1    PREDICTED: Aedes albopictus uncharacterized LOC134285176 (LOC134285176), transcript variant X1, misc_RNA</t>
  </si>
  <si>
    <t>XR_009996363.1    PREDICTED: Aedes albopictus uncharacterized LOC109430201 (LOC109430201), transcript variant X3, misc_RNA</t>
  </si>
  <si>
    <t>XR_009996364.1    PREDICTED: Aedes albopictus uncharacterized LOC109430201 (LOC109430201), transcript variant X4, misc_RNA</t>
  </si>
  <si>
    <t>XR_009996365.1    PREDICTED: Aedes albopictus uncharacterized LOC109430201 (LOC109430201), transcript variant X5, misc_RNA</t>
  </si>
  <si>
    <t>XR_009997651.1    PREDICTED: Aedes albopictus protein numb (LOC109401369), transcript variant X1, misc_RNA</t>
  </si>
  <si>
    <t>XR_009997652.1    PREDICTED: Aedes albopictus protein numb (LOC109401369), transcript variant X5, misc_RNA</t>
  </si>
  <si>
    <t>XR_009997667.1    PREDICTED: Aedes albopictus uncharacterized LOC134287977 (LOC134287977), transcript variant X2, misc_RNA</t>
  </si>
  <si>
    <t>XR_009997835.1    PREDICTED: Aedes albopictus uncharacterized LOC134288234 (LOC134288234), ncRNA</t>
  </si>
  <si>
    <t>XR_009997996.1    PREDICTED: Aedes albopictus uncharacterized LOC109408458 (LOC109408458), transcript variant X1, misc_RNA</t>
  </si>
  <si>
    <t>XR_009998024.1    PREDICTED: Aedes albopictus uncharacterized LOC134288569 (LOC134288569), transcript variant X2, ncRNA</t>
  </si>
  <si>
    <t>XR_009998179.1    PREDICTED: Aedes albopictus uncharacterized LOC134288934 (LOC134288934), ncRNA</t>
  </si>
  <si>
    <t>XR_009998507.1    PREDICTED: Aedes albopictus membrane-bound transcription factor site-2 protease-like (LOC115262555), transcript variant X2, misc_RNA</t>
  </si>
  <si>
    <t>XR_009998508.1    PREDICTED: Aedes albopictus membrane-bound transcription factor site-2 protease-like (LOC115262555), transcript variant X3, misc_RNA</t>
  </si>
  <si>
    <t>XR_009998882.1    PREDICTED: Aedes albopictus uncharacterized LOC134290253 (LOC134290253), ncRNA</t>
  </si>
  <si>
    <t>XR_009998949.1    PREDICTED: Aedes albopictus uncharacterized LOC134291173 (LOC134291173), ncRNA</t>
  </si>
  <si>
    <t>XR_009999022.1    PREDICTED: Aedes albopictus uncharacterized LOC134291301 (LOC134291301), ncRNA</t>
  </si>
  <si>
    <t>XR_009999188.1    PREDICTED: Aedes albopictus uncharacterized LOC109399322 (LOC109399322), transcript variant X1, misc_RNA</t>
  </si>
  <si>
    <t>XR_009999291.1    PREDICTED: Aedes albopictus uncharacterized LOC134291796 (LOC134291796), transcript variant X1, misc_RNA</t>
  </si>
  <si>
    <t>XR_009999475.1    PREDICTED: Aedes albopictus uncharacterized LOC134292113 (LOC134292113), ncRNA</t>
  </si>
  <si>
    <t>Table 3.1 H1 substraction contigs NCBI taxonomy annotation</t>
  </si>
  <si>
    <t>Table 3.2 H2 substraction contigs NCBI taxonomy annotation</t>
  </si>
  <si>
    <t>Table 3.3 H_merged substraction contigs NCBI taxonomy annotation</t>
  </si>
  <si>
    <t>Clostridium tetani E88, complete genome</t>
  </si>
  <si>
    <t>AP009049.1    Clostridium kluyveri NBRC 12016 DNA, complete genome</t>
  </si>
  <si>
    <t>Microbacterium testaceum StLB037 DNA, complete genome</t>
  </si>
  <si>
    <t>AP012052.1    Microbacterium testaceum StLB037 DNA, complete genome</t>
  </si>
  <si>
    <t>AE015927.1    Clostridium tetani E88, complete genome</t>
  </si>
  <si>
    <t>Serpentinomonas mccroryi DNA, complete genome</t>
  </si>
  <si>
    <t>AP012202.1    Candidatus Arthromitus sp. SFB-mouse-Japan DNA, complete genome</t>
  </si>
  <si>
    <t>AM946015.1    Streptococcus uberis 0140J complete genome</t>
  </si>
  <si>
    <t>Fusobacterium varium Fv113-g1 DNA, complete genome</t>
  </si>
  <si>
    <t>AP012209.1    Candidatus Arthromitus sp. SFB-mouse-Yit DNA, complete genome</t>
  </si>
  <si>
    <t>Tepiditoga spiralis sy52 DNA, complete genome</t>
  </si>
  <si>
    <t>AP018712.1    Tepiditoga spiralis sy52 DNA, complete genome</t>
  </si>
  <si>
    <t>AP014696.1    Clostridium botulinum DNA, complete genome, strain: 111</t>
  </si>
  <si>
    <t>Yersinia pseudotuberculosis 72344 DNA, complete genome</t>
  </si>
  <si>
    <t>AP019716.1    Clostridium butyricum NBRC 13949 DNA, complete genome</t>
  </si>
  <si>
    <t>Clostridium perfringens TS1 DNA, complete genome</t>
  </si>
  <si>
    <t>AP024169.1    Anaeromicropila herbilytica DNA, complete genome</t>
  </si>
  <si>
    <t>Clostridium perfringens O13-19 DNA, complete genome</t>
  </si>
  <si>
    <t>AP024969.1    Clostridium perfringens OS1 DNA, complete genome</t>
  </si>
  <si>
    <t>AP024849.1    Clostridium gelidum C5S11 DNA, complete genome</t>
  </si>
  <si>
    <t>Clostridium perfringens A18-256 DNA, complete genome</t>
  </si>
  <si>
    <t>AP025227.1    Clostridium perfringens E CP118 DNA, complete genome</t>
  </si>
  <si>
    <t>AP024973.1    Clostridium perfringens TS1 DNA, complete genome</t>
  </si>
  <si>
    <t>Clostridium perfringens A19-1 DNA, complete genome</t>
  </si>
  <si>
    <t>AP026811.1    Clostridium tetani KHSU-144316-041 DNA, complete genome</t>
  </si>
  <si>
    <t>AP024979.1    Clostridium perfringens A18-256 DNA, complete genome</t>
  </si>
  <si>
    <t>Clostridium botulinum Osaka2020 DNA, complete genome</t>
  </si>
  <si>
    <t>AP026970.1    Comamonadaceae bacterium OS-4 DNA, complete genome</t>
  </si>
  <si>
    <t>AP024982.1    Clostridium perfringens A19-1 DNA, complete genome</t>
  </si>
  <si>
    <t>Clostridium tetani KHSU-234311-028 DNA, complete genome</t>
  </si>
  <si>
    <t>AP027086.1    Clostridium perfringens A SNU11038 DNA, complete genome</t>
  </si>
  <si>
    <t>AP025140.1    Clostridium botulinum Osaka2020 DNA, complete genome</t>
  </si>
  <si>
    <t>Clostridium tetani KHSU-254310-026 DNA, complete genome</t>
  </si>
  <si>
    <t>AP027090.1    Clostridium perfringens A SNU21005 DNA, complete genome</t>
  </si>
  <si>
    <t>AP025141.1    Clostridium botulinum Osaka2020 plasmid pOsaka2020-1 DNA, complete sequence</t>
  </si>
  <si>
    <t>Clostridium tetani NIID-071400-001 DNA, complete genome</t>
  </si>
  <si>
    <t>AP027094.1    Clostridium perfringens A SNU20021 DNA, complete genome</t>
  </si>
  <si>
    <t>Clostridium tetani NIID-072000-002 DNA, complete genome</t>
  </si>
  <si>
    <t>AP027100.1    Clostridium perfringens A SNUVG DNA, complete genome</t>
  </si>
  <si>
    <t>AP026823.1    Clostridium tetani NIID-071400-001 DNA, complete genome</t>
  </si>
  <si>
    <t>Clostridium perfringens A SNU61035 DNA, complete genome</t>
  </si>
  <si>
    <t>AP027205.1    Delftia tsuruhatensis BR1R2 DNA, complete genome</t>
  </si>
  <si>
    <t>AP026825.1    Clostridium tetani NIID-072000-002 DNA, complete genome</t>
  </si>
  <si>
    <t>Clostridium perfringens A SNU11038 DNA, complete genome</t>
  </si>
  <si>
    <t>AP028586.1    Serratia marcescens QE21 DNA, complete genome</t>
  </si>
  <si>
    <t>AP027058.1    Limnohabitans sp. MORI2 DNA, complete genome</t>
  </si>
  <si>
    <t>Clostridium perfringens A SNU20021 DNA, complete genome</t>
  </si>
  <si>
    <t>AP028647.1    Clostridium perfringens CP280 DNA, complete genome</t>
  </si>
  <si>
    <t>Acidovorax sp. DW039 DNA, complete genome</t>
  </si>
  <si>
    <t>AP031436.1    Clostridium baratii i39-0019-1A7 DNA, complete genome</t>
  </si>
  <si>
    <t>Clostridium tetani KHSU-154301-001 DNA, complete genome</t>
  </si>
  <si>
    <t>AP031501.1    Microbacterium sp. che218 DNA, complete genome</t>
  </si>
  <si>
    <t>AP029031.1    Clostridium tetani KHSU-154301-001 DNA, complete genome</t>
  </si>
  <si>
    <t>Yersinia pseudotuberculosis okayama_9524 DNA, complete genome</t>
  </si>
  <si>
    <t>BK044444.1    MAG TPA_asm: Caudoviricetes sp. isolate ctegu2, partial genome</t>
  </si>
  <si>
    <t>AP029225.1    Beta proteobacterium TEGF003 DNA, complete genome</t>
  </si>
  <si>
    <t>Clostridium baratii i39-0019-1A7 DNA, complete genome</t>
  </si>
  <si>
    <t>CP000312.1    Clostridium perfringens SM101, complete genome</t>
  </si>
  <si>
    <t>AP031367.1    Yersinia pseudotuberculosis KD5 plasmid pKD5 DNA, complete sequence</t>
  </si>
  <si>
    <t>Microbacterium sp. che218 DNA, complete genome</t>
  </si>
  <si>
    <t>CP000673.1    Clostridium kluyveri DSM 555, complete genome</t>
  </si>
  <si>
    <t>Clostridium tetani KHSU-092500-153 DNA, complete genome</t>
  </si>
  <si>
    <t>CP000679.1    Caldicellulosiruptor saccharolyticus DSM 8903, complete genome</t>
  </si>
  <si>
    <t>AP035790.1    Serratia plymuthica SWSY-3.47 DNA, complete genome</t>
  </si>
  <si>
    <t>MAG TPA_asm: Caudoviricetes sp. isolate ctK0D13, partial genome</t>
  </si>
  <si>
    <t>CP000721.1    Clostridium beijerinckii NCIMB 8052, complete genome</t>
  </si>
  <si>
    <t>MAG TPA_asm: Caudoviricetes sp. isolate ctLIJ1, partial genome</t>
  </si>
  <si>
    <t>CP000853.1    Alkaliphilus oremlandii OhILAs, complete genome</t>
  </si>
  <si>
    <t>AY433327.1    Aedes aegypti ASAP ID: 42929 NADH dehydrogenase subunit 1 mRNA sequence</t>
  </si>
  <si>
    <t>MAG TPA_asm: Caudoviricetes sp. isolate ctYS84, partial genome</t>
  </si>
  <si>
    <t>CP001078.1    Clostridium botulinum E3 str. Alaska E43, complete genome</t>
  </si>
  <si>
    <t>BK010482.1    TPA_exp: Clostridium autoethanogenum DSM 10061, complete genome</t>
  </si>
  <si>
    <t>Ramlibacter tataouinensis TTB310, complete genome</t>
  </si>
  <si>
    <t>CP001312.1    Rhodobacter capsulatus SB 1003, complete genome</t>
  </si>
  <si>
    <t>Clostridium novyi NT, complete genome</t>
  </si>
  <si>
    <t>CP001666.1    Clostridium ljungdahlii DSM 13528, complete genome</t>
  </si>
  <si>
    <t>Clostridium beijerinckii NCIMB 8052, complete genome</t>
  </si>
  <si>
    <t>CP003261.1    Clostridium pasteurianum BC1, complete genome</t>
  </si>
  <si>
    <t>CP000728.1    Clostridium botulinum F str. Langeland, complete genome</t>
  </si>
  <si>
    <t>Clostridium botulinum A3 str. Loch Maree, complete genome</t>
  </si>
  <si>
    <t>CP003359.1    Halobacteroides halobius DSM 5150, complete genome</t>
  </si>
  <si>
    <t>CP000939.1    Clostridium botulinum B1 str. Okra, complete genome</t>
  </si>
  <si>
    <t>Clostridium cellulovorans 743B, complete genome</t>
  </si>
  <si>
    <t>CP003872.1    Acidovorax sp. KKS102, complete genome</t>
  </si>
  <si>
    <t>CP000962.1    Clostridium botulinum A3 str. Loch Maree, complete genome</t>
  </si>
  <si>
    <t>Clostridium sp. BNL1100, complete genome</t>
  </si>
  <si>
    <t>CP004121.1    Clostridium saccharoperbutylacetonicum N1-4(HMT), complete genome</t>
  </si>
  <si>
    <t>Clostridium beijerinckii ATCC 35702, complete genome</t>
  </si>
  <si>
    <t>CP006721.1    Clostridium saccharobutylicum DSM 13864, complete genome</t>
  </si>
  <si>
    <t>CP001081.1    Clostridium botulinum Ba4 str. 657 plasmid pCLJ, complete sequence</t>
  </si>
  <si>
    <t>Clostridium botulinum Prevot_594 genome</t>
  </si>
  <si>
    <t>CP006777.1    Clostridium beijerinckii ATCC 35702, complete genome</t>
  </si>
  <si>
    <t>Clostridium baratii str. Sullivan, complete genome</t>
  </si>
  <si>
    <t>CP006902.1    Clostridium botulinum Prevot_594 genome</t>
  </si>
  <si>
    <t>CP002011.1    Clostridium botulinum F str. 230613, complete genome</t>
  </si>
  <si>
    <t>Clostridium botulinum CDC_1436, complete genome</t>
  </si>
  <si>
    <t>CP006905.1    Clostridium baratii str. Sullivan, complete genome</t>
  </si>
  <si>
    <t>CP002410.1    Clostridium botulinum BKT015925, complete genome</t>
  </si>
  <si>
    <t>Chania multitudinisentens RB-25, complete genome</t>
  </si>
  <si>
    <t>CP007044.2    Chania multitudinisentens RB-25, complete genome</t>
  </si>
  <si>
    <t>CP002775.1    Serratia sp. AS13, complete genome</t>
  </si>
  <si>
    <t>Yersinia similis strain 228, complete genome</t>
  </si>
  <si>
    <t>CP007230.1    Yersinia similis strain 228, complete genome</t>
  </si>
  <si>
    <t>CP003259.1    Clostridium sp. BNL1100, complete genome</t>
  </si>
  <si>
    <t>Pelosinus sp. UFO1, complete genome</t>
  </si>
  <si>
    <t>CP008713.1    Candidatus Arthromitus sp. SFB-mouse-NL, complete genome</t>
  </si>
  <si>
    <t>Clostridium sporogenes strain NCIMB 10696, complete genome</t>
  </si>
  <si>
    <t>CP009225.1    Clostridium sporogenes strain NCIMB 10696, complete genome</t>
  </si>
  <si>
    <t>Clostridium perfringens strain FORC_003, complete genome</t>
  </si>
  <si>
    <t>CP009557.1    Clostridium perfringens strain FORC_003, complete genome</t>
  </si>
  <si>
    <t>CP006566.1    Serratia plymuthica S13, complete genome</t>
  </si>
  <si>
    <t>Yersinia pseudotuberculosis PB1/+, complete genome</t>
  </si>
  <si>
    <t>CP009687.1    Clostridium aceticum strain DSM 1496, complete genome</t>
  </si>
  <si>
    <t>Clostridium scatologenes strain ATCC 25775, complete genome</t>
  </si>
  <si>
    <t>CP009761.1    Parvimonas micra strain KCOM 1535, complete genome</t>
  </si>
  <si>
    <t>Clostridium beijerinckii strain NCIMB 14988, complete genome</t>
  </si>
  <si>
    <t>CP009933.1    Clostridium scatologenes strain ATCC 25775, complete genome</t>
  </si>
  <si>
    <t>Clostridium botulinum strain NCTC 8266, complete genome</t>
  </si>
  <si>
    <t>CP010086.2    Clostridium beijerinckii strain NCIMB 14988, complete genome</t>
  </si>
  <si>
    <t>Clostridium botulinum strain NCTC 8550, complete genome</t>
  </si>
  <si>
    <t>CP010520.1    Clostridium botulinum strain NCTC 8266, complete genome</t>
  </si>
  <si>
    <t>Clostridium perfringens strain JP838, complete genome</t>
  </si>
  <si>
    <t>CP010521.1    Clostridium botulinum strain NCTC 8550, complete genome</t>
  </si>
  <si>
    <t>CP009779.1    Yersinia pseudotuberculosis PB1/+ plasmid pYAB, complete sequence</t>
  </si>
  <si>
    <t>Serratia fonticola strain DSM 4576, complete genome</t>
  </si>
  <si>
    <t>CP011254.1    Serratia fonticola strain DSM 4576, complete genome</t>
  </si>
  <si>
    <t>Serratia liquefaciens strain HUMV-21, complete genome</t>
  </si>
  <si>
    <t>CP011663.1    Clostridium sporogenes strain DSM 795, complete genome</t>
  </si>
  <si>
    <t>Clostridium sporogenes strain DSM 795, complete genome</t>
  </si>
  <si>
    <t>CP011774.1    Limnohabitans sp. 63ED37-2, complete genome</t>
  </si>
  <si>
    <t>Clostridium carboxidivorans P7, complete genome</t>
  </si>
  <si>
    <t>CP011803.1    Clostridium carboxidivorans P7, complete genome</t>
  </si>
  <si>
    <t>CP010993.1    Clostridium perfringens strain JP55, complete genome</t>
  </si>
  <si>
    <t>Clostridium beijerinckii NRRL B-598, complete genome</t>
  </si>
  <si>
    <t>CP011966.3    Clostridium beijerinckii NRRL B-598, complete genome</t>
  </si>
  <si>
    <t>CP010994.1    Clostridium perfringens strain JP838, complete genome</t>
  </si>
  <si>
    <t>Campylobacter sp. RM16187, complete genome</t>
  </si>
  <si>
    <t>CP012096.1    Serratia plymuthica strain 3Rp8, complete genome</t>
  </si>
  <si>
    <t>Clostridium sporogenes strain CDC_67071, complete genome</t>
  </si>
  <si>
    <t>CP012097.1    Serratia plymuthica strain 3Re4-18, complete genome</t>
  </si>
  <si>
    <t>CP011427.1    Pantoea vagans strain ND02 chromosome, complete genome</t>
  </si>
  <si>
    <t>Clostridium sporogenes strain CDC_1632, complete genome</t>
  </si>
  <si>
    <t>CP013243.1    Clostridium sporogenes strain CDC_1632, complete genome</t>
  </si>
  <si>
    <t>Clostridium botulinum strain CDC_53174, complete genome</t>
  </si>
  <si>
    <t>CP013246.1    Clostridium botulinum strain CDC_69094, complete genome</t>
  </si>
  <si>
    <t>Clostridium sporogenes strain AM1195, complete sequence</t>
  </si>
  <si>
    <t>CP013247.1    Clostridium botulinum strain CDC_53174, complete genome</t>
  </si>
  <si>
    <t>Clostridium botulinum strain AM1051, complete sequence</t>
  </si>
  <si>
    <t>CP013683.1    Clostridium botulinum strain AM282, complete sequence</t>
  </si>
  <si>
    <t>CP012321.1    Clostridioides difficile strain DSM 28666 chromosome, complete genome</t>
  </si>
  <si>
    <t>Clostridium botulinum strain Mauritius, complete genome</t>
  </si>
  <si>
    <t>CP013841.1    Clostridium botulinum strain AM1051, complete sequence</t>
  </si>
  <si>
    <t>CP012395.1    Clostridium autoethanogenum DSM 10061, complete genome</t>
  </si>
  <si>
    <t>Clostridium botulinum strain CDC_69096, complete sequence</t>
  </si>
  <si>
    <t>CP013849.1    Clostridium botulinum strain Mauritius, complete genome</t>
  </si>
  <si>
    <t>CP013018.1    Clostridium pasteurianum DSM 525 = ATCC 6013, complete genome</t>
  </si>
  <si>
    <t>Serratia fonticola strain GS2, complete genome</t>
  </si>
  <si>
    <t>CP013913.1    Serratia fonticola strain GS2, complete genome</t>
  </si>
  <si>
    <t>CP013019.1    Clostridium pasteurianum strain M150B, complete genome</t>
  </si>
  <si>
    <t>Clostridium tyrobutyricum strain KCTC 5387, complete sequence</t>
  </si>
  <si>
    <t>CP014150.1    Paraclostridium sordellii strain AM370, complete sequence</t>
  </si>
  <si>
    <t>CP013242.1    Clostridium sporogenes strain CDC_67071, complete genome</t>
  </si>
  <si>
    <t>Clostridium argentinense strain 89G, complete genome</t>
  </si>
  <si>
    <t>CP014151.1    Clostridium botulinum strain BrDura, complete sequence</t>
  </si>
  <si>
    <t>Clostridium baratii strain CDC51267, complete sequence</t>
  </si>
  <si>
    <t>CP014176.1    Clostridium argentinense strain 89G, complete genome</t>
  </si>
  <si>
    <t>CP013701.1    Clostridium sporogenes strain AM1195, complete sequence</t>
  </si>
  <si>
    <t>Clostridium sp. MF28 chromosome</t>
  </si>
  <si>
    <t>CP014204.2    Clostridium baratii strain CDC51267, complete sequence</t>
  </si>
  <si>
    <t>CP013705.1    Clostridium botulinum strain F160, complete sequence</t>
  </si>
  <si>
    <t>Clostridium estertheticum subsp. estertheticum strain DSM 8809, complete genome</t>
  </si>
  <si>
    <t>CP014331.1    Clostridium sp. MF28 chromosome</t>
  </si>
  <si>
    <t>CP013707.1    Clostridium botulinum strain F634, complete sequence</t>
  </si>
  <si>
    <t>Clostridium tyrobutyricum strain W428, complete sequence</t>
  </si>
  <si>
    <t>CP016086.1    Clostridium saccharobutylicum strain NCP 200, complete genome</t>
  </si>
  <si>
    <t>CP013843.1    Clostridium botulinum strain B742, complete genome</t>
  </si>
  <si>
    <t>Hydrogenophaga sp. RAC07, complete genome</t>
  </si>
  <si>
    <t>CP016087.1    Clostridium saccharoperbutylacetonicum strain N1-504, complete sequence</t>
  </si>
  <si>
    <t>CP013845.1    Clostridium botulinum strain A634, complete sequence</t>
  </si>
  <si>
    <t>Clostridium isatidis strain DSM 15098, complete genome</t>
  </si>
  <si>
    <t>CP016089.1    Clostridium saccharobutylicum strain BAS/B3/SW/136, complete genome</t>
  </si>
  <si>
    <t>Clostridium taeniosporum strain 1/k chromosome, complete genome</t>
  </si>
  <si>
    <t>CP016090.1    Clostridium beijerinckii strain BAS/B3/I/124, complete genome</t>
  </si>
  <si>
    <t>CP013857.1    Clostridium botulinum strain CDC_69096, complete sequence</t>
  </si>
  <si>
    <t>Hydrogenophaga sp. PBC, complete genome</t>
  </si>
  <si>
    <t>CP016091.1    Clostridium saccharobutylicum strain NCP 258, complete genome</t>
  </si>
  <si>
    <t>Microbacterium sp. BH-3-3-3 chromosome, complete genome</t>
  </si>
  <si>
    <t>CP016092.1    Clostridium saccharobutylicum strain NCP 195, complete genome</t>
  </si>
  <si>
    <t>Clostridium kluyveri strain JZZ chromosome, complete genome</t>
  </si>
  <si>
    <t>CP016449.1    Hydrogenophaga sp. RAC07, complete genome</t>
  </si>
  <si>
    <t>Clostridium chauvoei strain DSM 7528 chromosome, complete genome</t>
  </si>
  <si>
    <t>CP017253.2    Clostridium taeniosporum strain 1/k chromosome, complete genome</t>
  </si>
  <si>
    <t>Clostridium chauvoei strain 12S0467, complete genome</t>
  </si>
  <si>
    <t>CP017311.1    Hydrogenophaga sp. PBC, complete genome</t>
  </si>
  <si>
    <t>Clostridium drakei strain SL1 chromosome, complete genome</t>
  </si>
  <si>
    <t>CP017603.1    Clostridium formicaceticum strain ATCC 27076, complete genome</t>
  </si>
  <si>
    <t>Clostridium sporogenes strain AM553 chromosome, complete genome</t>
  </si>
  <si>
    <t>CP017674.1    Microbacterium sp. BH-3-3-3 chromosome, complete genome</t>
  </si>
  <si>
    <t>Clostridium septicum strain DSM 7534 chromosome, complete genome</t>
  </si>
  <si>
    <t>CP018335.1    Clostridium kluyveri strain JZZ chromosome, complete genome</t>
  </si>
  <si>
    <t>Serratia fonticola strain FDAARGOS_411 chromosome, complete genome</t>
  </si>
  <si>
    <t>CP018624.1    Clostridium chauvoei strain DSM 7528 chromosome, complete genome</t>
  </si>
  <si>
    <t>Fusobacterium pseudoperiodonticum strain KCOM 1282 chromosome, complete genome</t>
  </si>
  <si>
    <t>CP018630.1    Clostridium chauvoei strain 12S0467, complete genome</t>
  </si>
  <si>
    <t>CP016099.1    Peptoclostridium difficile strain DSM 100002, complete genome</t>
  </si>
  <si>
    <t>Fusobacterium pseudoperiodonticum strain KCOM 2305 chromosome, complete genome</t>
  </si>
  <si>
    <t>CP018929.1    Serratia marcescens strain UMH11 chromosome, complete genome</t>
  </si>
  <si>
    <t>CP016332.1    Clostridium butyricum strain TK520 chromosome 1, complete sequence</t>
  </si>
  <si>
    <t>Fusobacterium pseudoperiodonticum strain KCOM 2555 chromosome, complete genome</t>
  </si>
  <si>
    <t>CP019390.1    Brucella sp. 09RB8910 chromosome 1, complete sequence</t>
  </si>
  <si>
    <t>Clostridium manihotivorum strain CT4 chromosome, complete genome</t>
  </si>
  <si>
    <t>CP019468.1    Clostridium perfringens strain CP15, partial genome</t>
  </si>
  <si>
    <t>CP016786.1    Clostridium isatidis strain DSM 15098, complete genome</t>
  </si>
  <si>
    <t>Clostridiaceae bacterium 14S0207 chromosome, complete genome</t>
  </si>
  <si>
    <t>CP019576.1    Clostridium perfringens strain Del1, complete sequence</t>
  </si>
  <si>
    <t>Clostridium chauvoei strain SBP 07/09 chromosome, complete genome</t>
  </si>
  <si>
    <t>CP020470.1    Pseudogemmobacter blasticus strain 28/5, complete sequence</t>
  </si>
  <si>
    <t>Clostridium botulinum strain MFBjulcb1 chromosome, complete genome</t>
  </si>
  <si>
    <t>CP020559.1    Clostridium formicaceticum strain DSM 92 chromosome, complete genome</t>
  </si>
  <si>
    <t>CP017476.1    Hydrogenophaga crassostreae strain LPB0072 chromosome, complete genome</t>
  </si>
  <si>
    <t>Clostridium botulinum strain Mfbjulcb5 chromosome, complete genome</t>
  </si>
  <si>
    <t>CP020953.1    Clostridium drakei strain SL1 chromosome, complete genome</t>
  </si>
  <si>
    <t>Clostridium botulinum strain Mfbjulcb3 chromosome, complete genome</t>
  </si>
  <si>
    <t>CP021396.1    Bordetella hinzii strain 4134 chromosome, complete genome</t>
  </si>
  <si>
    <t>Clostridium beijerinckii isolate WB53 chromosome, complete genome</t>
  </si>
  <si>
    <t>CP021447.1    Clostridioides difficile strain DSM 104451 chromosome, complete genome</t>
  </si>
  <si>
    <t>Hydrogenophaga sp. NH-16 chromosome</t>
  </si>
  <si>
    <t>CP022395.1    Clostridium botulinum strain Su1112 chromosome, complete genome</t>
  </si>
  <si>
    <t>CP019235.1    Bacillus thuringiensis strain YGd22-03 plasmid pYGD98, complete sequence</t>
  </si>
  <si>
    <t>Clostridium botulinum strain CFSAN034200 chromosome, complete genome</t>
  </si>
  <si>
    <t>CP022396.1    Clostridium botulinum strain Su0945 chromosome, complete genome</t>
  </si>
  <si>
    <t>CP019236.1    Rhodoferax koreensis, complete genome</t>
  </si>
  <si>
    <t>Malaciobacter mytili LMG 24559 chromosome, complete genome</t>
  </si>
  <si>
    <t>CP022400.1    Clostridium botulinum strain Su0604 chromosome, complete genome</t>
  </si>
  <si>
    <t>CP020473.1    Clostridium sp. 001 chromosome, complete genome</t>
  </si>
  <si>
    <t>Yersinia pseudotuberculosis strain FDAARGOS_342 chromosome, complete genome</t>
  </si>
  <si>
    <t>CP022403.1    Clostridium botulinum strain AM922 chromosome, complete genome</t>
  </si>
  <si>
    <t>Arcobacter ellisii strain LMG 26155 chromosome, complete genome</t>
  </si>
  <si>
    <t>CP022405.1    Clostridium sporogenes strain AM553 chromosome, complete genome</t>
  </si>
  <si>
    <t>Paraclostridium bifermentans strain Cbm chromosome</t>
  </si>
  <si>
    <t>CP023671.1    Clostridium septicum strain DSM 7534 chromosome, complete genome</t>
  </si>
  <si>
    <t>Serratia sp. 3ACOL1 chromosome, complete genome</t>
  </si>
  <si>
    <t>CP023956.1    Serratia fonticola strain FDAARGOS_411 chromosome, complete genome</t>
  </si>
  <si>
    <t>Cohnella candidum strain 18JY8-7 chromosome, complete genome</t>
  </si>
  <si>
    <t>CP025746.1    Clostridium manihotivorum strain CT4 chromosome, complete genome</t>
  </si>
  <si>
    <t>CP022435.1    Streptococcus uberis strain NZ01 chromosome, complete genome</t>
  </si>
  <si>
    <t>Clostridium sp. JN-1 chromosome, complete genome</t>
  </si>
  <si>
    <t>CP026600.1    Clostridiaceae bacterium 14S0207 chromosome, complete genome</t>
  </si>
  <si>
    <t>Yersinia pseudotuberculosis strain FDAARGOS_582 chromosome, complete genome</t>
  </si>
  <si>
    <t>CP027286.1    Clostridium chauvoei strain SBP 07/09 chromosome, complete genome</t>
  </si>
  <si>
    <t>Yersinia pseudotuberculosis strain FDAARGOS_581 chromosome, complete genome</t>
  </si>
  <si>
    <t>CP027775.1    Clostridium botulinum strain MFBjulcb1 chromosome, complete genome</t>
  </si>
  <si>
    <t>CP025025.1    Mesobacillus jeotgali strain DSM 18226 chromosome</t>
  </si>
  <si>
    <t>Yersinia pseudotuberculosis strain FDAARGOS_580 chromosome, complete genome</t>
  </si>
  <si>
    <t>CP027777.1    Clostridium botulinum strain Mfbjulcb8 chromosome, complete genome</t>
  </si>
  <si>
    <t>Microbacterium sp. 10M-3C3 chromosome, complete genome</t>
  </si>
  <si>
    <t>CP028149.1    Clostridium perfringens strain JXJA17 chromosome, complete genome</t>
  </si>
  <si>
    <t>Clostridium septicum strain VAT12 chromosome, complete genome</t>
  </si>
  <si>
    <t>CP028918.1    Paragemmobacter aquarius strain HYN0069 chromosome, complete genome</t>
  </si>
  <si>
    <t>Paenibacillus albus strain 18JY67-1 chromosome, complete genome</t>
  </si>
  <si>
    <t>CP029329.1    Clostridium beijerinckii isolate WB53 chromosome, complete genome</t>
  </si>
  <si>
    <t>Clostridium sp. JN-9 chromosome, complete genome</t>
  </si>
  <si>
    <t>CP029344.1    Hydrogenophaga sp. NH-16 chromosome</t>
  </si>
  <si>
    <t>Clostridium tetani strain Harvard 49205 chromosome</t>
  </si>
  <si>
    <t>CP029758.2    Clostridium sp. AWRP chromosome, complete genome</t>
  </si>
  <si>
    <t>CP027779.1    Clostridium botulinum strain RF5 chromosome, complete genome</t>
  </si>
  <si>
    <t>Hydrogenophaga pseudoflava strain DSM 1084 chromosome, complete genome</t>
  </si>
  <si>
    <t>CP031971.1    Parvimonas micra strain KCOM 1037 chromosome, complete genome</t>
  </si>
  <si>
    <t>CP027780.1    Clostridium botulinum strain Mfbjulcb3 chromosome, complete genome</t>
  </si>
  <si>
    <t>Clostridium tyrobutyricum strain Cirm BIA 2237 chromosome</t>
  </si>
  <si>
    <t>CP032416.1    Clostridium fermenticellae strain JN500901 chromosome, complete genome</t>
  </si>
  <si>
    <t>CP027781.1    Clostridium botulinum strain MAP 5 chromosome, complete genome</t>
  </si>
  <si>
    <t>Microbacterium wangchenii strain dk512 chromosome, complete genome</t>
  </si>
  <si>
    <t>CP032738.1    Serratia sp. 1D1416 chromosome, complete genome</t>
  </si>
  <si>
    <t>Caloramator sp. E03 chromosome, complete genome</t>
  </si>
  <si>
    <t>CP033055.1    Serratia sp. 3ACOL1 chromosome, complete genome</t>
  </si>
  <si>
    <t>Serratia fonticola strain MS5 chromosome, complete genome</t>
  </si>
  <si>
    <t>CP033162.1    Serratia sp. P2ACOL2 chromosome, complete genome</t>
  </si>
  <si>
    <t>Clostridium diolis strain DSM 15410 chromosome, complete genome</t>
  </si>
  <si>
    <t>CP033247.1    Clostridium butyricum strain CFSA3987 chromosome, complete genome</t>
  </si>
  <si>
    <t>CP029458.1    Clostridium novyi strain 150557 chromosome, complete genome</t>
  </si>
  <si>
    <t>Microbacterium lushaniae strain L-031 chromosome, complete genome</t>
  </si>
  <si>
    <t>CP033249.1    Clostridium butyricum strain CFSA3989 chromosome, complete genome</t>
  </si>
  <si>
    <t>Hydrogenophaga sp. BPS33 chromosome, complete genome</t>
  </si>
  <si>
    <t>CP033465.1    Clostridium sp. JN-1 chromosome, complete genome</t>
  </si>
  <si>
    <t>CP030018.1    Clostridium acetobutylicum strain LJ4 chromosome</t>
  </si>
  <si>
    <t>Hydrogenophaga sp. PBL-H3 substr. PBL-H3(B4) chromosome, complete genome</t>
  </si>
  <si>
    <t>CP034245.1    Microbacterium sp. 10M-3C3 chromosome, complete genome</t>
  </si>
  <si>
    <t>CP031095.1    Clostridium botulinum strain CFSAN034200 plasmid p1_CDC51232, complete sequence</t>
  </si>
  <si>
    <t>Hydrogenophaga sp. PBL-H3 substr. PBL-H3(B2) chromosome, complete genome</t>
  </si>
  <si>
    <t>CP034358.1    Clostridium septicum strain VAT12 chromosome, complete genome</t>
  </si>
  <si>
    <t>CP031097.1    Clostridium botulinum strain CFSAN034200 chromosome, complete genome</t>
  </si>
  <si>
    <t>Carnobacterium maltaromaticum strain 18ISCm chromosome, complete genome</t>
  </si>
  <si>
    <t>CP034791.1    Caldicellulosiruptor changbaiensis strain CBS-Z chromosome, complete genome</t>
  </si>
  <si>
    <t>CP032452.1    Paraclostridium bifermentans strain Cbm chromosome</t>
  </si>
  <si>
    <t>Erysipelotrichaceae bacterium 66202529 chromosome, complete genome</t>
  </si>
  <si>
    <t>CP037867.1    Hydrogenophaga pseudoflava strain DSM 1084 chromosome, complete genome</t>
  </si>
  <si>
    <t>Clostridium botulinum strain NCTC 13319 chromosome, complete genome</t>
  </si>
  <si>
    <t>CP038266.1    Microbacterium wangchenii strain dk512 chromosome, complete genome</t>
  </si>
  <si>
    <t>Clostridium tyrobutyricum strain L319 chromosome, complete genome</t>
  </si>
  <si>
    <t>CP040093.1    Caloramator sp. E03 chromosome, complete genome</t>
  </si>
  <si>
    <t>CP033708.1    Yersinia pseudotuberculosis strain FDAARGOS_583 plasmid unnamed, complete sequence</t>
  </si>
  <si>
    <t>Paenibacillus rhizovicinus strain 14171R-81 chromosome, complete genome</t>
  </si>
  <si>
    <t>CP040182.1    Serratia fonticola strain MS5 chromosome, complete genome</t>
  </si>
  <si>
    <t>CP033710.1    Yersinia pseudotuberculosis strain FDAARGOS_582 plasmid unnamed, complete sequence</t>
  </si>
  <si>
    <t>Hydrogenophaga crocea strain BA0156 chromosome, complete genome</t>
  </si>
  <si>
    <t>CP040626.1    Clostridium butyricum strain DSM 10702 chromosome 1, complete sequence</t>
  </si>
  <si>
    <t>CP033712.1    Yersinia pseudotuberculosis strain FDAARGOS_581 plasmid unnamed, complete sequence</t>
  </si>
  <si>
    <t>Serratia fonticola strain CPSE11 chromosome, complete genome</t>
  </si>
  <si>
    <t>CP041764.1    Serratia rhizosphaerae strain KUDC3025 chromosome, complete genome</t>
  </si>
  <si>
    <t>Clostridium botulinum strain ST7B chromosome, complete genome</t>
  </si>
  <si>
    <t>CP042243.1    Crassaminicella thermophila strain SY095 chromosome, complete genome</t>
  </si>
  <si>
    <t>CP035280.1    Clostridium sp. JN-9 chromosome, complete genome</t>
  </si>
  <si>
    <t>Clostridium botulinum strain V73 chromosome, complete genome</t>
  </si>
  <si>
    <t>CP042363.1    Serratia plymuthica strain A294 chromosome, complete genome</t>
  </si>
  <si>
    <t>CP035785.1    Clostridium tetani strain Harvard 49205 chromosome</t>
  </si>
  <si>
    <t>Candidatus Sarcina troglodytae isolate JB2 chromosome, complete genome</t>
  </si>
  <si>
    <t>CP043998.1    Clostridium diolis strain DSM 15410 chromosome, complete genome</t>
  </si>
  <si>
    <t>CP035787.1    Clostridium tetani strain Harvard 49205 chromosome</t>
  </si>
  <si>
    <t>Clostridium beijerinckii strain ASCUSDY20 chromosome, complete genome</t>
  </si>
  <si>
    <t>CP044232.1    Microbacterium lushaniae strain L-031 chromosome, complete genome</t>
  </si>
  <si>
    <t>Acidovorax sp. YS12 chromosome, complete genome</t>
  </si>
  <si>
    <t>CP044549.1    Hydrogenophaga sp. BPS33 chromosome, complete genome</t>
  </si>
  <si>
    <t>Serratia fonticola strain HH13 chromosome, complete genome</t>
  </si>
  <si>
    <t>CP044972.1    Hydrogenophaga sp. PBL-H3 substr. PBL-H3(B4) chromosome, complete genome</t>
  </si>
  <si>
    <t>Rhodoferax sp. BAB1 chromosome, complete genome</t>
  </si>
  <si>
    <t>CP044975.1    Hydrogenophaga sp. PBL-H3 substr. PBL-H3(B2) chromosome, complete genome</t>
  </si>
  <si>
    <t>Citrobacter freundii strain RHBSTW-00269 chromosome, complete genome</t>
  </si>
  <si>
    <t>CP046522.1    Clostridium bovifaecis strain BXX chromosome, complete genome</t>
  </si>
  <si>
    <t>Citrobacter freundii strain RHBSTW-00355 chromosome, complete genome</t>
  </si>
  <si>
    <t>CP048000.1    Anaerocolumna sedimenticola strain CBA3638 chromosome, complete genome</t>
  </si>
  <si>
    <t>CP043680.1    Clostridium perfringens strain pB4 chromosome, complete genome</t>
  </si>
  <si>
    <t>MAG: Burkholderiaceae bacterium isolate SSC6 chromosome, complete genome</t>
  </si>
  <si>
    <t>CP048481.1    Agrobacterium tumefaciens strain Tul004 chromosome circular, complete sequence</t>
  </si>
  <si>
    <t>Clostridium intestinale strain Lx1 chromosome, complete genome</t>
  </si>
  <si>
    <t>CP048617.1    Caloranaerobacter azorensis strain T3-1 chromosome, complete genome</t>
  </si>
  <si>
    <t>Clostridium botulinum strain CJ0611A1 chromosome, complete genome</t>
  </si>
  <si>
    <t>CP049795.1    Delftia sp. WY8 chromosome, complete genome</t>
  </si>
  <si>
    <t>Serratia liquefaciens strain MT49 chromosome, complete genome</t>
  </si>
  <si>
    <t>CP049989.1    Hydrogenophaga crocea strain BA0156 chromosome, complete genome</t>
  </si>
  <si>
    <t>CP046266.1    Metabacillus sediminilitoris strain DSL-17 chromosome, complete genome</t>
  </si>
  <si>
    <t>Ruminiclostridium herbifermentans strain MA18 chromosome, complete genome</t>
  </si>
  <si>
    <t>CP050171.1    Serratia fonticola strain CPSE11 chromosome, complete genome</t>
  </si>
  <si>
    <t>Hydrogenophaga sp. SL48 chromosome, complete genome</t>
  </si>
  <si>
    <t>CP051144.1    Romboutsia sp. CE17 chromosome, complete genome</t>
  </si>
  <si>
    <t>CP046582.1    Erwinia sp. E602 chromosome, complete genome</t>
  </si>
  <si>
    <t>Clostridium botulinum strain 3859/11 chromosome, complete genome</t>
  </si>
  <si>
    <t>CP051754.1    Candidatus Sarcina troglodytae isolate JB2 chromosome, complete genome</t>
  </si>
  <si>
    <t>CP047650.1    Xylophilus rhododendri strain KACC 21265 chromosome, complete genome</t>
  </si>
  <si>
    <t>Clostridium botulinum strain BKT2873 chromosome, complete genome</t>
  </si>
  <si>
    <t>CP053398.1    Serratia plymuthica strain C-1 chromosome, complete genome</t>
  </si>
  <si>
    <t>CP048833.1    Pseudomonas multiresinivorans strain populi chromosome, complete genome</t>
  </si>
  <si>
    <t>Clostridium perfringens strain FDAARGOS_931 chromosome, complete genome</t>
  </si>
  <si>
    <t>CP053893.1    Clostridium beijerinckii strain ASCUSDY20 chromosome, complete genome</t>
  </si>
  <si>
    <t>CP049140.1    Pseudomonas nitroreducens strain HBP1 chromosome, complete genome</t>
  </si>
  <si>
    <t>Clostridium botulinum strain IBCA10-7060 chromosome, complete genome</t>
  </si>
  <si>
    <t>CP054160.3    Serratia fonticola strain HH13 chromosome, complete genome</t>
  </si>
  <si>
    <t>Hydrogenophaga sp. YM1 chromosome, complete genome</t>
  </si>
  <si>
    <t>CP054482.1    Macrococcoides bohemicum strain 19Msa422 chromosome, complete genome</t>
  </si>
  <si>
    <t>Clostridium beijerinckii strain ASCUSBR67 chromosome</t>
  </si>
  <si>
    <t>CP058557.1    Alkaliphilus sp. B6464 chromosome, complete genome</t>
  </si>
  <si>
    <t>Clostridium botulinum strain ZJK-3 chromosome, complete genome</t>
  </si>
  <si>
    <t>CP059378.1    Clostridium intestinale strain Lx1 chromosome, complete genome</t>
  </si>
  <si>
    <t>CP050251.1    Clostridium botulinum strain ST7B chromosome, complete genome</t>
  </si>
  <si>
    <t>Clostridium botulinum strain ZJK-8 chromosome, complete genome</t>
  </si>
  <si>
    <t>CP059677.1    Clostridium botulinum strain CJ0611A1 chromosome, complete genome</t>
  </si>
  <si>
    <t>CP050820.1    Clostridium botulinum strain V73 chromosome, complete genome</t>
  </si>
  <si>
    <t>Clostridium botulinum strain ZJK-9 chromosome, complete genome</t>
  </si>
  <si>
    <t>CP063400.1    Hydrogenophaga sp. SL48 chromosome, complete genome</t>
  </si>
  <si>
    <t>Clostridium gasigenes strain CGAS001 chromosome CGAS001, complete sequence</t>
  </si>
  <si>
    <t>CP065747.1    Serratia plymuthica strain FDAARGOS_896 chromosome, complete genome</t>
  </si>
  <si>
    <t>Sedimentibacter sp. zth1 chromosome, complete genome</t>
  </si>
  <si>
    <t>CP065748.1    Delftia lacustris strain FDAARGOS_890 chromosome, complete genome</t>
  </si>
  <si>
    <t>Serratia fonticola strain R28 chromosome, complete genome</t>
  </si>
  <si>
    <t>CP065874.1    Clostridium perfringens strain FDAARGOS_932 chromosome</t>
  </si>
  <si>
    <t>Clostridium beijerinckii strain CBEI chromosome, complete genome</t>
  </si>
  <si>
    <t>CP068096.1    Serratia plymuthica strain FDAARGOS_1138 chromosome, complete genome</t>
  </si>
  <si>
    <t>CP055263.1    Metabacillus elymi strain KUDC1714 chromosome, complete genome</t>
  </si>
  <si>
    <t>Clostridium beijerinckii strain DSM 791 chromosome, complete genome</t>
  </si>
  <si>
    <t>CP068148.1    Serratia liquefaciens strain FDAARGOS_1081 chromosome, complete genome</t>
  </si>
  <si>
    <t>Serratia sp. JSRIV004 chromosome, complete genome</t>
  </si>
  <si>
    <t>CP068214.1    Serratia ureilytica strain FDAARGOS_1089 chromosome, complete genome</t>
  </si>
  <si>
    <t>CP060137.1    Bacillus sp. PAMC26568 chromosome, complete genome</t>
  </si>
  <si>
    <t>Serratia sp. JSRIV002 chromosome, complete genome</t>
  </si>
  <si>
    <t>CP069280.1    Clostridium botulinum strain IBCA10-7060 chromosome, complete genome</t>
  </si>
  <si>
    <t>Hydrogenophaga taeniospiralis strain LT2 chromosome, complete genome</t>
  </si>
  <si>
    <t>CP069318.1    Delftia lacustris strain R54 chromosome, complete genome</t>
  </si>
  <si>
    <t>CP063816.1    Clostridium botulinum strain Stockholm chromosome, complete genome</t>
  </si>
  <si>
    <t>Clostridium perfringens strain C746 chromosome, complete genome</t>
  </si>
  <si>
    <t>CP069370.1    Neotabrizicola shimadae strain N10 chromosome, complete genome</t>
  </si>
  <si>
    <t>CP063822.1    Clostridium botulinum strain 1873 chromosome, complete genome</t>
  </si>
  <si>
    <t>Clostridium perfringens strain 721/84 chromosome, complete genome</t>
  </si>
  <si>
    <t>CP070223.1    Hydrogenophaga sp. YM1 chromosome, complete genome</t>
  </si>
  <si>
    <t>CP063959.1    Clostridium botulinum strain 3859/11 chromosome, complete genome</t>
  </si>
  <si>
    <t>Clostridium perfringens strain C645 chromosome, complete genome</t>
  </si>
  <si>
    <t>CP070508.1    Serratia ureilytica strain AM923 chromosome, complete genome</t>
  </si>
  <si>
    <t>CP063965.1    Clostridium botulinum strain BKT2873 chromosome, complete genome</t>
  </si>
  <si>
    <t>Clostridium perfringens strain 318/86 chromosome, complete genome</t>
  </si>
  <si>
    <t>CP070895.1    Clostridium beijerinckii strain ASCUSBR67 chromosome</t>
  </si>
  <si>
    <t>CP065699.1    Serratia plymuthica strain FDAARGOS_889 chromosome, complete genome</t>
  </si>
  <si>
    <t>Clostridium perfringens strain 20/85 chromosome</t>
  </si>
  <si>
    <t>CP070936.1    Clostridium botulinum strain ZJK-3 chromosome, complete genome</t>
  </si>
  <si>
    <t>Clostridium perfringens strain 1293/86 chromosome</t>
  </si>
  <si>
    <t>CP070939.1    Clostridium botulinum strain ZJK-8 chromosome, complete genome</t>
  </si>
  <si>
    <t>Clostridium cadaveris strain IFB3C5 chromosome, complete genome</t>
  </si>
  <si>
    <t>CP070943.1    Clostridium botulinum strain ZJK-9 chromosome, complete genome</t>
  </si>
  <si>
    <t>CP068564.1    Keratinibaculum paraultunense strain KD-1 chromosome, complete genome</t>
  </si>
  <si>
    <t>Fusobacterium pseudoperiodonticum strain SB039 chromosome, complete genome</t>
  </si>
  <si>
    <t>CP071376.1    Clostridium gasigenes strain CGAS001 chromosome CGAS001, complete sequence</t>
  </si>
  <si>
    <t>Clostridium tagluense strain CM008 chromosome, complete genome</t>
  </si>
  <si>
    <t>CP071409.1    [Pantoea] beijingensis strain JZB2120001 chromosome, complete genome</t>
  </si>
  <si>
    <t>Clostridium estertheticum strain CF001 chromosome, complete genome</t>
  </si>
  <si>
    <t>CP071445.1    Sedimentibacter sp. zth1 chromosome, complete genome</t>
  </si>
  <si>
    <t>Clostridium estertheticum strain CF007 chromosome, complete genome</t>
  </si>
  <si>
    <t>CP072212.1    Bacteroides xylanisolvens strain CL11T00C41 chromosome, complete genome</t>
  </si>
  <si>
    <t>Clostridium estertheticum strain CF004 chromosome, complete genome</t>
  </si>
  <si>
    <t>CP072216.1    Bacteroides xylanisolvens strain CL11T00C03 chromosome, complete genome</t>
  </si>
  <si>
    <t>Clostridium sp. CM027 chromosome, complete genome</t>
  </si>
  <si>
    <t>CP072652.1    Serratia symbiotica strain 24.1 chromosome, complete genome</t>
  </si>
  <si>
    <t>Clostridium sp. CM028 chromosome, complete genome</t>
  </si>
  <si>
    <t>CP072742.1    Serratia fonticola strain R28 chromosome, complete genome</t>
  </si>
  <si>
    <t>Paraclostridium bifermentans strain DSM 14991 chromosome, complete genome</t>
  </si>
  <si>
    <t>CP073279.1    Clostridium beijerinckii strain CBEI chromosome, complete genome</t>
  </si>
  <si>
    <t>Paenibacillus sp. R14(2021) chromosome, complete genome</t>
  </si>
  <si>
    <t>CP074137.1    Serratia sp. JSRIV006 chromosome, complete genome</t>
  </si>
  <si>
    <t>Clostridium sporogenes strain FDAARGOS_1471 chromosome</t>
  </si>
  <si>
    <t>CP074140.1    Serratia sp. JSRIV004 chromosome, complete genome</t>
  </si>
  <si>
    <t>Clostridium sporogenes strain FDAARGOS_1470 chromosome</t>
  </si>
  <si>
    <t>CP074143.1    Serratia sp. JSRIV002 chromosome, complete genome</t>
  </si>
  <si>
    <t>Clostridium sporogenes strain FDAARGOS_1491 chromosome, complete genome</t>
  </si>
  <si>
    <t>CP074147.1    Serratia sp. JSRIV001 chromosome, complete genome</t>
  </si>
  <si>
    <t>Tepidimonas taiwanensis strain LMG 22826 chromosome, complete genome</t>
  </si>
  <si>
    <t>CP075183.1    Hydrogenophaga taeniospiralis strain LT2 chromosome, complete genome</t>
  </si>
  <si>
    <t>CP073653.1    Clostridium beijerinckii strain DSM 791 chromosome, complete genome</t>
  </si>
  <si>
    <t>Fusobacterium pseudoperiodonticum strain KCOM1322 chromosome, complete genome</t>
  </si>
  <si>
    <t>CP075932.1    Clostridium perfringens strain CPI 57K-1 chromosome, complete genome</t>
  </si>
  <si>
    <t>CP073819.1    Macrococcus epidermidis strain Epi3002-OL chromosome, complete genome</t>
  </si>
  <si>
    <t>Clostridium sporogenes strain FDAARGOS_1531 chromosome</t>
  </si>
  <si>
    <t>CP075941.1    Clostridium perfringens strain CPI 39-1a chromosome, complete genome</t>
  </si>
  <si>
    <t>Clostridium septicum strain FDAARGOS_1551 chromosome</t>
  </si>
  <si>
    <t>CP075945.1    Clostridium perfringens strain 955/85 chromosome, complete genome</t>
  </si>
  <si>
    <t>CP074138.1    Serratia sp. JSRIV006 plasmid pJSRIV006_1, complete sequence</t>
  </si>
  <si>
    <t>Clostridium estertheticum strain CF016 chromosome, complete genome</t>
  </si>
  <si>
    <t>CP075947.1    Clostridium perfringens strain C793 chromosome, complete genome</t>
  </si>
  <si>
    <t>Clostridium estertheticum strain CM034 chromosome, complete genome</t>
  </si>
  <si>
    <t>CP075950.1    Clostridium perfringens strain C746 chromosome, complete genome</t>
  </si>
  <si>
    <t>CP074141.1    Serratia sp. JSRIV004 plasmid pJSRIV004_1, complete sequence</t>
  </si>
  <si>
    <t>Clostridium tagluense strain CM022 chromosome, complete genome</t>
  </si>
  <si>
    <t>CP075956.1    Clostridium perfringens strain C645 chromosome, complete genome</t>
  </si>
  <si>
    <t>Clostridium estertheticum strain CF009 chromosome, complete genome</t>
  </si>
  <si>
    <t>CP075966.1    Clostridium perfringens strain 318/86 chromosome, complete genome</t>
  </si>
  <si>
    <t>CP074144.1    Serratia sp. JSRIV002 plasmid pJSRIV002_1, complete sequence</t>
  </si>
  <si>
    <t>Clostridium estertheticum strain CF003 chromosome, complete genome</t>
  </si>
  <si>
    <t>CP075973.1    Clostridium perfringens strain C216 chromosome</t>
  </si>
  <si>
    <t>Clostridium sp. CF011 chromosome, complete genome</t>
  </si>
  <si>
    <t>CP075977.1    Clostridium perfringens strain 20/85 chromosome</t>
  </si>
  <si>
    <t>CP074148.1    Serratia sp. JSRIV001 plasmid pJSRIV001_1, complete sequence</t>
  </si>
  <si>
    <t>Clostridium estertheticum strain DSM 14864 chromosome, complete genome</t>
  </si>
  <si>
    <t>CP075979.1    Clostridium perfringens strain CPI 18-6 chromosome</t>
  </si>
  <si>
    <t>Clostridium estertheticum strain CEST001 chromosome, complete genome</t>
  </si>
  <si>
    <t>CP075992.1    Clostridium perfringens strain AAD1903a chromosome</t>
  </si>
  <si>
    <t>Clostridium sporogenes strain LHA6 chromosome, complete genome</t>
  </si>
  <si>
    <t>CP076361.1    Gemmobacter fulvus strain con5 chromosome, complete genome</t>
  </si>
  <si>
    <t>MAG: Sulfurimonas sp. isolate MAG-12 chromosome</t>
  </si>
  <si>
    <t>CP076620.1    Clostridium cadaveris strain IFB3C5 chromosome, complete genome</t>
  </si>
  <si>
    <t>Clostridium sp. BJN0001 chromosome, complete genome</t>
  </si>
  <si>
    <t>CP077605.1    Clostridium tagluense strain CM008 chromosome, complete genome</t>
  </si>
  <si>
    <t>Clostridium botulinum strain FE9504ACG chromosome, complete genome</t>
  </si>
  <si>
    <t>CP077618.1    Clostridium estertheticum strain CF007 chromosome, complete genome</t>
  </si>
  <si>
    <t>Clostridium felsineum DSM 794 chromosome, complete genome</t>
  </si>
  <si>
    <t>CP077628.1    Clostridium estertheticum strain CF004 chromosome, complete genome</t>
  </si>
  <si>
    <t>CP076004.1    Clostridium perfringens strain 1293/86 chromosome</t>
  </si>
  <si>
    <t>Clostridium felsineum strain DSM 7320 chromosome, complete genome</t>
  </si>
  <si>
    <t>CP077725.1    Clostridium sp. CM027 chromosome, complete genome</t>
  </si>
  <si>
    <t>CP076376.1    Clostridioides difficile strain S-0942 chromosome, complete genome</t>
  </si>
  <si>
    <t>Clostridium felsineum strain DSM 6424 chromosome, complete genome</t>
  </si>
  <si>
    <t>CP077766.1    Clostridium sp. CM028 chromosome, complete genome</t>
  </si>
  <si>
    <t>Clostridium felsineum strain DSM 793 chromosome, complete genome</t>
  </si>
  <si>
    <t>CP078093.1    Crassaminicella indica strain 143-21 chromosome, complete genome</t>
  </si>
  <si>
    <t>Citrobacter freundii strain RHB43-C17 chromosome, complete genome</t>
  </si>
  <si>
    <t>CP082326.1    Crassaminicella profunda strain Ra1766H chromosome, complete genome</t>
  </si>
  <si>
    <t>CP077615.1    Clostridium estertheticum strain CF001 chromosome, complete genome</t>
  </si>
  <si>
    <t>Clostridium septicum strain RMA 8861 chromosome, complete genome</t>
  </si>
  <si>
    <t>CP082942.1    Clostridium sporogenes strain FDAARGOS_1471 chromosome</t>
  </si>
  <si>
    <t>Terrisporobacter mayombei strain DSM 6539 chromosome, complete genome</t>
  </si>
  <si>
    <t>CP082943.1    Clostridium sporogenes strain FDAARGOS_1470 chromosome</t>
  </si>
  <si>
    <t>Clostridium perfringens strain JXNC-3B chromosome, complete genome</t>
  </si>
  <si>
    <t>CP083649.1    Clostridium sporogenes strain FDAARGOS_1491 chromosome, complete genome</t>
  </si>
  <si>
    <t>Clostridium botulinum strain FE9508BPD chromosome, complete genome</t>
  </si>
  <si>
    <t>CP084367.1    Clostridium sporogenes strain FDAARGOS_1531 chromosome</t>
  </si>
  <si>
    <t>CP079737.1    Paraclostridium bifermentans strain DSM 14991 chromosome, complete genome</t>
  </si>
  <si>
    <t>Clostridium botulinum strain PA9508B chromosome, complete genome</t>
  </si>
  <si>
    <t>CP085713.1    Cytobacillus solani strain F27 plasmid unnamed, complete sequence</t>
  </si>
  <si>
    <t>CP079984.1    Macrococcoides bohemicum strain 19Msa0383 chromosome, complete genome</t>
  </si>
  <si>
    <t>Comamonas endophytica strain 5MLIR chromosome, complete genome</t>
  </si>
  <si>
    <t>CP085860.1    Serratia marcescens strain MV-u1-SK1-O chromosome, complete genome</t>
  </si>
  <si>
    <t>Eleftheria terrae strain P9846-PB chromosome, complete genome</t>
  </si>
  <si>
    <t>CP086003.1    Clostridium septicum strain FDAARGOS_1551 chromosome</t>
  </si>
  <si>
    <t>Clostridium beijerinckii strain CloBei18h chromosome, complete genome</t>
  </si>
  <si>
    <t>CP086140.1    Clostridium estertheticum strain CF016 chromosome, complete genome</t>
  </si>
  <si>
    <t>CP083911.1    Tepidimonas taiwanensis strain LMG 22826 chromosome, complete genome</t>
  </si>
  <si>
    <t>Serratia sp. UGAL515B_01 chromosome, complete genome</t>
  </si>
  <si>
    <t>CP086155.1    Clostridium tagluense strain CM022 chromosome, complete genome</t>
  </si>
  <si>
    <t>Clostridium kluyveri strain BJN0002 chromosome, complete genome</t>
  </si>
  <si>
    <t>CP086246.1    Clostridium sp. CF011 chromosome, complete genome</t>
  </si>
  <si>
    <t>CP084413.1    Pseudomonas sp. HS-18 chromosome, complete genome</t>
  </si>
  <si>
    <t>Clostridium pasteurianum strain UCM B-7570 chromosome, complete genome</t>
  </si>
  <si>
    <t>CP090904.1    Clostridium sporogenes strain LHA6 chromosome, complete genome</t>
  </si>
  <si>
    <t>Citrobacter sp. C6_2 chromosome, complete genome</t>
  </si>
  <si>
    <t>CP091120.1    Serratia marcescens strain CM2019_254 chromosome, complete genome</t>
  </si>
  <si>
    <t>Citrobacter sp. C6_1 chromosome, complete genome</t>
  </si>
  <si>
    <t>CP093024.1    Pseudomonas aeruginosa strain H06 chromosome</t>
  </si>
  <si>
    <t>CP086156.1    Clostridium tagluense strain CM022 plasmid pCM022-183, complete sequence</t>
  </si>
  <si>
    <t>Oceanirhabdus sp. W0125-5 chromosome, complete genome</t>
  </si>
  <si>
    <t>CP096041.1    Clostridium botulinum strain FE9504ACG chromosome, complete genome</t>
  </si>
  <si>
    <t>Ramlibacter tataouinensis strain DMF-7 chromosome, complete genome</t>
  </si>
  <si>
    <t>CP096983.1    Clostridium felsineum strain DSM 7320 chromosome, complete genome</t>
  </si>
  <si>
    <t>CP087098.1    Clostridium estertheticum strain CEST001 chromosome, complete genome</t>
  </si>
  <si>
    <t>Clostridium perfringens D strain FU17 chromosome, complete genome</t>
  </si>
  <si>
    <t>CP096986.1    Clostridium felsineum strain DSM 6424 chromosome, complete genome</t>
  </si>
  <si>
    <t>Serratia proteamaculans strain CD3406 chromosome, complete genome</t>
  </si>
  <si>
    <t>CP097900.1    Serratia marcescens strain Bup chromosome, complete genome</t>
  </si>
  <si>
    <t>CP094933.1    Paraclostridium bifermentans strain HD0315_2 chromosome, complete genome</t>
  </si>
  <si>
    <t>Ruminiclostridium papyrosolvens DSM 2782 chromosome, complete genome</t>
  </si>
  <si>
    <t>CP099799.1    Clostridium septicum strain RMA 8861 chromosome, complete genome</t>
  </si>
  <si>
    <t>Clostridium perfringens strain Cp1 chromosome, complete genome</t>
  </si>
  <si>
    <t>CP101407.1    Parvimonas micra strain PM79KC-G-1 chromosome, complete genome</t>
  </si>
  <si>
    <t>Clostridium perfringens strain ENRHS3 chromosome, complete genome</t>
  </si>
  <si>
    <t>CP101408.1    Parvimonas micra strain PM79KC-AC-2 chromosome, complete genome</t>
  </si>
  <si>
    <t>CP097562.1    Mucispirillum schaedleri ASF457 chromosome, complete genome</t>
  </si>
  <si>
    <t>Clostridium perfringens strain ENRHS7 chromosome, complete genome</t>
  </si>
  <si>
    <t>CP101412.1    Parvimonas micra strain PM102KC-G-1 chromosome, complete genome</t>
  </si>
  <si>
    <t>Clostridium perfringens strain ENRHS4 chromosome, complete genome</t>
  </si>
  <si>
    <t>CP101413.1    Parvimonas micra strain PM114KC-AC-1 chromosome, complete genome</t>
  </si>
  <si>
    <t>CP100764.1    Serratia plymuthica strain SASK2000 chromosome, complete genome</t>
  </si>
  <si>
    <t>Clostridium intestinale strain PC17 chromosome, complete genome</t>
  </si>
  <si>
    <t>CP102273.1    Intestinibacter bartlettii strain DSM 16795 chromosome, complete genome</t>
  </si>
  <si>
    <t>Microbacterium proteolyticum strain ustc chromosome, complete genome</t>
  </si>
  <si>
    <t>CP102300.1    Clostridium perfringens strain JXNC-3B chromosome, complete genome</t>
  </si>
  <si>
    <t>Clostridium botulinum strain BT-22100019 chromosome, complete genome</t>
  </si>
  <si>
    <t>CP102416.1    Clostridium perfringens strain JXNC-B4 chromosome, complete genome</t>
  </si>
  <si>
    <t>Clostridium baratii strain C201 chromosome, complete genome</t>
  </si>
  <si>
    <t>CP102420.1    Clostridium perfringens strain JXNC-J1 chromosome, complete genome</t>
  </si>
  <si>
    <t>Clostridium baratii strain C148 chromosome, complete genome</t>
  </si>
  <si>
    <t>CP103206.1    Bacteroides xylanisolvens strain BFG-566 chromosome, complete genome</t>
  </si>
  <si>
    <t>Clostridium baratii strain C146 chromosome, complete genome</t>
  </si>
  <si>
    <t>CP104581.1    Delftia tsuruhatensis strain GD03927 chromosome, complete genome</t>
  </si>
  <si>
    <t>CP102909.1    Clostridium botulinum strain FE9508BPD chromosome, complete genome</t>
  </si>
  <si>
    <t>Paraclostridium bifermentans strain SampleS7P1 isolate gram staining chromosome, complete genome</t>
  </si>
  <si>
    <t>CP104835.1    Achromobacter xylosoxidans strain 2021CK-01139 chromosome, complete genome</t>
  </si>
  <si>
    <t>CP102917.1    Clostridium botulinum strain PA9508B chromosome, complete genome</t>
  </si>
  <si>
    <t>Alicycliphilus denitrificans strain Ylb10 chromosome, complete genome</t>
  </si>
  <si>
    <t>CP106926.1    Clostridium perfringens strain MFDS1012647 chromosome, complete genome</t>
  </si>
  <si>
    <t>Microbacterium sp. zg-B185 chromosome, complete genome</t>
  </si>
  <si>
    <t>CP107022.1    Clostridium beijerinckii strain CloBei18h chromosome, complete genome</t>
  </si>
  <si>
    <t>Clostridium septicum strain WW106 chromosome, complete genome</t>
  </si>
  <si>
    <t>CP107547.1    Oceanotoga sp. DSM 15011 chromosome, complete genome</t>
  </si>
  <si>
    <t>Clostridium sp. JS66 chromosome, complete genome</t>
  </si>
  <si>
    <t>CP109901.1    Serratia sp. UGAL515B_01 chromosome, complete genome</t>
  </si>
  <si>
    <t>Citrobacter youngae strain UL-CPE-01 chromosome, complete genome</t>
  </si>
  <si>
    <t>CP109906.1    Delftia sp. UGAL515B_04 chromosome, complete genome</t>
  </si>
  <si>
    <t>CP109900.1    Serratia sp. UGAL515B_01 plasmid unnamed, complete sequence</t>
  </si>
  <si>
    <t>Paenibacillus silvisoli strain TW38 chromosome, complete genome</t>
  </si>
  <si>
    <t>CP109947.1    Pectobacterium cacticida strain CFCC10813 chromosome, complete genome</t>
  </si>
  <si>
    <t>Clostridium sp. MB40-C1 chromosome, complete genome</t>
  </si>
  <si>
    <t>CP110856.1    Clostridium kluyveri strain BJN0002 chromosome, complete genome</t>
  </si>
  <si>
    <t>Clostridium sp. OS1-26 chromosome, complete genome</t>
  </si>
  <si>
    <t>CP115775.1    Paracoccus albus strain SCSIO 80058 chromosome, complete genome</t>
  </si>
  <si>
    <t>CP109957.1    Clostridium perfringens strain 25037-CP01 chromosome, complete genome</t>
  </si>
  <si>
    <t>Serratia fonticola strain NEB369 chromosome, complete genome</t>
  </si>
  <si>
    <t>CP115913.1    Oceanirhabdus sp. W0125-5 chromosome, complete genome</t>
  </si>
  <si>
    <t>CP110420.1    Clostridium autoethanogenum strain S232868 chromosome, complete genome</t>
  </si>
  <si>
    <t>Clostridium perfringens strain 2019-01-3502-1_1 chromosome, complete genome</t>
  </si>
  <si>
    <t>CP116430.1    Clostridium perfringens D strain NCTC8346 chromosome, complete genome</t>
  </si>
  <si>
    <t>CP110473.1    Pantoea anthophila strain CL1 chromosome, complete genome</t>
  </si>
  <si>
    <t>Acidovorax sp. BLS4 chromosome, complete genome</t>
  </si>
  <si>
    <t>CP116902.1    Aneurinibacillus uraniidurans strain B1 chromosome, complete genome</t>
  </si>
  <si>
    <t>Ottowia sp. SB7-C50 chromosome, complete genome</t>
  </si>
  <si>
    <t>CP117523.1    Terrisporobacter glycolicus ATCC 14880 = DSM 1288 chromosome, complete genome</t>
  </si>
  <si>
    <t>CP112872.1    Clostridium pasteurianum strain UCM B-7570 chromosome, complete genome</t>
  </si>
  <si>
    <t>Clostridium perfringens strain DQ21 chromosome, complete genome</t>
  </si>
  <si>
    <t>CP117677.1    Caloramator sp. mosi_1 chromosome, complete genome</t>
  </si>
  <si>
    <t>Hydrogenophaga sp. SNF1 chromosome, complete genome</t>
  </si>
  <si>
    <t>CP117886.1    Serratia ureilytica strain KML.E1 chromosome, complete genome</t>
  </si>
  <si>
    <t>Clostridium perfringens strain SXD-8213 chromosome, complete genome</t>
  </si>
  <si>
    <t>CP118008.1    Clostridium perfringens strain OB21 TSA 19 chromosome, complete genome</t>
  </si>
  <si>
    <t>CP116434.1    Clostridium perfringens D strain SHDS0050 chromosome, complete genome</t>
  </si>
  <si>
    <t>Clostridium perfringens strain CQ92 chromosome, complete genome</t>
  </si>
  <si>
    <t>CP120677.1    Tissierella sp. Yu-01 chromosome, complete genome</t>
  </si>
  <si>
    <t>CP118523.1    Clostridiaceae bacterium M8S5 chromosome, complete genome</t>
  </si>
  <si>
    <t>Acidovorax temperans strain AA22 chromosome</t>
  </si>
  <si>
    <t>CP120733.1    Tepidibacter hydrothermalis strain SWIR-1 chromosome, complete genome</t>
  </si>
  <si>
    <t>CP119188.1    Clostridium perfringens strain 21-D-5 chromosome, complete genome</t>
  </si>
  <si>
    <t>Clostridium perfringens strain Z1323HCP0083 chromosome, complete genome</t>
  </si>
  <si>
    <t>CP120747.1    Clostridium perfringens strain ENRHS7 chromosome, complete genome</t>
  </si>
  <si>
    <t>CP119677.1    Ruminiclostridium papyrosolvens DSM 2782 chromosome, complete genome</t>
  </si>
  <si>
    <t>Clostridium perfringens strain Z1323HCP0044 chromosome, complete genome</t>
  </si>
  <si>
    <t>CP120756.1    Clostridium perfringens strain ENRHS4 chromosome, complete genome</t>
  </si>
  <si>
    <t>CP120376.1    Pseudomonas nitroreducens strain L4 chromosome, complete genome</t>
  </si>
  <si>
    <t>Clostridium perfringens strain Z1322WCP0014 chromosome, complete genome</t>
  </si>
  <si>
    <t>CP120956.1    Delftia tsuruhatensis strain Ery-6A chromosome, complete genome</t>
  </si>
  <si>
    <t>Clostridium perfringens strain Z1322PCP0092 chromosome, complete genome</t>
  </si>
  <si>
    <t>CP121166.1    Clostridium intestinale strain PC17 chromosome, complete genome</t>
  </si>
  <si>
    <t>CP120753.1    Clostridium perfringens strain ENRHS16 chromosome, complete genome</t>
  </si>
  <si>
    <t>Clostridium perfringens strain Z1322PCP0088 chromosome, complete genome</t>
  </si>
  <si>
    <t>CP121274.1    Microbacterium proteolyticum strain ustc chromosome, complete genome</t>
  </si>
  <si>
    <t>Clostridium perfringens strain Z1322PCP0062 chromosome, complete genome</t>
  </si>
  <si>
    <t>CP123523.1    Arsenophonus nasoniae strain aNv_CAN chromosome, complete genome</t>
  </si>
  <si>
    <t>Clostridium perfringens strain Z1322PCP0055 chromosome, complete genome</t>
  </si>
  <si>
    <t>CP124285.1    Paraclostridium sordellii strain C128 chromosome, complete genome</t>
  </si>
  <si>
    <t>CP121687.1    Defluviitalea saccharophila strain LIND6LT2 chromosome, complete genome</t>
  </si>
  <si>
    <t>Clostridium perfringens strain Z1322PCP0054 chromosome, complete genome</t>
  </si>
  <si>
    <t>CP124287.1    Paraclostridium sordellii strain C125 chromosome</t>
  </si>
  <si>
    <t>CP121696.1    Clostridium botulinum strain BT-22100019 chromosome, complete genome</t>
  </si>
  <si>
    <t>Clostridium perfringens strain Z1322PCP0048 chromosome, complete genome</t>
  </si>
  <si>
    <t>CP124297.1    Clostridium baratii strain C202 chromosome, complete genome</t>
  </si>
  <si>
    <t>CP124281.1    Paraclostridium sordellii strain C171 chromosome, complete genome</t>
  </si>
  <si>
    <t>Clostridium perfringens strain Z1322HCP0014 chromosome, complete genome</t>
  </si>
  <si>
    <t>CP124306.1    Clostridium baratii strain C201 chromosome, complete genome</t>
  </si>
  <si>
    <t>Clostridium perfringens strain Z1322HCP0002 chromosome, complete genome</t>
  </si>
  <si>
    <t>CP124314.1    Clostridium baratii strain C162 chromosome, complete genome</t>
  </si>
  <si>
    <t>Paenibacillus sp. FSL W8-0194 chromosome, complete genome</t>
  </si>
  <si>
    <t>CP124315.1    Clostridium baratii strain C161 chromosome</t>
  </si>
  <si>
    <t>Paenibacillus sp. FSL K6-3182 chromosome, complete genome</t>
  </si>
  <si>
    <t>CP124317.1    Clostridium baratii strain C148 chromosome, complete genome</t>
  </si>
  <si>
    <t>Paenibacillus sp. FSL H8-0548 chromosome, complete genome</t>
  </si>
  <si>
    <t>CP124318.1    Clostridium baratii strain C146 chromosome, complete genome</t>
  </si>
  <si>
    <t>Xylophilus sp. GW821-FHT01B05 chromosome, complete genome</t>
  </si>
  <si>
    <t>CP124319.1    Clostridium baratii strain C110 chromosome, complete genome</t>
  </si>
  <si>
    <t>Hydrogenophaga sp. ANAO-22 chromosome, complete genome</t>
  </si>
  <si>
    <t>CP124535.1    Fuscovulum ytuae strain YMD61 chromosome, complete genome</t>
  </si>
  <si>
    <t>Microbacterium proteolyticum strain ZJSU01 chromosome, complete genome</t>
  </si>
  <si>
    <t>CP124685.1    Paraclostridium bifermentans strain SampleS7P1 isolate gram staining chromosome, complete genome</t>
  </si>
  <si>
    <t>Paraclostridium ghonii strain NCTR 3900 chromosome, complete genome</t>
  </si>
  <si>
    <t>CP125967.1    Pectobacterium cacticida strain DPMP6 chromosome, complete genome</t>
  </si>
  <si>
    <t>Metabacillus halosaccharovorans strain Hao 2024 chromosome, complete genome</t>
  </si>
  <si>
    <t>CP126462.1    Caminicella sporogenes strain HV-G chromosome, complete genome</t>
  </si>
  <si>
    <t>Enterobacter cloacae strain 01 chromosome, complete genome</t>
  </si>
  <si>
    <t>CP126739.1    Microbacterium sp. zg-B185 chromosome, complete genome</t>
  </si>
  <si>
    <t>CP126075.1    Clostridioides difficile strain CDI-02 chromosome, complete genome</t>
  </si>
  <si>
    <t>Serratia fonticola strain APR_SAGR1 chromosome</t>
  </si>
  <si>
    <t>CP128863.1    Pectobacteriaceae bacterium CE70 chromosome, complete genome</t>
  </si>
  <si>
    <t>CP126110.1    Neobacillus sp. WH10 chromosome, complete genome</t>
  </si>
  <si>
    <t>Serratia fonticola strain APR_SAGR2 chromosome</t>
  </si>
  <si>
    <t>CP129116.1    Pectobacteriaceae bacterium C80 chromosome, complete genome</t>
  </si>
  <si>
    <t>CP126314.1    Pantoea allii strain O64c chromosome, complete genome</t>
  </si>
  <si>
    <t>Hydrogenophaga sp. UC242_53 chromosome, complete genome</t>
  </si>
  <si>
    <t>CP131445.1    Clostridium septicum strain WW106 chromosome, complete genome</t>
  </si>
  <si>
    <t>CP128153.1    Bacillus sp. DX3.1 chromosome, complete genome</t>
  </si>
  <si>
    <t>Hydrogenophaga sp. UC242_50 chromosome</t>
  </si>
  <si>
    <t>CP131467.1    Clostridium sp. JS66 chromosome, complete genome</t>
  </si>
  <si>
    <t>CP129019.1    Mesobacillus subterraneus strain KcN21-5 chromosome, complete genome</t>
  </si>
  <si>
    <t>Clostridium sp. HCS.1 chromosome, complete genome</t>
  </si>
  <si>
    <t>CP132135.1    Eubacterium callanderi strain DSM 2593 chromosome, complete genome</t>
  </si>
  <si>
    <t>CP129194.1    Malacoplasma iowae strain M822 chromosome, complete genome</t>
  </si>
  <si>
    <t>Cohnella sp. WGS1546 chromosome, complete genome</t>
  </si>
  <si>
    <t>CP132136.1    Eubacterium callanderi strain DSM 2594 chromosome, complete genome</t>
  </si>
  <si>
    <t>CP129195.1    Malacoplasma iowae strain M821 chromosome, complete genome</t>
  </si>
  <si>
    <t>Clostridium culturomicium strain WGS1527 chromosome, complete genome</t>
  </si>
  <si>
    <t>CP132137.1    Eubacterium callanderi strain DSM 107592 chromosome, complete genome</t>
  </si>
  <si>
    <t>CP129196.1    Malacoplasma iowae strain M820 chromosome, complete genome</t>
  </si>
  <si>
    <t>Limnohabitans sp. YIMB22184 chromosome, complete genome</t>
  </si>
  <si>
    <t>CP132344.1    Clostridium butyricum strain CBM588 chromosome, complete genome</t>
  </si>
  <si>
    <t>CP129197.1    Malacoplasma iowae strain M819 chromosome, complete genome</t>
  </si>
  <si>
    <t>Haloimpatiens lingqiaonensis strain KCTC 15321 chromosome, complete genome</t>
  </si>
  <si>
    <t>CP133189.1    Clostridium sp. MB40-C1 chromosome, complete genome</t>
  </si>
  <si>
    <t>Yersinia similis strain SCPM-O-B-14837 (R104) chromosome, complete genome</t>
  </si>
  <si>
    <t>CP133264.1    Clostridium sp. OS1-26 chromosome, complete genome</t>
  </si>
  <si>
    <t>Serratia aquatilis strain 2015-2462-01 chromosome, complete genome</t>
  </si>
  <si>
    <t>CP133586.1    Serratia fonticola strain NEB369 chromosome, complete genome</t>
  </si>
  <si>
    <t>Clostridium sp. MB05 chromosome, complete genome</t>
  </si>
  <si>
    <t>CP133656.1    Pectobacterium cacticida strain CFBP3628 chromosome, complete genome</t>
  </si>
  <si>
    <t>CP132905.1    MAG: Arsenophonus sp. isolate K9a chromosome, complete genome</t>
  </si>
  <si>
    <t>Clostridium sporogenes strain DSM 46279 chromosome, complete genome</t>
  </si>
  <si>
    <t>CP136052.1    Oscillospiraceae bacterium NTUH-002-81 chromosome, complete genome</t>
  </si>
  <si>
    <t>Clostridium sp. FAM 27665 chromosome, complete genome</t>
  </si>
  <si>
    <t>CP136571.1    MAG: Fuscovulum sp. isolate GU0601_MAG2 chromosome, complete genome</t>
  </si>
  <si>
    <t>Clostridium sp. FAM 1755 chromosome, complete genome</t>
  </si>
  <si>
    <t>CP139793.1    Hydrogenophaga sp. SNF1 chromosome, complete genome</t>
  </si>
  <si>
    <t>Clostridium tyrobutyricum strain DS1 chromosome, complete genome</t>
  </si>
  <si>
    <t>CP141274.1    Delftia lacustris strain DSM 21246 chromosome, complete genome</t>
  </si>
  <si>
    <t>CP133819.1    Clostridioides difficile strain TDS118 chromosome, complete genome</t>
  </si>
  <si>
    <t>Clostridium perfringens strain XZ-E1 chromosome, complete genome</t>
  </si>
  <si>
    <t>CP144906.1    Clostridium beijerinckii strain BRM001 chromosome, complete genome</t>
  </si>
  <si>
    <t>CP134229.1    Clostridium perfringens strain 2019-01-3502-1_1 chromosome, complete genome</t>
  </si>
  <si>
    <t>MAG: Clostridium sp. isolate UW_FK_CLOS2_1 chromosome</t>
  </si>
  <si>
    <t>CP148638.1    Clostridium perfringens strain Z1323HCP0031 chromosome, complete genome</t>
  </si>
  <si>
    <t>CP134262.1    Clostridium perfringens strain 2019-01-3486-1_1 chromosome, complete genome</t>
  </si>
  <si>
    <t>Delftia sp. PS-11 chromosome, complete genome</t>
  </si>
  <si>
    <t>CP148684.1    Clostridium perfringens strain Z1322WCP0013 chromosome, complete genome</t>
  </si>
  <si>
    <t>CP134492.1    Bacillaceae bacterium IKA-2 chromosome, complete genome</t>
  </si>
  <si>
    <t>Clostridium isatidis strain BK32 chromosome, complete genome</t>
  </si>
  <si>
    <t>CP148701.1    Clostridium perfringens strain Z1322PCP0092 chromosome, complete genome</t>
  </si>
  <si>
    <t>CP134494.1    Mesobacillus jeotgali strain PS1 chromosome, complete genome</t>
  </si>
  <si>
    <t>Serratia fonticola strain GTA-SR07 chromosome, complete genome</t>
  </si>
  <si>
    <t>CP148710.1    Clostridium perfringens strain Z1322PCP0062 chromosome, complete genome</t>
  </si>
  <si>
    <t>CP135919.1    Pseudomonas sp. C9-3 chromosome, complete genome</t>
  </si>
  <si>
    <t>Clostridium perfringens strain XZ-C1 chromosome, complete genome</t>
  </si>
  <si>
    <t>CP148712.1    Clostridium perfringens strain Z1322PCP0055 chromosome, complete genome</t>
  </si>
  <si>
    <t>CP136016.1    Serratia inhibens strain CCGG2742 chromosome, complete genome</t>
  </si>
  <si>
    <t>Clostridium perfringens strain XZ-A2 chromosome, complete genome</t>
  </si>
  <si>
    <t>CP148716.1    Clostridium perfringens strain Z1322PCP0054 chromosome, complete genome</t>
  </si>
  <si>
    <t>Terrisporobacter petrolearius strain IIB7 chromosome, complete genome</t>
  </si>
  <si>
    <t>CP148720.1    Clostridium perfringens strain Z1322PCP0048 chromosome, complete genome</t>
  </si>
  <si>
    <t>Candidatus Pristimantibacillus sp. PTI5 chromosome, complete genome</t>
  </si>
  <si>
    <t>CP148725.1    Clostridium perfringens strain Z1322HCP0014 chromosome, complete genome</t>
  </si>
  <si>
    <t>CP143271.1    Clostridium perfringens strain P201 chromosome, complete genome</t>
  </si>
  <si>
    <t>Serratia fonticola strain DEST-2 chromosome</t>
  </si>
  <si>
    <t>CP150486.1    Serratia sp. PAMC26656 chromosome, complete genome</t>
  </si>
  <si>
    <t>CP143277.1    Clostridium perfringens strain SXD-8213 chromosome, complete genome</t>
  </si>
  <si>
    <t>Serratia fonticola strain 24-1 chromosome</t>
  </si>
  <si>
    <t>CP150979.1    Lysinibacillus fusiformis strain LFUG chromosome, complete genome</t>
  </si>
  <si>
    <t>CP143534.1    Clostridium perfringens strain CQ92 chromosome, complete genome</t>
  </si>
  <si>
    <t>Serratia fonticola strain 16a-1 chromosome</t>
  </si>
  <si>
    <t>CP151972.1    Paenibacillus sp. FSL H7-0350 chromosome, complete genome</t>
  </si>
  <si>
    <t>CP143870.1    Clostridium botulinum A strain RFBIO-Honey-B6 chromosome, complete genome</t>
  </si>
  <si>
    <t>Tepidimonas sp. HKU77 chromosome, complete genome</t>
  </si>
  <si>
    <t>CP152376.1    Rhodoferax sp. GW822-FHT02A01 chromosome, complete genome</t>
  </si>
  <si>
    <t>Tepidimonas sp. HKU79 chromosome, complete genome</t>
  </si>
  <si>
    <t>CP159956.1    Hydrogenophaga sp. ANAO-22 chromosome, complete genome</t>
  </si>
  <si>
    <t>CP147403.1    Metabacillus rhizosphaerae strain FJAT-53654 chromosome</t>
  </si>
  <si>
    <t>Halarcobacter ebronensis strain 5MF chromosome, complete genome</t>
  </si>
  <si>
    <t>CP160455.1    Microbacterium proteolyticum strain ZJSU01 chromosome, complete genome</t>
  </si>
  <si>
    <t>CP148633.1    Clostridium perfringens strain Z1323HCP0033 chromosome, complete genome</t>
  </si>
  <si>
    <t>Tenacibaculum ascidiaceicola strain CLAM15 chromosome, complete genome</t>
  </si>
  <si>
    <t>CP161000.1    Paraclostridium ghonii strain NCTR 3900 chromosome, complete genome</t>
  </si>
  <si>
    <t>Tepidimonas sp. HKU78 chromosome, complete genome</t>
  </si>
  <si>
    <t>CP162495.1    Clostridium sp. BJN0013 chromosome, complete genome</t>
  </si>
  <si>
    <t>Alloiococcus sp. CFN-8 chromosome, complete genome</t>
  </si>
  <si>
    <t>CP166038.1    Pseudomonas aeruginosa strain A31005 chromosome, complete genome</t>
  </si>
  <si>
    <t>CP148705.1    Clostridium perfringens strain Z1322PCP0088 chromosome, complete genome</t>
  </si>
  <si>
    <t>Paraclostridium tenue strain Pt517 chromosome, complete genome</t>
  </si>
  <si>
    <t>CP169073.1    Delftia lacustris strain ZWP15 chromosome, complete genome</t>
  </si>
  <si>
    <t>CP149744.1    Clostridioides difficile strain Z1322HCD0043 chromosome, complete genome</t>
  </si>
  <si>
    <t>Aedes aegypti mitochondrion, complete genome</t>
  </si>
  <si>
    <t>CP169383.1    Clostridium perfringens strain CpfQ chromosome, complete genome</t>
  </si>
  <si>
    <t>CP151943.1    Neobacillus sp. FSL H8-0543 chromosome, complete genome</t>
  </si>
  <si>
    <t>Clostridium sticklandii str. DSM 519 chromosome, complete genome</t>
  </si>
  <si>
    <t>CP170552.1    Hydrogenophaga sp. UC242_53 chromosome, complete genome</t>
  </si>
  <si>
    <t>CP151947.1    Lysinibacillus sp. FSL K6-0075 chromosome, complete genome</t>
  </si>
  <si>
    <t>Butyrivibrio fibrisolvens 16/4 draft genome</t>
  </si>
  <si>
    <t>CP170553.1    Hydrogenophaga sp. UC242_50 chromosome</t>
  </si>
  <si>
    <t>CP152047.1    Lysinibacillus sp. FSL K6-0057 chromosome, complete genome</t>
  </si>
  <si>
    <t>Clostridium tetani 12124569 main chromosome, complete genome</t>
  </si>
  <si>
    <t>CP170704.1    Clostridium sp. HCS.1 chromosome, complete genome</t>
  </si>
  <si>
    <t>CP152050.1    Paenisporosarcina sp. FSL H8-0542 chromosome, complete genome</t>
  </si>
  <si>
    <t>Clostridium carboxidivorans P7 phosphate acetyltransferase and acetate kinase genes, complete cds</t>
  </si>
  <si>
    <t>CP171113.1    Clostridium culturomicium strain WGS1527 chromosome, complete genome</t>
  </si>
  <si>
    <t>CP154859.1    Thauera sp. JM12B12 chromosome, complete genome</t>
  </si>
  <si>
    <t>Romboutsia ilealis strain CRIB genome assembly, chromosome: chr1</t>
  </si>
  <si>
    <t>CP171997.1    Acidovorax delafieldii strain UC81_30 chromosome, complete genome</t>
  </si>
  <si>
    <t>CP158631.1    Yersinia intermedia strain SCPM-O-B-8114 (334) plasmid pB-8114, complete sequence</t>
  </si>
  <si>
    <t>Clostridium beijerinckii isolate C. beijerinckii DSM 6423 genome assembly, chromosome: I</t>
  </si>
  <si>
    <t>CP172402.1    Haloimpatiens lingqiaonensis strain KCTC 15321 chromosome, complete genome</t>
  </si>
  <si>
    <t>Yersinia pseudotuberculosis strain NCTC8480 genome assembly, chromosome: 1</t>
  </si>
  <si>
    <t>CP173107.1    Yersinia similis strain SCPM-O-B-14837 (R104) chromosome, complete genome</t>
  </si>
  <si>
    <t>Hathewaya histolytica strain NCTC503 genome assembly, chromosome: 1</t>
  </si>
  <si>
    <t>CP173186.1    Serratia aquatilis strain 2015-2462-01 chromosome, complete genome</t>
  </si>
  <si>
    <t>Variovorax sp. RA8 genome assembly, chromosome: 1</t>
  </si>
  <si>
    <t>CP174102.1    Clostridium ljungdahlii strain 240531 chromosome, complete genome</t>
  </si>
  <si>
    <t>CP165965.1    Bacillus manliponensis strain jeju3-1 chromosome, complete genome</t>
  </si>
  <si>
    <t>Variovorax sp. SRS16 genome assembly, chromosome: 1</t>
  </si>
  <si>
    <t>CP174103.1    Mutant Clostridium ljungdahlii isolate delaor1, complete genome</t>
  </si>
  <si>
    <t>CP167065.1    Serratia fonticola strain APR_SAGR1 chromosome</t>
  </si>
  <si>
    <t>Variovorax sp. PBL-E5 genome assembly, chromosome: 1</t>
  </si>
  <si>
    <t>CP174104.1    Mutant Clostridium ljungdahlii isolate delaor2, complete genome</t>
  </si>
  <si>
    <t>CP167066.1    Serratia fonticola strain APR_SAGR2 chromosome</t>
  </si>
  <si>
    <t>Variovorax sp. PBS-H4 genome assembly, chromosome: 1</t>
  </si>
  <si>
    <t>CP174105.1    Mutant Clostridium ljungdahlii isolate delaor1aor2, complete genome</t>
  </si>
  <si>
    <t>CP168493.1    Psychrobacillus sp. L3 chromosome, complete genome</t>
  </si>
  <si>
    <t>Variovorax sp. WDL1 genome assembly, chromosome: 1</t>
  </si>
  <si>
    <t>CP174370.1    Clostridium sp. MB05 chromosome, complete genome</t>
  </si>
  <si>
    <t>Clostridium perfringens strain 4928STDY7387940 genome assembly, chromosome: 1</t>
  </si>
  <si>
    <t>CP174547.1    Brucella pseudogrignonensis strain VSPL.as chromosome 2, complete sequence</t>
  </si>
  <si>
    <t>CP170496.1    Bacillus thuringiensis strain IPPBIOTSUC-1012 plasmid pBT1012-1, complete sequence</t>
  </si>
  <si>
    <t>Citrobacter werkmanii isolate MGYG-HGUT-02535 genome assembly, chromosome: 1</t>
  </si>
  <si>
    <t>CP175543.1    Clostridium perfringens strain GZ-3 chromosome, complete genome</t>
  </si>
  <si>
    <t>Delftia tsuruhatensis isolate BB1455 genome assembly, chromosome: BB1455_hybrid</t>
  </si>
  <si>
    <t>CP175761.1    Haloimpatiens sp. FM7315 chromosome, complete genome</t>
  </si>
  <si>
    <t>Yersinia pseudotuberculosis isolate NZYP4713 genome assembly, chromosome: 1</t>
  </si>
  <si>
    <t>CP175915.1    Clostridium sporogenes strain DSM 46279 chromosome, complete genome</t>
  </si>
  <si>
    <t>Fusobacterium sp. P6 Po strain Fusobacterium gastrosuis sp. nov. CDW1, P6 Po genome assembly, chromosome: chr</t>
  </si>
  <si>
    <t>CP175916.1    Clostridium sp. FAM 27665 chromosome, complete genome</t>
  </si>
  <si>
    <t>Variovorax sp. HW608 genome assembly, chromosome: I</t>
  </si>
  <si>
    <t>CP175919.1    Clostridium sp. FAM 1755 chromosome, complete genome</t>
  </si>
  <si>
    <t>CP171842.1    Limnohabitans sp. DCL3 chromosome, complete genome</t>
  </si>
  <si>
    <t>Microbacterium pygmaeum strain DSM 23142 genome assembly, chromosome: I</t>
  </si>
  <si>
    <t>CP176625.1    Eubacterium callanderi strain SFAD75 chromosome, complete genome</t>
  </si>
  <si>
    <t>CP171843.1    Limnohabitans sp. YIMB22184 chromosome, complete genome</t>
  </si>
  <si>
    <t>Clostridium chauvoei JF4335 genome assembly, chromosome: I</t>
  </si>
  <si>
    <t>CP180001.1    Peptacetobacter sp. AB845 chromosome</t>
  </si>
  <si>
    <t>Serratia grimesii isolate BXF1 genome assembly, chromosome: chr</t>
  </si>
  <si>
    <t>CP180725.1    Clostridium tyrobutyricum strain DS1 chromosome, complete genome</t>
  </si>
  <si>
    <t>Clostridium cochlearium strain NCTC13027 genome assembly, chromosome: 1</t>
  </si>
  <si>
    <t>CP181174.1    Clostridium perfringens strain XZ-E1 chromosome, complete genome</t>
  </si>
  <si>
    <t>CP181248.1    MAG: Serratia liquefaciens isolate UW_FK_SERR1_1 chromosome</t>
  </si>
  <si>
    <t>Aedes albopictus mitochondrion, complete genome</t>
  </si>
  <si>
    <t>CP182417.1    Delftia tsuruhatensis strain Dt1S33 chromosome, complete genome</t>
  </si>
  <si>
    <t>Aedes aegypti strain LVP_AGWG mitochondrion, complete genome</t>
  </si>
  <si>
    <t>CP183218.1    Serratia fonticola strain GTA-SR07 chromosome, complete genome</t>
  </si>
  <si>
    <t>Aedes aegypti isolate YK_2020 mitochondrion, complete genome</t>
  </si>
  <si>
    <t>CP183242.1    Serratia fonticola strain GTA-SR06 chromosome, complete genome</t>
  </si>
  <si>
    <t>Aedes aegypti isolate GV_2020 mitochondrion, complete genome</t>
  </si>
  <si>
    <t>CP183465.1    Clostridium perfringens strain XZ-A1 chromosome, complete genome</t>
  </si>
  <si>
    <t>CP174509.1    Pseudalkalibacillus sp. A8 chromosome, complete genome</t>
  </si>
  <si>
    <t>Aedes aegypti isolate wC45_F9 mitochondrion, complete genome</t>
  </si>
  <si>
    <t>CP183469.1    Clostridium perfringens strain XZ-C1 chromosome, complete genome</t>
  </si>
  <si>
    <t>Aedes aegypti isolate Lab mitochondrion, complete genome</t>
  </si>
  <si>
    <t>CP183471.1    Clostridium perfringens strain XZ-A2 chromosome, complete genome</t>
  </si>
  <si>
    <t>Aedes aegypti isolate GV_2013 mitochondrion, complete genome</t>
  </si>
  <si>
    <t>CP183871.1    Clostridium perfringens strain XZ-D1 chromosome, complete genome</t>
  </si>
  <si>
    <t>Aedes aegypti isolate GV_2018 mitochondrion, complete genome</t>
  </si>
  <si>
    <t>CP185280.1    Serratia fonticola strain DEST-2 chromosome</t>
  </si>
  <si>
    <t>Aedes aegypti isolate Aa_F7_C mitochondrion, partial genome</t>
  </si>
  <si>
    <t>CP185281.1    Serratia fonticola strain 24-1 chromosome</t>
  </si>
  <si>
    <t>CP176635.1    Ruminococcus gauvreauii strain SFAD33 chromosome, complete genome</t>
  </si>
  <si>
    <t>MAG: Caudovirales sp. isolate 1-8-sipho-terl-11 terminase large subunit gene, complete cds</t>
  </si>
  <si>
    <t>CP185284.1    Serratia fonticola strain 16a-1 chromosome</t>
  </si>
  <si>
    <t>MAG: Caudoviricetes sp. isolate MSP0670 genomic sequence</t>
  </si>
  <si>
    <t>CP188040.1    Alloiococcus sp. CFN-8 chromosome, complete genome</t>
  </si>
  <si>
    <t>CP180262.1    Yersinia pseudotuberculosis strain SCPM-O-B-16895 plasmid pSPMB-O-B-16895, complete sequence</t>
  </si>
  <si>
    <t>CP191154.1    Clostridium butyricum strain LZK-08 chromosome, complete genome</t>
  </si>
  <si>
    <t>CP181268.1    MAG: Clostridium sp. isolate UW_FK_CLOS2_1 chromosome</t>
  </si>
  <si>
    <t>Aedes aegypti isolate D119 mitochondrion, complete genome</t>
  </si>
  <si>
    <t>CP191262.1    Paraclostridium tenue strain Pt517 chromosome, complete genome</t>
  </si>
  <si>
    <t>Aedes aegypti isolate D18 mitochondrion, complete genome</t>
  </si>
  <si>
    <t>HG530135.1    Clostridium tetani 12124569 main chromosome, complete genome</t>
  </si>
  <si>
    <t>Aedes aegypti isolate K138_2A mitochondrion, complete genome</t>
  </si>
  <si>
    <t>LN650648.1    Romboutsia sp. Frifi strain FRIFI genome assembly, chromosome: chromosome1</t>
  </si>
  <si>
    <t>Aedes aegypti isolate K138a mitochondrion, complete genome</t>
  </si>
  <si>
    <t>LN681234.1    [Clostridium] sordellii genome assembly JGS6382, chromosome : 1</t>
  </si>
  <si>
    <t>Aedes aegypti isolate Sal_2 mitochondrion, complete genome</t>
  </si>
  <si>
    <t>LN908213.1    Clostridium beijerinckii isolate C. beijerinckii DSM 6423 genome assembly, chromosome: I</t>
  </si>
  <si>
    <t>Aedes aegypti isolate Sal_3 mitochondrion, complete genome</t>
  </si>
  <si>
    <t>LR134117.1    Serratia odorifera strain NCTC11214 genome assembly, chromosome: 1</t>
  </si>
  <si>
    <t>LR134492.1    Serratia fonticola strain NCTC13193 genome assembly, chromosome: 1</t>
  </si>
  <si>
    <t>CP183813.1    Paraclostridium dentum strain IIB4 chromosome, complete genome</t>
  </si>
  <si>
    <t>Clostridium neonatale isolate 250_09 genome assembly, chromosome: CNEO</t>
  </si>
  <si>
    <t>LR590481.1    Hathewaya histolytica strain NCTC503 genome assembly, chromosome: 1</t>
  </si>
  <si>
    <t>Tepidibacter sp. 8C15b genome assembly, chromosome: T8CH</t>
  </si>
  <si>
    <t>LT629692.1    Microbacterium pygmaeum strain DSM 23142 genome assembly, chromosome: I</t>
  </si>
  <si>
    <t>Serratia proteamaculans strain EBP3064 genome assembly, chromosome: EBP3064_c1</t>
  </si>
  <si>
    <t>LT669839.1    [Clostridium] ultunense Esp isolate Clostridium ultunense strain Esp genome assembly, chromosome: chrI</t>
  </si>
  <si>
    <t>Burkholderiaceae bacterium isolate MiE-M28 genome assembly, chromosome: MiE-M28</t>
  </si>
  <si>
    <t>LT799839.1    Clostridium chauvoei JF4335 genome assembly, chromosome: I</t>
  </si>
  <si>
    <t>CP186262.1    Acidovorax sp. M2(2025) chromosome, complete genome</t>
  </si>
  <si>
    <t>MAG: uncultured Burkholderiaceae bacterium isolate NI281-mx-bin01 genome assembly, chromosome: 1</t>
  </si>
  <si>
    <t>LT883155.1    Serratia grimesii isolate BXF1 genome assembly, chromosome: chr</t>
  </si>
  <si>
    <t>CP186339.1    Thalassotalea piscium strain NK451B chromosome, complete genome</t>
  </si>
  <si>
    <t>Aedes aegypti isolate D2 mitochondrion, complete genome</t>
  </si>
  <si>
    <t>OR221505.1    MAG: Caudoviricetes sp. isolate MSP1571 genomic sequence</t>
  </si>
  <si>
    <t>CP187300.1    Tepidimonas sp. HKU77 chromosome, complete genome</t>
  </si>
  <si>
    <t>Aedes aegypti voucher RMNH.INS.1271383 mitochondrion, complete genome</t>
  </si>
  <si>
    <t>OR221924.1    MAG: Caudoviricetes sp. isolate MSP0208 genomic sequence</t>
  </si>
  <si>
    <t>CP187301.1    Tepidimonas sp. HKU79 chromosome, complete genome</t>
  </si>
  <si>
    <t>Aedes aegypti voucher RMNH.INS.1271384 mitochondrion, complete genome</t>
  </si>
  <si>
    <t>OR221974.1    MAG: Caudoviricetes sp. isolate MSP0153 genomic sequence</t>
  </si>
  <si>
    <t>CP187547.1    Tepidimonas sp. HKU78 chromosome, complete genome</t>
  </si>
  <si>
    <t>PREDICTED: Aedes albopictus uncharacterized LOC134288081 (LOC134288081), transcript variant X1, mRNA</t>
  </si>
  <si>
    <t>OR222491.1    MAG: Caudoviricetes sp. isolate MSP0890 genomic sequence</t>
  </si>
  <si>
    <t>PREDICTED: Aedes albopictus RE1-silencing transcription factor-like (LOC134288084), mRNA</t>
  </si>
  <si>
    <t>OU997945.1    Clostridium neonatale isolate 250_09 genome assembly, chromosome: CNEO</t>
  </si>
  <si>
    <t>PREDICTED: Aedes albopictus uncharacterized LOC134287537 (LOC134287537), ncRNA</t>
  </si>
  <si>
    <t>OW235315.1    Tepidibacter sp. 8C15b genome assembly, chromosome: T8CH</t>
  </si>
  <si>
    <t>PREDICTED: Aedes albopictus uncharacterized LOC134287603 (LOC134287603), ncRNA</t>
  </si>
  <si>
    <t>OX460978.1    Serratia fonticola strain MIP2602 genome assembly, chromosome: MIP2602_c1</t>
  </si>
  <si>
    <t>PREDICTED: Aedes albopictus uncharacterized LOC134289519 (LOC134289519), ncRNA</t>
  </si>
  <si>
    <t>OY969107.1    MAG: uncultured Alphaproteobacteria bacterium isolate MFD09964.bin.2.15 genome assembly, chromosome: 1</t>
  </si>
  <si>
    <t>PREDICTED: Aedes albopictus uncharacterized LOC134290055 (LOC134290055), transcript variant X1, ncRNA</t>
  </si>
  <si>
    <t>OY969939.1    MAG: uncultured Eubacteriales bacterium isolate MFD03899.bin.2.43 genome assembly, chromosome: 1</t>
  </si>
  <si>
    <t>PREDICTED: Aedes albopictus uncharacterized LOC134290055 (LOC134290055), transcript variant X2, ncRNA</t>
  </si>
  <si>
    <t>OZ239423.1    Comamonadaceae bacterium isolate MsE-M18 genome assembly, chromosome: MsE-M18</t>
  </si>
  <si>
    <t>OZ239424.1    Comamonadaceae bacterium isolate MsH-M24 genome assembly, chromosome: MsH-M24</t>
  </si>
  <si>
    <t>EU352212.1    Aedes aegypti mitochondrion, complete genome</t>
  </si>
  <si>
    <t>OZ248423.1    Burkholderiaceae bacterium isolate MiE-M28 genome assembly, chromosome: MiE-M28</t>
  </si>
  <si>
    <t>FR773526.1    Clostridium botulinum H04402 065, complete genome sequence</t>
  </si>
  <si>
    <t>AP014569.1    Serpentinomonas mccroryi DNA, complete genome</t>
  </si>
  <si>
    <t>OZ248517.1    Paracoccaceae bacterium isolate LH-M10 genome assembly, chromosome: LH-M10-c1</t>
  </si>
  <si>
    <t>LN555523.1    Romboutsia ilealis strain CRIB genome assembly, chromosome: chr1</t>
  </si>
  <si>
    <t>AP017968.1    Fusobacterium varium Fv113-g1 DNA, complete genome</t>
  </si>
  <si>
    <t>OZ260093.1    MAG: Hydrogenophaga sp. isolate NI281-m2-bin32 genome assembly, chromosome: 1</t>
  </si>
  <si>
    <t>AP024605.1    Yersinia pseudotuberculosis 72344 DNA, complete genome</t>
  </si>
  <si>
    <t>AP024976.1    Clostridium perfringens O13-19 DNA, complete genome</t>
  </si>
  <si>
    <t>LS483397.1    Streptococcus uberis strain NCTC3858 genome assembly, chromosome: 1</t>
  </si>
  <si>
    <t>LS483408.1    Streptococcus uberis strain NCTC4674 genome assembly, chromosome: 1</t>
  </si>
  <si>
    <t>LT596222.1    Yersinia pseudotuberculosis isolate NZYP4713 genome assembly, plasmid: 2</t>
  </si>
  <si>
    <t>LT607734.1    Fusobacterium sp. P6 Po strain Fusobacterium gastrosuis sp. nov. CDW1, P6 Po genome assembly, chromosome: chr</t>
  </si>
  <si>
    <t>AP026818.1    Clostridium tetani KHSU-234311-028 DNA, complete genome</t>
  </si>
  <si>
    <t>AP026821.1    Clostridium tetani KHSU-254310-026 DNA, complete genome</t>
  </si>
  <si>
    <t>LT906451.1    Legionella lansingensis strain NCTC12830 genome assembly, chromosome: 1</t>
  </si>
  <si>
    <t>LT906477.1    Clostridium cochlearium strain NCTC13027 genome assembly, chromosome: 1</t>
  </si>
  <si>
    <t>MF417875.1    Uncultured Caudovirales phage clone 10S_11, partial genome</t>
  </si>
  <si>
    <t>AP027082.1    Clostridium perfringens A SNU61035 DNA, complete genome</t>
  </si>
  <si>
    <t>MW273375.1    Yersinia pseudotuberculosis strain 19-YE00106 plasmid 19YE106-pYV, complete sequence</t>
  </si>
  <si>
    <t>NC_035159.1    Aedes aegypti strain LVP_AGWG mitochondrion, complete genome</t>
  </si>
  <si>
    <t>AP029019.1    Acidovorax sp. DW039 DNA, complete genome</t>
  </si>
  <si>
    <t>OR222497.1    MAG: Caudoviricetes sp. isolate MSP0886 genomic sequence</t>
  </si>
  <si>
    <t>OR222788.1    MAG: Caudoviricetes sp. isolate MSP0572 genomic sequence</t>
  </si>
  <si>
    <t>AP031369.1    Yersinia pseudotuberculosis okayama_9524 DNA, complete genome</t>
  </si>
  <si>
    <t>OR350416.1    Aedes aegypti mitochondrion, complete genome</t>
  </si>
  <si>
    <t>OR413792.1    Aedes aegypti isolate D119 mitochondrion, complete genome</t>
  </si>
  <si>
    <t>OR413793.1    Aedes aegypti isolate D18 mitochondrion, complete genome</t>
  </si>
  <si>
    <t>AP031606.1    Clostridium tetani KHSU-092500-153 DNA, complete genome</t>
  </si>
  <si>
    <t>OR413794.1    Aedes aegypti isolate K138_2A mitochondrion, complete genome</t>
  </si>
  <si>
    <t>BK044458.1    MAG TPA_asm: Caudoviricetes sp. isolate ctK0D13, partial genome</t>
  </si>
  <si>
    <t>OR413795.1    Aedes aegypti isolate K138a mitochondrion, complete genome</t>
  </si>
  <si>
    <t>BK044747.1    MAG TPA_asm: Caudoviricetes sp. isolate ctLIJ1, partial genome</t>
  </si>
  <si>
    <t>OR413796.1    Aedes aegypti isolate Sal_2 mitochondrion, complete genome</t>
  </si>
  <si>
    <t>BK052159.1    MAG TPA_asm: Caudoviricetes sp. isolate ctYS84, partial genome</t>
  </si>
  <si>
    <t>OR413797.1    Aedes aegypti isolate Sal_3 mitochondrion, complete genome</t>
  </si>
  <si>
    <t>CP000245.1    Ramlibacter tataouinensis TTB310, complete genome</t>
  </si>
  <si>
    <t>OR544945.1    Aedes aegypti mitochondrion, complete genome</t>
  </si>
  <si>
    <t>CP000382.1    Clostridium novyi NT, complete genome</t>
  </si>
  <si>
    <t>OW091398.1    Mucispirillum schaedleri isolate Mucispirillum_schaedleri_DSM104751 genome assembly, chromosome: Mucispirillum_schaedleri_1</t>
  </si>
  <si>
    <t>OX267715.1    Neobacillus sp. Marseille-Q6967 genome assembly, chromosome: contig00001</t>
  </si>
  <si>
    <t>CP002160.1    Clostridium cellulovorans 743B, complete genome</t>
  </si>
  <si>
    <t>OY782823.1    MAG: Acholeplasmataceae bacterium isolate 45ae5b24-82d0-47e0-b430-a4ed073fe207 genome assembly, chromosome: 1</t>
  </si>
  <si>
    <t>CP006908.1    Clostridium botulinum CDC_1436, complete genome</t>
  </si>
  <si>
    <t>PQ197330.1    Aedes aegypti isolate D2 mitochondrion, complete genome</t>
  </si>
  <si>
    <t>PV094745.1    Aedes aegypti voucher RMNH.INS.1271383 mitochondrion, complete genome</t>
  </si>
  <si>
    <t>PV094746.1    Aedes aegypti voucher RMNH.INS.1271384 mitochondrion, complete genome</t>
  </si>
  <si>
    <t>CP008852.1    Pelosinus sp. UFO1, complete genome</t>
  </si>
  <si>
    <t>CP009780.1    Yersinia pseudotuberculosis PB1/+, complete genome</t>
  </si>
  <si>
    <t>XR_002501572.1    PREDICTED: Aedes aegypti uncharacterized LOC110678405 (LOC110678405), ncRNA</t>
  </si>
  <si>
    <t>CP011303.1    Serratia liquefaciens strain HUMV-21, complete genome</t>
  </si>
  <si>
    <t>CP012549.1    Campylobacter sp. RM16187, complete genome</t>
  </si>
  <si>
    <t>CP014170.1    Clostridium tyrobutyricum strain KCTC 5387, complete sequence</t>
  </si>
  <si>
    <t>CP015756.1    Clostridium estertheticum subsp. estertheticum strain DSM 8809, complete genome</t>
  </si>
  <si>
    <t>CP016280.1    Clostridium tyrobutyricum strain W428, complete sequence</t>
  </si>
  <si>
    <t>CP024702.1    Fusobacterium pseudoperiodonticum strain KCOM 1282 chromosome, complete genome</t>
  </si>
  <si>
    <t>CP024703.1    Fusobacterium pseudoperiodonticum strain KCOM 2305 chromosome, complete genome</t>
  </si>
  <si>
    <t>CP024704.1    Fusobacterium pseudoperiodonticum strain KCOM 2555 chromosome, complete genome</t>
  </si>
  <si>
    <t>CP027776.1    Clostridium botulinum strain Mfbjulcb5 chromosome, complete genome</t>
  </si>
  <si>
    <t>CP031219.1    Malaciobacter mytili LMG 24559 chromosome, complete genome</t>
  </si>
  <si>
    <t>CP031780.1    Yersinia pseudotuberculosis strain FDAARGOS_342 chromosome, complete genome</t>
  </si>
  <si>
    <t>CP032097.1    Arcobacter ellisii strain LMG 26155 chromosome, complete genome</t>
  </si>
  <si>
    <t>CP033433.1    Cohnella candidum strain 18JY8-7 chromosome, complete genome</t>
  </si>
  <si>
    <t>CP033711.1    Yersinia pseudotuberculosis strain FDAARGOS_582 chromosome, complete genome</t>
  </si>
  <si>
    <t>CP033713.1    Yersinia pseudotuberculosis strain FDAARGOS_581 chromosome, complete genome</t>
  </si>
  <si>
    <t>CP033715.1    Yersinia pseudotuberculosis strain FDAARGOS_580 chromosome, complete genome</t>
  </si>
  <si>
    <t>CP034437.1    Paenibacillus albus strain 18JY67-1 chromosome, complete genome</t>
  </si>
  <si>
    <t>CP038158.1    Clostridium tyrobutyricum strain Cirm BIA 2237 chromosome</t>
  </si>
  <si>
    <t>CP045040.1    Carnobacterium maltaromaticum strain 18ISCm chromosome, complete genome</t>
  </si>
  <si>
    <t>CP046174.1    Erysipelotrichaceae bacterium 66202529 chromosome, complete genome</t>
  </si>
  <si>
    <t>CP046450.1    Clostridium botulinum strain NCTC 13319 chromosome, complete genome</t>
  </si>
  <si>
    <t>CP047467.1    Clostridium tyrobutyricum strain L319 chromosome, complete genome</t>
  </si>
  <si>
    <t>CP048286.1    Paenibacillus rhizovicinus strain 14171R-81 chromosome, complete genome</t>
  </si>
  <si>
    <t>CP053915.1    Acidovorax sp. YS12 chromosome, complete genome</t>
  </si>
  <si>
    <t>CP054424.1    Rhodoferax sp. BAB1 chromosome, complete genome</t>
  </si>
  <si>
    <t>CP055543.1    Citrobacter freundii strain RHBSTW-00269 chromosome, complete genome</t>
  </si>
  <si>
    <t>CP056586.1    Citrobacter freundii strain RHBSTW-00355 chromosome, complete genome</t>
  </si>
  <si>
    <t>CP059256.1    MAG: Burkholderiaceae bacterium isolate SSC6 chromosome, complete genome</t>
  </si>
  <si>
    <t>CP061082.1    Serratia liquefaciens strain MT49 chromosome, complete genome</t>
  </si>
  <si>
    <t>CP061336.1    Ruminiclostridium herbifermentans strain MA18 chromosome, complete genome</t>
  </si>
  <si>
    <t>CP065632.1    Clostridium perfringens strain FDAARGOS_931 chromosome, complete genome</t>
  </si>
  <si>
    <t>CP075953.1    Clostridium perfringens strain 721/84 chromosome, complete genome</t>
  </si>
  <si>
    <t>CP077196.1    Fusobacterium pseudoperiodonticum strain SB039 chromosome, complete genome</t>
  </si>
  <si>
    <t>CP080269.1    Paenibacillus sp. R14(2021) chromosome, complete genome</t>
  </si>
  <si>
    <t>CP084128.1    Fusobacterium pseudoperiodonticum strain KCOM1322 chromosome, complete genome</t>
  </si>
  <si>
    <t>CP086147.1    Clostridium estertheticum strain CM034 chromosome, complete genome</t>
  </si>
  <si>
    <t>CP086239.1    Clostridium estertheticum strain CF009 chromosome, complete genome</t>
  </si>
  <si>
    <t>CP086243.1    Clostridium estertheticum strain CF003 chromosome, complete genome</t>
  </si>
  <si>
    <t>CP086249.1    Clostridium estertheticum strain DSM 14864 chromosome, complete genome</t>
  </si>
  <si>
    <t>CP093397.1    MAG: Sulfurimonas sp. isolate MAG-12 chromosome</t>
  </si>
  <si>
    <t>CP094971.1    Clostridium sp. BJN0001 chromosome, complete genome</t>
  </si>
  <si>
    <t>CP096980.1    Clostridium felsineum DSM 794 chromosome, complete genome</t>
  </si>
  <si>
    <t>CP096988.1    Clostridium felsineum strain DSM 793 chromosome, complete genome</t>
  </si>
  <si>
    <t>CP099084.1    Citrobacter freundii strain RHB43-C17 chromosome, complete genome</t>
  </si>
  <si>
    <t>CP101637.1    Terrisporobacter mayombei strain DSM 6539 chromosome, complete genome</t>
  </si>
  <si>
    <t>CP106881.1    Comamonas endophytica strain 5MLIR chromosome, complete genome</t>
  </si>
  <si>
    <t>CP106951.1    Eleftheria terrae strain P9846-PB chromosome, complete genome</t>
  </si>
  <si>
    <t>CP115030.1    Citrobacter sp. C6_2 chromosome, complete genome</t>
  </si>
  <si>
    <t>CP115031.1    Citrobacter sp. C6_1 chromosome, complete genome</t>
  </si>
  <si>
    <t>CP116009.1    Ramlibacter tataouinensis strain DMF-7 chromosome, complete genome</t>
  </si>
  <si>
    <t>CP116432.1    Clostridium perfringens D strain FU17 chromosome, complete genome</t>
  </si>
  <si>
    <t>CP117168.1    Serratia proteamaculans strain CD3406 chromosome, complete genome</t>
  </si>
  <si>
    <t>CP120689.1    Clostridium perfringens strain Cp1 chromosome, complete genome</t>
  </si>
  <si>
    <t>CP120745.1    Clostridium perfringens strain ENRHS3 chromosome, complete genome</t>
  </si>
  <si>
    <t>CP126238.1    Alicycliphilus denitrificans strain Ylb10 chromosome, complete genome</t>
  </si>
  <si>
    <t>CP132279.1    Citrobacter youngae strain UL-CPE-01 chromosome, complete genome</t>
  </si>
  <si>
    <t>CP133017.1    Paenibacillus silvisoli strain TW38 chromosome, complete genome</t>
  </si>
  <si>
    <t>CP136797.1    Acidovorax sp. BLS4 chromosome, complete genome</t>
  </si>
  <si>
    <t>CP136995.1    Ottowia sp. SB7-C50 chromosome, complete genome</t>
  </si>
  <si>
    <t>CP139200.1    Clostridium perfringens strain DQ21 chromosome, complete genome</t>
  </si>
  <si>
    <t>CP147774.1    Acidovorax temperans strain AA22 chromosome</t>
  </si>
  <si>
    <t>CP148598.1    Clostridium perfringens strain Z1323HCP0083 chromosome, complete genome</t>
  </si>
  <si>
    <t>CP148624.1    Clostridium perfringens strain Z1323HCP0044 chromosome, complete genome</t>
  </si>
  <si>
    <t>CP148681.1    Clostridium perfringens strain Z1322WCP0014 chromosome, complete genome</t>
  </si>
  <si>
    <t>CP148733.1    Clostridium perfringens strain Z1322HCP0002 chromosome, complete genome</t>
  </si>
  <si>
    <t>CP150205.1    Paenibacillus sp. FSL W8-0194 chromosome, complete genome</t>
  </si>
  <si>
    <t>CP150265.1    Paenibacillus sp. FSL K6-3182 chromosome, complete genome</t>
  </si>
  <si>
    <t>CP152049.1    Paenibacillus sp. FSL H8-0548 chromosome, complete genome</t>
  </si>
  <si>
    <t>CP152408.1    Xylophilus sp. GW821-FHT01B05 chromosome, complete genome</t>
  </si>
  <si>
    <t>CP162630.1    Metabacillus halosaccharovorans strain Hao 2024 chromosome, complete genome</t>
  </si>
  <si>
    <t>CP165725.1    Enterobacter cloacae strain 01 chromosome, complete genome</t>
  </si>
  <si>
    <t>CP171108.1    Cohnella sp. WGS1546 chromosome, complete genome</t>
  </si>
  <si>
    <t>CP181346.1    Delftia sp. PS-11 chromosome, complete genome</t>
  </si>
  <si>
    <t>CP182825.1    Clostridium isatidis strain BK32 chromosome, complete genome</t>
  </si>
  <si>
    <t>CP183811.1    Terrisporobacter petrolearius strain IIB7 chromosome, complete genome</t>
  </si>
  <si>
    <t>CP183886.1    Candidatus Pristimantibacillus sp. PTI5 chromosome, complete genome</t>
  </si>
  <si>
    <t>CP187315.1    Halarcobacter ebronensis strain 5MF chromosome, complete genome</t>
  </si>
  <si>
    <t>CP187509.1    Tenacibaculum ascidiaceicola strain CLAM15 chromosome, complete genome</t>
  </si>
  <si>
    <t>FP565809.1    Clostridium sticklandii str. DSM 519 chromosome, complete genome</t>
  </si>
  <si>
    <t>FP929036.1    Butyrivibrio fibrisolvens 16/4 draft genome</t>
  </si>
  <si>
    <t>HM590559.1    Clostridium carboxidivorans P7 phosphate acetyltransferase and acetate kinase genes, complete cds</t>
  </si>
  <si>
    <t>LR134160.1    Yersinia pseudotuberculosis strain NCTC8480 genome assembly, chromosome: 1</t>
  </si>
  <si>
    <t>LR594662.1    Variovorax sp. RA8 genome assembly, chromosome: 1</t>
  </si>
  <si>
    <t>LR594666.1    Variovorax sp. SRS16 genome assembly, chromosome: 1</t>
  </si>
  <si>
    <t>LR594671.1    Variovorax sp. PBL-E5 genome assembly, chromosome: 1</t>
  </si>
  <si>
    <t>LR594675.1    Variovorax sp. PBS-H4 genome assembly, chromosome: 1</t>
  </si>
  <si>
    <t>LR594689.1    Variovorax sp. WDL1 genome assembly, chromosome: 1</t>
  </si>
  <si>
    <t>LR607374.1    Clostridium perfringens strain 4928STDY7387940 genome assembly, chromosome: 1</t>
  </si>
  <si>
    <t>LR699014.1    Citrobacter werkmanii isolate MGYG-HGUT-02535 genome assembly, chromosome: 1</t>
  </si>
  <si>
    <t>LR813084.1    Delftia tsuruhatensis isolate BB1455 genome assembly, chromosome: BB1455_hybrid</t>
  </si>
  <si>
    <t>LT596221.1    Yersinia pseudotuberculosis isolate NZYP4713 genome assembly, chromosome: 1</t>
  </si>
  <si>
    <t>LT607803.1    Variovorax sp. HW608 genome assembly, chromosome: I</t>
  </si>
  <si>
    <t>MK575474.1    Aedes aegypti mitochondrion, complete genome</t>
  </si>
  <si>
    <t>MK575475.1    Aedes albopictus mitochondrion, complete genome</t>
  </si>
  <si>
    <t>OM214525.1    Aedes aegypti isolate YK_2020 mitochondrion, complete genome</t>
  </si>
  <si>
    <t>OM214526.1    Aedes aegypti isolate GV_2020 mitochondrion, complete genome</t>
  </si>
  <si>
    <t>OM214527.1    Aedes aegypti isolate wC45_F9 mitochondrion, complete genome</t>
  </si>
  <si>
    <t>OM214529.1    Aedes aegypti isolate Lab mitochondrion, complete genome</t>
  </si>
  <si>
    <t>OM214530.1    Aedes aegypti isolate GV_2013 mitochondrion, complete genome</t>
  </si>
  <si>
    <t>OM214531.1    Aedes aegypti isolate GV_2018 mitochondrion, complete genome</t>
  </si>
  <si>
    <t>OM685200.1    Aedes aegypti isolate Aa_F7_C mitochondrion, partial genome</t>
  </si>
  <si>
    <t>OP517153.1    MAG: Caudovirales sp. isolate 1-8-sipho-terl-11 terminase large subunit gene, complete cds</t>
  </si>
  <si>
    <t>OR222297.1    MAG: Caudoviricetes sp. isolate MSP0670 genomic sequence</t>
  </si>
  <si>
    <t>OX461105.1    Serratia proteamaculans strain EBP3064 genome assembly, chromosome: EBP3064_c1</t>
  </si>
  <si>
    <t>OZ260072.1    MAG: uncultured Burkholderiaceae bacterium isolate NI281-mx-bin01 genome assembly, chromosome: 1</t>
  </si>
  <si>
    <t>XM_062851792.1    PREDICTED: Aedes albopictus uncharacterized LOC134288081 (LOC134288081), transcript variant X1, mRNA</t>
  </si>
  <si>
    <t>XM_062851805.1    PREDICTED: Aedes albopictus RE1-silencing transcription factor-like (LOC134288084), mRNA</t>
  </si>
  <si>
    <t>XR_009997364.1    PREDICTED: Aedes albopictus uncharacterized LOC134287537 (LOC134287537), ncRNA</t>
  </si>
  <si>
    <t>XR_009997398.1    PREDICTED: Aedes albopictus uncharacterized LOC134287603 (LOC134287603), ncRNA</t>
  </si>
  <si>
    <t>XR_009998548.1    PREDICTED: Aedes albopictus uncharacterized LOC134289519 (LOC134289519), ncRNA</t>
  </si>
  <si>
    <t>XR_009998822.1    PREDICTED: Aedes albopictus uncharacterized LOC134290055 (LOC134290055), transcript variant X1, ncRNA</t>
  </si>
  <si>
    <t>XR_009998823.1    PREDICTED: Aedes albopictus uncharacterized LOC134290055 (LOC134290055), transcript variant X2, ncRNA</t>
  </si>
  <si>
    <t>Table 4.1 G1 substraction contigs NCBI taxonomy annotation</t>
  </si>
  <si>
    <t>Table 4.2 G2 substraction contigs NCBI taxonomy annotation</t>
  </si>
  <si>
    <t>Table 4.3 G_merged substraction contigs NCBI taxonomy annotation</t>
  </si>
  <si>
    <t>Aedes aegypti, clone XX-44H3, complete sequence</t>
  </si>
  <si>
    <t>Pseudomonas furukawaii DNA, complete genome</t>
  </si>
  <si>
    <t>Caenorhabditis sp. 34 TK-2017 DNA. chromosome 3, nearly complete genome</t>
  </si>
  <si>
    <t>Pseudomonas sp. Pc102 DNA, complete genome</t>
  </si>
  <si>
    <t>AP024684.1    Stenotrophomonas pavanii Y DNA, complete genome</t>
  </si>
  <si>
    <t>Pseudomonas tohonis TUM18999 DNA, complete genome</t>
  </si>
  <si>
    <t>AP025556.1    Delftia lacustris HQS1 DNA, complete genome</t>
  </si>
  <si>
    <t>Delftia lacustris HQS1 DNA, complete genome</t>
  </si>
  <si>
    <t>AP027043.1    Flavobacterium sp. GSB-24 DNA, complete genome</t>
  </si>
  <si>
    <t>Delftia tsuruhatensis BR1R2 DNA, complete genome</t>
  </si>
  <si>
    <t>AP028666.1    Variovorax sp. V35 DNA, complete genome</t>
  </si>
  <si>
    <t>AE005673.1    Caulobacter crescentus CB15, complete genome</t>
  </si>
  <si>
    <t>Aedes aegypti haplotype 1 tRNA-Ile gene, partial sequence; D-loop, complete sequence; and 12S ribosomal RNA gene, partial sequence; mitochondrial</t>
  </si>
  <si>
    <t>AP028671.1    Variovorax sp. V77 DNA, complete genome</t>
  </si>
  <si>
    <t>AF107665.1    Aedes aegypti clone 402 Feilai family of SINES</t>
  </si>
  <si>
    <t>Delftia acidovorans SPH-1, complete genome</t>
  </si>
  <si>
    <t>AP039671.1    Shinella sp. 1A1 DNA, complete genome</t>
  </si>
  <si>
    <t>Delftia sp. Cs1-4, complete genome</t>
  </si>
  <si>
    <t>AP039672.1    Shinella sp. 1A1 plasmid p1A1_1 DNA, complete sequence</t>
  </si>
  <si>
    <t>Stenotrophomonas rhizophila strain DSM14405 genome</t>
  </si>
  <si>
    <t>CP000884.1    Delftia acidovorans SPH-1, complete genome</t>
  </si>
  <si>
    <t>AP014802.1    Rhodovulum sulfidophilum plasmid Plasmid2 DNA, complete genome, strain: DSM 2351</t>
  </si>
  <si>
    <t>Variovorax sp. PAMC 28711, complete genome</t>
  </si>
  <si>
    <t>CP002735.1    Delftia sp. Cs1-4, complete genome</t>
  </si>
  <si>
    <t>Stenotrophomonas rhizophila strain QL-P4, complete genome</t>
  </si>
  <si>
    <t>CP007597.1    Stenotrophomonas rhizophila strain DSM14405 genome</t>
  </si>
  <si>
    <t>AP018681.1    Vibrio casei DSM 22364 DNA, chromosome 2, complete genome</t>
  </si>
  <si>
    <t>Delftia tsuruhatensis strain CM13, complete genome</t>
  </si>
  <si>
    <t>CP015511.1    Brevundimonas sp. GW460-12-10-14-LB2, complete genome</t>
  </si>
  <si>
    <t>Curtobacterium sp. BH-2-1-1 chromosome, complete genome</t>
  </si>
  <si>
    <t>CP015736.1    Shinella sp. HZN7, complete genome</t>
  </si>
  <si>
    <t>AP026899.1    Novosphingobium sp. MBES04 DNA, complete genome</t>
  </si>
  <si>
    <t>Delftia sp. HK171 chromosome, complete genome</t>
  </si>
  <si>
    <t>CP015744.1    Shinella sp. HZN7 plasmid pShin-08, complete sequence</t>
  </si>
  <si>
    <t>AP026900.1    Novosphingobium sp. MBES04 plasmid MBES04p1 DNA, complete sequence</t>
  </si>
  <si>
    <t>MAG: Delftia acidovorans isolate ANG1, complete genome</t>
  </si>
  <si>
    <t>CP016294.1    Stenotrophomonas rhizophila strain QL-P4, complete genome</t>
  </si>
  <si>
    <t>Brevundimonas vesicularis strain FDAARGOS_289 chromosome, complete genome</t>
  </si>
  <si>
    <t>CP016452.1    Sinorhizobium sp. RAC02 plasmid pBSY16_1, complete sequence</t>
  </si>
  <si>
    <t>Delftia acidovorans strain RAY209 genome</t>
  </si>
  <si>
    <t>CP017483.1    Stenotrophomonas sp. LM091, complete genome</t>
  </si>
  <si>
    <t>AP028657.1    Variovorax sp. V11 DNA, complete genome</t>
  </si>
  <si>
    <t>Agrobacterium tumefaciens strain 1D1609 chromosome I, complete sequence</t>
  </si>
  <si>
    <t>CP018101.1    Delftia sp. HK171 chromosome, complete genome</t>
  </si>
  <si>
    <t>AP028661.1    Variovorax sp. V116 DNA, complete genome</t>
  </si>
  <si>
    <t>Flavobacterium crocinum strain HYN0056 chromosome, complete genome</t>
  </si>
  <si>
    <t>CP019171.1    MAG: Delftia acidovorans isolate ANG1, complete genome</t>
  </si>
  <si>
    <t>AP028667.1    Variovorax sp. V59 DNA, complete genome</t>
  </si>
  <si>
    <t>Pseudomonas sp. DY-1 chromosome, complete genome</t>
  </si>
  <si>
    <t>CP021237.1    Sphingobacteriaceae bacterium GW460-11-11-14-LB5 chromosome, complete genome</t>
  </si>
  <si>
    <t>Agrobacterium tumefaciens strain CFBP5499 chromosome circular, complete sequence</t>
  </si>
  <si>
    <t>CP022048.2    Brevundimonas vesicularis strain FDAARGOS_289 chromosome, complete genome</t>
  </si>
  <si>
    <t>Agrobacterium tumefaciens strain CFBP5877 chromosome circular, complete sequence</t>
  </si>
  <si>
    <t>CP022656.1    Delftia acidovorans strain RAY209 genome</t>
  </si>
  <si>
    <t>AY433580.1    Aedes aegypti ASAP ID: 35273 unknown mRNA sequence</t>
  </si>
  <si>
    <t>Agrobacterium tumefaciens strain CFBP7129 chromosome circular, complete sequence</t>
  </si>
  <si>
    <t>CP023284.1    Variovorax boronicumulans strain J1 chromosome, complete genome</t>
  </si>
  <si>
    <t>Agrobacterium sp. T29 chromosome circular, complete sequence</t>
  </si>
  <si>
    <t>CP025298.1    Stenotrophomonas maltophilia strain CSM2 chromosome, complete genome</t>
  </si>
  <si>
    <t>Flavobacterium nitrogenifigens strain KACC 18538 chromosome, complete genome</t>
  </si>
  <si>
    <t>CP029255.1    Flavobacterium crocinum strain HYN0056 chromosome, complete genome</t>
  </si>
  <si>
    <t>CP000685.1    Flavobacterium johnsoniae UW101, complete genome</t>
  </si>
  <si>
    <t>Delftia tsuruhatensis strain TR1180 chromosome, complete genome</t>
  </si>
  <si>
    <t>CP029773.1    Stenotrophomonas maltophilia strain SJTL3 chromosome, complete genome</t>
  </si>
  <si>
    <t>Stenotrophomonas sp. 364 chromosome, complete genome</t>
  </si>
  <si>
    <t>CP030261.1    Flavobacterium fluviale strain HYN0086 chromosome, complete genome</t>
  </si>
  <si>
    <t>CP001340.1    Caulobacter crescentus NA1000, complete genome</t>
  </si>
  <si>
    <t>Rhizobium oryzihabitans strain M15 chromosome M15-11, complete sequence</t>
  </si>
  <si>
    <t>CP034190.1    Pedobacter sp. G11 chromosome</t>
  </si>
  <si>
    <t>CP002008.1    Caulobacter segnis ATCC 21756, complete genome</t>
  </si>
  <si>
    <t>Delftia sp. WY8 chromosome, complete genome</t>
  </si>
  <si>
    <t>CP040433.1    Stenotrophomonas maltophilia strain SKK55 chromosome, complete genome</t>
  </si>
  <si>
    <t>Herbiconiux sp. SALV-R1 chromosome, complete genome</t>
  </si>
  <si>
    <t>CP042171.1    Pedobacter sp. KBS0701 chromosome, complete genome</t>
  </si>
  <si>
    <t>CP003911.1    Variovorax paradoxus B4 chromosome 1, complete sequence</t>
  </si>
  <si>
    <t>Delftia acidovorans strain B804 chromosome, complete genome</t>
  </si>
  <si>
    <t>CP043612.1    Flavobacterium nitrogenifigens strain KACC 18538 chromosome, complete genome</t>
  </si>
  <si>
    <t>CP003936.2    Sinorhizobium meliloti GR4 plasmid pRmeGR4c, complete sequence</t>
  </si>
  <si>
    <t>Protaetiibacter sp. SSC-01 chromosome, complete genome</t>
  </si>
  <si>
    <t>CP044012.1    Sinorhizobium sp. BG8 plasmid pEMPC1, complete sequence</t>
  </si>
  <si>
    <t>Brevundimonas goettingensis strain LVF2 chromosome, complete genome</t>
  </si>
  <si>
    <t>CP047135.1    Stenotrophomonas sp. 364 chromosome, complete genome</t>
  </si>
  <si>
    <t>CP012542.1    Campylobacter mucosalis CCUG 21559, complete genome</t>
  </si>
  <si>
    <t>Delftia acidovorans strain FDAARGOS_939 chromosome, complete genome</t>
  </si>
  <si>
    <t>CP058246.1    Flavobacterium sp. LPB0248 strain LPB248 chromosome</t>
  </si>
  <si>
    <t>CP012897.1    Brevundimonas sp. DS20, complete genome</t>
  </si>
  <si>
    <t>Delftia acidovorans strain FDAARGOS_891 chromosome, complete genome</t>
  </si>
  <si>
    <t>CP058970.1    Delftia acidovorans strain B804 chromosome, complete genome</t>
  </si>
  <si>
    <t>CP015419.1    Rhodovulum sulfidophilum DSM 1374 plasmid unnamed1, complete sequence</t>
  </si>
  <si>
    <t>Delftia lacustris strain FDAARGOS_890 chromosome, complete genome</t>
  </si>
  <si>
    <t>CP060025.1    Stenotrophomonas maltophilia strain UHH_SKK55 chromosome</t>
  </si>
  <si>
    <t>CP015422.1    Rhodovulum sulfidophilum strain SNK001 plasmid, complete sequence</t>
  </si>
  <si>
    <t>Delftia acidovorans strain FDAARGOS_997 chromosome, complete genome</t>
  </si>
  <si>
    <t>CP060723.1    Pedobacter roseus strain KACC 11594 chromosome, complete genome</t>
  </si>
  <si>
    <t>Shinella sp. PSBB067 plasmid unnamed2, complete sequence</t>
  </si>
  <si>
    <t>CP061171.1    Pedobacter riviphilus strain SW-16 chromosome, complete genome</t>
  </si>
  <si>
    <t>Delftia lacustris strain R54 chromosome, complete genome</t>
  </si>
  <si>
    <t>CP065627.1    Delftia acidovorans strain FDAARGOS_939 chromosome, complete genome</t>
  </si>
  <si>
    <t>Brevundimonas fontaquae strain CS1 chromosome, complete genome</t>
  </si>
  <si>
    <t>CP065668.1    Delftia acidovorans strain FDAARGOS_909 chromosome, complete genome</t>
  </si>
  <si>
    <t>Rhizobium sp. X9 chromosome 1, complete sequence</t>
  </si>
  <si>
    <t>CP065695.1    Delftia acidovorans strain FDAARGOS_891 chromosome, complete genome</t>
  </si>
  <si>
    <t>CP016450.1    Sinorhizobium sp. RAC02, complete sequence</t>
  </si>
  <si>
    <t>Metapseudomonas lalkuanensis strain ACYW.190 chromosome, complete genome</t>
  </si>
  <si>
    <t>CP066006.1    Delftia acidovorans strain FDAARGOS_997 chromosome, complete genome</t>
  </si>
  <si>
    <t>Brevundimonas vesicularis strain ADH2-360 chromosome, complete genome</t>
  </si>
  <si>
    <t>CP067073.1    Rhizobium sp. AB2/73 plasmid pAtAB2-73e, complete sequence</t>
  </si>
  <si>
    <t>CP016907.1    Flavobacterium anhuiense strain GSE09, complete genome</t>
  </si>
  <si>
    <t>Stenotrophomonas rhizophila strain Bl2-2 chromosome, complete genome</t>
  </si>
  <si>
    <t>CP069302.1    Shinella sp. PSBB067 plasmid unnamed1, complete sequence</t>
  </si>
  <si>
    <t>CP017420.1    Delftia tsuruhatensis strain CM13, complete genome</t>
  </si>
  <si>
    <t>Flavobacterium panici strain BSSL-CR3 chromosome, complete genome</t>
  </si>
  <si>
    <t>CP069303.1    Shinella sp. PSBB067 chromosome, complete genome</t>
  </si>
  <si>
    <t>Flavobacterium johnsoniae strain G16 chromosome, complete genome</t>
  </si>
  <si>
    <t>CP070968.1    Brevundimonas fontaquae strain CS1 chromosome, complete genome</t>
  </si>
  <si>
    <t>Delftia tsuruhatensis strain GD03927 chromosome, complete genome</t>
  </si>
  <si>
    <t>CP072174.1    Rhizobium sp. AB2/73 plasmid unnamed2, complete sequence</t>
  </si>
  <si>
    <t>Pseudomonas tohonis strain G5.110 chromosome, complete genome</t>
  </si>
  <si>
    <t>CP073063.1    Brevundimonas diminuta strain KX-1 chromosome, complete genome</t>
  </si>
  <si>
    <t>Delftia tsuruhatensis strain GSK TC1 chromosome, complete genome</t>
  </si>
  <si>
    <t>CP079218.1    Pedobacter sp. D749 chromosome, complete genome</t>
  </si>
  <si>
    <t>CP021248.1    Novosphingobium sp. KA1 chromosome 2, complete sequence</t>
  </si>
  <si>
    <t>Delftia sp. UGAL515B_04 chromosome, complete genome</t>
  </si>
  <si>
    <t>CP081300.1    Streptomyces sp. II-2-2-2 strain Soil LB -1 chromosome, complete genome</t>
  </si>
  <si>
    <t>Flavobacterium sp. N503310 chromosome, complete genome</t>
  </si>
  <si>
    <t>CP083694.1    Stenotrophomonas pavanii strain Ste816 chromosome, complete genome</t>
  </si>
  <si>
    <t>Delftia acidovorans strain BIM B-1761 chromosome, complete genome</t>
  </si>
  <si>
    <t>CP085234.1    Brevundimonas vesicularis strain ADH2-360 chromosome, complete genome</t>
  </si>
  <si>
    <t>CP023314.2    Caulobacter vibrioides strain CB1 chromosome, complete genome</t>
  </si>
  <si>
    <t>Brevundimonas vesicularis strain Br4 chromosome, complete genome</t>
  </si>
  <si>
    <t>CP086234.1    Flavobacterium anhuiense strain T4 chromosome, complete genome</t>
  </si>
  <si>
    <t>CP023315.3    Caulobacter vibrioides strain CB13b1a chromosome, complete genome</t>
  </si>
  <si>
    <t>Flavobacterium luteolum strain IMCC34776 chromosome, complete genome</t>
  </si>
  <si>
    <t>CP087585.1    Pedobacter mucosus strain Q8-18 chromosome, complete genome</t>
  </si>
  <si>
    <t>CP023642.1    Flavobacterium anhuiense strain M168 chromosome, complete genome</t>
  </si>
  <si>
    <t>Brevundimonas sp. NIBR10 chromosome, complete genome</t>
  </si>
  <si>
    <t>CP088000.1    Stenotrophomonas rhizophila strain Bl2-2 chromosome, complete genome</t>
  </si>
  <si>
    <t>CP027850.1    Caulobacter segnis strain TK0059 chromosome, complete genome</t>
  </si>
  <si>
    <t>Stenotrophomonas oahuensis strain A5586 chromosome</t>
  </si>
  <si>
    <t>CP093528.1    Shinella zoogloeoides strain XJ20 chromosome, complete genome</t>
  </si>
  <si>
    <t>CP028519.1    Microvirgula aerodenitrificans strain BE2.4 chromosome, complete genome</t>
  </si>
  <si>
    <t>Stenotrophomonas aracearum strain A5588 chromosome</t>
  </si>
  <si>
    <t>CP093529.1    Shinella zoogloeoides strain XJ20 plasmid p1, complete sequence</t>
  </si>
  <si>
    <t>Brevundimonas vesicularis strain PL22-8A chromosome, complete genome</t>
  </si>
  <si>
    <t>CP100437.1    Flavobacterium panici strain BSSL-CR3 chromosome, complete genome</t>
  </si>
  <si>
    <t>Pseudomonas tohonis strain Q4-3 chromosome, complete genome</t>
  </si>
  <si>
    <t>CP102931.1    Variovorax paradoxus strain JBCE486 chromosome, complete genome</t>
  </si>
  <si>
    <t>CP030352.1    Novosphingobium sp. P6W chromosome 1, complete sequence</t>
  </si>
  <si>
    <t>Flavobacterium sp. KACC 22758 chromosome, complete genome</t>
  </si>
  <si>
    <t>CP103794.1    Flavobacterium johnsoniae strain G16 chromosome, complete genome</t>
  </si>
  <si>
    <t>CP030353.1    Novosphingobium sp. P6W chromosome 2, complete sequence</t>
  </si>
  <si>
    <t>Flavobacterium sp. KACC 22763 chromosome, complete genome</t>
  </si>
  <si>
    <t>CP109857.1    Delftia tsuruhatensis strain GSK TC1 chromosome, complete genome</t>
  </si>
  <si>
    <t>CP031413.1    Lysobacter sp. TY2-98 chromosome, complete genome</t>
  </si>
  <si>
    <t>Delftia tsuruhatensis strain ULwDis3 chromosome, complete genome</t>
  </si>
  <si>
    <t>CP110013.1    Flavobacterium sp. N503310 chromosome, complete genome</t>
  </si>
  <si>
    <t>CP031708.1    Pedobacter suwonensis strain Fj_001 chromosome, complete genome</t>
  </si>
  <si>
    <t>Flavobacterium sp. YJ01 chromosome, complete genome</t>
  </si>
  <si>
    <t>CP114201.1    Delftia acidovorans strain BIM B-1761 chromosome, complete genome</t>
  </si>
  <si>
    <t>CP031763.1    Flavobacterium johnsoniae strain FJ001 chromosome</t>
  </si>
  <si>
    <t>Flavobacterium panacagri strain CJ75 chromosome, complete genome</t>
  </si>
  <si>
    <t>CP114278.1    Brevundimonas vesicularis strain Br4 chromosome, complete genome</t>
  </si>
  <si>
    <t>CP033966.1    Pigmentiphaga sp. H8 chromosome, complete genome</t>
  </si>
  <si>
    <t>Agrobacterium leguminum strain AT13 chromosome 1, complete sequence</t>
  </si>
  <si>
    <t>CP114286.3    Flavobacterium luteolum strain IMCC34776 chromosome, complete genome</t>
  </si>
  <si>
    <t>Agrobacterium leguminum strain CFBP4996 chromosome Circular, complete sequence</t>
  </si>
  <si>
    <t>CP115541.1    Stenotrophomonas oahuensis strain A5586 chromosome</t>
  </si>
  <si>
    <t>CP039382.1    Brevundimonas sp. 'scallop' chromosome, complete genome</t>
  </si>
  <si>
    <t>Delftia tsuruhatensis strain Ery-6A chromosome, complete genome</t>
  </si>
  <si>
    <t>CP115543.1    Stenotrophomonas aracearum strain A5588 chromosome</t>
  </si>
  <si>
    <t>CP039435.1    Brevundimonas sp. SGAir0440 chromosome, complete genome</t>
  </si>
  <si>
    <t>Curtobacterium sp. MCPF17_002 chromosome, complete genome</t>
  </si>
  <si>
    <t>CP115671.1    Brevundimonas vesicularis strain PL22-8A chromosome, complete genome</t>
  </si>
  <si>
    <t>Pseudomonas tohonis strain KRS022 chromosome, complete genome</t>
  </si>
  <si>
    <t>CP117878.1    Flavobacterium sp. KACC 22758 chromosome, complete genome</t>
  </si>
  <si>
    <t>Stenotrophomonas rhizophila strain CFBP 13503 chromosome, complete genome</t>
  </si>
  <si>
    <t>CP117879.1    Flavobacterium sp. KACC 22763 chromosome, complete genome</t>
  </si>
  <si>
    <t>Stenotrophomonas rhizophila strain CFBP13529 chromosome, complete genome</t>
  </si>
  <si>
    <t>CP118775.1    Delftia tsuruhatensis strain ULwDis3 chromosome, complete genome</t>
  </si>
  <si>
    <t>CP045291.1    Delftia tsuruhatensis strain TR1180 chromosome, complete genome</t>
  </si>
  <si>
    <t>Brevundimonas sp. C43 chromosome, complete genome</t>
  </si>
  <si>
    <t>CP119757.1    Flavobacterium sp. YJ01 chromosome, complete genome</t>
  </si>
  <si>
    <t>CP045456.1    Brevundimonas sp. Bb-A chromosome, complete genome</t>
  </si>
  <si>
    <t>Curtobacterium flaccumfaciens strain W004 chromosome</t>
  </si>
  <si>
    <t>CP119766.1    Flavobacterium panacagri strain CJ75 chromosome, complete genome</t>
  </si>
  <si>
    <t>Delftia tsuruhatensis strain HA60 chromosome, complete genome</t>
  </si>
  <si>
    <t>CP121110.1    Flavobacterium ginsengisoli strain KCTC 23318 chromosome, complete genome</t>
  </si>
  <si>
    <t>CP048470.1    Agrobacterium tumefaciens strain Yub001 chromosome linear, complete sequence</t>
  </si>
  <si>
    <t>Herbiconiux sp. KACC 21604 chromosome, complete genome</t>
  </si>
  <si>
    <t>CP124546.1    Stenotrophomonas indicatrix strain MGMM10 chromosome, complete genome</t>
  </si>
  <si>
    <t>CP048751.1    Brevundimonas mediterranea strain D151-2-6 chromosome, complete genome</t>
  </si>
  <si>
    <t>Acinetobacter baumannii strain D20AB03 plasmid pD20AB03</t>
  </si>
  <si>
    <t>CP124620.1    Stenotrophomonas sp. BIO128-Bstrain chromosome</t>
  </si>
  <si>
    <t>Pseudomonas sp. JS3066 chromosome, complete genome</t>
  </si>
  <si>
    <t>CP128598.1    Stenotrophomonas rhizophila strain CFBP 13503 chromosome, complete genome</t>
  </si>
  <si>
    <t>CP049868.1    Pedobacter sp. HDW13 chromosome, complete genome</t>
  </si>
  <si>
    <t>Pseudomonas solani strain GK13 chromosome, complete genome</t>
  </si>
  <si>
    <t>CP128802.1    Stenotrophomonas rhizophila strain CFBP13529 chromosome, complete genome</t>
  </si>
  <si>
    <t>CP053831.1    Campylobacter mucosalis strain ATCC 43264 chromosome, complete genome</t>
  </si>
  <si>
    <t>Stenotrophomonas rhizophila strain THA 2.2 chromosome, complete genome</t>
  </si>
  <si>
    <t>CP131130.1    Shinella zoogloeoides strain Teo12 chromosome, complete genome</t>
  </si>
  <si>
    <t>CP054931.1    Stenotrophomonas sp. NA06056 chromosome, complete genome</t>
  </si>
  <si>
    <t>Curtobacterium sp. L1-20 chromosome, complete genome</t>
  </si>
  <si>
    <t>CP131131.1    Shinella zoogloeoides strain Teo12 plasmid p1_Teo12, complete sequence</t>
  </si>
  <si>
    <t>Variovorax sp. NFACC29 chromosome, complete genome</t>
  </si>
  <si>
    <t>CP132231.1    Brevundimonas sp. C43 chromosome, complete genome</t>
  </si>
  <si>
    <t>Variovorax sp. NFACC28 chromosome, complete genome</t>
  </si>
  <si>
    <t>CP132312.1    Shinella zoogloeoides strain UPHL-collab-1 plasmid unnamed2, complete sequence</t>
  </si>
  <si>
    <t>CP060296.1    Variovorax sp. PAMC28562 chromosome, complete genome</t>
  </si>
  <si>
    <t>Variovorax sp. NFACC27 chromosome, complete genome</t>
  </si>
  <si>
    <t>CP132313.1    Shinella zoogloeoides strain UPHL-collab-1 plasmid unnamed1, complete sequence</t>
  </si>
  <si>
    <t>Variovorax sp. NFACC26 chromosome, complete genome</t>
  </si>
  <si>
    <t>CP135236.1    Delftia tsuruhatensis strain HA60 chromosome, complete genome</t>
  </si>
  <si>
    <t>Variovorax sp. KK3 chromosome, complete genome</t>
  </si>
  <si>
    <t>CP061280.1    Mannheimia bovis strain ZY190616 chromosome, complete genome</t>
  </si>
  <si>
    <t>Delftia sp. DS1230 chromosome, complete genome</t>
  </si>
  <si>
    <t>CP141536.1    Delftia lacustris strain LzhVag01 chromosome, complete genome</t>
  </si>
  <si>
    <t>CP062222.1    Brevundimonas goettingensis strain LVF2 chromosome, complete genome</t>
  </si>
  <si>
    <t>Herbiconiux sp. A18JL235 chromosome, complete genome</t>
  </si>
  <si>
    <t>CP146498.1    Stenotrophomonas rhizophila strain THA 2.2 chromosome, complete genome</t>
  </si>
  <si>
    <t>CP063056.1    Rodentibacter haemolyticus strain DSM 111151 chromosome, complete genome</t>
  </si>
  <si>
    <t>Stenotrophomonas rhizophila strain busan1-1 chromosome, complete genome</t>
  </si>
  <si>
    <t>CP147988.1    Flavobacterium ginsenosidimutans strain YTB16 chromosome, complete genome</t>
  </si>
  <si>
    <t>Delftia lacustris strain ZWP15 chromosome, complete genome</t>
  </si>
  <si>
    <t>CP157611.1    Variovorax sp. NFACC28 chromosome, complete genome</t>
  </si>
  <si>
    <t>Herbiconiux sp. UC225_62 chromosome, complete genome</t>
  </si>
  <si>
    <t>CP157613.1    Variovorax sp. NFACC27 chromosome, complete genome</t>
  </si>
  <si>
    <t>Delftia tsuruhatensis strain B7 chromosome, complete genome</t>
  </si>
  <si>
    <t>CP157614.1    Variovorax sp. NFACC26 chromosome, complete genome</t>
  </si>
  <si>
    <t>Variovorax sp. UC74_104 chromosome, complete genome</t>
  </si>
  <si>
    <t>CP157763.1    Delftia sp. DS1230 chromosome, complete genome</t>
  </si>
  <si>
    <t>Stenotrophomonas sp. LGBM10 chromosome, complete genome</t>
  </si>
  <si>
    <t>CP165963.1    Stenotrophomonas rhizophila strain busan1-1 chromosome, complete genome</t>
  </si>
  <si>
    <t>Delftia tsuruhatensis strain Dt1S33 chromosome, complete genome</t>
  </si>
  <si>
    <t>CP166498.1    Stenotrophomonas pavanii strain 9978 chromosome, complete genome</t>
  </si>
  <si>
    <t>Stenotrophomonas rhizophila strain SJ-3 chromosome, complete genome</t>
  </si>
  <si>
    <t>Variovorax sp. R-27 chromosome, complete genome</t>
  </si>
  <si>
    <t>CP171815.1    Delftia tsuruhatensis strain B7 chromosome, complete genome</t>
  </si>
  <si>
    <t>Aedes aegypti clone BAC ND46O19, complete sequence</t>
  </si>
  <si>
    <t>CP177163.1    Stenotrophomonas sp. LGBM10 chromosome, complete genome</t>
  </si>
  <si>
    <t>Aedes aegypti clone BAC ND56P6, complete sequence</t>
  </si>
  <si>
    <t>CP178207.1    Pedobacter sp. KLB.chiD chromosome, complete genome</t>
  </si>
  <si>
    <t>CP183298.1    Stenotrophomonas rhizophila strain SJ-3 chromosome, complete genome</t>
  </si>
  <si>
    <t>CP079926.1    Caulobacter vibrioides strain CB S2B lysogen chromosome, complete genome</t>
  </si>
  <si>
    <t>Aedes aegypti sensory neuron membrane protein 2 gene, complete cds</t>
  </si>
  <si>
    <t>CP183977.1    Pedobacter sp. R-06 chromosome, complete genome</t>
  </si>
  <si>
    <t>CP080034.1    Brevundimonas nasdae strain Au29 chromosome, complete genome</t>
  </si>
  <si>
    <t>Aedes aegypti nix (nix) gene, complete cds</t>
  </si>
  <si>
    <t>CP183984.1    Variovorax sp. R-27 chromosome, complete genome</t>
  </si>
  <si>
    <t>CP080036.1    Brevundimonas nasdae strain A30 chromosome, complete genome</t>
  </si>
  <si>
    <t>CP082923.1    Caulobacter segnis strain CBR1 chromosome, complete genome</t>
  </si>
  <si>
    <t>CP083262.1    Pasteurella canis strain HL268 chromosome, complete genome</t>
  </si>
  <si>
    <t>OZ000530.1    Shinella sp. WSC3-e isolate ena-SAMPLE-TAB-28-07-2022-10:23:51:176-5823 genome assembly, chromosome: SHIWSC3</t>
  </si>
  <si>
    <t>CP083396.1    Pasteurella canis strain HL1500 chromosome, complete genome</t>
  </si>
  <si>
    <t>OZ012596.1    Shinella sp. WSD5-1 isolate ena-SAMPLE-TAB-07-02-2024-12:43:32:187-194197 genome assembly, chromosome: SHIWSD5</t>
  </si>
  <si>
    <t>OZ012599.1    Shinella sp. WSD5-1 isolate ena-SAMPLE-TAB-07-02-2024-12:43:32:187-194197 genome assembly, plasmid: pcSHIWSD5</t>
  </si>
  <si>
    <t>CP085791.1    Pasteurella canis strain HL_D1250 chromosome, complete genome</t>
  </si>
  <si>
    <t>OZ245727.1    MAG: Pedobacter sp. isolate 41cdd7be-c22d-4c10-b019-d2309211a865 genome assembly, chromosome: 1</t>
  </si>
  <si>
    <t>CP085871.1    Pasteurella canis strain HL_NV12211 chromosome, complete genome</t>
  </si>
  <si>
    <t>OZ245753.1    MAG: Variovorax sp. isolate d932e492-6568-496b-ba8d-41c1b372a44b genome assembly, chromosome: 1</t>
  </si>
  <si>
    <t>CP085873.1    Pasteurella canis strain HL_D3081 chromosome, complete genome</t>
  </si>
  <si>
    <t>Aedes aegypti isolate Aa_F7_B mitochondrion, partial genome</t>
  </si>
  <si>
    <t>OZ246949.1    MAG: Brevundimonas sp. isolate f2aa5d34-2955-45d7-af52-bbe0e6dfde1c genome assembly, chromosome: 1</t>
  </si>
  <si>
    <t>OZ253481.1    MAG: Delftia acidovorans isolate 0afac539-b27c-4848-ae0d-0b9b55eef0d5 genome assembly, chromosome: 1</t>
  </si>
  <si>
    <t>CP086610.1    Shinella zoogloeoides strain ATCC 19623 chromosome, complete genome</t>
  </si>
  <si>
    <t>OZ253542.1    MAG: Brevundimonas sp. isolate 410bd8d8-fe8c-4dc8-90f4-7aecd49f4a61 genome assembly, chromosome: 1</t>
  </si>
  <si>
    <t>CP086611.1    Shinella zoogloeoides strain ATCC 19623 plasmid unnamed1, complete sequence</t>
  </si>
  <si>
    <t>OZ253549.1    MAG: Delftia acidovorans isolate 061d4843-1150-4e3b-a72e-f1c4f322d699 genome assembly, chromosome: 1</t>
  </si>
  <si>
    <t>OZ257138.1    MAG: Brevundimonas sp. isolate 92ae66e9-a21b-403b-8aea-95c548543948 genome assembly, chromosome: 1</t>
  </si>
  <si>
    <t>CP089301.1    Novosphingobium kaempferiae strain Sx8-5 chromosome, complete genome</t>
  </si>
  <si>
    <t>OZ257247.1    MAG: Variovorax sp. isolate 054db2fe-61d6-43b7-95b4-1503a3d4421b genome assembly, chromosome: 1</t>
  </si>
  <si>
    <t>CP096040.1    Caulobacter segnis strain RL271 chromosome, complete genome</t>
  </si>
  <si>
    <t>Malachius bipustulatus genome assembly, chromosome: 7</t>
  </si>
  <si>
    <t>CP097298.1    Brevundimonas albigilva strain KEME 9005-016 chromosome</t>
  </si>
  <si>
    <t>MAG: uncultured Actinomycetota bacterium isolate MFD02832.bin.c.3 genome assembly, chromosome: 1</t>
  </si>
  <si>
    <t>CP097649.1    Brevundimonas albigilva strain TT17 chromosome, complete genome</t>
  </si>
  <si>
    <t>Leiobunum subalpinum genome assembly, chromosome: 3</t>
  </si>
  <si>
    <t>CP102592.1    Xanthomonas sp. CFBP 8443 chromosome, complete genome</t>
  </si>
  <si>
    <t>MAG: Brevundimonas sp. isolate f2aa5d34-2955-45d7-af52-bbe0e6dfde1c genome assembly, chromosome: 1</t>
  </si>
  <si>
    <t>Lathrobium brunnipes genome assembly, chromosome: 6</t>
  </si>
  <si>
    <t>CP104128.1    Sinorhizobium sp. M103 plasmid pM103b, complete sequence</t>
  </si>
  <si>
    <t>MAG: Delftia acidovorans isolate 0afac539-b27c-4848-ae0d-0b9b55eef0d5 genome assembly, chromosome: 1</t>
  </si>
  <si>
    <t>CP104132.1    Sinorhizobium sp. K101 plasmid pK101b, complete sequence</t>
  </si>
  <si>
    <t>MAG: Brevundimonas sp. isolate 410bd8d8-fe8c-4dc8-90f4-7aecd49f4a61 genome assembly, chromosome: 1</t>
  </si>
  <si>
    <t>CP104137.1    Sinorhizobium sp. C101 plasmid pC101c, complete sequence</t>
  </si>
  <si>
    <t>MAG: Delftia acidovorans isolate 061d4843-1150-4e3b-a72e-f1c4f322d699 genome assembly, chromosome: 1</t>
  </si>
  <si>
    <t>CP104307.1    Flavobacterium sp. TR2 chromosome, complete genome</t>
  </si>
  <si>
    <t>Nguyenibacter vanlangensis strain LH 16S ribosomal RNA gene, partial sequence</t>
  </si>
  <si>
    <t>CP106869.1    Xanthomonas sp. AM6 chromosome, complete genome</t>
  </si>
  <si>
    <t>Cloning vector pBB-AaIR8a, complete sequence</t>
  </si>
  <si>
    <t>CP110001.1    Flavobacterium sp. N2038 chromosome, complete genome</t>
  </si>
  <si>
    <t>PREDICTED: Aedes aegypti transmembrane protein 183 (LOC5565022), mRNA</t>
  </si>
  <si>
    <t>CP113064.1    Brevundimonas sp. SL130 chromosome</t>
  </si>
  <si>
    <t>PREDICTED: Aedes aegypti uncharacterized LOC5569555 (LOC5569555), mRNA</t>
  </si>
  <si>
    <t>PREDICTED: Aedes aegypti splicing factor 3B subunit 3 (LOC5575759), transcript variant X6, mRNA</t>
  </si>
  <si>
    <t>PREDICTED: Aedes albopictus dual specificity mitogen-activated protein kinase kinase 4 (LOC109419238), mRNA</t>
  </si>
  <si>
    <t>CP114285.2    Flavobacterium flavigenum strain IMCC34775 chromosome, complete genome</t>
  </si>
  <si>
    <t>PREDICTED: Aedes albopictus farnesol dehydrogenase-like (LOC115267834), mRNA</t>
  </si>
  <si>
    <t>CP114287.2    Flavobacterium gelatinilyticum strain IMCC34777 chromosome, complete genome</t>
  </si>
  <si>
    <t>PREDICTED: Aedes albopictus leucine-rich repeat neuronal protein 3-like (LOC109417164), transcript variant X1, mRNA</t>
  </si>
  <si>
    <t>CP115457.1    Sphingobium yanoikuyae strain CC4533 plasmid pKN1, complete sequence</t>
  </si>
  <si>
    <t>PREDICTED: Aedes albopictus leucine-rich repeat neuronal protein 3-like (LOC109417164), transcript variant X2, mRNA</t>
  </si>
  <si>
    <t>PREDICTED: Aedes albopictus polypyrimidine tract-binding protein 2 (LOC109400406), transcript variant X1, mRNA</t>
  </si>
  <si>
    <t>PREDICTED: Aedes albopictus polypyrimidine tract-binding protein 2 (LOC109400406), transcript variant X2, mRNA</t>
  </si>
  <si>
    <t>PREDICTED: Aedes albopictus polypyrimidine tract-binding protein 2 (LOC109400406), transcript variant X3, mRNA</t>
  </si>
  <si>
    <t>CP117471.1    Sphingobium sp. YC-XJ3 chromosome, complete genome</t>
  </si>
  <si>
    <t>PREDICTED: Aedes albopictus polypyrimidine tract-binding protein 2 (LOC109400406), transcript variant X4, mRNA</t>
  </si>
  <si>
    <t>PREDICTED: Aedes albopictus polypyrimidine tract-binding protein 2 (LOC109400406), transcript variant X5, mRNA</t>
  </si>
  <si>
    <t>PREDICTED: Aedes albopictus polypyrimidine tract-binding protein 2 (LOC109400406), transcript variant X6, mRNA</t>
  </si>
  <si>
    <t>PREDICTED: Aedes albopictus polypyrimidine tract-binding protein 2 (LOC109400406), transcript variant X7, mRNA</t>
  </si>
  <si>
    <t>CP119180.1    Brevundimonas nasdae strain X8 chromosome, complete genome</t>
  </si>
  <si>
    <t>PREDICTED: Aedes albopictus polypyrimidine tract-binding protein 2 (LOC109400406), transcript variant X8, mRNA</t>
  </si>
  <si>
    <t>CP119326.1    MAG: Candidatus Brevundimonas colombiensis isolate MAG_833 chromosome, complete genome</t>
  </si>
  <si>
    <t>PREDICTED: Aedes albopictus polypyrimidine tract-binding protein 2 (LOC109400406), transcript variant X9, mRNA</t>
  </si>
  <si>
    <t>PREDICTED: Aedes albopictus ionotropic receptor 40a (LOC109402376), mRNA</t>
  </si>
  <si>
    <t>PREDICTED: Aedes albopictus uncharacterized LOC115255134 (LOC115255134), mRNA</t>
  </si>
  <si>
    <t>PREDICTED: Aedes albopictus gamma-aminobutyric acid receptor subunit beta (LOC109622845), mRNA</t>
  </si>
  <si>
    <t>PREDICTED: Aedes aegypti uncharacterized LOC110680367 (LOC110680367), ncRNA</t>
  </si>
  <si>
    <t>PREDICTED: Aedes albopictus uncharacterized LOC134284031 (LOC134284031), ncRNA</t>
  </si>
  <si>
    <t>PREDICTED: Aedes albopictus uncharacterized LOC134288569 (LOC134288569), transcript variant X2, ncRNA</t>
  </si>
  <si>
    <t>CP130831.1    Stenotrophomonas sp. 704A1 chromosome, complete genome</t>
  </si>
  <si>
    <t>AP014862.1    Pseudomonas furukawaii DNA, complete genome</t>
  </si>
  <si>
    <t>AP021905.1    Pseudomonas sp. Pc102 DNA, complete genome</t>
  </si>
  <si>
    <t>AP023189.1    Pseudomonas tohonis TUM18999 DNA, complete genome</t>
  </si>
  <si>
    <t>CP132311.1    Shinella zoogloeoides strain UPHL-collab-1 chromosome, complete genome</t>
  </si>
  <si>
    <t>AY947398.1    Aedes aegypti haplotype 1 tRNA-Ile gene, partial sequence; D-loop, complete sequence; and 12S ribosomal RNA gene, partial sequence; mitochondrial</t>
  </si>
  <si>
    <t>CP136998.1    Pigmentiphaga sp. CHJ604 chromosome, complete genome</t>
  </si>
  <si>
    <t>CP138513.1    Variovorax paradoxus strain SPNA7 chromosome, complete genome</t>
  </si>
  <si>
    <t>CP138515.1    Variovorax paradoxus strain 2u118 chromosome, complete genome</t>
  </si>
  <si>
    <t>CP014517.1    Variovorax sp. PAMC 28711, complete genome</t>
  </si>
  <si>
    <t>CP139470.1    Stenotrophomonas acidaminiphila strain BK-E778.1A chromosome</t>
  </si>
  <si>
    <t>CP139979.1    Sphingobium yanoikuyae strain HAMBI_1842 chromosome, complete genome</t>
  </si>
  <si>
    <t>CP140160.1    Flavobacterium johnsoniae UW101 strain ATCC 17061 chromosome, complete genome</t>
  </si>
  <si>
    <t>CP017580.1    Curtobacterium sp. BH-2-1-1 chromosome, complete genome</t>
  </si>
  <si>
    <t>CP141214.1    Sinorhizobium meliloti strain LMB1 plasmid pB, complete sequence</t>
  </si>
  <si>
    <t>CP026924.1    Agrobacterium tumefaciens strain 1D1609 chromosome I, complete sequence</t>
  </si>
  <si>
    <t>CP157485.1    Pedobacter sp. KACC 23697 chromosome, complete genome</t>
  </si>
  <si>
    <t>CP032616.1    Pseudomonas sp. DY-1 chromosome, complete genome</t>
  </si>
  <si>
    <t>CP157630.1    Variovorax paradoxus strain 349MFTsu5.1 chromosome 1, complete sequence</t>
  </si>
  <si>
    <t>CP039888.1    Agrobacterium tumefaciens strain CFBP5499 chromosome circular, complete sequence</t>
  </si>
  <si>
    <t>CP157632.1    Variovorax paradoxus strain 295MFChir4.1 chromosome 1, complete sequence</t>
  </si>
  <si>
    <t>CP039897.1    Agrobacterium tumefaciens strain CFBP5877 chromosome circular, complete sequence</t>
  </si>
  <si>
    <t>CP157636.1    Variovorax paradoxus strain 4MFCol3.1 chromosome, complete genome</t>
  </si>
  <si>
    <t>CP039922.1    Agrobacterium tumefaciens strain CFBP7129 chromosome circular, complete sequence</t>
  </si>
  <si>
    <t>CP040640.1    Agrobacterium sp. T29 chromosome circular, complete sequence</t>
  </si>
  <si>
    <t>CP162487.1    Xanthomonas bundabergensis strain DAR 80977 chromosome, complete genome</t>
  </si>
  <si>
    <t>CP162489.1    Xanthomonas tesorieronis strain DAR 34893 chromosome, complete genome</t>
  </si>
  <si>
    <t>CP162490.1    Xanthomonas tesorieronis strain DAR 34887 chromosome, complete genome</t>
  </si>
  <si>
    <t>CP048632.1    Rhizobium oryzihabitans strain M15 chromosome M15-11, complete sequence</t>
  </si>
  <si>
    <t>CP169067.1    Brevundimonas intermedia strain CCUG 45022 chromosome, complete genome</t>
  </si>
  <si>
    <t>CP053344.1    Herbiconiux sp. SALV-R1 chromosome, complete genome</t>
  </si>
  <si>
    <t>CP171152.1    Novosphingobium sp. BL-52-GroH chromosome 1, complete sequence</t>
  </si>
  <si>
    <t>CP059987.1    Protaetiibacter sp. SSC-01 chromosome, complete genome</t>
  </si>
  <si>
    <t>CP171994.1    Caulobacter sp. UC70_42 chromosome, complete genome</t>
  </si>
  <si>
    <t>CP176501.1    Stenotrophomonas sp. Y-13 chromosome, complete genome</t>
  </si>
  <si>
    <t>CP069304.1    Shinella sp. PSBB067 plasmid unnamed2, complete sequence</t>
  </si>
  <si>
    <t>CP184479.1    Pigmentiphaga litoralis strain E30 chromosome, complete genome</t>
  </si>
  <si>
    <t>CP190006.1    Stenotrophomonas acidaminiphila strain SCAU 4 chromosome, complete genome</t>
  </si>
  <si>
    <t>CP071311.1    Rhizobium sp. X9 chromosome 1, complete sequence</t>
  </si>
  <si>
    <t>CP190016.1    Flavobacterium sp. MMS24-S5 chromosome, complete genome</t>
  </si>
  <si>
    <t>CP084625.1    Metapseudomonas lalkuanensis strain ACYW.190 chromosome, complete genome</t>
  </si>
  <si>
    <t>CP106785.1    Pseudomonas tohonis strain G5.110 chromosome, complete genome</t>
  </si>
  <si>
    <t>KP843003.1    Aedes aegypti clone 1533196 M-locus repetitive sequence</t>
  </si>
  <si>
    <t>CP115464.1    Brevundimonas sp. NIBR10 chromosome, complete genome</t>
  </si>
  <si>
    <t>CP115820.1    Pseudomonas tohonis strain Q4-3 chromosome, complete genome</t>
  </si>
  <si>
    <t>CP119971.1    Agrobacterium leguminum strain AT13 chromosome 1, complete sequence</t>
  </si>
  <si>
    <t>OX336425.1    Flavobacterium collinsii strain TRV642 genome assembly, chromosome: TRV642</t>
  </si>
  <si>
    <t>CP120211.1    Agrobacterium leguminum strain CFBP4996 chromosome Circular, complete sequence</t>
  </si>
  <si>
    <t>OZ000534.1    Shinella sp. WSC3-e isolate ena-SAMPLE-TAB-28-07-2022-10:23:51:176-5823 genome assembly, plasmid: pdSHIWSC3</t>
  </si>
  <si>
    <t>CP126251.1    Curtobacterium sp. MCPF17_002 chromosome, complete genome</t>
  </si>
  <si>
    <t>CP127228.1    Pseudomonas tohonis strain KRS022 chromosome, complete genome</t>
  </si>
  <si>
    <t>OZ012605.1    Shinella sp. WSD5-1 isolate ena-SAMPLE-TAB-07-02-2024-12:43:32:187-194197 genome assembly, plasmid: piSHIWSD5</t>
  </si>
  <si>
    <t>OZ245770.1    MAG: Kaistia sp. isolate 06b3ed4c-dc80-415b-9392-d46517f030ba genome assembly, chromosome: 1</t>
  </si>
  <si>
    <t>CP133386.1    Curtobacterium flaccumfaciens strain W004 chromosome</t>
  </si>
  <si>
    <t>OZ245873.1    MAG: Kaistia sp. isolate 50ed00f3-3914-4398-af31-d3df9f367197 genome assembly, chromosome: 1</t>
  </si>
  <si>
    <t>CP139146.1    Herbiconiux sp. KACC 21604 chromosome, complete genome</t>
  </si>
  <si>
    <t>CP142648.1    Acinetobacter baumannii strain D20AB03 plasmid pD20AB03</t>
  </si>
  <si>
    <t>CP143312.1    Pseudomonas sp. JS3066 chromosome, complete genome</t>
  </si>
  <si>
    <t>CP146285.1    Pseudomonas solani strain GK13 chromosome, complete genome</t>
  </si>
  <si>
    <t>OZ257135.1    MAG: Kaistia sp. isolate 7909ad50-a573-4bff-af78-ecd229034550 genome assembly, chromosome: 1</t>
  </si>
  <si>
    <t>CP151473.1    Curtobacterium sp. L1-20 chromosome, complete genome</t>
  </si>
  <si>
    <t>OZ257150.1    MAG: Acidovorax sp. isolate ce20f8f8-f4e6-44dc-940e-39a364181b1e genome assembly, chromosome: 1</t>
  </si>
  <si>
    <t>CP157609.1    Variovorax sp. NFACC29 chromosome, complete genome</t>
  </si>
  <si>
    <t>OZ260086.1    MAG: Sphingobacteriaceae bacterium isolate CRY1-m2-bin06 genome assembly, chromosome: 1</t>
  </si>
  <si>
    <t>CP157616.1    Variovorax sp. KK3 chromosome, complete genome</t>
  </si>
  <si>
    <t>XM_062846594.1    PREDICTED: Aedes albopictus polypyrimidine tract-binding protein 2 (LOC109400406), transcript variant X1, mRNA</t>
  </si>
  <si>
    <t>CP162511.1    Herbiconiux sp. A18JL235 chromosome, complete genome</t>
  </si>
  <si>
    <t>XM_062846595.1    PREDICTED: Aedes albopictus polypyrimidine tract-binding protein 2 (LOC109400406), transcript variant X2, mRNA</t>
  </si>
  <si>
    <t>XM_062846596.1    PREDICTED: Aedes albopictus polypyrimidine tract-binding protein 2 (LOC109400406), transcript variant X3, mRNA</t>
  </si>
  <si>
    <t>XM_062846598.1    PREDICTED: Aedes albopictus polypyrimidine tract-binding protein 2 (LOC109400406), transcript variant X4, mRNA</t>
  </si>
  <si>
    <t>CP170551.1    Herbiconiux sp. UC225_62 chromosome, complete genome</t>
  </si>
  <si>
    <t>XM_062846599.1    PREDICTED: Aedes albopictus polypyrimidine tract-binding protein 2 (LOC109400406), transcript variant X5, mRNA</t>
  </si>
  <si>
    <t>XM_062846600.1    PREDICTED: Aedes albopictus polypyrimidine tract-binding protein 2 (LOC109400406), transcript variant X6, mRNA</t>
  </si>
  <si>
    <t>CP171978.1    Variovorax sp. UC74_104 chromosome, complete genome</t>
  </si>
  <si>
    <t>XM_062846601.1    PREDICTED: Aedes albopictus polypyrimidine tract-binding protein 2 (LOC109400406), transcript variant X7, mRNA</t>
  </si>
  <si>
    <t>XM_062846602.1    PREDICTED: Aedes albopictus polypyrimidine tract-binding protein 2 (LOC109400406), transcript variant X8, mRNA</t>
  </si>
  <si>
    <t>XM_062846603.1    PREDICTED: Aedes albopictus polypyrimidine tract-binding protein 2 (LOC109400406), transcript variant X9, mRNA</t>
  </si>
  <si>
    <t>OM685199.1    Aedes aegypti isolate Aa_F7_B mitochondrion, partial genome</t>
  </si>
  <si>
    <t>OU342635.1    Malachius bipustulatus genome assembly, chromosome: 7</t>
  </si>
  <si>
    <t>OY970214.1    MAG: uncultured Actinomycetota bacterium isolate MFD02832.bin.c.3 genome assembly, chromosome: 1</t>
  </si>
  <si>
    <t>OZ239120.1    Leiobunum subalpinum genome assembly, chromosome: 3</t>
  </si>
  <si>
    <t>OZ251357.1    Lathrobium brunnipes genome assembly, chromosome: 6</t>
  </si>
  <si>
    <t>PQ425615.1    Nguyenibacter vanlangensis strain LH 16S ribosomal RNA gene, partial sequence</t>
  </si>
  <si>
    <t>PQ671724.1    Cloning vector pBB-AaIR8a, complete sequence</t>
  </si>
  <si>
    <t>XM_001649313.2    PREDICTED: Aedes aegypti transmembrane protein 183 (LOC5565022), mRNA</t>
  </si>
  <si>
    <t>XM_021839931.1    PREDICTED: Aedes aegypti splicing factor 3B subunit 3 (LOC5575759), transcript variant X6, mRNA</t>
  </si>
  <si>
    <t>XM_029875318.2    PREDICTED: Aedes albopictus farnesol dehydrogenase-like (LOC115267834), mRNA</t>
  </si>
  <si>
    <t>XM_062842284.1    PREDICTED: Aedes albopictus leucine-rich repeat neuronal protein 3-like (LOC109417164), transcript variant X1, mRNA</t>
  </si>
  <si>
    <t>XM_062842285.1    PREDICTED: Aedes albopictus leucine-rich repeat neuronal protein 3-like (LOC109417164), transcript variant X2, mRNA</t>
  </si>
  <si>
    <t>XM_062847123.1    PREDICTED: Aedes albopictus ionotropic receptor 40a (LOC109402376), mRNA</t>
  </si>
  <si>
    <t>XM_062850256.1    PREDICTED: Aedes albopictus uncharacterized LOC115255134 (LOC115255134), mRNA</t>
  </si>
  <si>
    <t>XM_062854093.1    PREDICTED: Aedes albopictus gamma-aminobutyric acid receptor subunit beta (LOC109622845), mRNA</t>
  </si>
  <si>
    <t>XR_002502848.1    PREDICTED: Aedes aegypti uncharacterized LOC110680367 (LOC110680367), ncRNA</t>
  </si>
  <si>
    <t>XR_009995584.1    PREDICTED: Aedes albopictus uncharacterized LOC134284031 (LOC134284031), ncRNA</t>
  </si>
  <si>
    <t>Table 5.1 T1 substraction contigs NCBI taxonomy annotation</t>
  </si>
  <si>
    <t>Table 5.2 T2 substraction contigs NCBI taxonomy annotation</t>
  </si>
  <si>
    <t>Table 5.3 T_merged substraction contigs NCBI taxonomy annotation</t>
  </si>
  <si>
    <t>Blastochloris viridis DNA, complete genome, strain: DSM 133</t>
  </si>
  <si>
    <t>AP012603.1    Bradyrhizobium oligotrophicum S58 DNA, complete genome</t>
  </si>
  <si>
    <t>Kaistia sp. 32K DNA, complete genome</t>
  </si>
  <si>
    <t>AP014854.2    Blastochloris viridis DNA, complete genome, strain: DSM 133</t>
  </si>
  <si>
    <t>AP022582.1    Mycobacterium seoulense JCM 16018 DNA, complete genome</t>
  </si>
  <si>
    <t>Bacillus cereus 03BB102 plasmid p03BB102_179, complete sequence</t>
  </si>
  <si>
    <t>AP022590.1    Mycobacterium mantenii JCM 18113 DNA, complete genome</t>
  </si>
  <si>
    <t>Polymorphum gilvum SL003B-26A1, complete genome</t>
  </si>
  <si>
    <t>AP023242.1    Mesorhizobium sp. 113-1-2 DNA, complete genome</t>
  </si>
  <si>
    <t>AP009384.1    Azorhizobium caulinodans ORS 571 DNA, complete genome</t>
  </si>
  <si>
    <t>AP023243.1    Mesorhizobium sp. 113-3-3 DNA, complete genome</t>
  </si>
  <si>
    <t>AP014705.1    Methylobacterium aquaticum plasmid pMaq22A_1p DNA, complete genome, strain: MA-22A</t>
  </si>
  <si>
    <t>Bacillus thuringiensis serovar thuringiensis str. IS5056, complete genome</t>
  </si>
  <si>
    <t>AP023263.1    Mesorhizobium sp. L-8-10 DNA, complete genome</t>
  </si>
  <si>
    <t>Bacillus toyonensis BCT-7112, complete genome</t>
  </si>
  <si>
    <t>AP023398.1    Aeromonas hydrophila KAM330 DNA, complete genome</t>
  </si>
  <si>
    <t>AP017605.1    Mesorhizobium loti DNA, nearly complete genome, strain: TONO</t>
  </si>
  <si>
    <t>Rhodoplanes sp. Z2-YC6860, complete genome</t>
  </si>
  <si>
    <t>AP024234.1    Aeromonas hydrophila RIMD111065 DNA, complete genome</t>
  </si>
  <si>
    <t>AP017986.1    Aminobacter sp. SS-2016 DNA, complete genome</t>
  </si>
  <si>
    <t>Bacillus cereus strain FT9, complete genome</t>
  </si>
  <si>
    <t>AP024269.1    Kaistia sp. 32K DNA, complete genome</t>
  </si>
  <si>
    <t>AP018907.1    Blastochloris sp. GI DNA, complete genome</t>
  </si>
  <si>
    <t>Bacillus cereus 03BB102 plasmid, complete sequence</t>
  </si>
  <si>
    <t>AP025032.1    Aureimonas sp. SA4125 DNA, complete genome</t>
  </si>
  <si>
    <t>AP022206.1    Aeromonas hydrophila DNA, complete genome, strain: WP7-S18-ESBL-06</t>
  </si>
  <si>
    <t>Bacillus thuringiensis serovar indiana strain HD521 plasmid pBTHD521-5, complete sequence</t>
  </si>
  <si>
    <t>AP025277.1    Aeromonas hydrophila NUITM-VA1 DNA, complete genome</t>
  </si>
  <si>
    <t>AP022290.1    Aeromonas veronii DNA, complete genome, strain: WP9-W18-ESBL-04</t>
  </si>
  <si>
    <t>Bacillus cereus strain NJ-W, complete genome</t>
  </si>
  <si>
    <t>AP025637.1    Roseomonas sp. S08 DNA, complete genome</t>
  </si>
  <si>
    <t>AP022848.1    Bosea sp. ANAM02 DNA, complete genome</t>
  </si>
  <si>
    <t>Blastochloris viridis strain ATCC 19567, complete genome</t>
  </si>
  <si>
    <t>AP026972.1    Polynucleobacter sp. KF022 DNA, complete genome</t>
  </si>
  <si>
    <t>AP022886.1    Bacillus cereus MRY14-0074 DNA, complete genome</t>
  </si>
  <si>
    <t>Bacillus thuringiensis strain CTC, complete genome</t>
  </si>
  <si>
    <t>AP026973.1    Polynucleobacter yangtzensis KF023 DNA, complete genome</t>
  </si>
  <si>
    <t>AP022927.1    Bacillus cereus J2 DNA, complete genome</t>
  </si>
  <si>
    <t>Bosea sp. PAMC 26642, complete genome</t>
  </si>
  <si>
    <t>AP026974.1    Polynucleobacter yangtzensis KF032 DNA, complete genome</t>
  </si>
  <si>
    <t>AP022986.1    Bacillus cereus 30052 DNA, complete genome</t>
  </si>
  <si>
    <t>Bacillus thuringiensis strain HD12 plasmid pHD120345, complete sequence</t>
  </si>
  <si>
    <t>AP029055.1    Afipia carboxidovorans SH125 DNA, nearly complete genome</t>
  </si>
  <si>
    <t>Bacillus thuringiensis Bt18247, complete genome</t>
  </si>
  <si>
    <t>AP031462.1    Roseomonas mucosa NBRC 115778 DNA, complete genome</t>
  </si>
  <si>
    <t>AP023249.1    Mesorhizobium sp. 131-2-5 DNA, complete genome</t>
  </si>
  <si>
    <t>Bacillus wiedmannii strain Bt18679 chromosome, complete genome</t>
  </si>
  <si>
    <t>AP023254.1    Mesorhizobium sp. 131-3-5 DNA, complete genome</t>
  </si>
  <si>
    <t>Bacillus cereus strain M13 chromosome, complete genome</t>
  </si>
  <si>
    <t>Aeromonas hydrophila strain ZYAH75 chromosome, complete genome</t>
  </si>
  <si>
    <t>CP000462.1    Aeromonas hydrophila subsp. hydrophila ATCC 7966, complete genome</t>
  </si>
  <si>
    <t>Bacillus cereus strain FORC_047 chromosome, complete genome</t>
  </si>
  <si>
    <t>CP000494.1    Bradyrhizobium sp. BTAi1, complete genome</t>
  </si>
  <si>
    <t>Bacillus thuringiensis strain SCG04-02, complete sequence</t>
  </si>
  <si>
    <t>Bosea sp. Tri-49, complete sequence</t>
  </si>
  <si>
    <t>CP001191.1    Rhizobium leguminosarum bv. trifolii WSM2304 chromosome, complete genome</t>
  </si>
  <si>
    <t>CP001510.1    Methylobacterium extorquens AM1, complete genome</t>
  </si>
  <si>
    <t>Bacillus thuringiensis strain L-7601 plasmid unnamed3, complete sequence</t>
  </si>
  <si>
    <t>CP004137.1    Bacillus thuringiensis serovar thuringiensis str. IS5056 plasmid pIS56-328, complete sequence</t>
  </si>
  <si>
    <t>Bacillus tropicus strain BC3 chromosome</t>
  </si>
  <si>
    <t>CP007616.1    Bacillus thuringiensis serovar kurstaki str. YBT-1520 plasmid pBMB400, complete sequence</t>
  </si>
  <si>
    <t>AP025942.1    Methylorubrum sp. GM97 DNA, complete genome</t>
  </si>
  <si>
    <t>CP009998.1    Bacillus thuringiensis serovar kurstaki strain HD 1 plasmid unnamed1, complete sequence</t>
  </si>
  <si>
    <t>Bacillus cereus strain HBL-AI chromosome, complete genome</t>
  </si>
  <si>
    <t>CP011152.1    Bacillus cereus strain CMCC P0021 plasmid pRML04, complete sequence</t>
  </si>
  <si>
    <t>Bacillus cereus strain MLY1 chromosome MLY1.0, complete sequence</t>
  </si>
  <si>
    <t>CP011154.1    Bacillus cereus strain CMCC P0011 plasmid pRML05, complete sequence</t>
  </si>
  <si>
    <t>Bacillus wiedmannii bv. thuringiensis strain FCC41 chromosome, complete genome</t>
  </si>
  <si>
    <t>CP011350.1    Bacillus thuringiensis strain YC-10 plasmid pYC1, complete sequence</t>
  </si>
  <si>
    <t>Bacillus wiedmannii bv. thuringiensis strain FCC41 plasmid pFCC41-1-490K, complete sequence</t>
  </si>
  <si>
    <t>CP012945.1    Devosia sp. A16, complete genome</t>
  </si>
  <si>
    <t>AP027916.1    Phyllobacterium sp. T2-21 plasmid pT2-21_2 DNA, complete sequence</t>
  </si>
  <si>
    <t>Bacillus thuringiensis LM1212 chromosome, complete genome</t>
  </si>
  <si>
    <t>AP027937.1    Aeromonas veronii VA60 DNA, complete genome</t>
  </si>
  <si>
    <t>Bacillus cereus strain TG1-6 chromosome, complete genome</t>
  </si>
  <si>
    <t>CP015257.1    Bacillus wiedmannii strain Bt18679 chromosome, complete genome</t>
  </si>
  <si>
    <t>Azospirillum thermophilum strain CFH 70021 chromosome 3, complete sequence</t>
  </si>
  <si>
    <t>CP015583.1    Roseomonas gilardii strain U14-5 chromosome 1, complete sequence</t>
  </si>
  <si>
    <t>Bacillus sp. COPE52 chromosome</t>
  </si>
  <si>
    <t>CP015964.1    Mycobacterium intracellulare subsp. yongonense strain Asan 36912, complete genome</t>
  </si>
  <si>
    <t>AP029194.1    Saccharothrix mutabilis subsp. capreolus JCM 4248 DNA, complete genome</t>
  </si>
  <si>
    <t>Pseudolabrys taiwanensis strain CC-BB4 chromosome</t>
  </si>
  <si>
    <t>CP015965.1    Mycobacterium intracellulare subsp. yongonense strain Asan 36527, complete genome</t>
  </si>
  <si>
    <t>AP029611.1    Azorhizobium caulinodans Th 4A DNA, complete genome</t>
  </si>
  <si>
    <t>Breoghania sp. L-A4 chromosome, complete genome</t>
  </si>
  <si>
    <t>CP016990.1    Aeromonas hydrophila strain ZYAH75 chromosome, complete genome</t>
  </si>
  <si>
    <t>Bacillus wiedmannii strain SR52 chromosome, complete genome</t>
  </si>
  <si>
    <t>CP017101.1    Rhizobium gallicum strain IE4872, complete sequence</t>
  </si>
  <si>
    <t>AP038927.1    Methylocystis echinoides LMG27198 DNA, complete genome</t>
  </si>
  <si>
    <t>Mesorhizobium loti R88b chromosome, complete genome</t>
  </si>
  <si>
    <t>AP038937.1    Methylocystis echinoides NpR20-16 DNA, complete genome</t>
  </si>
  <si>
    <t>Bacillus sp. BD59S chromosome, complete genome</t>
  </si>
  <si>
    <t>AP038943.1    Methylosinus sporium NpR20-40 DNA, complete genome</t>
  </si>
  <si>
    <t>Bacillus thuringiensis serovar andalousiensis strain NRRL B-23139 chromosome</t>
  </si>
  <si>
    <t>CP020437.2    Bacillus sp. FDAARGOS_235 chromosome, complete genome</t>
  </si>
  <si>
    <t>AP038954.1    Methylosinus sporium NpR20-53 DNA, complete genome</t>
  </si>
  <si>
    <t>Bacillus mycoides strain BPN121 chromosome, complete genome</t>
  </si>
  <si>
    <t>CP021062.1    Bacillus thuringiensis strain ATCC 10792 plasmid poh1, complete sequence</t>
  </si>
  <si>
    <t>AP038968.1    Methylosinus sporium NpR21-114 DNA, complete genome</t>
  </si>
  <si>
    <t>Bacillus mycoides strain BPN36/3 chromosome, complete genome</t>
  </si>
  <si>
    <t>AP038973.1    Methylosinus sporium TuR21-B3a DNA, complete genome</t>
  </si>
  <si>
    <t>Bacillus toyonensis strain BPN45/4 chromosome, complete genome</t>
  </si>
  <si>
    <t>CP023151.1    Mycobacterium intracellulare subsp. chimaera strain FLAC0070 chromosome, complete genome</t>
  </si>
  <si>
    <t>AY380797.1    Aedes aegypti vitellogenin-B (Vg-B) gene, complete cds</t>
  </si>
  <si>
    <t>Bacillus mycoides strain BPN573 chromosome, complete genome</t>
  </si>
  <si>
    <t>CP024684.1    Bacillus wiedmannii bv. thuringiensis strain FCC41 chromosome, complete genome</t>
  </si>
  <si>
    <t>Bacillus mycoides strain BPN601 chromosome, complete genome</t>
  </si>
  <si>
    <t>CP025546.1    Mycobacterium paragordonae strain 49061 chromosome, complete genome</t>
  </si>
  <si>
    <t>Bacillus wiedmannii strain JAS07/5 chromosome, complete genome</t>
  </si>
  <si>
    <t>CP027804.1    Aeromonas hydrophila strain KN-Mc-1R2 chromosome, complete genome</t>
  </si>
  <si>
    <t>Bacillus wiedmannii strain JAS07/5 plasmid p536</t>
  </si>
  <si>
    <t>CP029208.1    Nitratireductor sp. OM-1 chromosome, complete genome</t>
  </si>
  <si>
    <t>CP000764.1    Bacillus cytotoxicus NVH 391-98, complete genome</t>
  </si>
  <si>
    <t>Bacillus wiedmannii strain JAS08/1 chromosome, complete genome</t>
  </si>
  <si>
    <t>CP031292.1    Bacillus sp. COPE52 chromosome</t>
  </si>
  <si>
    <t>CP000781.1    Xanthobacter autotrophicus Py2, complete genome</t>
  </si>
  <si>
    <t>Bacillus toyonensis strain JAS13/1 chromosome, complete genome</t>
  </si>
  <si>
    <t>CP031834.1    Mesorhizobium sp. DCY119 chromosome</t>
  </si>
  <si>
    <t>Bacillus wiedmannii strain JAS28/2 chromosome, complete genome</t>
  </si>
  <si>
    <t>CP032312.1    Pannonibacter phragmitetus BB chromosome, complete genome</t>
  </si>
  <si>
    <t>CP001186.1    Bacillus cereus G9842, complete genome</t>
  </si>
  <si>
    <t>Bacillus mycoides strain JAS391 chromosome, complete genome</t>
  </si>
  <si>
    <t>CP032365.1    Bacillus wiedmannii strain SR52 chromosome, complete genome</t>
  </si>
  <si>
    <t>CP001406.1    Bacillus cereus 03BB102 plasmid p03BB102_179, complete sequence</t>
  </si>
  <si>
    <t>Bacillus toyonensis strain JAS411 chromosome, complete genome</t>
  </si>
  <si>
    <t>CP033365.1    Mesorhizobium sp. NZP2298 chromosome, complete genome</t>
  </si>
  <si>
    <t>Aeromonas sp. 2692-1 chromosome, complete genome</t>
  </si>
  <si>
    <t>CP034445.1    Mesorhizobium sp. M2A.F.Ca.ET.043.02.1.1 chromosome, complete genome</t>
  </si>
  <si>
    <t>CP001907.1    Bacillus thuringiensis serovar chinensis CT-43, complete genome</t>
  </si>
  <si>
    <t>Bacillus cereus strain DLOU-Changhai chromosome, complete genome</t>
  </si>
  <si>
    <t>CP034446.1    Mesorhizobium sp. M2A.F.Ca.ET.043.05.1.1 chromosome, complete genome</t>
  </si>
  <si>
    <t>CP002026.1    Starkeya novella DSM 506, complete genome</t>
  </si>
  <si>
    <t>Bacillus luti strain FJ chromosome, complete genome</t>
  </si>
  <si>
    <t>CP034450.1    Mesorhizobium sp. M4B.F.Ca.ET.058.02.1.1 chromosome</t>
  </si>
  <si>
    <t>Bacillus cereus strain DLOU-Tangshan chromosome, complete genome</t>
  </si>
  <si>
    <t>CP034902.1    Roseomonas mucosa strain AD3 chromosome, complete genome</t>
  </si>
  <si>
    <t>Bacillus tropicus strain LM1212-W3 chromosome, complete genome</t>
  </si>
  <si>
    <t>CP034924.1    Roseomonas mucosa strain HV1 chromosome, complete genome</t>
  </si>
  <si>
    <t>CP004123.1    Bacillus thuringiensis serovar thuringiensis str. IS5056, complete genome</t>
  </si>
  <si>
    <t>Bacillus pacificus strain NCCP 15909 chromosome, complete genome</t>
  </si>
  <si>
    <t>CP034998.1    Rhizobium acidisoli strain FH23 chromosome, complete genome</t>
  </si>
  <si>
    <t>CP005935.1    Bacillus thuringiensis YBT-1518, complete genome</t>
  </si>
  <si>
    <t>Bacillus cereus strain G1-1 chromosome, complete genome</t>
  </si>
  <si>
    <t>CP035727.2    Bacillus thuringiensis serovar andalousiensis strain NRRL B-23139 chromosome</t>
  </si>
  <si>
    <t>CP006369.1    Aureimonas sp. AU20 plasmid pAU20b, complete sequence</t>
  </si>
  <si>
    <t>Aeromonas hydrophila strain 2359 chromosome, complete genome</t>
  </si>
  <si>
    <t>CP036014.1    Bacillus toyonensis strain BPN45/4 chromosome, complete genome</t>
  </si>
  <si>
    <t>CP006992.1    Methylobacterium sp. AMS5, complete genome</t>
  </si>
  <si>
    <t>Bacillus cereus strain H2 chromosome, complete genome</t>
  </si>
  <si>
    <t>CP036052.1    Bacillus toyonensis strain JAS03/3 chromosome, complete genome</t>
  </si>
  <si>
    <t>CP009300.1    Bacillus cereus D17, complete genome</t>
  </si>
  <si>
    <t>Ancylobacter sp. TS-1 chromosome, complete genome</t>
  </si>
  <si>
    <t>CP036064.1    Bacillus mycoides strain JAS06/3 chromosome, complete genome</t>
  </si>
  <si>
    <t>CP009317.1    Bacillus cereus 03BB102 plasmid, complete sequence</t>
  </si>
  <si>
    <t>Aeromonas hydrophila strain Aer_Brac66 chromosome, complete genome</t>
  </si>
  <si>
    <t>CP036070.1    Bacillus wiedmannii strain JAS07/5 chromosome, complete genome</t>
  </si>
  <si>
    <t>CP009686.1    Bacillus cereus strain FORC_005, complete genome</t>
  </si>
  <si>
    <t>Aeromonas hydrophila strain Aer_Brac14A chromosome, complete genome</t>
  </si>
  <si>
    <t>CP036073.1    Bacillus wiedmannii strain JAS08/1 chromosome, complete genome</t>
  </si>
  <si>
    <t>CP010111.1    Bacillus thuringiensis serovar indiana strain HD521 plasmid pBTHD521-5, complete sequence</t>
  </si>
  <si>
    <t>Bacillus tropicus strain AOA-CPS1 chromosome</t>
  </si>
  <si>
    <t>CP036090.1    Bacillus toyonensis strain JAS13/1 chromosome, complete genome</t>
  </si>
  <si>
    <t>CP010863.1    Marinovum algicola DG 898 plasmid pMaD8, complete sequence</t>
  </si>
  <si>
    <t>Bacillus tropicus strain LM1212-DB chromosome, complete genome</t>
  </si>
  <si>
    <t>CP036094.1    Bacillus toyonensis strain JAS22/1 chromosome, complete genome</t>
  </si>
  <si>
    <t>CP010947.1    Aeromonas hydrophila strain AL06-06, complete genome</t>
  </si>
  <si>
    <t>Bacillus cereus strain CTMA_1571 plasmid p.1, complete sequence</t>
  </si>
  <si>
    <t>CP036099.1    Bacillus mycoides strain JAS23/1 chromosome, complete genome</t>
  </si>
  <si>
    <t>CP011100.1    Aeromonas hydrophila strain AH10, complete genome</t>
  </si>
  <si>
    <t>Bacillus tropicus strain FDAARGOS_782 chromosome, complete genome</t>
  </si>
  <si>
    <t>CP036101.1    Bacillus wiedmannii strain JAS28/2 chromosome, complete genome</t>
  </si>
  <si>
    <t>CP011151.1    Bacillus cereus strain CMCC P0021, complete genome</t>
  </si>
  <si>
    <t>CP036111.1    Bacillus toyonensis strain JAS411 chromosome, complete genome</t>
  </si>
  <si>
    <t>CP011153.1    Bacillus cereus strain CMCC P0011, complete genome</t>
  </si>
  <si>
    <t>Bacillus thuringiensis serovar sumiyoshiensis strain 4AO1 plasmid pAO254, complete sequence</t>
  </si>
  <si>
    <t>CP036137.1    Bacillus mycoides strain JAS85/1 chromosome, complete genome</t>
  </si>
  <si>
    <t>CP011155.1    Bacillus cereus strain HN001, complete genome</t>
  </si>
  <si>
    <t>Bacillus thuringiensis strain G03 plasmid pWK295, complete sequence</t>
  </si>
  <si>
    <t>CP036145.1    Bacillus mycoides strain JAS94/5 chromosome, complete genome</t>
  </si>
  <si>
    <t>CP012099.1    Bacillus thuringiensis strain HS18-1, complete genome</t>
  </si>
  <si>
    <t>Bacillus cereus strain CF4-51 chromosome, complete genome</t>
  </si>
  <si>
    <t>CP036356.1    Bacillus sp. SYJ chromosome, complete genome</t>
  </si>
  <si>
    <t>CP012398.1    Chelatococcus sp. CO-6, complete genome</t>
  </si>
  <si>
    <t>Bacillus paranthracis strain Gxun-30 chromosome, complete genome</t>
  </si>
  <si>
    <t>CP036537.1    Rhodopseudomonas boonkerdii strain NS23 chromosome, complete genome</t>
  </si>
  <si>
    <t>CP012483.1    Bacillus cereus strain NJ-W, complete genome</t>
  </si>
  <si>
    <t>CP038513.1    Aeromonas sp. 2692-1 chromosome, complete genome</t>
  </si>
  <si>
    <t>CP012691.1    Bacillus cereus strain FORC_024, complete genome</t>
  </si>
  <si>
    <t>Bacillus cereus strain FDAARGOS_918 plasmid unnamed, complete sequence</t>
  </si>
  <si>
    <t>CP038515.1    Aeromonas sp. 1805 chromosome, complete genome</t>
  </si>
  <si>
    <t>CP013068.1    Pannonibacter phragmitetus strain 31801, complete genome</t>
  </si>
  <si>
    <t>Bacillus tropicus strain FDAARGOS_920 chromosome, complete genome</t>
  </si>
  <si>
    <t>CP040345.1    Bacillus albus strain DLOU-Yingkou plasmid unnamed1, complete sequence</t>
  </si>
  <si>
    <t>CP013274.1    Bacillus thuringiensis strain CTC, complete genome</t>
  </si>
  <si>
    <t>Bacillus tropicus strain FDAARGOS_897 chromosome, complete genome</t>
  </si>
  <si>
    <t>CP041071.1    Bacillus tropicus strain LM1212-W3 chromosome, complete genome</t>
  </si>
  <si>
    <t>CP013588.1    Rhizobium phaseoli strain N161 plasmid pRphaN161c, complete sequence</t>
  </si>
  <si>
    <t>CP043323.1    Aeromonas hydrophila strain 3206 chromosome, complete genome</t>
  </si>
  <si>
    <t>Bacillus cereus strain BC07 chromosome, complete genome</t>
  </si>
  <si>
    <t>CP043489.1    Labrys sp. KNU-23 chromosome 1, complete sequence</t>
  </si>
  <si>
    <t>CP014282.1    Bacillus thuringiensis strain Bt185, complete genome</t>
  </si>
  <si>
    <t>Bacillus thuringiensis strain GR007 plasmid pGR157, complete sequence</t>
  </si>
  <si>
    <t>CP043830.1    Bacillus sp. BS98 chromosome, complete genome</t>
  </si>
  <si>
    <t>Bacillus thuringiensis strain GR007 plasmid pGR340, complete sequence</t>
  </si>
  <si>
    <t>CP044117.1    Roseomonas mucosa strain FDAARGOS_658 chromosome 4, complete sequence</t>
  </si>
  <si>
    <t>Bacillus tropicus strain EMB20 chromosome, complete genome</t>
  </si>
  <si>
    <t>CP045075.1    Mycobacterium kubicae strain NJH_MKUB2 chromosome, complete genome</t>
  </si>
  <si>
    <t>CP016285.1    Bacillus sp. B25(2016b) genome</t>
  </si>
  <si>
    <t>Caulobacter segnis strain CBR1 chromosome, complete genome</t>
  </si>
  <si>
    <t>CP045081.1    Mycobacterium kubicae strain NJH_MKUB1 chromosome, complete genome</t>
  </si>
  <si>
    <t>CP016380.1    Aeromonas hydrophila strain AHNIH1, complete sequence</t>
  </si>
  <si>
    <t>Bacillus tropicus strain CK18 chromosome, complete genome</t>
  </si>
  <si>
    <t>CP045144.1    Ancylobacter sp. TS-1 chromosome, complete genome</t>
  </si>
  <si>
    <t>CP016464.1    Bosea sp. RAC05, complete sequence</t>
  </si>
  <si>
    <t>Bacillus thuringiensis strain KF1 chromosome, complete genome</t>
  </si>
  <si>
    <t>CP045963.1    Mycobacterium intracellulare subsp. chimaera strain AUSMDU00007395 chromosome, complete genome</t>
  </si>
  <si>
    <t>CP016589.1    Bacillus thuringiensis strain KNU-07 plasmid pBTKNU07-01, complete sequence</t>
  </si>
  <si>
    <t>Bradyrhizobium sp. WSM471 chromosome, complete genome</t>
  </si>
  <si>
    <t>CP047044.1    Bacillus toyonensis strain BV-17 chromosome, complete genome</t>
  </si>
  <si>
    <t>Bacillus cereus strain CPT56D-587-MTF chromosome, complete genome</t>
  </si>
  <si>
    <t>CP048630.1    Ancylobacter pratisalsi strain DSM 102029 chromosome, complete genome</t>
  </si>
  <si>
    <t>CP017060.1    Bacillus cereus strain FORC_047 chromosome, complete genome</t>
  </si>
  <si>
    <t>Bacillus cereus strain MO2 chromosome, complete genome</t>
  </si>
  <si>
    <t>CP048834.1    Starkeya sp. ORNL1 chromosome, complete genome</t>
  </si>
  <si>
    <t>CP017946.1    Bosea sp. Tri-49, complete sequence</t>
  </si>
  <si>
    <t>Bacillus cereus strain GSICC 30237 chromosome, complete genome</t>
  </si>
  <si>
    <t>CP049019.1    Bacillus tropicus strain AOA-CPS1 chromosome</t>
  </si>
  <si>
    <t>Bacillus sp. N5-665 plasmid p1, complete sequence</t>
  </si>
  <si>
    <t>CP018201.1    Aeromonas hydrophila strain MX16A chromosome, complete genome</t>
  </si>
  <si>
    <t>Bacillus sp. N5-665 chromosome, complete genome</t>
  </si>
  <si>
    <t>CP051013.1    Bacillus tropicus strain LM1212-DB chromosome, complete genome</t>
  </si>
  <si>
    <t>CP018820.1    Sphingomonas koreensis strain ABOJV, complete sequence</t>
  </si>
  <si>
    <t>Bacillus pacificus strain MP6 chromosome, complete genome</t>
  </si>
  <si>
    <t>CP053885.1    Aeromonas hydrophila strain 3019 chromosome, complete genome</t>
  </si>
  <si>
    <t>Bacillus cereus strain Van8R5 plasmid p03BB102, complete sequence</t>
  </si>
  <si>
    <t>CP053955.1    Bacillus tropicus strain FDAARGOS_782 chromosome, complete genome</t>
  </si>
  <si>
    <t>CP019322.1    Methylorubrum extorquens strain PSBB040 chromosome, complete genome</t>
  </si>
  <si>
    <t>Bacillus cereus strain Van38R3s2 plasmid p03BB102, complete sequence</t>
  </si>
  <si>
    <t>CP054836.1    Oricola thermophila strain MEBiC13590 chromosome, complete genome</t>
  </si>
  <si>
    <t>CP019701.2    Rhizobium rhizogenes strain K599 chromosome 1, complete sequence</t>
  </si>
  <si>
    <t>Bacillus cereus strain Tet8R1 plasmid p03BB102, complete sequence</t>
  </si>
  <si>
    <t>CP058350.1    Peteryoungia desertarenae strain ADMK78 chromosome, complete genome</t>
  </si>
  <si>
    <t>CP020002.1    Bacillus thuringiensis strain L-7601, complete sequence</t>
  </si>
  <si>
    <t>Bacillus cereus strain Van10R5 plasmid p03BB102, complete sequence</t>
  </si>
  <si>
    <t>CP020917.1    Achromobacter denitrificans strain PR1 chromosome, complete genome</t>
  </si>
  <si>
    <t>Bacillus thuringiensis strain LX43 chromosome, complete genome</t>
  </si>
  <si>
    <t>CP061080.1    Aquibium microcysteis strain NIBR3 chromosome, complete genome</t>
  </si>
  <si>
    <t>CP020937.1    Bacillus tropicus strain BC3 chromosome</t>
  </si>
  <si>
    <t>Bacillus sp. PGP15 chromosome, complete genome</t>
  </si>
  <si>
    <t>CP061091.1    Roseomonas marmotae strain 1318 chromosome, complete genome</t>
  </si>
  <si>
    <t>CP020940.1    Bacillus tropicus strain BC3 plasmid pBCXO1</t>
  </si>
  <si>
    <t>Bacillus sp. PGP15 plasmid p1, complete sequence</t>
  </si>
  <si>
    <t>CP061177.1    Roseomonas haemaphysalidis strain 546 chromosome, complete genome</t>
  </si>
  <si>
    <t>CP021061.1    Bacillus thuringiensis strain ATCC 10792 chromosome, complete genome</t>
  </si>
  <si>
    <t>Bacillus pacificus strain ANSB901 chromosome, complete genome</t>
  </si>
  <si>
    <t>CP061285.1    Polynucleobacter sp. MWH-UH35A chromosome, complete genome</t>
  </si>
  <si>
    <t>CP022372.1    Bosea sp. AS-1 chromosome, complete genome</t>
  </si>
  <si>
    <t>Aeromonas hydrophila strain GD21SC2284TT chromosome, complete genome</t>
  </si>
  <si>
    <t>CP061287.1    Polynucleobacter sp. MWH-Aus1W21 chromosome, complete genome</t>
  </si>
  <si>
    <t>CP022445.1    Bacillus cereus C1L chromosome, complete genome</t>
  </si>
  <si>
    <t>Bacillus toyonensis strain DC11 chromosome, complete genome</t>
  </si>
  <si>
    <t>CP061288.1    Polynucleobacter sp. VK25 chromosome</t>
  </si>
  <si>
    <t>Bacillus thuringiensis strain TG-5 chromosome, complete genome</t>
  </si>
  <si>
    <t>CP061300.1    Polynucleobacter sp. MWH-Braz-FAM2G chromosome</t>
  </si>
  <si>
    <t>CP024109.1    Bacillus cytotoxicus strain CH_13 chromosome, complete genome</t>
  </si>
  <si>
    <t>MAG: Bacillus paranthracis isolate 4M chromosome, complete genome</t>
  </si>
  <si>
    <t>CP061307.1    Polynucleobacter sp. JS-JIR-II-50 chromosome</t>
  </si>
  <si>
    <t>CP024427.1    Paracoccus yeei strain TT13 plasmid pTT13-5, complete sequence</t>
  </si>
  <si>
    <t>MAG: Bacillus paranthracis isolate 1702 chromosome, complete genome</t>
  </si>
  <si>
    <t>CP061315.1    Polynucleobacter sp. AP-Kolm-20A-A1 chromosome, complete genome</t>
  </si>
  <si>
    <t>CP024655.1    Bacillus cereus strain MLY1 chromosome MLY1.0, complete sequence</t>
  </si>
  <si>
    <t>MAG: Bacillus paranthracis isolate 1710 chromosome, complete genome</t>
  </si>
  <si>
    <t>CP061319.1    Polynucleobacter sp. AM-7D1 chromosome, complete genome</t>
  </si>
  <si>
    <t>CP061718.1    Roseococcus microcysteis strain NIBR12 chromosome, complete genome</t>
  </si>
  <si>
    <t>CP024771.1    Bacillus thuringiensis LM1212 chromosome, complete genome</t>
  </si>
  <si>
    <t>Phenylobacterium sp. NIBR 498073 chromosome, complete genome</t>
  </si>
  <si>
    <t>CP063158.1    Bacillus cereus strain CF4-51 chromosome, complete genome</t>
  </si>
  <si>
    <t>CP025060.1    Roseomonas mucosa strain HV3 chromosome, complete genome</t>
  </si>
  <si>
    <t>Aeromonas hydrophila subsp. hydrophila strain PSKL.DP chromosome, complete genome</t>
  </si>
  <si>
    <t>CP064382.1    Aeromonas hydrophila strain PartN-Ahydrophila-RM8376 chromosome, complete genome</t>
  </si>
  <si>
    <t>CP025061.1    Roseomonas mucosa strain PG chromosome, complete genome</t>
  </si>
  <si>
    <t>Aeromonas hydrophila strain K533 chromosome, complete genome</t>
  </si>
  <si>
    <t>CP065047.1    Mycobacterium kubicae strain JCM 13573 chromosome, complete genome</t>
  </si>
  <si>
    <t>CP025189.1    Roseomonas mucosa strain AD2 chromosome, complete genome</t>
  </si>
  <si>
    <t>MAG: Candidatus Kaistia colombiensis isolate MAG_2176 chromosome, complete genome</t>
  </si>
  <si>
    <t>CP025196.1    Roseomonas mucosa strain AD1 chromosome, complete genome</t>
  </si>
  <si>
    <t>Bacillus paranthracis strain Bc006 chromosome, complete genome</t>
  </si>
  <si>
    <t>CP065651.1    Aeromonas hydrophila strain FDAARGOS_916 chromosome, complete genome</t>
  </si>
  <si>
    <t>CP026217.1    Aeromonas sp. ASNIH4 chromosome, complete genome</t>
  </si>
  <si>
    <t>Bacillus tropicus strain T36S-23 chromosome, complete genome</t>
  </si>
  <si>
    <t>CP026304.1    Streptomyces lunaelactis strain MM109 chromosome, complete genome</t>
  </si>
  <si>
    <t>Bacillus cereus group sp. MS39 chromosome, complete genome</t>
  </si>
  <si>
    <t>CP027533.1    Serratia marcescens strain AR_0091 chromosome, complete genome</t>
  </si>
  <si>
    <t>Bacillus thuringiensis strain BV5 plasmid unnamed2, complete sequence</t>
  </si>
  <si>
    <t>CP027539.1    Serratia marcescens strain AR_0099, complete genome</t>
  </si>
  <si>
    <t>Bacillus cereus strain FFI_gr_46 plasmid FFI_gr46p, complete sequence</t>
  </si>
  <si>
    <t>CP068718.1    Bacillus cereus strain CH plasmid p1, complete sequence</t>
  </si>
  <si>
    <t>CP027668.1    Phreatobacter cathodiphilus strain S-12 chromosome, complete genome</t>
  </si>
  <si>
    <t>Bacillus wiedmannii strain LN15 chromosome, complete genome</t>
  </si>
  <si>
    <t>CP070973.1    Mycobacterium gordonae strain X7091 chromosome, complete genome</t>
  </si>
  <si>
    <t>Bosea vestrisii strain A18/4-2 chromosome, complete genome</t>
  </si>
  <si>
    <t>CP072055.1    Bacillus mycoides strain JAS85/1 chromosome, complete genome</t>
  </si>
  <si>
    <t>CP028568.2    Aeromonas hydrophila subsp. hydrophila strain WCHAH045096 chromosome, complete genome</t>
  </si>
  <si>
    <t>Bacillus cereus strain BC116 chromosome, complete genome</t>
  </si>
  <si>
    <t>CP028985.1    Bradyrhizobium sp. WBOS01 chromosome</t>
  </si>
  <si>
    <t>Bacillus mycoides strain SIN2.2 chromosome, complete genome</t>
  </si>
  <si>
    <t>CP028986.1    Bradyrhizobium sp. WBOS02 chromosome</t>
  </si>
  <si>
    <t>Bacillus albus strain SXL388 plasmid unnamed1, complete sequence</t>
  </si>
  <si>
    <t>CP028989.1    Bradyrhizobium betae strain WBOS16 chromosome</t>
  </si>
  <si>
    <t>Bacillus tropicus strain PUMB_55 chromosome, complete genome</t>
  </si>
  <si>
    <t>CP029008.1    Bradyrhizobium sp. WBOS07 chromosome</t>
  </si>
  <si>
    <t>Bacillus cereus strain Z4 chromosome, complete genome</t>
  </si>
  <si>
    <t>CP029427.2    Bradyrhizobium symbiodeficiens strain 85S1MB chromosome, complete genome</t>
  </si>
  <si>
    <t>Bacillus cereus strain DW444 chromosome, complete genome</t>
  </si>
  <si>
    <t>CP079863.1    Mycobacterium sp. SMC-2 chromosome, complete genome</t>
  </si>
  <si>
    <t>CP029562.1    Mesorhizobium sp. Pch-S chromosome, complete genome</t>
  </si>
  <si>
    <t>Bacillus cereus strain DW444 plasmid pDW444-290265, complete sequence</t>
  </si>
  <si>
    <t>CP081869.1    Chenggangzhangella methanolivorans strain CHL1 chromosome, complete genome</t>
  </si>
  <si>
    <t>CP029829.1    Azospirillum ramasamyi strain M2T2B2 chromosome, complete genome</t>
  </si>
  <si>
    <t>Bacillus mycoides strain PAMC 29627 plasmid unnamed1, complete sequence</t>
  </si>
  <si>
    <t>CP081872.1    Bacillus toyonensis strain UTDF19-29B chromosome, complete genome</t>
  </si>
  <si>
    <t>CP030051.1    Bradyrhizobium guangdongense strain CCBAU 51649 chromosome, complete genome</t>
  </si>
  <si>
    <t>Bacillus thuringiensis strain L1 chromosome, complete genome</t>
  </si>
  <si>
    <t>CP083102.1    Bacillus thuringiensis strain ABTS-351 plasmid pCH_183-a, complete sequence</t>
  </si>
  <si>
    <t>CP030057.1    Bradyrhizobium guangdongense strain CCBAU 51658 chromosome, complete genome</t>
  </si>
  <si>
    <t>Bacillus wiedmannii strain EPS29 chromosome, complete genome</t>
  </si>
  <si>
    <t>CP083117.1    Bacillus thuringiensis strain SA11 plasmid pCH_164-a, complete sequence</t>
  </si>
  <si>
    <t>CP030760.1    Rhizobium leguminosarum strain ATCC 14479 chromosome, complete genome</t>
  </si>
  <si>
    <t>Bacillus wiedmannii strain EPS29 plasmid ppl557, complete sequence</t>
  </si>
  <si>
    <t>CP083239.1    Ancylobacter polymorphus strain ZM13 chromosome, complete genome</t>
  </si>
  <si>
    <t>CP031062.1    Bacillus sp. AR4-2 chromosome, complete genome</t>
  </si>
  <si>
    <t>Bacillus mycoides strain PAMC 29501 plasmid unnamed1, complete sequence</t>
  </si>
  <si>
    <t>CP083944.1    Aeromonas hydrophila strain CSUSB2 chromosome, complete genome</t>
  </si>
  <si>
    <t>CP031065.1    Bacillus sp. SH8-8 chromosome, complete genome</t>
  </si>
  <si>
    <t>Bacillus pacificus strain AT31 chromosome, complete genome</t>
  </si>
  <si>
    <t>CP084035.1    Bacillus sp. 41-22 chromosome, complete genome</t>
  </si>
  <si>
    <t>CP031841.1    Breoghania sp. L-A4 chromosome, complete genome</t>
  </si>
  <si>
    <t>Bacillus pacificus strain SG15 chromosome, complete genome</t>
  </si>
  <si>
    <t>CP084352.1    Aeromonas hydrophila strain 71339 chromosome, complete genome</t>
  </si>
  <si>
    <t>Bacillus paramobilis strain IMGN7 chromosome, complete genome</t>
  </si>
  <si>
    <t>CP084353.1    Aeromonas hydrophila strain 71317 chromosome, complete genome</t>
  </si>
  <si>
    <t>Bacillus thuringiensis strain HSY204 chromosome, complete genome</t>
  </si>
  <si>
    <t>CP084586.1    Mycobacterium intracellulare subsp. chimaera strain 852 chromosome, complete genome</t>
  </si>
  <si>
    <t>CP032608.1    Bacillus thuringiensis strain QZL38 chromosome, complete genome</t>
  </si>
  <si>
    <t>Bacillus thuringiensis strain HSY204 plasmid pA, complete sequence</t>
  </si>
  <si>
    <t>CP084592.1    Mycobacterium intracellulare subsp. chimaera strain 850 chromosome, complete genome</t>
  </si>
  <si>
    <t>CP033069.1    Acidovorax sp. 1608163 chromosome, complete genome</t>
  </si>
  <si>
    <t>Bacillus paramobilis strain N24509 chromosome, complete genome</t>
  </si>
  <si>
    <t>CP085081.1    Sediminicoccus sp. KRV36 chromosome, complete genome</t>
  </si>
  <si>
    <t>Bacillus paranthracis strain PS03079 chromosome, complete genome</t>
  </si>
  <si>
    <t>CP085399.1    Bacillus tropicus strain CK18 chromosome, complete genome</t>
  </si>
  <si>
    <t>CP033435.1    Cereibacter sphaeroides strain AB24 chromosome 2</t>
  </si>
  <si>
    <t>Bacillus thuringiensis strain JJ1216 chromosome, complete genome</t>
  </si>
  <si>
    <t>CP085409.1    Bacillus thuringiensis strain KF1 chromosome, complete genome</t>
  </si>
  <si>
    <t>CP033443.1    Cereibacter sphaeroides strain AB25 chromosome 2</t>
  </si>
  <si>
    <t>Bacillus paranthracis strain mr-1B chromosome, complete genome</t>
  </si>
  <si>
    <t>CP087103.1    Bacillus toyonensis strain HA0190 chromosome, complete genome</t>
  </si>
  <si>
    <t>CP033507.1    Mesorhizobium jarvisii strain ATCC 33669 chromosome, complete genome</t>
  </si>
  <si>
    <t>Bacillus cereus strain Ba 4 chromosome, complete genome</t>
  </si>
  <si>
    <t>CP087719.1    Roseomonas cutis strain OT10 chromosome, complete genome</t>
  </si>
  <si>
    <t>CP033730.1    Achromobacter denitrificans strain PheN1 chromosome, complete genome</t>
  </si>
  <si>
    <t>Bacillus sp. Ba 3 chromosome, complete genome</t>
  </si>
  <si>
    <t>CP088156.1    Bradyrhizobium ontarionense strain A19 chromosome, complete genome</t>
  </si>
  <si>
    <t>CP033875.1    Caulobacter sp. FWC26 chromosome, complete genome</t>
  </si>
  <si>
    <t>Aeromonas sp. FL131 chromosome, complete genome</t>
  </si>
  <si>
    <t>CP089601.1    Bacillus cereus strain C-1 chromosome, complete genome</t>
  </si>
  <si>
    <t>CP034447.1    Mesorhizobium sp. M1E.F.Ca.ET.045.02.1.1 chromosome, complete genome</t>
  </si>
  <si>
    <t>Bacillus mycoides strain LBUM136 plasmid pBmyLBUM136_1, complete sequence</t>
  </si>
  <si>
    <t>CP091444.1    Bacillus cereus strain MO2 chromosome, complete genome</t>
  </si>
  <si>
    <t>CP034448.1    Mesorhizobium sp. M1B.F.Ca.ET.045.04.1.1 chromosome, complete genome</t>
  </si>
  <si>
    <t>Bacillus thuringiensis strain INTA Fr7-4 plasmid pFR260, complete sequence</t>
  </si>
  <si>
    <t>CP093324.1    Bacillus sp. N5-665 plasmid p1, complete sequence</t>
  </si>
  <si>
    <t>Blastochloris viridis genome assembly Blastochloris viridis genome, chromosome : I</t>
  </si>
  <si>
    <t>CP093325.1    Bacillus sp. N5-665 chromosome, complete genome</t>
  </si>
  <si>
    <t>CP034453.1    Mesorhizobium sp. M7D.F.Ca.US.005.01.1.1 chromosome</t>
  </si>
  <si>
    <t>Aeromonas hydrophila isolate DC1K genome assembly, chromosome: 1</t>
  </si>
  <si>
    <t>CP093835.1    Bacillus mycoides strain N4/130 chromosome, complete genome</t>
  </si>
  <si>
    <t>CP034548.1    Bacillus albus strain PFYN01 chromosome, complete genome</t>
  </si>
  <si>
    <t>MAG: Kaistia hirudinis isolate cdef5108-97f9-4926-9ba9-ef93172991d0 genome assembly, chromosome: 1</t>
  </si>
  <si>
    <t>CP093844.1    Bacillus nitratireducens strain N4/150 chromosome</t>
  </si>
  <si>
    <t>CP034686.1    Bacillus sp. BD59S chromosome, complete genome</t>
  </si>
  <si>
    <t>MAG: Kaistia sp. isolate 06b3ed4c-dc80-415b-9392-d46517f030ba genome assembly, chromosome: 1</t>
  </si>
  <si>
    <t>CP094624.1    Bacillus thuringiensis strain LX43 chromosome, complete genome</t>
  </si>
  <si>
    <t>MAG: Kaistia sp. isolate 58ec13d6-cf9f-4d7c-a3cb-8a93c832abf0 genome assembly, chromosome: 1</t>
  </si>
  <si>
    <t>CP095280.1    Aeromonas hydrophila strain Ah2111 chromosome, complete genome</t>
  </si>
  <si>
    <t>MAG: Boseaceae bacterium isolate 713c29fa-947d-4569-bb33-4de4e929fd5c genome assembly, chromosome: 1</t>
  </si>
  <si>
    <t>CP095554.1    Roseomonas gilardii subsp. gilardii strain ATCC 49956 chromosome, complete genome</t>
  </si>
  <si>
    <t>MAG: Kaistia sp. isolate 50ed00f3-3914-4398-af31-d3df9f367197 genome assembly, chromosome: 1</t>
  </si>
  <si>
    <t>CP102364.1    Aeromonas hydrophila strain BC13 chromosome, complete genome</t>
  </si>
  <si>
    <t>CP035951.1    Acidovorax sp. JMULE5 chromosome</t>
  </si>
  <si>
    <t>MAG: Bauldia sp. isolate f11412da-b0a6-441c-8354-d297e2cae7d0 genome assembly, chromosome: 1</t>
  </si>
  <si>
    <t>CP102366.1    Aeromonas hydrophila strain BC16 chromosome, complete genome</t>
  </si>
  <si>
    <t>CP035953.1    Bacillus mycoides strain BPN03/1 chromosome, complete genome</t>
  </si>
  <si>
    <t>CP102454.1    Aeromonas sp. BC14 chromosome, complete genome</t>
  </si>
  <si>
    <t>CP035962.1    Bacillus mycoides strain BPN07/3 chromosome, complete genome</t>
  </si>
  <si>
    <t>CP103777.1    Bacillus toyonensis strain DC11 chromosome, complete genome</t>
  </si>
  <si>
    <t>CP035974.1    Bacillus mycoides strain BPN102 chromosome, complete genome</t>
  </si>
  <si>
    <t>MAG: Kaistia sp. isolate 7909ad50-a573-4bff-af78-ecd229034550 genome assembly, chromosome: 1</t>
  </si>
  <si>
    <t>CP104143.1    Rhizobium sullae strain WSM1592 chromosome, complete genome</t>
  </si>
  <si>
    <t>CP035996.1    Bacillus mycoides strain BPN36/2 plasmid p539</t>
  </si>
  <si>
    <t>CP113365.1    MAG: Bacillus paranthracis isolate 4M chromosome, complete genome</t>
  </si>
  <si>
    <t>CP036026.1    Bacillus mycoides strain BPN54/2 chromosome, complete genome</t>
  </si>
  <si>
    <t>CP113375.1    MAG: Bacillus paranthracis isolate 1702 chromosome, complete genome</t>
  </si>
  <si>
    <t>CP036034.1    Bacillus mycoides strain BPN57/2 chromosome, complete genome</t>
  </si>
  <si>
    <t>CP113385.1    MAG: Bacillus paranthracis isolate 1710 chromosome, complete genome</t>
  </si>
  <si>
    <t>CP036040.1    Bacillus mycoides strain BPN573 chromosome, complete genome</t>
  </si>
  <si>
    <t>CP036057.1    Bacillus mycoides strain JAS06/1 chromosome, complete genome</t>
  </si>
  <si>
    <t>CP002568.1    Polymorphum gilvum SL003B-26A1, complete genome</t>
  </si>
  <si>
    <t>CP115303.1    Bacillus tropicus strain JMT105-2 chromosome, complete genome</t>
  </si>
  <si>
    <t>CP115851.1    Teichococcus cervicalis strain PL22-11A chromosome, complete genome</t>
  </si>
  <si>
    <t>CP116318.1    Bacillus thuringiensis strain Lip plasmid pLip457, complete sequence</t>
  </si>
  <si>
    <t>CP006863.1    Bacillus toyonensis BCT-7112, complete genome</t>
  </si>
  <si>
    <t>CP117918.2    Aeromonas hydrophila subsp. hydrophila strain PSKL.DP chromosome, complete genome</t>
  </si>
  <si>
    <t>CP036079.1    Bacillus mycoides strain JAS1004 plasmid p507</t>
  </si>
  <si>
    <t>CP007440.1    Rhodoplanes sp. Z2-YC6860, complete genome</t>
  </si>
  <si>
    <t>CP118699.1    Aeromonas hydrophila strain K522 chromosome, complete genome</t>
  </si>
  <si>
    <t>CP036084.1    Bacillus mycoides strain JAS1004 chromosome, complete genome</t>
  </si>
  <si>
    <t>CP008712.1    Bacillus cereus strain FT9, complete genome</t>
  </si>
  <si>
    <t>CP118942.1    Aeromonas hydrophila strain K533 chromosome, complete genome</t>
  </si>
  <si>
    <t>CP119318.1    MAG: Candidatus Kaistia colombiensis isolate MAG_2176 chromosome, complete genome</t>
  </si>
  <si>
    <t>CP036121.1    Bacillus mycoides strain JAS635 chromosome, complete genome</t>
  </si>
  <si>
    <t>CP119973.1    Agrobacterium leguminum strain AT13 plasmid p1, complete sequence</t>
  </si>
  <si>
    <t>CP121641.1    Rhizobium sp. CC1099 chromosome, complete genome</t>
  </si>
  <si>
    <t>CP012946.1    Blastochloris viridis strain ATCC 19567, complete genome</t>
  </si>
  <si>
    <t>CP121798.1    Aeromonas hydrophila strain YURI 17 chromosome, complete genome</t>
  </si>
  <si>
    <t>CP038051.1    Paracoccus yeei strain CCUG 46822 plasmid pYEE46822P9, complete sequence</t>
  </si>
  <si>
    <t>CP123058.1    Bacillus cereus group sp. MS39 chromosome, complete genome</t>
  </si>
  <si>
    <t>CP038067.1    Paracoccus yeei strain LM 20 plasmid pLM20P6, complete sequence</t>
  </si>
  <si>
    <t>CP014301.1    Bosea sp. PAMC 26642, complete genome</t>
  </si>
  <si>
    <t>CP124746.1    Aeromonas hydrophila strain NN-MR659 chromosome, complete genome</t>
  </si>
  <si>
    <t>CP038075.1    Paracoccus yeei strain CCUG 13493 plasmid pYEE13493P3, complete sequence</t>
  </si>
  <si>
    <t>CP014853.1    Bacillus thuringiensis strain HD12 plasmid pHD120345, complete sequence</t>
  </si>
  <si>
    <t>CP126099.1    Bacillus wiedmannii strain LN15 chromosome, complete genome</t>
  </si>
  <si>
    <t>CP015250.1    Bacillus thuringiensis Bt18247, complete genome</t>
  </si>
  <si>
    <t>CP126520.1    Bacillus toyonensis strain Cuernavaca_S4 chromosome, complete genome</t>
  </si>
  <si>
    <t>CP126524.1    Bacillus toyonensis strain Monterrey_S3 chromosome, complete genome</t>
  </si>
  <si>
    <t>CP039269.1    Bacillus cereus strain MH19 chromosome, complete genome</t>
  </si>
  <si>
    <t>CP016360.1    Bacillus cereus strain M13 chromosome, complete genome</t>
  </si>
  <si>
    <t>CP126525.1    Bacillus toyonensis strain Puebla_S2 chromosome, complete genome</t>
  </si>
  <si>
    <t>CP039690.1    Phreatobacter stygius strain KCTC 52518 chromosome, complete genome</t>
  </si>
  <si>
    <t>CP039865.1    Phreatobacter aquaticus strain NMCR1094 chromosome</t>
  </si>
  <si>
    <t>CP017577.1    Bacillus thuringiensis strain SCG04-02, complete sequence</t>
  </si>
  <si>
    <t>CP133557.1    Bacillus wiedmannii strain EPS29 chromosome, complete genome</t>
  </si>
  <si>
    <t>CP040515.1    Bacillus paranthracis strain PR1 chromosome, complete genome</t>
  </si>
  <si>
    <t>CP133558.1    Bacillus wiedmannii strain EPS29 plasmid ppl557, complete sequence</t>
  </si>
  <si>
    <t>CP040782.1    Bacillus thuringiensis strain HM-311 chromosome, complete genome</t>
  </si>
  <si>
    <t>CP134062.1    Mycobacterium sp. Z3061 chromosome, complete genome</t>
  </si>
  <si>
    <t>CP040783.1    Bacillus thuringiensis strain HM-311 plasmid p1, complete sequence</t>
  </si>
  <si>
    <t>CP137631.1    Aeromonas sp. CD chromosome, complete genome</t>
  </si>
  <si>
    <t>CP040880.1    Bacillus paranthracis strain F3351/87 chromosome, complete genome</t>
  </si>
  <si>
    <t>CP020005.1    Bacillus thuringiensis strain L-7601 plasmid unnamed3, complete sequence</t>
  </si>
  <si>
    <t>CP137852.1    Sediminicoccus rosea strain R-30 chromosome, complete genome</t>
  </si>
  <si>
    <t>CP138197.1    Aeromonas hydrophila strain F7 chromosome, complete genome</t>
  </si>
  <si>
    <t>CP041090.2    Bradyrhizobium symbiodeficiens strain 65S1MB chromosome, complete genome</t>
  </si>
  <si>
    <t>CP139215.1    Bacillus cereus strain A01 plasmid unnamed, complete sequence</t>
  </si>
  <si>
    <t>CP041690.1    Paradevosia tibetensis strain fig4 chromosome, complete genome</t>
  </si>
  <si>
    <t>CP023245.1    Bacillus cereus strain HBL-AI chromosome, complete genome</t>
  </si>
  <si>
    <t>CP139484.1    Bacillus sp. RA(2023) plasmid unnamed1, complete sequence</t>
  </si>
  <si>
    <t>CP041750.1    Bacillus paranthracis strain NCCP 14796 chromosome, complete genome</t>
  </si>
  <si>
    <t>CP139858.1    Mesorhizobium huakuii strain NZP2235 chromosome, complete genome</t>
  </si>
  <si>
    <t>CP041979.1    Bacillus pacificus strain NCCP 15909 chromosome, complete genome</t>
  </si>
  <si>
    <t>CP141267.1    Aeromonas hydrophila strain MaAh001 chromosome, complete genome</t>
  </si>
  <si>
    <t>CP041981.1    Bacillus paranthracis strain NCCP 15910 chromosome, complete genome</t>
  </si>
  <si>
    <t>CP024685.1    Bacillus wiedmannii bv. thuringiensis strain FCC41 plasmid pFCC41-1-490K, complete sequence</t>
  </si>
  <si>
    <t>CP143514.1    Aeromonas hydrophila strain MAH-4 chromosome, complete genome</t>
  </si>
  <si>
    <t>CP042174.1    Oerskovia sp. KBS0722 chromosome, complete genome</t>
  </si>
  <si>
    <t>CP146232.1    Pararoseomonas sp. SCSIO 73927 chromosome, complete genome</t>
  </si>
  <si>
    <t>CP042331.1    Bosea sp. F3-2 chromosome, complete genome</t>
  </si>
  <si>
    <t>CP026678.1    Bacillus cereus strain TG1-6 chromosome, complete genome</t>
  </si>
  <si>
    <t>CP151108.1    Bacillus paramobilis strain IMGN7 chromosome, complete genome</t>
  </si>
  <si>
    <t>CP029354.1    Azospirillum thermophilum strain CFH 70021 chromosome 3, complete sequence</t>
  </si>
  <si>
    <t>CP155559.1    Bacillus thuringiensis strain HSY204 chromosome, complete genome</t>
  </si>
  <si>
    <t>CP043324.1    Aeromonas hydrophila strain 2359 chromosome, complete genome</t>
  </si>
  <si>
    <t>CP158568.1    Methyloraptor flagellatus strain S20 chromosome, complete genome</t>
  </si>
  <si>
    <t>CP043441.1    Cupriavidus campinensis strain MJ1 plasmid unnamed1, complete sequence</t>
  </si>
  <si>
    <t>CP031417.1    Pseudolabrys taiwanensis strain CC-BB4 chromosome</t>
  </si>
  <si>
    <t>CP158701.1    Bacillus thuringiensis strain HD-1 plasmid unnamed1, complete sequence</t>
  </si>
  <si>
    <t>CP043488.1    Labrys sp. KNU-23 chromosome 2, complete sequence</t>
  </si>
  <si>
    <t>CP159249.1    Mesorhizobium sp. WSM2239 chromosome, complete genome</t>
  </si>
  <si>
    <t>CP043639.1    Sphingomonas sp. NBWT7 chromosome, complete genome</t>
  </si>
  <si>
    <t>CP159253.1    Mesorhizobium sp. WSM2240 chromosome, complete genome</t>
  </si>
  <si>
    <t>CP033367.1    Mesorhizobium loti R88b chromosome, complete genome</t>
  </si>
  <si>
    <t>CP169059.1    Mycobacterium sp. HNNTM2301 chromosome, complete genome</t>
  </si>
  <si>
    <t>CP044126.1    Rhizobium sp. BG4 plasmid pRPC1, complete sequence</t>
  </si>
  <si>
    <t>CP170086.1    Roseomonas sp. CCTCC AB2023176 chromosome, complete genome</t>
  </si>
  <si>
    <t>CP044331.1    Methylocystis parvus strain BRCS2 chromosome, complete genome</t>
  </si>
  <si>
    <t>CP177239.1    Nitratireductor aquimarinus strain F7 chromosome, complete genome</t>
  </si>
  <si>
    <t>CP044978.1    Bacillus thuringiensis strain BT62 chromosome, complete genome</t>
  </si>
  <si>
    <t>CP035978.1    Bacillus mycoides strain BPN121 chromosome, complete genome</t>
  </si>
  <si>
    <t>CP035997.1    Bacillus mycoides strain BPN36/3 chromosome, complete genome</t>
  </si>
  <si>
    <t>CP045220.1    Aeromonas hydrophila strain Aer_Brac66 chromosome, complete genome</t>
  </si>
  <si>
    <t>CP184641.1    Bacillus shihchuchen strain OT112004 chromosome, complete genome</t>
  </si>
  <si>
    <t>CP187186.1    Aeromonas sp. AB005 chromosome, complete genome</t>
  </si>
  <si>
    <t>CP045311.1    Aeromonas dhakensis strain Aer_OnIF1 chromosome, complete genome</t>
  </si>
  <si>
    <t>CP036046.1    Bacillus mycoides strain BPN601 chromosome, complete genome</t>
  </si>
  <si>
    <t>CP187595.1    Aeromonas sp. FL131 chromosome, complete genome</t>
  </si>
  <si>
    <t>CP045422.1    Devosia beringensis strain S02 chromosome, complete genome</t>
  </si>
  <si>
    <t>CP188773.1    Aeromonas hydrophila strain 14B-LG1 chromosome, complete genome</t>
  </si>
  <si>
    <t>CP045501.1    Aeromonas hydrophila strain Aer_Pi25.1HTAS chromosome, complete genome</t>
  </si>
  <si>
    <t>CP036072.1    Bacillus wiedmannii strain JAS07/5 plasmid p536</t>
  </si>
  <si>
    <t>CP189561.1    Muricoccus radiodurans strain 17S r1-1 chromosome, complete genome</t>
  </si>
  <si>
    <t>CP045502.1    Aeromonas hydrophila strain Aer_Brac14A chromosome, complete genome</t>
  </si>
  <si>
    <t>LN907867.1    Blastochloris viridis genome assembly Blastochloris viridis genome, chromosome : I</t>
  </si>
  <si>
    <t>CP045537.1    Bacillaceae bacterium C05 chromosome, complete genome</t>
  </si>
  <si>
    <t>LR130759.1    Mycobacterium sp. DSM 104308 isolate 901379 genome assembly, chromosome: I</t>
  </si>
  <si>
    <t>CP045606.2    Bacillus cereus strain SB1 chromosome, complete genome</t>
  </si>
  <si>
    <t>ON470186.1    Bacillus thuringiensis strain SY27.1 plasmid pSY27.1_12, complete sequence</t>
  </si>
  <si>
    <t>CP045777.1    Bacillus paranthracis strain CFSAN068816 chromosome, complete genome</t>
  </si>
  <si>
    <t>CP036102.1    Bacillus mycoides strain JAS391 chromosome, complete genome</t>
  </si>
  <si>
    <t>OY731372.1    Aeromonas hydrophila isolate KMC2U genome assembly, chromosome: 1</t>
  </si>
  <si>
    <t>CP046511.1    Bacillus cereus strain JHU chromosome, complete genome</t>
  </si>
  <si>
    <t>OY970183.1    MAG: uncultured Alphaproteobacteria bacterium isolate MFD05502.bin.2.35 genome assembly, chromosome: 1</t>
  </si>
  <si>
    <t>CP046626.1    Aeromonas dhakensis strain Aer_On24M chromosome</t>
  </si>
  <si>
    <t>OZ244581.1    MAG: Acetobacteraceae bacterium isolate 4fe8c91e-f9c2-44c1-b511-22e9094fb0e2 genome assembly, chromosome: 1</t>
  </si>
  <si>
    <t>CP046869.1    Aeromonas hydrophila strain Aer_OnP2.2 chromosome</t>
  </si>
  <si>
    <t>CP040334.1    Bacillus cereus strain DLOU-Changhai chromosome, complete genome</t>
  </si>
  <si>
    <t>OZ245748.1    MAG: Kaistia hirudinis isolate cdef5108-97f9-4926-9ba9-ef93172991d0 genome assembly, chromosome: 1</t>
  </si>
  <si>
    <t>CP046870.1    Aeromonas hydrophila strain Aer_OnP4.2 chromosome</t>
  </si>
  <si>
    <t>CP040336.1    Bacillus luti strain FJ chromosome, complete genome</t>
  </si>
  <si>
    <t>CP046871.1    Aeromonas hydrophila strain Aer_LaG33 chromosome</t>
  </si>
  <si>
    <t>CP040340.1    Bacillus cereus strain DLOU-Tangshan chromosome, complete genome</t>
  </si>
  <si>
    <t>OZ245833.1    MAG: Stappia sp. isolate c34293d0-7391-468b-bd1f-a47200a021ac genome assembly, chromosome: 1</t>
  </si>
  <si>
    <t>CP046908.1    Stappia indica strain PHM037 chromosome, complete genome</t>
  </si>
  <si>
    <t>OZ245859.1    MAG: Kaistia sp. isolate 58ec13d6-cf9f-4d7c-a3cb-8a93c832abf0 genome assembly, chromosome: 1</t>
  </si>
  <si>
    <t>CP046954.1    Aeromonas hydrophila strain HX-3 chromosome, complete genome</t>
  </si>
  <si>
    <t>CP047366.1    Bacillus nitratireducens strain BM02 chromosome, complete genome</t>
  </si>
  <si>
    <t>CP042929.1    Bacillus cereus strain G1-1 chromosome, complete genome</t>
  </si>
  <si>
    <t>OZ253374.1    MAG: Acetobacteraceae bacterium isolate 85c04009-c91c-477f-845d-146c4bf6a138 genome assembly, chromosome: 1</t>
  </si>
  <si>
    <t>CP048551.1    Agrobacterium tumefaciens strain Kin002 chromosome circular, complete sequence</t>
  </si>
  <si>
    <t>CP043966.1    Bacillus cereus strain H2 chromosome, complete genome</t>
  </si>
  <si>
    <t>OZ255709.1    MAG: Stappia sp. isolate 20bd4c53-2936-4abd-9c1f-35c09e77efeb genome assembly, chromosome: 1</t>
  </si>
  <si>
    <t>OZ257132.1    MAG: Ancylobacter sp. isolate 377afb61-31a6-4c1a-8b4e-982506cd0dad genome assembly, chromosome: 1</t>
  </si>
  <si>
    <t>CP050137.1    Sphingomonas sp. CL5.1 chromosome, complete genome</t>
  </si>
  <si>
    <t>OZ260080.1    MAG: Beijerinckiaceae bacterium isolate NI281-mx-bin18 genome assembly, chromosome: 1</t>
  </si>
  <si>
    <t>CP050296.1    Mesorhizobium huakuii strain 583 chromosome, complete genome</t>
  </si>
  <si>
    <t>CP053657.2    Bacillus cereus strain CTMA_1571 plasmid p.1, complete sequence</t>
  </si>
  <si>
    <t>CP050850.1    Aeromonas hydrophila strain Brac6 chromosome, complete genome</t>
  </si>
  <si>
    <t>CP050851.1    Aeromonas hydrophila strain OnP3.1 chromosome, complete genome</t>
  </si>
  <si>
    <t>CP059150.1    Bacillus thuringiensis serovar sumiyoshiensis strain 4AO1 plasmid pAO254, complete sequence</t>
  </si>
  <si>
    <t>CP053572.1    Serratia marcescens strain S7.1 chromosome, complete genome</t>
  </si>
  <si>
    <t>CP059978.1    Bacillus thuringiensis strain G03 plasmid pWK295, complete sequence</t>
  </si>
  <si>
    <t>CP053883.1    Aeromonas hydrophila strain 4960 chromosome, complete genome</t>
  </si>
  <si>
    <t>CP065149.1    Bacillus paranthracis strain Gxun-30 chromosome, complete genome</t>
  </si>
  <si>
    <t>CP053884.1    Aeromonas hydrophila strain 3924 chromosome, complete genome</t>
  </si>
  <si>
    <t>CP065649.1    Bacillus cereus strain FDAARGOS_918 plasmid unnamed, complete sequence</t>
  </si>
  <si>
    <t>CP053931.1    Bacillus cereus strain FDAARGOS_797 chromosome, complete genome</t>
  </si>
  <si>
    <t>CP053951.1    Bacillus cereus strain FDAARGOS_799 chromosome, complete genome</t>
  </si>
  <si>
    <t>CP065739.1    Bacillus tropicus strain FDAARGOS_920 chromosome, complete genome</t>
  </si>
  <si>
    <t>CP053954.1    Bacillus cereus strain FDAARGOS_798 chromosome, complete genome</t>
  </si>
  <si>
    <t>CP065743.1    Bacillus tropicus strain FDAARGOS_897 chromosome, complete genome</t>
  </si>
  <si>
    <t>CP053986.1    Achromobacter denitrificans strain FDAARGOS_788 chromosome, complete genome</t>
  </si>
  <si>
    <t>CP072769.1    Bacillus cereus strain BC07 chromosome, complete genome</t>
  </si>
  <si>
    <t>CP053987.1    Achromobacter denitrificans strain FDAARGOS_786 chromosome, complete genome</t>
  </si>
  <si>
    <t>CP076540.1    Bacillus thuringiensis strain GR007 plasmid pGR157, complete sequence</t>
  </si>
  <si>
    <t>CP054569.1    Achromobacter denitrificans strain FDAARGOS_787 chromosome, complete genome</t>
  </si>
  <si>
    <t>CP076541.1    Bacillus thuringiensis strain GR007 plasmid pGR340, complete sequence</t>
  </si>
  <si>
    <t>CP078081.1    Bacillus tropicus strain EMB20 chromosome, complete genome</t>
  </si>
  <si>
    <t>CP061092.1    Roseomonas marmotae strain 1318 plasmid p1318-1</t>
  </si>
  <si>
    <t>CP088086.1    Bradyrhizobium sp. WSM471 chromosome, complete genome</t>
  </si>
  <si>
    <t>CP090081.1    Bacillus cereus strain CPT56D-587-MTF chromosome, complete genome</t>
  </si>
  <si>
    <t>CP091476.1    Bacillus cereus strain GSICC 30237 chromosome, complete genome</t>
  </si>
  <si>
    <t>CP061295.1    Polynucleobacter sp. MWH-S4W17 chromosome, complete genome</t>
  </si>
  <si>
    <t>CP061306.1    Polynucleobacter sp. JS-JIR-II-b4 chromosome, complete genome</t>
  </si>
  <si>
    <t>CP093424.1    Bacillus pacificus strain MP6 chromosome, complete genome</t>
  </si>
  <si>
    <t>CP061309.1    Polynucleobacter ibericus strain es-MAR-2 chromosome</t>
  </si>
  <si>
    <t>CP094409.1    Bacillus cereus strain Van8R5 plasmid p03BB102, complete sequence</t>
  </si>
  <si>
    <t>CP094417.1    Bacillus cereus strain Van38R3s2 plasmid p03BB102, complete sequence</t>
  </si>
  <si>
    <t>CP094435.1    Bacillus cereus strain Tet8R1 plasmid p03BB102, complete sequence</t>
  </si>
  <si>
    <t>CP063401.1    Devosia sp. SL43 chromosome, complete genome</t>
  </si>
  <si>
    <t>CP094440.1    Bacillus cereus strain Van10R5 plasmid p03BB102, complete sequence</t>
  </si>
  <si>
    <t>CP064079.1    Bacillus paranthracis strain EFR-4 chromosome</t>
  </si>
  <si>
    <t>CP095874.1    Bacillus sp. PGP15 chromosome, complete genome</t>
  </si>
  <si>
    <t>CP064876.1    Bacillus toyonensis strain P18 plasmid pBtP18, complete sequence</t>
  </si>
  <si>
    <t>CP095875.1    Bacillus sp. PGP15 plasmid p1, complete sequence</t>
  </si>
  <si>
    <t>CP064988.1    MAG: Rhodospirillales bacterium isolate Fred_18-Q3-R57-64_MAXAC.396_cln chromosome, complete genome</t>
  </si>
  <si>
    <t>CP099450.1    Bacillus pacificus strain ANSB901 chromosome, complete genome</t>
  </si>
  <si>
    <t>CP065340.1    Pseudomonas lalucatii strain R1b52 chromosome</t>
  </si>
  <si>
    <t>CP102110.1    Aeromonas hydrophila strain GD21SC2284TT chromosome, complete genome</t>
  </si>
  <si>
    <t>CP110109.1    Bacillus thuringiensis strain TG-5 chromosome, complete genome</t>
  </si>
  <si>
    <t>CP065741.1    Bacillus tropicus strain FDAARGOS_897 plasmid unnamed1, complete sequence</t>
  </si>
  <si>
    <t>CP114599.1    Phenylobacterium sp. NIBR 498073 chromosome, complete genome</t>
  </si>
  <si>
    <t>CP067053.1    Bacillus mycoides strain JAS 83/3 chromosome, complete genome</t>
  </si>
  <si>
    <t>CP119629.1    Bacillus paranthracis strain Bc006 chromosome, complete genome</t>
  </si>
  <si>
    <t>CP068717.1    Bacillus cereus strain CH chromosome, complete genome</t>
  </si>
  <si>
    <t>CP119875.1    Bacillus tropicus strain T36S-23 chromosome, complete genome</t>
  </si>
  <si>
    <t>CP068719.1    Bacillus cereus strain 21155 chromosome, complete genome</t>
  </si>
  <si>
    <t>CP068983.1    Paradevosia shaoguanensis strain J5-3 chromosome, complete genome</t>
  </si>
  <si>
    <t>CP125663.1    Bacillus thuringiensis strain BV5 plasmid unnamed2, complete sequence</t>
  </si>
  <si>
    <t>CP125990.1    Bacillus cereus strain FFI_gr_46 plasmid FFI_gr46p, complete sequence</t>
  </si>
  <si>
    <t>CP072061.1    Bacillus mycoides strain JAS06/1 chromosome, complete genome</t>
  </si>
  <si>
    <t>CP072392.1    Aquabacter sp. L1I39 chromosome</t>
  </si>
  <si>
    <t>CP126307.1    Bosea vestrisii strain A18/4-2 chromosome, complete genome</t>
  </si>
  <si>
    <t>CP127331.1    Bacillus cereus strain BC116 chromosome, complete genome</t>
  </si>
  <si>
    <t>CP128129.1    Bacillus mycoides strain SIN2.2 chromosome, complete genome</t>
  </si>
  <si>
    <t>CP073633.1    Methylorubrum extorquens strain ATCC 55366 chromosome, complete genome</t>
  </si>
  <si>
    <t>CP128151.1    Bacillus albus strain SXL388 plasmid unnamed1, complete sequence</t>
  </si>
  <si>
    <t>CP128608.1    Bacillus tropicus strain PUMB_55 chromosome, complete genome</t>
  </si>
  <si>
    <t>CP130284.1    Bacillus cereus strain Z4 chromosome, complete genome</t>
  </si>
  <si>
    <t>CP130335.1    Bacillus cereus strain DW444 chromosome, complete genome</t>
  </si>
  <si>
    <t>CP130336.1    Bacillus cereus strain DW444 plasmid pDW444-290265, complete sequence</t>
  </si>
  <si>
    <t>CP075184.1    Acidovorax radicis strain 79 chromosome, complete genome</t>
  </si>
  <si>
    <t>CP131925.1    Bacillus mycoides strain PAMC 29627 plasmid unnamed1, complete sequence</t>
  </si>
  <si>
    <t>CP075528.1    MAG: Enhydrobacter sp. isolate TGS_PRO10 chromosome</t>
  </si>
  <si>
    <t>CP132200.1    Bacillus thuringiensis strain L1 chromosome, complete genome</t>
  </si>
  <si>
    <t>CP076653.1    Bacillus sp. NP247 chromosome, complete genome</t>
  </si>
  <si>
    <t>CP077249.1    Aeromonas sp. FDAARGOS 1403 chromosome, complete genome</t>
  </si>
  <si>
    <t>CP136382.1    Bacillus mycoides strain PAMC 29501 plasmid unnamed1, complete sequence</t>
  </si>
  <si>
    <t>CP080525.1    Mesorhizobium sp. AR07 chromosome, complete genome</t>
  </si>
  <si>
    <t>CP142003.1    Bacillus pacificus strain AT31 chromosome, complete genome</t>
  </si>
  <si>
    <t>CP080590.1    Devosia salina strain SCS-3 chromosome, complete genome</t>
  </si>
  <si>
    <t>CP150839.1    Bacillus pacificus strain SG15 chromosome, complete genome</t>
  </si>
  <si>
    <t>CP083539.1    Jannaschia sp. W003 chromosome, complete genome</t>
  </si>
  <si>
    <t>CP155560.1    Bacillus thuringiensis strain HSY204 plasmid pA, complete sequence</t>
  </si>
  <si>
    <t>CP083721.1    Bradyrhizobium sp. 41S5 chromosome, complete genome</t>
  </si>
  <si>
    <t>CP155623.1    Bacillus paramobilis strain N24509 chromosome, complete genome</t>
  </si>
  <si>
    <t>CP157571.1    Bacillus paranthracis strain PS03079 chromosome, complete genome</t>
  </si>
  <si>
    <t>CP084351.1    Aeromonas dhakensis strain 71431 chromosome, complete genome</t>
  </si>
  <si>
    <t>CP160237.1    Bacillus thuringiensis strain JJ1216 chromosome, complete genome</t>
  </si>
  <si>
    <t>CP169739.1    Bacillus paranthracis strain mr-1B chromosome, complete genome</t>
  </si>
  <si>
    <t>CP180234.1    Bacillus cereus strain Ba 4 chromosome, complete genome</t>
  </si>
  <si>
    <t>CP084581.1    Aeromonas hydrophila strain Ah27 chromosome, complete genome</t>
  </si>
  <si>
    <t>CP180236.1    Bacillus sp. Ba 3 chromosome, complete genome</t>
  </si>
  <si>
    <t>CP189818.1    Bacillus mycoides strain LBUM136 plasmid pBmyLBUM136_1, complete sequence</t>
  </si>
  <si>
    <t>CP085402.1    Bacillus anthracis strain CMF9 chromosome, complete genome</t>
  </si>
  <si>
    <t>KX258624.1    Bacillus thuringiensis strain INTA Fr7-4 plasmid pFR260, complete sequence</t>
  </si>
  <si>
    <t>CP085501.1    Bacillus cereus strain A24 chromosome, complete genome</t>
  </si>
  <si>
    <t>OY731416.1    Aeromonas hydrophila isolate DC1K genome assembly, chromosome: 1</t>
  </si>
  <si>
    <t>CP085506.1    Bacillus cereus strain HD2.4 chromosome, complete genome</t>
  </si>
  <si>
    <t>CP085510.1    Bacillus cereus strain HD1.4B chromosome, complete genome</t>
  </si>
  <si>
    <t>CP087963.1    Polaromonas sp. P1(28)-13 chromosome, complete genome</t>
  </si>
  <si>
    <t>OZ245861.1    MAG: Boseaceae bacterium isolate 713c29fa-947d-4569-bb33-4de4e929fd5c genome assembly, chromosome: 1</t>
  </si>
  <si>
    <t>CP089518.1    Bacillus cereus strain PT1 chromosome, complete genome</t>
  </si>
  <si>
    <t>OZ246980.1    MAG: Bauldia sp. isolate f11412da-b0a6-441c-8354-d297e2cae7d0 genome assembly, chromosome: 1</t>
  </si>
  <si>
    <t>CP089743.1    Bacillus paranthracis strain SHOU-BC01 chromosome, complete genome</t>
  </si>
  <si>
    <t>CP090066.1    Aurantimonas sp. HBX-1 chromosome, complete genome</t>
  </si>
  <si>
    <t>CP092356.1    Aeromonas hydrophila strain CCL1 chromosome, complete genome</t>
  </si>
  <si>
    <t>CP092708.1    Aeromonas hydrophila strain S-P-C-021.01 chromosome, complete genome</t>
  </si>
  <si>
    <t>CP092709.1    Aeromonas hydrophila strain S-P-C-022.01 chromosome, complete genome</t>
  </si>
  <si>
    <t>CP092906.1    Aeromonas hydrophila strain LP0103 chromosome, complete genome</t>
  </si>
  <si>
    <t>CP092968.1    Methylocystis parvus OBBP chromosome, complete genome</t>
  </si>
  <si>
    <t>CP093308.1    Aeromonas hydrophila strain AC185 chromosome, complete genome</t>
  </si>
  <si>
    <t>CP093309.1    Aeromonas hydrophila strain AC133 chromosome, complete genome</t>
  </si>
  <si>
    <t>CP093531.1    Shinella zoogloeoides strain XJ20 plasmid p3, complete sequence</t>
  </si>
  <si>
    <t>CP094267.1    Aeromonas hydrophila strain A008N2 chromosome, complete genome</t>
  </si>
  <si>
    <t>CP094424.1    Bacillus cereus strain Cip6R1 chromosome, complete genome</t>
  </si>
  <si>
    <t>CP094426.1    Bacillus cereus strain Cip5R1 chromosome, complete genome</t>
  </si>
  <si>
    <t>CP094430.1    Bacillus cereus strain Van39R1 chromosome, complete genome</t>
  </si>
  <si>
    <t>CP094432.1    Bacillus cereus strain Van10R1 chromosome, complete genome</t>
  </si>
  <si>
    <t>CP094434.1    Bacillus cereus strain Tet8R1 chromosome, complete genome</t>
  </si>
  <si>
    <t>CP094436.1    Bacillus cereus strain Tet2R1 chromosome, complete genome</t>
  </si>
  <si>
    <t>CP094437.1    Bacillus cereus strain 03BB102 chromosome, complete genome</t>
  </si>
  <si>
    <t>CP094455.1    Bacillus sp. ZJS3 chromosome, complete genome</t>
  </si>
  <si>
    <t>CP096678.1    Bacillus sp. A17A.1 chromosome</t>
  </si>
  <si>
    <t>CP097203.1    Aeromonas hydrophila strain AG-2013-AG1 chromosome</t>
  </si>
  <si>
    <t>CP098363.1    Paracoccus sp. TOH plasmid p2, complete sequence</t>
  </si>
  <si>
    <t>CP098734.1    Bacillus cereus strain MV19 chromosome</t>
  </si>
  <si>
    <t>CP099471.1    Roseomonas mucosa strain TT14 chromosome, complete genome</t>
  </si>
  <si>
    <t>CP099801.1    Bacillus paranthracis strain SSBC101 chromosome, complete genome</t>
  </si>
  <si>
    <t>CP102326.1    Aeromonas dhakensis strain BC04 chromosome, complete genome</t>
  </si>
  <si>
    <t>CP102327.1    Aeromonas dhakensis strain BC05 chromosome, complete genome</t>
  </si>
  <si>
    <t>CP104965.1    Devosia neptuniae strain A18/4-1 chromosome, complete genome</t>
  </si>
  <si>
    <t>CP106675.1    Bacillus cereus strain SRCM116293 chromosome, complete genome</t>
  </si>
  <si>
    <t>CP108011.1    Streptomyces phaeochromogenes strain NBC_00333 chromosome, complete genome</t>
  </si>
  <si>
    <t>CP108081.1    Streptomyces sp. NBC_00258 chromosome, complete genome</t>
  </si>
  <si>
    <t>CP108143.1    Streptomyces sp. NBC_00178 chromosome, complete genome</t>
  </si>
  <si>
    <t>CP108382.1    Streptomyces phaeochromogenes strain NBC_01328 chromosome, complete genome</t>
  </si>
  <si>
    <t>CP108659.1    Streptomyces sp. NBC_01092 chromosome, complete genome</t>
  </si>
  <si>
    <t>CP109531.1    Streptomyces phaeochromogenes strain NBC_01409 chromosome, complete genome</t>
  </si>
  <si>
    <t>CP109534.1    Sphaerisporangium sp. NBC_01403 chromosome, complete genome</t>
  </si>
  <si>
    <t>CP109873.2    Bacillus cereus strain BC38B plasmid p1, complete sequence</t>
  </si>
  <si>
    <t>CP110131.1    Methylorubrum extorquens strain NBC_00036 chromosome, complete genome</t>
  </si>
  <si>
    <t>CP113056.1    Ancylobacter sp. SL191 chromosome</t>
  </si>
  <si>
    <t>CP113533.1    Aeromonas hydrophila strain SHSK47 chromosome, complete genome</t>
  </si>
  <si>
    <t>CP114190.1    Aminobacter sp. NyZ550 chromosome, complete genome</t>
  </si>
  <si>
    <t>CP116204.1    Bacillus paranthracis strain NVH_0075/95 chromosome, complete genome</t>
  </si>
  <si>
    <t>CP117702.1    Bacillus sp. A01H chromosome, complete genome</t>
  </si>
  <si>
    <t>CP118988.1    Aeromonas allosaccharophila strain K520 chromosome, complete genome</t>
  </si>
  <si>
    <t>CP120696.1    Bradyrhizobium sp. STM 3561 plasmid pSTM3561, complete sequence</t>
  </si>
  <si>
    <t>CP120958.1    Bacillus cereus strain SCBCM001 chromosome, complete genome</t>
  </si>
  <si>
    <t>CP121100.1    Aeromonas hydrophila strain QZ124 chromosome, complete genome</t>
  </si>
  <si>
    <t>CP121679.1    Ancylobacter sp. WKF20 chromosome, complete genome</t>
  </si>
  <si>
    <t>CP121700.1    Methylobacterium indicum strain JDJ13 chromosome, complete genome</t>
  </si>
  <si>
    <t>CP121795.1    Aeromonas dhakensis strain DAMIAN 12594 chromosome, complete genome</t>
  </si>
  <si>
    <t>CP121801.1    Aeromonas dhakensis strain BOND 19077 chromosome, complete genome</t>
  </si>
  <si>
    <t>CP121805.1    Aeromonas dhakensis strain BECKY 12646 chromosome, complete genome</t>
  </si>
  <si>
    <t>CP126066.1    Streptomyces sp. NA07423 chromosome, complete genome</t>
  </si>
  <si>
    <t>CP126341.1    Enterobacter cloacae strain TL15 chromosome, complete genome</t>
  </si>
  <si>
    <t>CP126889.1    MAG: Enhydrobacter sp. isolate bin_2004 chromosome, complete genome</t>
  </si>
  <si>
    <t>CP127251.1    Devosia sp. YIM 151766 chromosome, complete genome</t>
  </si>
  <si>
    <t>CP128137.1    Bacillus mycoides strain SIN3.1 chromosome, complete genome</t>
  </si>
  <si>
    <t>CP128149.1    Bacillus mycoides strain SIN3.2 chromosome, complete genome</t>
  </si>
  <si>
    <t>CP128152.1    Bacillus albus strain SXL388 chromosome, complete genome</t>
  </si>
  <si>
    <t>CP129604.1    Bacillus paranthracis strain PUMB_17 chromosome, complete genome</t>
  </si>
  <si>
    <t>CP132316.1    Shinella sumterensis strain UPHL-collab-3 chromosome, complete genome</t>
  </si>
  <si>
    <t>CP132359.1    Bosea beijingensis strain REN20 chromosome, complete genome</t>
  </si>
  <si>
    <t>CP132958.1    Aminobacter aminovorans strain DMFA1 chromosome, complete genome</t>
  </si>
  <si>
    <t>CP134054.1    Saccharopolyspora sp. ID03-671 chromosome, complete genome</t>
  </si>
  <si>
    <t>CP134091.1    Aeromonas hydrophila strain SH10 chromosome</t>
  </si>
  <si>
    <t>CP135441.1    Mesorhizobium sp. ISC25 chromosome, complete genome</t>
  </si>
  <si>
    <t>CP136570.1    MAG: Bosea sp. (in: a-proteobacteria) isolate GU0601_MAG1 chromosome, complete genome</t>
  </si>
  <si>
    <t>CP139027.1    Tardiphaga sp. 42S5 chromosome, complete genome</t>
  </si>
  <si>
    <t>CP139214.1    Bacillus cereus strain A01 chromosome, complete genome</t>
  </si>
  <si>
    <t>CP142670.1    Bacillus albus strain YK87 chromosome, complete genome</t>
  </si>
  <si>
    <t>CP142671.1    Bacillus albus strain YK87 plasmid pBC1, complete sequence</t>
  </si>
  <si>
    <t>CP147538.1    Serratia marcescens strain GN02673 chromosome, complete genome</t>
  </si>
  <si>
    <t>CP147539.1    Serratia marcescens strain GN03438 chromosome, complete genome</t>
  </si>
  <si>
    <t>CP147540.1    Serratia marcescens strain GN03465 chromosome, complete genome</t>
  </si>
  <si>
    <t>CP147879.1    Roseomonas mucosa strain GlSt084 chromosome, complete genome</t>
  </si>
  <si>
    <t>CP147983.1    Bacillus sp. PPSBB_2 chromosome</t>
  </si>
  <si>
    <t>CP147996.1    Neorhizobium sp. EC2-8 chromosome, complete genome</t>
  </si>
  <si>
    <t>CP148749.1    Aeromonas hydrophila strain AH230115 chromosome, complete genome</t>
  </si>
  <si>
    <t>CP148991.1    Bradyrhizobium symbiodeficiens strain A7 chromosome, complete genome</t>
  </si>
  <si>
    <t>CP149124.1    Aeromonas hydrophila strain BE2 chromosome, complete genome</t>
  </si>
  <si>
    <t>CP152429.1    Bacillus paramycoides strain JYZ-SD5 plasmid p2, complete sequence</t>
  </si>
  <si>
    <t>CP152433.1    Bacillus sp. BR3(2024) chromosome, complete genome</t>
  </si>
  <si>
    <t>CP154792.1    Achromobacter denitrificans strain BP1 chromosome, complete genome</t>
  </si>
  <si>
    <t>CP157205.1    Bacillus thuringiensis strain 9.1 chromosome, complete genome</t>
  </si>
  <si>
    <t>CP157793.1    MAG: Stappia sp. isolate ALCB114379_MAG1 chromosome, complete genome</t>
  </si>
  <si>
    <t>CP158496.1    Bacillus cereus strain NBNZ-2162 chromosome, complete genome</t>
  </si>
  <si>
    <t>CP159250.1    Mesorhizobium sp. WSM2239 plasmid pMk2239C, complete sequence</t>
  </si>
  <si>
    <t>CP167100.1    Marinovum algicola strain DG 1292 plasmid p_7, complete sequence</t>
  </si>
  <si>
    <t>CP167911.1    Azospirillum sp. HJ39 chromosome 1, complete sequence</t>
  </si>
  <si>
    <t>CP168571.1    Rhizobium sp. Rhizsp82 strain CT11-82 chromosome 2, complete sequence</t>
  </si>
  <si>
    <t>CP170556.1    Bosea sp. UC22_33 chromosome, complete genome</t>
  </si>
  <si>
    <t>CP171996.1    Aminobacter sp. UC22_36 chromosome, complete genome</t>
  </si>
  <si>
    <t>CP172862.1    Methylosinus sporium strain UOS2 chromosome, complete genome</t>
  </si>
  <si>
    <t>CP176690.1    Bacillus paranthracis strain GTVSS-022 chromosome, complete genome</t>
  </si>
  <si>
    <t>CP177046.1    Bacillus thuringiensis strain MPB12 chromosome, complete genome</t>
  </si>
  <si>
    <t>CP180237.1    Bacillus sp. Ba 3 plasmid unnamed, complete sequence</t>
  </si>
  <si>
    <t>CP180559.1    Aeromonas hydrophila strain BJ014 chromosome, complete genome</t>
  </si>
  <si>
    <t>CP180564.1    Aeromonas hydrophila strain BJ018 chromosome, complete genome</t>
  </si>
  <si>
    <t>CP185965.1    Bacillus cereus group sp. BfR-BA-01700 chromosome, complete genome</t>
  </si>
  <si>
    <t>CP185989.1    Bacillus thuringiensis strain SA41 chromosome, complete genome</t>
  </si>
  <si>
    <t>CP186263.1    Acidovorax sp. M14 chromosome, complete genome</t>
  </si>
  <si>
    <t>CP186479.1    Devosia sp. CN2-171 chromosome, complete genome</t>
  </si>
  <si>
    <t>CP189562.1    Muricoccus radiodurans strain 17S r1-1 plasmid unnamed1, complete sequence</t>
  </si>
  <si>
    <t>CP189792.1    Bacillus mycoides strain LBUM447 chromosome, complete genome</t>
  </si>
  <si>
    <t>CP189817.1    Bacillus mycoides strain LBUM136 chromosome, complete genome</t>
  </si>
  <si>
    <t>CP191450.1    Neorhizobium sp. DAR64862/K0K3 chromosome 2, complete sequence</t>
  </si>
  <si>
    <t>CP191454.1    Neorhizobium sp. DAR64861/K0K2 chromosome 2, complete sequence</t>
  </si>
  <si>
    <t>DQ889680.1    Bacillus cereus strain G9241 plasmid pBCXO1, complete sequence</t>
  </si>
  <si>
    <t>HG938355.1    Neorhizobium galegae, complete genome</t>
  </si>
  <si>
    <t>LC066376.1    Aureimonas frigidaquae DNA, ribosomal RNA operon, note: contig containing rrnB</t>
  </si>
  <si>
    <t>LR963138.1    Aeromonas hydrophila strain vAh ST251 genome assembly, chromosome: 1</t>
  </si>
  <si>
    <t>LR963141.1    Aeromonas hydrophila isolate T4 genome assembly, chromosome: 1</t>
  </si>
  <si>
    <t>LT606949.1    Polynucleobacter necessarius isolate PPGSP7 genome assembly, chromosome: I</t>
  </si>
  <si>
    <t>LT670849.1    Bradyrhizobium erythrophlei strain GAS401 genome assembly, chromosome: I</t>
  </si>
  <si>
    <t>LT962688.1    Methylobacterium extorquens strain TK 0001, genome assembly, chromosome: TK0001</t>
  </si>
  <si>
    <t>OW485601.1    Rhodovastum atsumiense strain G2-11 genome assembly, chromosome: RHOA</t>
  </si>
  <si>
    <t>OY731269.1    Aeromonas hydrophila isolate SMC7K genome assembly, chromosome: 1</t>
  </si>
  <si>
    <t>OY731279.1    Aeromonas hydrophila isolate SMC11U genome assembly, chromosome: 1</t>
  </si>
  <si>
    <t>OY731281.1    Aeromonas hydrophila isolate SUC4U genome assembly, chromosome: 1</t>
  </si>
  <si>
    <t>OY731361.1    Aeromonas hydrophila isolate AHY621 genome assembly, chromosome: 1</t>
  </si>
  <si>
    <t>OY731375.1    Aeromonas hydrophila isolate AHY622 genome assembly, chromosome: 1</t>
  </si>
  <si>
    <t>OY731384.1    Aeromonas hydrophila isolate AHY628 genome assembly, chromosome: 1</t>
  </si>
  <si>
    <t>OY731391.1    Aeromonas hydrophila isolate KMC6U genome assembly, chromosome: 1</t>
  </si>
  <si>
    <t>OY731396.1    Aeromonas hydrophila isolate AHY627 genome assembly, chromosome: 1</t>
  </si>
  <si>
    <t>OY969917.1    MAG: uncultured proteobacterium isolate MFD05580.bin.1.54 genome assembly, chromosome: 1</t>
  </si>
  <si>
    <t>OY970156.1    MAG: uncultured proteobacterium isolate MFD01299.bin.c.1 genome assembly, chromosome: 1</t>
  </si>
  <si>
    <t>OZ205033.1    Bacillus cereus biovar anthracis isolate BcbvaCA genome assembly, plasmid: pXO1</t>
  </si>
  <si>
    <t>OZ220689.1    MAG: Phototrophicaceae bacterium isolate ee48527d-5dc2-4181-aca3-e21b74048da2 genome assembly, chromosome: 1</t>
  </si>
  <si>
    <t>OZ240671.1    MAG: Lichenicola sp. isolate e0f6375e-2fc4-4589-b166-749b9318e48d genome assembly, chromosome: 1</t>
  </si>
  <si>
    <t>OZ240681.1    MAG: Acetobacteraceae bacterium isolate 9b933d0b-0382-4796-9af8-08094ef6817d genome assembly, chromosome: 1</t>
  </si>
  <si>
    <t>OZ243890.1    MAG: Acuticoccus sp. isolate 59705aae-663d-4e73-a81f-a0d261905b5a genome assembly, chromosome: 1</t>
  </si>
  <si>
    <t>OZ243937.1    MAG: Phototrophicaceae bacterium isolate 2ebdfeec-e8d2-4ffe-80f1-f60856b30c27 genome assembly, chromosome: 1</t>
  </si>
  <si>
    <t>OZ245767.1    MAG: Reyranella sp. isolate d6c96d0b-8d00-4f59-9536-c1456362ed19 genome assembly, chromosome: 1</t>
  </si>
  <si>
    <t>OZ245801.1    MAG: Reyranella sp. isolate 1b7baf7f-a1bb-461f-a1bd-400e2722d697 genome assembly, chromosome: 1</t>
  </si>
  <si>
    <t>OZ245853.1    MAG: Devosia sp. isolate 3d186a37-0bcd-4ac1-b259-f5c9590ee027 genome assembly, chromosome: 1</t>
  </si>
  <si>
    <t>OZ247490.1    MAG: Tepidamorphaceae bacterium isolate 03382a46-28c9-4e21-ac5a-e17fc429642d genome assembly, chromosome: 1</t>
  </si>
  <si>
    <t>OZ252015.1    MAG: Hyphomicrobiales bacterium isolate 47880fc9-27c8-46de-aa34-e5a4aa674eed genome assembly, chromosome: 1</t>
  </si>
  <si>
    <t>OZ252257.1    MAG: Reyranella sp. isolate 8febbdbb-4aae-4c5c-8ec1-14a8609df2e4 genome assembly, chromosome: 1</t>
  </si>
  <si>
    <t>OZ252289.1    MAG: Stappia sp. isolate 727e267f-ef82-445b-845c-5f314088a199 genome assembly, chromosome: 1</t>
  </si>
  <si>
    <t>OZ252290.1    MAG: Tepidamorphaceae bacterium isolate 45ccefcf-ddd3-4e47-81f8-c8a631735e2d genome assembly, chromosome: 1</t>
  </si>
  <si>
    <t>OZ255629.1    MAG: Acetobacteraceae bacterium isolate bf2755eb-3f0b-42ee-8b00-77430d29f614 genome assembly, chromosome: 1</t>
  </si>
  <si>
    <t>OZ257242.1    MAG: Reyranella sp. isolate b5110c16-a26b-47f6-9828-dbeb5a2aa157 genome assembly, chromosome: 1</t>
  </si>
  <si>
    <t>OZ257251.1    MAG: Reyranella sp. isolate f0431ea5-77df-4713-9fc6-40bca345d698 genome assembly, chromosome: 1</t>
  </si>
  <si>
    <t>XM_021852842.1    PREDICTED: Aedes aegypti transcription factor GAGA (LOC5567461), transcript variant X1, mRNA</t>
  </si>
  <si>
    <t>XM_021852843.1    PREDICTED: Aedes aegypti transcription factor GAGA (LOC5567461), transcript variant X2, mRNA</t>
  </si>
  <si>
    <t>XM_021852844.1    PREDICTED: Aedes aegypti transcription factor GAGA (LOC5567461), transcript variant X3, mRNA</t>
  </si>
  <si>
    <t>XM_021852845.1    PREDICTED: Aedes aegypti transcription factor GAGA (LOC5567461), transcript variant X4, mRNA</t>
  </si>
  <si>
    <t>XM_021852846.1    PREDICTED: Aedes aegypti transcription factor GAGA (LOC5567461), transcript variant X5, mRNA</t>
  </si>
  <si>
    <t>XM_021852847.1    PREDICTED: Aedes aegypti transcription factor GAGA (LOC5567461), transcript variant X6, mRNA</t>
  </si>
  <si>
    <t>XM_021852848.1    PREDICTED: Aedes aegypti transcription factor GAGA (LOC5567461), transcript variant X7, mRNA</t>
  </si>
  <si>
    <t>XM_021852849.1    PREDICTED: Aedes aegypti transcription factor GAGA (LOC5567461), transcript variant X8, mRNA</t>
  </si>
  <si>
    <t>reads_hgt1_b11</t>
  </si>
  <si>
    <t>reads_hgt2_b17</t>
  </si>
  <si>
    <t>reads_hgt4_b21</t>
  </si>
  <si>
    <t>reads_hgt1_b12</t>
  </si>
  <si>
    <t>reads_hgt2_b18</t>
  </si>
  <si>
    <t>reads_hgt4_b22</t>
  </si>
  <si>
    <t>reads_hgt1_b13</t>
  </si>
  <si>
    <t>reads_hgt2_b20</t>
  </si>
  <si>
    <t>reads_hgt4_b23</t>
  </si>
  <si>
    <t>taxon_id</t>
  </si>
  <si>
    <t>taxon_name</t>
  </si>
  <si>
    <t>h1</t>
  </si>
  <si>
    <t>h2</t>
  </si>
  <si>
    <t>h3</t>
  </si>
  <si>
    <t>g1</t>
  </si>
  <si>
    <t>g2</t>
  </si>
  <si>
    <t>g3</t>
  </si>
  <si>
    <t>t1</t>
  </si>
  <si>
    <t>t2</t>
  </si>
  <si>
    <t>t3</t>
  </si>
  <si>
    <t>NA</t>
  </si>
  <si>
    <t>cannot be assigned to a (non-viral) species</t>
  </si>
  <si>
    <t>unclassified</t>
  </si>
  <si>
    <t>annotaed Microbes</t>
  </si>
  <si>
    <t>Kingdom</t>
  </si>
  <si>
    <t>Phylum</t>
  </si>
  <si>
    <t>Order</t>
  </si>
  <si>
    <t>Class</t>
  </si>
  <si>
    <t>Family</t>
  </si>
  <si>
    <t>Genus</t>
  </si>
  <si>
    <t>Species</t>
  </si>
  <si>
    <t>NMDS</t>
  </si>
  <si>
    <t>Bacteria;Bdellovibrionota;Bdellovibrionia;Bdellovibrionales;Pseudobdellovibrionaceae;Bdellovibrio;Bdellovibrio sp. HCB-162;</t>
  </si>
  <si>
    <t>Bacteria</t>
  </si>
  <si>
    <t>Bdellovibrionota</t>
  </si>
  <si>
    <t>Bdellovibrionia</t>
  </si>
  <si>
    <t>Bdellovibrionales</t>
  </si>
  <si>
    <t>Pseudobdellovibrionaceae</t>
  </si>
  <si>
    <t>Bdellovibrio</t>
  </si>
  <si>
    <t>Bdellovibrio sp. HCB-162</t>
  </si>
  <si>
    <t>sample_id</t>
  </si>
  <si>
    <t>nmds1</t>
  </si>
  <si>
    <t>nmds2</t>
  </si>
  <si>
    <t>source</t>
  </si>
  <si>
    <t>Bacteria;Pseudomonadota;Gammaproteobacteria;Enterobacterales;Yersiniaceae;Serratia;Serratia sp. J2;</t>
  </si>
  <si>
    <t>Pseudomonadota</t>
  </si>
  <si>
    <t>Gammaproteobacteria</t>
  </si>
  <si>
    <t>Enterobacterales</t>
  </si>
  <si>
    <t>Yersiniaceae</t>
  </si>
  <si>
    <t>Serratia</t>
  </si>
  <si>
    <t>Serratia sp. J2</t>
  </si>
  <si>
    <t>g</t>
  </si>
  <si>
    <t>Bacteria;Bdellovibrionota;Bdellovibrionia;Bdellovibrionales;Pseudobdellovibrionaceae;Pseudobdellovibrio;Pseudobdellovibrio sp. HCB154;</t>
  </si>
  <si>
    <t>Pseudobdellovibrio</t>
  </si>
  <si>
    <t>Pseudobdellovibrio sp. HCB154</t>
  </si>
  <si>
    <t>Bacteria;Actinomycetota;Actinomycetes;Propionibacteriales;Nocardioidaceae;Nocardioides;Nocardioides sp. R1-1;</t>
  </si>
  <si>
    <t>Actinomycetota</t>
  </si>
  <si>
    <t>Actinomycetes</t>
  </si>
  <si>
    <t>Propionibacteriales</t>
  </si>
  <si>
    <t>Nocardioidaceae</t>
  </si>
  <si>
    <t>Nocardioides</t>
  </si>
  <si>
    <t>Nocardioides sp. R1-1</t>
  </si>
  <si>
    <t>Bacteria;Bdellovibrionota;Bacteriovoracia;Bacteriovoracales;Bacteriovoracaceae;Peredibacter;Peredibacter sp. HCB2-198;</t>
  </si>
  <si>
    <t>Bacteriovoracia</t>
  </si>
  <si>
    <t>Bacteriovoracales</t>
  </si>
  <si>
    <t>Bacteriovoracaceae</t>
  </si>
  <si>
    <t>Peredibacter</t>
  </si>
  <si>
    <t>Peredibacter sp. HCB2-198</t>
  </si>
  <si>
    <t>h</t>
  </si>
  <si>
    <t>Bacteria;Pseudomonadota;Betaproteobacteria;Burkholderiales;Oxalobacteraceae;Massilia;Massilia sp. SM-13;</t>
  </si>
  <si>
    <t>Betaproteobacteria</t>
  </si>
  <si>
    <t>Burkholderiales</t>
  </si>
  <si>
    <t>Oxalobacteraceae</t>
  </si>
  <si>
    <t>Massilia</t>
  </si>
  <si>
    <t>Massilia sp. SM-13</t>
  </si>
  <si>
    <t>Bacteria;Bacillota;Clostridia;Eubacteriales;Clostridiaceae;Clostridium;Clostridium sp. WILCCON 0269;</t>
  </si>
  <si>
    <t>Bacillota</t>
  </si>
  <si>
    <t>Clostridia</t>
  </si>
  <si>
    <t>Eubacteriales</t>
  </si>
  <si>
    <t>Clostridiaceae</t>
  </si>
  <si>
    <t>Clostridium</t>
  </si>
  <si>
    <t>Clostridium sp. WILCCON 0269</t>
  </si>
  <si>
    <t>Bacteria;Bacillota;Clostridia;Eubacteriales;Clostridiaceae;Clostridium;Clostridium sp. WILCCON 0202;</t>
  </si>
  <si>
    <t>Clostridium sp. WILCCON 0202</t>
  </si>
  <si>
    <t>t</t>
  </si>
  <si>
    <t>Bacteria;Bacillota;Clostridia;Eubacteriales;Clostridiaceae;Clostridium;Clostridium sp. WILCCON 0185;</t>
  </si>
  <si>
    <t>Clostridium sp. WILCCON 0185</t>
  </si>
  <si>
    <t>Bacteria;Bacillota;Clostridia;Eubacteriales;Eubacteriaceae;Eubacterium;Eubacterium sp. F2;</t>
  </si>
  <si>
    <t>Eubacteriaceae</t>
  </si>
  <si>
    <t>Eubacterium</t>
  </si>
  <si>
    <t>Eubacterium sp. F2</t>
  </si>
  <si>
    <t>Bacteria;Pseudomonadota;Alphaproteobacteria;Hyphomicrobiales;Devosiaceae;Devosia;Devosia sp. ZW T5_3;</t>
  </si>
  <si>
    <t>Alphaproteobacteria</t>
  </si>
  <si>
    <t>Hyphomicrobiales</t>
  </si>
  <si>
    <t>Devosiaceae</t>
  </si>
  <si>
    <t>Devosia</t>
  </si>
  <si>
    <t>Devosia sp. ZW T5_3</t>
  </si>
  <si>
    <t>Bacteria;Pseudomonadota;Alphaproteobacteria;Sphingomonadales;Sphingomonadaceae;Novosphingobium;Novosphingobium sp. ZW T3_23;</t>
  </si>
  <si>
    <t>Sphingomonadales</t>
  </si>
  <si>
    <t>Sphingomonadaceae</t>
  </si>
  <si>
    <t>Novosphingobium</t>
  </si>
  <si>
    <t>Novosphingobium sp. ZW T3_23</t>
  </si>
  <si>
    <t>kaiju annotation for bp&gt;1000 reads-based taxonomy</t>
  </si>
  <si>
    <t>Bacteria;Pseudomonadota;Alphaproteobacteria;Hyphomicrobiales;Rhizobiaceae;Rhizobium;Rhizobium sp. ZW T2_16;</t>
  </si>
  <si>
    <t>Rhizobiaceae</t>
  </si>
  <si>
    <t>Rhizobium</t>
  </si>
  <si>
    <t>Rhizobium sp. ZW T2_16</t>
  </si>
  <si>
    <t>Bacteria;Actinomycetota;Actinomycetes;Micrococcales;Microbacteriaceae;Microbacterium;Microbacterium sp. ZW T5_45;</t>
  </si>
  <si>
    <t>Micrococcales</t>
  </si>
  <si>
    <t>Microbacteriaceae</t>
  </si>
  <si>
    <t>Microbacterium</t>
  </si>
  <si>
    <t>Microbacterium sp. ZW T5_45</t>
  </si>
  <si>
    <t>Bacteria;Actinomycetota;Actinomycetes;Micrococcales;Microbacteriaceae;Agromyces;Agromyces sp. GXQ0307;</t>
  </si>
  <si>
    <t>Agromyces</t>
  </si>
  <si>
    <t>Agromyces sp. GXQ0307</t>
  </si>
  <si>
    <t>Bacteria;Pseudomonadota;Alphaproteobacteria;Hyphomicrobiales;Boseaceae;Bosea;Bosea sp. CER48;</t>
  </si>
  <si>
    <t>Boseaceae</t>
  </si>
  <si>
    <t>Bosea</t>
  </si>
  <si>
    <t>Bosea sp. CER48</t>
  </si>
  <si>
    <t>Bacteria;Pseudomonadota;Alphaproteobacteria;Rhodobacterales;Roseobacteraceae;Roseovarius;Roseovarius sp. SYSU LYC5162;</t>
  </si>
  <si>
    <t>Rhodobacterales</t>
  </si>
  <si>
    <t>Roseobacteraceae</t>
  </si>
  <si>
    <t>Roseovarius</t>
  </si>
  <si>
    <t>Roseovarius sp. SYSU LYC5162</t>
  </si>
  <si>
    <t>Bacteria;Bacillota;Bacilli;Bacillales;Bacillaceae;Bacillus;Bacillus sp. 3G2;</t>
  </si>
  <si>
    <t>Bacilli</t>
  </si>
  <si>
    <t>Bacillales</t>
  </si>
  <si>
    <t>Bacillaceae</t>
  </si>
  <si>
    <t>Bacillus</t>
  </si>
  <si>
    <t>Bacillus sp. 3G2</t>
  </si>
  <si>
    <t>Bacteria;Actinomycetota;Actinomycetes;Pseudonocardiales;Pseudonocardiaceae;Saccharopolyspora;Saccharopolyspora sp. 5N102;</t>
  </si>
  <si>
    <t>Pseudonocardiales</t>
  </si>
  <si>
    <t>Pseudonocardiaceae</t>
  </si>
  <si>
    <t>Saccharopolyspora</t>
  </si>
  <si>
    <t>Saccharopolyspora sp. 5N102</t>
  </si>
  <si>
    <t>Bacteria;Pseudomonadota;Alphaproteobacteria;Hyphomicrobiales;Kaistiaceae;Kaistia;Kaistia sp. UC242_56;</t>
  </si>
  <si>
    <t>Kaistiaceae</t>
  </si>
  <si>
    <t>Kaistia</t>
  </si>
  <si>
    <t>Kaistia sp. UC242_56</t>
  </si>
  <si>
    <t>Bacteria;Bacteroidota;Sphingobacteriia;Sphingobacteriales;Sphingobacteriaceae;Pedobacter;Pedobacter sp. UC225_61;</t>
  </si>
  <si>
    <t>Bacteroidota</t>
  </si>
  <si>
    <t>Sphingobacteriia</t>
  </si>
  <si>
    <t>Sphingobacteriales</t>
  </si>
  <si>
    <t>Sphingobacteriaceae</t>
  </si>
  <si>
    <t>Pedobacter</t>
  </si>
  <si>
    <t>Pedobacter sp. UC225_61</t>
  </si>
  <si>
    <t>Bacteria;Pseudomonadota;Betaproteobacteria;Burkholderiales;Comamonadaceae;Variovorax;Variovorax sp. UC122_21;</t>
  </si>
  <si>
    <t>Comamonadaceae</t>
  </si>
  <si>
    <t>Variovorax</t>
  </si>
  <si>
    <t>Variovorax sp. UC122_21</t>
  </si>
  <si>
    <t>Bacteria;Pseudomonadota;Alphaproteobacteria;Caulobacterales;Caulobacteraceae;Caulobacter;Caulobacter sp. UC70_42;</t>
  </si>
  <si>
    <t>Caulobacterales</t>
  </si>
  <si>
    <t>Caulobacteraceae</t>
  </si>
  <si>
    <t>Caulobacter</t>
  </si>
  <si>
    <t>Caulobacter sp. UC70_42</t>
  </si>
  <si>
    <t>Bacteria;Actinomycetota;Actinomycetes;Micrococcales;Micrococcaceae;Arthrobacter;Arthrobacter sp. UC242_113;</t>
  </si>
  <si>
    <t>Micrococcaceae</t>
  </si>
  <si>
    <t>Arthrobacter</t>
  </si>
  <si>
    <t>Arthrobacter sp. UC242_113</t>
  </si>
  <si>
    <t>Bacteria;Bacteroidota;Flavobacteriia;Flavobacteriales;Flavobacteriaceae;Flavobacterium;Flavobacterium sp. FlaQc-57;</t>
  </si>
  <si>
    <t>Flavobacteriia</t>
  </si>
  <si>
    <t>Flavobacteriales</t>
  </si>
  <si>
    <t>Flavobacteriaceae</t>
  </si>
  <si>
    <t>Flavobacterium</t>
  </si>
  <si>
    <t>Flavobacterium sp. FlaQc-57</t>
  </si>
  <si>
    <t>Bacteria;Bacteroidota;Flavobacteriia;Flavobacteriales;Flavobacteriaceae;Flavobacterium;Flavobacterium sp. FlaQc-48;</t>
  </si>
  <si>
    <t>Flavobacterium sp. FlaQc-48</t>
  </si>
  <si>
    <t>Bacteria;Bacteroidota;Flavobacteriia;Flavobacteriales;Flavobacteriaceae;Flavobacterium;Flavobacterium sp. FlaQc-28;</t>
  </si>
  <si>
    <t>Flavobacterium sp. FlaQc-28</t>
  </si>
  <si>
    <t>Bacteria;Pseudomonadota;Betaproteobacteria;Burkholderiales;Comamonadaceae;Variovorax;Variovorax sp. VaC1;</t>
  </si>
  <si>
    <t>Variovorax sp. VaC1</t>
  </si>
  <si>
    <t>Bacteria;Pseudomonadota;Betaproteobacteria;Burkholderiales;Burkholderiaceae;Cupriavidus;Cupriavidus sp. CuC1;</t>
  </si>
  <si>
    <t>Burkholderiaceae</t>
  </si>
  <si>
    <t>Cupriavidus</t>
  </si>
  <si>
    <t>Cupriavidus sp. CuC1</t>
  </si>
  <si>
    <t>Bacteria;Actinomycetota;Actinomycetes;Micrococcales;Microbacteriaceae;Agromyces;Agromyces sp. MMS24-K17;</t>
  </si>
  <si>
    <t>Agromyces sp. MMS24-K17</t>
  </si>
  <si>
    <t>Bacteria;Pseudomonadota;Alphaproteobacteria;Acetobacterales;Roseomonadaceae;Roseococcus;Roseococcus sp. DSY-14;</t>
  </si>
  <si>
    <t>Acetobacterales</t>
  </si>
  <si>
    <t>Roseomonadaceae</t>
  </si>
  <si>
    <t>Roseococcus</t>
  </si>
  <si>
    <t>Roseococcus sp. DSY-14</t>
  </si>
  <si>
    <t>Bacteria;Pseudomonadota;Gammaproteobacteria;Pseudomonadales;Pseudomonadaceae;Pseudomonas;Pseudomonas sp. NA-150;</t>
  </si>
  <si>
    <t>Pseudomonadales</t>
  </si>
  <si>
    <t>Pseudomonadaceae</t>
  </si>
  <si>
    <t>Pseudomonas</t>
  </si>
  <si>
    <t>Pseudomonas sp. NA-150</t>
  </si>
  <si>
    <t>Bacteria;Pseudomonadota;Betaproteobacteria;Burkholderiales;Comamonadaceae;Delftia;Delftia sp. WSY_22;</t>
  </si>
  <si>
    <t>Delftia</t>
  </si>
  <si>
    <t>Delftia sp. WSY_22</t>
  </si>
  <si>
    <t>Bacteria;Pseudomonadota;Betaproteobacteria;Burkholderiales;Comamonadaceae;Delftia;Delftia sp. WSY_7;</t>
  </si>
  <si>
    <t>Delftia sp. WSY_7</t>
  </si>
  <si>
    <t>Bacteria;Actinomycetota;Actinomycetes;Micrococcales;Microbacteriaceae;Microbacterium;Microbacterium sp. P03;</t>
  </si>
  <si>
    <t>Microbacterium sp. P03</t>
  </si>
  <si>
    <t>Bacteria;Actinomycetota;Actinomycetes;Kitasatosporales;Streptomycetaceae;Streptomyces;Streptomyces sp. NPDC102467;</t>
  </si>
  <si>
    <t>Kitasatosporales</t>
  </si>
  <si>
    <t>Streptomycetaceae</t>
  </si>
  <si>
    <t>Streptomyces</t>
  </si>
  <si>
    <t>Streptomyces sp. NPDC102467</t>
  </si>
  <si>
    <t>Bacteria;Actinomycetota;Actinomycetes;Kitasatosporales;Streptomycetaceae;Streptomyces;Streptomyces sp. NPDC093105;</t>
  </si>
  <si>
    <t>Streptomyces sp. NPDC093105</t>
  </si>
  <si>
    <t>Bacteria;Actinomycetota;Actinomycetes;Kitasatosporales;Streptomycetaceae;Streptomyces;Streptomyces sp. NPDC051738;</t>
  </si>
  <si>
    <t>Streptomyces sp. NPDC051738</t>
  </si>
  <si>
    <t>Bacteria;Actinomycetota;Actinomycetes;Kitasatosporales;Streptomycetaceae;Streptomyces;Streptomyces sp. NPDC050535;</t>
  </si>
  <si>
    <t>Streptomyces sp. NPDC050535</t>
  </si>
  <si>
    <t>Bacteria;Actinomycetota;Actinomycetes;Kitasatosporales;Streptomycetaceae;Streptomyces;Streptomyces sp. NPDC020917;</t>
  </si>
  <si>
    <t>Streptomyces sp. NPDC020917</t>
  </si>
  <si>
    <t>Bacteria;Actinomycetota;Actinomycetes;Kitasatosporales;Streptomycetaceae;Streptomyces;Streptomyces sp. NPDC020192;</t>
  </si>
  <si>
    <t>Streptomyces sp. NPDC020192</t>
  </si>
  <si>
    <t>Bacteria;Actinomycetota;Actinomycetes;Kitasatosporales;Streptomycetaceae;Streptomyces;Streptomyces sp. NPDC018029;</t>
  </si>
  <si>
    <t>Streptomyces sp. NPDC018029</t>
  </si>
  <si>
    <t>Bacteria;Actinomycetota;Actinomycetes;Kitasatosporales;Streptomycetaceae;Streptomyces;Streptomyces sp. NPDC008125;</t>
  </si>
  <si>
    <t>Streptomyces sp. NPDC008125</t>
  </si>
  <si>
    <t>Bacteria;Actinomycetota;Actinomycetes;Kitasatosporales;Streptomycetaceae;Streptomyces;Streptomyces sp. NPDC007264;</t>
  </si>
  <si>
    <t>Streptomyces sp. NPDC007264</t>
  </si>
  <si>
    <t>Bacteria;Actinomycetota;Actinomycetes;Kitasatosporales;Streptomycetaceae;Streptomyces;Streptomyces sp. NPDC003247;</t>
  </si>
  <si>
    <t>Streptomyces sp. NPDC003247</t>
  </si>
  <si>
    <t>Bacteria;Pseudomonadota;Gammaproteobacteria;Lysobacterales;Lysobacteraceae;Stenotrophomonas;Stenotrophomonas sp. NPDC047960;</t>
  </si>
  <si>
    <t>Lysobacterales</t>
  </si>
  <si>
    <t>Lysobacteraceae</t>
  </si>
  <si>
    <t>Stenotrophomonas</t>
  </si>
  <si>
    <t>Stenotrophomonas sp. NPDC047960</t>
  </si>
  <si>
    <t>Bacteria;Pseudomonadota;Gammaproteobacteria;Enterobacterales;Yersiniaceae;Serratia;Serratia sp. NPDC078756;</t>
  </si>
  <si>
    <t>Serratia sp. NPDC078756</t>
  </si>
  <si>
    <t>Bacteria;Bacillota;Bacilli;Bacillales;Bacillaceae;Rossellomorea;Rossellomorea sp. NPDC077527;</t>
  </si>
  <si>
    <t>Rossellomorea</t>
  </si>
  <si>
    <t>Rossellomorea sp. NPDC077527</t>
  </si>
  <si>
    <t>Bacteria;Pseudomonadota;Alphaproteobacteria;Hyphomicrobiales;Rhizobiaceae;Rhizobium;Rhizobium sp. NPDC090279;</t>
  </si>
  <si>
    <t>Rhizobium sp. NPDC090279</t>
  </si>
  <si>
    <t>Bacteria;Pseudomonadota;Alphaproteobacteria;Hyphomicrobiales;Rhizobiaceae;Rhizobium;Rhizobium sp. NPDC090275;</t>
  </si>
  <si>
    <t>Rhizobium sp. NPDC090275</t>
  </si>
  <si>
    <t>Bacteria;Pseudomonadota;Gammaproteobacteria;Pseudomonadales;Pseudomonadaceae;Pseudomonas;Pseudomonas sp. NPDC090592;</t>
  </si>
  <si>
    <t>Pseudomonas sp. NPDC090592</t>
  </si>
  <si>
    <t>Bacteria;Pseudomonadota;Gammaproteobacteria;Pseudomonadales;Pseudomonadaceae;Pseudomonas;Pseudomonas sp. NPDC089407;</t>
  </si>
  <si>
    <t>Pseudomonas sp. NPDC089407</t>
  </si>
  <si>
    <t>Bacteria;Pseudomonadota;Gammaproteobacteria;Pseudomonadales;Pseudomonadaceae;Pseudomonas;Pseudomonas sp. NPDC088444;</t>
  </si>
  <si>
    <t>Pseudomonas sp. NPDC088444</t>
  </si>
  <si>
    <t>Bacteria;Pseudomonadota;Gammaproteobacteria;Pseudomonadales;Pseudomonadaceae;Pseudomonas;Pseudomonas sp. NPDC087639;</t>
  </si>
  <si>
    <t>Pseudomonas sp. NPDC087639</t>
  </si>
  <si>
    <t>Bacteria;Bacillota;Bacilli;Bacillales;Bacillaceae;Peribacillus;Peribacillus sp. NPDC101481;</t>
  </si>
  <si>
    <t>Peribacillus</t>
  </si>
  <si>
    <t>Peribacillus sp. NPDC101481</t>
  </si>
  <si>
    <t>Bacteria;Actinomycetota;Actinomycetes;Micromonosporales;Micromonosporaceae;Micromonospora;Micromonospora sp. NPDC051925;</t>
  </si>
  <si>
    <t>Micromonosporales</t>
  </si>
  <si>
    <t>Micromonosporaceae</t>
  </si>
  <si>
    <t>Micromonospora</t>
  </si>
  <si>
    <t>Micromonospora sp. NPDC051925</t>
  </si>
  <si>
    <t>Bacteria;Actinomycetota;Actinomycetes;Micromonosporales;Micromonosporaceae;Micromonospora;Micromonospora sp. NPDC018662;</t>
  </si>
  <si>
    <t>Micromonospora sp. NPDC018662</t>
  </si>
  <si>
    <t>Bacteria;Actinomycetota;Actinomycetes;Micrococcales;Microbacteriaceae;Microbacterium;Microbacterium sp. NPDC091662;</t>
  </si>
  <si>
    <t>Microbacterium sp. NPDC091662</t>
  </si>
  <si>
    <t>Bacteria;Actinomycetota;Actinomycetes;Micrococcales;Microbacteriaceae;Microbacterium;Microbacterium sp. NPDC090225;</t>
  </si>
  <si>
    <t>Microbacterium sp. NPDC090225</t>
  </si>
  <si>
    <t>Bacteria;Actinomycetota;Actinomycetes;Micrococcales;Microbacteriaceae;Microbacterium;Microbacterium sp. NPDC090003;</t>
  </si>
  <si>
    <t>Microbacterium sp. NPDC090003</t>
  </si>
  <si>
    <t>Bacteria;Actinomycetota;Actinomycetes;Micrococcales;Microbacteriaceae;Microbacterium;Microbacterium sp. NPDC087868;</t>
  </si>
  <si>
    <t>Microbacterium sp. NPDC087868</t>
  </si>
  <si>
    <t>Bacteria;Actinomycetota;Actinomycetes;Micrococcales;Microbacteriaceae;Microbacterium;Microbacterium sp. NPDC087665;</t>
  </si>
  <si>
    <t>Microbacterium sp. NPDC087665</t>
  </si>
  <si>
    <t>Bacteria;Actinomycetota;Actinomycetes;Micrococcales;Microbacteriaceae;Microbacterium;Microbacterium sp. NPDC077663;</t>
  </si>
  <si>
    <t>Microbacterium sp. NPDC077663</t>
  </si>
  <si>
    <t>Bacteria;Actinomycetota;Actinomycetes;Micrococcales;Microbacteriaceae;Microbacterium;Microbacterium sp. NPDC008134;</t>
  </si>
  <si>
    <t>Microbacterium sp. NPDC008134</t>
  </si>
  <si>
    <t>Bacteria;Actinomycetota;Actinomycetes;Micrococcales;Microbacteriaceae;Leifsonia;Leifsonia sp. NPDC014704;</t>
  </si>
  <si>
    <t>Leifsonia</t>
  </si>
  <si>
    <t>Leifsonia sp. NPDC014704</t>
  </si>
  <si>
    <t>Bacteria;Pseudomonadota;Betaproteobacteria;Burkholderiales;Oxalobacteraceae;Herbaspirillum;Herbaspirillum sp. NPDC101397;</t>
  </si>
  <si>
    <t>Herbaspirillum</t>
  </si>
  <si>
    <t>Herbaspirillum sp. NPDC101397</t>
  </si>
  <si>
    <t>Bacteria;Pseudomonadota;Betaproteobacteria;Burkholderiales;Oxalobacteraceae;Herbaspirillum;Herbaspirillum sp. NPDC101396;</t>
  </si>
  <si>
    <t>Herbaspirillum sp. NPDC101396</t>
  </si>
  <si>
    <t>Bacteria;Pseudomonadota;Betaproteobacteria;Burkholderiales;Oxalobacteraceae;Herbaspirillum;Herbaspirillum sp. NPDC087042;</t>
  </si>
  <si>
    <t>Herbaspirillum sp. NPDC087042</t>
  </si>
  <si>
    <t>Bacteria;Pseudomonadota;Alphaproteobacteria;Hyphomicrobiales;Rhizobiaceae;Ensifer;Ensifer sp. NPDC090286;</t>
  </si>
  <si>
    <t>Ensifer</t>
  </si>
  <si>
    <t>Ensifer sp. NPDC090286</t>
  </si>
  <si>
    <t>Bacteria;Actinomycetota;Actinomycetes;Micrococcales;Microbacteriaceae;Curtobacterium;Curtobacterium sp. NPDC090217;</t>
  </si>
  <si>
    <t>Curtobacterium</t>
  </si>
  <si>
    <t>Curtobacterium sp. NPDC090217</t>
  </si>
  <si>
    <t>Bacteria;Actinomycetota;Actinomycetes;Cryptosporangiales;Cryptosporangiaceae;Cryptosporangium;Cryptosporangium sp. NPDC051539;</t>
  </si>
  <si>
    <t>Cryptosporangiales</t>
  </si>
  <si>
    <t>Cryptosporangiaceae</t>
  </si>
  <si>
    <t>Cryptosporangium</t>
  </si>
  <si>
    <t>Cryptosporangium sp. NPDC051539</t>
  </si>
  <si>
    <t>Bacteria;Pseudomonadota;Alphaproteobacteria;Caulobacterales;Caulobacteraceae;Brevundimonas;Brevundimonas sp. NPDC092305;</t>
  </si>
  <si>
    <t>Brevundimonas</t>
  </si>
  <si>
    <t>Brevundimonas sp. NPDC092305</t>
  </si>
  <si>
    <t>Bacteria;Pseudomonadota;Alphaproteobacteria;Caulobacterales;Caulobacteraceae;Brevundimonas;Brevundimonas sp. NPDC090276;</t>
  </si>
  <si>
    <t>Brevundimonas sp. NPDC090276</t>
  </si>
  <si>
    <t>Bacteria;Pseudomonadota;Alphaproteobacteria;Caulobacterales;Caulobacteraceae;Brevundimonas;Brevundimonas sp. NPDC046655;</t>
  </si>
  <si>
    <t>Brevundimonas sp. NPDC046655</t>
  </si>
  <si>
    <t>Bacteria;Actinomycetota;Actinomycetes;Pseudonocardiales;Pseudonocardiaceae;Amycolatopsis;Amycolatopsis sp. NPDC088138;</t>
  </si>
  <si>
    <t>Amycolatopsis</t>
  </si>
  <si>
    <t>Amycolatopsis sp. NPDC088138</t>
  </si>
  <si>
    <t>Bacteria;Pseudomonadota;Alphaproteobacteria;Hyphomicrobiales;Rhizobiaceae;Agrobacterium;Agrobacterium sp. NPDC090283;</t>
  </si>
  <si>
    <t>Agrobacterium</t>
  </si>
  <si>
    <t>Agrobacterium sp. NPDC090283</t>
  </si>
  <si>
    <t>Bacteria;Pseudomonadota;Alphaproteobacteria;Hyphomicrobiales;Rhizobiaceae;Agrobacterium;Agrobacterium sp. NPDC090273;</t>
  </si>
  <si>
    <t>Agrobacterium sp. NPDC090273</t>
  </si>
  <si>
    <t>Bacteria;Pseudomonadota;Alphaproteobacteria;Hyphomicrobiales;Rhizobiaceae;Agrobacterium;Agrobacterium sp. NPDC089420;</t>
  </si>
  <si>
    <t>Agrobacterium sp. NPDC089420</t>
  </si>
  <si>
    <t>Bacteria;Actinomycetota;Actinomycetes;Micromonosporales;Micromonosporaceae;Actinoplanes;Actinoplanes sp. NPDC049265;</t>
  </si>
  <si>
    <t>Actinoplanes</t>
  </si>
  <si>
    <t>Actinoplanes sp. NPDC049265</t>
  </si>
  <si>
    <t>Bacteria;Pseudomonadota;Betaproteobacteria;Burkholderiales;Comamonadaceae;Acidovorax;Acidovorax sp. NPDC077693;</t>
  </si>
  <si>
    <t>Acidovorax</t>
  </si>
  <si>
    <t>Acidovorax sp. NPDC077693</t>
  </si>
  <si>
    <t>Bacteria;Bacteroidota;Sphingobacteriia;Sphingobacteriales;Sphingobacteriaceae;Pedobacter;Pedobacter sp. UC225_65;</t>
  </si>
  <si>
    <t>Pedobacter sp. UC225_65</t>
  </si>
  <si>
    <t>Bacteria;Actinomycetota;Actinomycetes;Micrococcales;Microbacteriaceae;Herbiconiux;Herbiconiux sp. UC225_62;</t>
  </si>
  <si>
    <t>Herbiconiux</t>
  </si>
  <si>
    <t>Herbiconiux sp. UC225_62</t>
  </si>
  <si>
    <t>Bacteria;Bacteroidota;Flavobacteriia;Flavobacteriales;Weeksellaceae;Epilithonimonas;Epilithonimonas sp. UC225_85;</t>
  </si>
  <si>
    <t>Weeksellaceae</t>
  </si>
  <si>
    <t>Epilithonimonas</t>
  </si>
  <si>
    <t>Epilithonimonas sp. UC225_85</t>
  </si>
  <si>
    <t>Bacteria;Actinomycetota;Actinomycetes;Micrococcales;Microbacteriaceae;Cnuibacter;Cnuibacter sp. UC19_7;</t>
  </si>
  <si>
    <t>Cnuibacter</t>
  </si>
  <si>
    <t>Cnuibacter sp. UC19_7</t>
  </si>
  <si>
    <t>Bacteria;Pseudomonadota;Alphaproteobacteria;Hyphomicrobiales;Boseaceae;Bosea;Bosea sp. UC22_33;</t>
  </si>
  <si>
    <t>Bosea sp. UC22_33</t>
  </si>
  <si>
    <t>Bacteria;Pseudomonadota;Alphaproteobacteria;Sphingomonadales;Sphingomonadaceae;Novosphingobium;Novosphingobium sp. BL-52-GroH;</t>
  </si>
  <si>
    <t>Novosphingobium sp. BL-52-GroH</t>
  </si>
  <si>
    <t>Bacteria;Bacteroidota;Sphingobacteriia;Sphingobacteriales;Sphingobacteriaceae;Pedobacter;Pedobacter sp. BG31;</t>
  </si>
  <si>
    <t>Pedobacter sp. BG31</t>
  </si>
  <si>
    <t>Bacteria;Pseudomonadota;Betaproteobacteria;Burkholderiales;Oxalobacteraceae;Janthinobacterium;Janthinobacterium sp. CG_23.3;</t>
  </si>
  <si>
    <t>Janthinobacterium</t>
  </si>
  <si>
    <t>Janthinobacterium sp. CG_23.3</t>
  </si>
  <si>
    <t>Bacteria;Pseudomonadota;Alphaproteobacteria;Sphingomonadales;Sphingomonadaceae;Sphingomonas;Sphingomonas sp. DBB INV C78;</t>
  </si>
  <si>
    <t>Sphingomonas</t>
  </si>
  <si>
    <t>Sphingomonas sp. DBB INV C78</t>
  </si>
  <si>
    <t>Bacteria;Bacillota;Bacilli;Bacillales;Bacillaceae;Cytobacillus;Cytobacillus sp. Hz8;</t>
  </si>
  <si>
    <t>Cytobacillus</t>
  </si>
  <si>
    <t>Cytobacillus sp. Hz8</t>
  </si>
  <si>
    <t>Bacteria;Actinomycetota;Actinomycetes;Micrococcales;Microbacteriaceae;Agromyces;Agromyces sp. NPDC127015;</t>
  </si>
  <si>
    <t>Agromyces sp. NPDC127015</t>
  </si>
  <si>
    <t>Bacteria;Actinomycetota;Actinomycetes;Micrococcales;Cellulomonadaceae;Oerskovia;Oerskovia sp. NPDC060338;</t>
  </si>
  <si>
    <t>Cellulomonadaceae</t>
  </si>
  <si>
    <t>Oerskovia</t>
  </si>
  <si>
    <t>Oerskovia sp. NPDC060338</t>
  </si>
  <si>
    <t>Bacteria;Actinomycetota;Actinomycetes;Micrococcales;Microbacteriaceae;Agromyces;Agromyces sp. NPDC058484;</t>
  </si>
  <si>
    <t>Agromyces sp. NPDC058484</t>
  </si>
  <si>
    <t>Bacteria;Actinomycetota;Actinomycetes;Micrococcales;Microbacteriaceae;Microbacterium;Microbacterium sp. NPDC058389;</t>
  </si>
  <si>
    <t>Microbacterium sp. NPDC058389</t>
  </si>
  <si>
    <t>Bacteria;Actinomycetota;Actinomycetes;Kitasatosporales;Streptomycetaceae;Streptomyces;Streptomyces sp. NPDC058268;</t>
  </si>
  <si>
    <t>Streptomyces sp. NPDC058268</t>
  </si>
  <si>
    <t>Bacteria;Actinomycetota;Actinomycetes;Micrococcales;Microbacteriaceae;Leifsonia;Leifsonia sp. NPDC058230;</t>
  </si>
  <si>
    <t>Leifsonia sp. NPDC058230</t>
  </si>
  <si>
    <t>Bacteria;Actinomycetota;Actinomycetes;Micrococcales;Microbacteriaceae;Leifsonia;Leifsonia sp. NPDC058194;</t>
  </si>
  <si>
    <t>Leifsonia sp. NPDC058194</t>
  </si>
  <si>
    <t>Bacteria;Actinomycetota;Actinomycetes;Micrococcales;Microbacteriaceae;Agromyces;Agromyces sp. NPDC058136;</t>
  </si>
  <si>
    <t>Agromyces sp. NPDC058136</t>
  </si>
  <si>
    <t>Bacteria;Bacillota;Bacilli;Bacillales;Paenibacillaceae;Brevibacillus;Brevibacillus sp. NPDC058079;</t>
  </si>
  <si>
    <t>Paenibacillaceae</t>
  </si>
  <si>
    <t>Brevibacillus</t>
  </si>
  <si>
    <t>Brevibacillus sp. NPDC058079</t>
  </si>
  <si>
    <t>Bacteria;Bacillota;Bacilli;Bacillales;Bacillaceae;Neobacillus;Neobacillus sp. NPDC058068;</t>
  </si>
  <si>
    <t>Neobacillus</t>
  </si>
  <si>
    <t>Neobacillus sp. NPDC058068</t>
  </si>
  <si>
    <t>Bacteria;Actinomycetota;Actinomycetes;Micrococcales;Microbacteriaceae;Agromyces;Agromyces sp. NPDC058064;</t>
  </si>
  <si>
    <t>Agromyces sp. NPDC058064</t>
  </si>
  <si>
    <t>Bacteria;Actinomycetota;Actinomycetes;Micrococcales;Microbacteriaceae;Microbacterium;Microbacterium sp. NPDC058062;</t>
  </si>
  <si>
    <t>Microbacterium sp. NPDC058062</t>
  </si>
  <si>
    <t>Bacteria;Bacillota;Bacilli;Bacillales;Bacillaceae;Gottfriedia;Gottfriedia sp. NPDC057991;</t>
  </si>
  <si>
    <t>Gottfriedia</t>
  </si>
  <si>
    <t>Gottfriedia sp. NPDC057991</t>
  </si>
  <si>
    <t>Bacteria;Bacillota;Bacilli;Bacillales;Bacillaceae;Bacillus;Bacillus sp. NPDC057893;</t>
  </si>
  <si>
    <t>Bacillus sp. NPDC057893</t>
  </si>
  <si>
    <t>Bacteria;Actinomycetota;Actinomycetes;Pseudonocardiales;Pseudonocardiaceae;Amycolatopsis;Amycolatopsis sp. NPDC057786;</t>
  </si>
  <si>
    <t>Amycolatopsis sp. NPDC057786</t>
  </si>
  <si>
    <t>Bacteria;Actinomycetota;Actinomycetes;Micrococcales;Microbacteriaceae;Microbacterium;Microbacterium sp. NPDC057659;</t>
  </si>
  <si>
    <t>Microbacterium sp. NPDC057659</t>
  </si>
  <si>
    <t>Bacteria;Actinomycetota;Actinomycetes;Micrococcales;Micrococcaceae;Paenarthrobacter;Paenarthrobacter sp. NPDC057355;</t>
  </si>
  <si>
    <t>Paenarthrobacter</t>
  </si>
  <si>
    <t>Paenarthrobacter sp. NPDC057355</t>
  </si>
  <si>
    <t>Bacteria;Actinomycetota;Actinomycetes;Kitasatosporales;Streptomycetaceae;Streptomyces;Streptomyces sp. NPDC057238;</t>
  </si>
  <si>
    <t>Streptomyces sp. NPDC057238</t>
  </si>
  <si>
    <t>Bacteria;Actinomycetota;Actinomycetes;Kitasatosporales;Streptomycetaceae;Streptomyces;Streptomyces sp. NPDC057236;</t>
  </si>
  <si>
    <t>Streptomyces sp. NPDC057236</t>
  </si>
  <si>
    <t>Bacteria;Actinomycetota;Actinomycetes;Micrococcales;Micrococcaceae;Paenarthrobacter;Paenarthrobacter sp. NPDC056912;</t>
  </si>
  <si>
    <t>Paenarthrobacter sp. NPDC056912</t>
  </si>
  <si>
    <t>Bacteria;Actinomycetota;Actinomycetes;Micrococcales;Microbacteriaceae;Microbacterium;Microbacterium sp. NPDC056569;</t>
  </si>
  <si>
    <t>Microbacterium sp. NPDC056569</t>
  </si>
  <si>
    <t>Bacteria;Actinomycetota;Actinomycetes;Mycobacteriales;Nocardiaceae;Rhodococcus;Rhodococcus sp. NPDC056516;</t>
  </si>
  <si>
    <t>Mycobacteriales</t>
  </si>
  <si>
    <t>Nocardiaceae</t>
  </si>
  <si>
    <t>Rhodococcus</t>
  </si>
  <si>
    <t>Rhodococcus sp. NPDC056516</t>
  </si>
  <si>
    <t>Bacteria;Bacillota;Bacilli;Bacillales;Bacillaceae;Peribacillus;Peribacillus sp. Hz7;</t>
  </si>
  <si>
    <t>Peribacillus sp. Hz7</t>
  </si>
  <si>
    <t>Bacteria;Bacteroidota;Flavobacteriia;Flavobacteriales;Flavobacteriaceae;Flavobacterium;Flavobacterium sp. HJSW_4;</t>
  </si>
  <si>
    <t>Flavobacterium sp. HJSW_4</t>
  </si>
  <si>
    <t>Bacteria;Actinomycetota;Actinomycetes;Micrococcales;Microbacteriaceae;Herbiconiux;Herbiconiux sp. P20;</t>
  </si>
  <si>
    <t>Herbiconiux sp. P20</t>
  </si>
  <si>
    <t>Bacteria;Actinomycetota;Actinomycetes;Micrococcales;Microbacteriaceae;Herbiconiux;Herbiconiux sp. P17;</t>
  </si>
  <si>
    <t>Herbiconiux sp. P17</t>
  </si>
  <si>
    <t>Bacteria;Bacillota;Bacilli;Bacillales;NA;Exiguobacterium;Exiguobacterium sp. S22-S28;</t>
  </si>
  <si>
    <t>Exiguobacterium</t>
  </si>
  <si>
    <t>Exiguobacterium sp. S22-S28</t>
  </si>
  <si>
    <t>Bacteria;Pseudomonadota;Alphaproteobacteria;Acetobacterales;Roseomonadaceae;Roseomonas;Roseomonas sp. CCTCC AB2023176;</t>
  </si>
  <si>
    <t>Roseomonas</t>
  </si>
  <si>
    <t>Roseomonas sp. CCTCC AB2023176</t>
  </si>
  <si>
    <t>Bacteria;Pseudomonadota;Alphaproteobacteria;Rhodobacterales;Roseobacteraceae;Roseovarius;Roseovarius sp. S4756;</t>
  </si>
  <si>
    <t>Roseovarius sp. S4756</t>
  </si>
  <si>
    <t>Bacteria;Pseudomonadota;Alphaproteobacteria;Hyphomicrobiales;Rhizobiaceae;Ciceribacter;Ciceribacter sp. sgz301302;</t>
  </si>
  <si>
    <t>Ciceribacter</t>
  </si>
  <si>
    <t>Ciceribacter sp. sgz301302</t>
  </si>
  <si>
    <t>Bacteria;Pseudomonadota;Betaproteobacteria;Burkholderiales;Comamonadaceae;Variovorax;Variovorax sp. EBFNA2;</t>
  </si>
  <si>
    <t>Variovorax sp. EBFNA2</t>
  </si>
  <si>
    <t>Bacteria;Pseudomonadota;Alphaproteobacteria;Hyphomicrobiales;Xanthobacteraceae;Ancylobacter;Ancylobacter sp. sgz301288;</t>
  </si>
  <si>
    <t>Xanthobacteraceae</t>
  </si>
  <si>
    <t>Ancylobacter</t>
  </si>
  <si>
    <t>Ancylobacter sp. sgz301288</t>
  </si>
  <si>
    <t>Bacteria;Pseudomonadota;Betaproteobacteria;Burkholderiales;Oxalobacteraceae;Pseudoduganella;Pseudoduganella sp. GCM10020061;</t>
  </si>
  <si>
    <t>Pseudoduganella</t>
  </si>
  <si>
    <t>Pseudoduganella sp. GCM10020061</t>
  </si>
  <si>
    <t>Bacteria;Bacillota;Bacilli;Bacillales;Paenibacillaceae;Paenibacillus;Paenibacillus sp. GCM10012306;</t>
  </si>
  <si>
    <t>Paenibacillus</t>
  </si>
  <si>
    <t>Paenibacillus sp. GCM10012306</t>
  </si>
  <si>
    <t>Bacteria;Pseudomonadota;Betaproteobacteria;Burkholderiales;Sphaerotilaceae;Roseateles;Roseateles sp. LKC17W;</t>
  </si>
  <si>
    <t>Sphaerotilaceae</t>
  </si>
  <si>
    <t>Roseateles</t>
  </si>
  <si>
    <t>Roseateles sp. LKC17W</t>
  </si>
  <si>
    <t>Bacteria;Pseudomonadota;Betaproteobacteria;Burkholderiales;Sphaerotilaceae;Roseateles;Roseateles sp. DXS20W;</t>
  </si>
  <si>
    <t>Roseateles sp. DXS20W</t>
  </si>
  <si>
    <t>Bacteria;Pseudomonadota;Betaproteobacteria;Burkholderiales;Sphaerotilaceae;Roseateles;Roseateles sp. DC23W;</t>
  </si>
  <si>
    <t>Roseateles sp. DC23W</t>
  </si>
  <si>
    <t>Bacteria;Pseudomonadota;Betaproteobacteria;Burkholderiales;Sphaerotilaceae;Roseateles;Roseateles sp. BYS87W;</t>
  </si>
  <si>
    <t>Roseateles sp. BYS87W</t>
  </si>
  <si>
    <t>Bacteria;Pseudomonadota;Betaproteobacteria;Burkholderiales;Sphaerotilaceae;Roseateles;Roseateles sp. BYS78W;</t>
  </si>
  <si>
    <t>Roseateles sp. BYS78W</t>
  </si>
  <si>
    <t>Bacteria;Bacillota;Clostridia;Eubacteriales;Clostridiaceae;Haloimpatiens;Haloimpatiens sp. FM7330;</t>
  </si>
  <si>
    <t>Haloimpatiens</t>
  </si>
  <si>
    <t>Haloimpatiens sp. FM7330</t>
  </si>
  <si>
    <t>Bacteria;Bacillota;Clostridia;Eubacteriales;Clostridiaceae;Haloimpatiens;Haloimpatiens sp. FM7315;</t>
  </si>
  <si>
    <t>Haloimpatiens sp. FM7315</t>
  </si>
  <si>
    <t>Bacteria;Pseudomonadota;Alphaproteobacteria;Rhodobacterales;Paracoccaceae;Neotabrizicola;Neotabrizicola sp. sgz301269;</t>
  </si>
  <si>
    <t>Paracoccaceae</t>
  </si>
  <si>
    <t>Neotabrizicola</t>
  </si>
  <si>
    <t>Neotabrizicola sp. sgz301269</t>
  </si>
  <si>
    <t>Bacteria;Pseudomonadota;Alphaproteobacteria;Hyphomicrobiales;Rhizobiaceae;Rhizobium;Rhizobium sp. SG2393;</t>
  </si>
  <si>
    <t>Rhizobium sp. SG2393</t>
  </si>
  <si>
    <t>Bacteria;Pseudomonadota;Alphaproteobacteria;Acetobacterales;Roseomonadaceae;Roseomonas;Roseomonas sp. GCM10028921;</t>
  </si>
  <si>
    <t>Roseomonas sp. GCM10028921</t>
  </si>
  <si>
    <t>Bacteria;Pseudomonadota;Betaproteobacteria;Burkholderiales;Comamonadaceae;Ramlibacter;Ramlibacter sp. GCM10027632;</t>
  </si>
  <si>
    <t>Ramlibacter</t>
  </si>
  <si>
    <t>Ramlibacter sp. GCM10027632</t>
  </si>
  <si>
    <t>Bacteria;Actinomycetota;Actinomycetes;Kineosporiales;Kineosporiaceae;Quadrisphaera;Quadrisphaera sp. GCM10027208;</t>
  </si>
  <si>
    <t>Kineosporiales</t>
  </si>
  <si>
    <t>Kineosporiaceae</t>
  </si>
  <si>
    <t>Quadrisphaera</t>
  </si>
  <si>
    <t>Quadrisphaera sp. GCM10027208</t>
  </si>
  <si>
    <t>Bacteria;Actinomycetota;Actinomycetes;Micromonosporales;Micromonosporaceae;Plantactinospora;Plantactinospora sp. GCM10030261;</t>
  </si>
  <si>
    <t>Plantactinospora</t>
  </si>
  <si>
    <t>Plantactinospora sp. GCM10030261</t>
  </si>
  <si>
    <t>Bacteria;Actinomycetota;Actinomycetes;Propionibacteriales;Nocardioidaceae;Nocardioides;Nocardioides sp. GCM10030258;</t>
  </si>
  <si>
    <t>Nocardioides sp. GCM10030258</t>
  </si>
  <si>
    <t>Bacteria;Pseudomonadota;Alphaproteobacteria;Acetobacterales;Roseomonadaceae;Dankookia;Dankookia sp. GCM10030260;</t>
  </si>
  <si>
    <t>Dankookia</t>
  </si>
  <si>
    <t>Dankookia sp. GCM10030260</t>
  </si>
  <si>
    <t>Bacteria;Pseudomonadota;Alphaproteobacteria;Caulobacterales;Caulobacteraceae;Brevundimonas;Brevundimonas sp. GCM10030266;</t>
  </si>
  <si>
    <t>Brevundimonas sp. GCM10030266</t>
  </si>
  <si>
    <t>Bacteria;Actinomycetota;Actinomycetes;Micromonosporales;Micromonosporaceae;Actinoplanes;Actinoplanes sp. GCM10030250;</t>
  </si>
  <si>
    <t>Actinoplanes sp. GCM10030250</t>
  </si>
  <si>
    <t>Bacteria;Pseudomonadota;Gammaproteobacteria;Pseudomonadales;Pseudomonadaceae;Pseudomonas;Pseudomonas sp. GCM10022186;</t>
  </si>
  <si>
    <t>Pseudomonas sp. GCM10022186</t>
  </si>
  <si>
    <t>Bacteria;Bacillota;Bacilli;Lactobacillales;Carnobacteriaceae;Marinilactibacillus;Marinilactibacillus sp. GCM10026970;</t>
  </si>
  <si>
    <t>Lactobacillales</t>
  </si>
  <si>
    <t>Carnobacteriaceae</t>
  </si>
  <si>
    <t>Marinilactibacillus</t>
  </si>
  <si>
    <t>Marinilactibacillus sp. GCM10026970</t>
  </si>
  <si>
    <t>Bacteria;Actinomycetota;Actinomycetes;Micrococcales;Microbacteriaceae;Microbacterium;Microbacterium sp. B2969;</t>
  </si>
  <si>
    <t>Microbacterium sp. B2969</t>
  </si>
  <si>
    <t>Bacteria;Actinomycetota;Actinomycetes;Micrococcales;Microbacteriaceae;Agromyces;Agromyces sp. MMS24-JH15;</t>
  </si>
  <si>
    <t>Agromyces sp. MMS24-JH15</t>
  </si>
  <si>
    <t>Bacteria;Pseudomonadota;Alphaproteobacteria;Hyphomicrobiales;Bartonellaceae;Bartonella;Bartonella sp. TT29SHDZB;</t>
  </si>
  <si>
    <t>Bartonellaceae</t>
  </si>
  <si>
    <t>Bartonella</t>
  </si>
  <si>
    <t>Bartonella sp. TT29SHDZB</t>
  </si>
  <si>
    <t>Bacteria;Bacillota;Bacilli;Bacillales;Bacillaceae;Bacillus;Bacillus sp. TD11;</t>
  </si>
  <si>
    <t>Bacillus sp. TD11</t>
  </si>
  <si>
    <t>Bacteria;Bacillota;Bacilli;Bacillales;Bacillaceae;Evansella;Evansella sp. AB-rgal1;</t>
  </si>
  <si>
    <t>Evansella</t>
  </si>
  <si>
    <t>Evansella sp. AB-rgal1</t>
  </si>
  <si>
    <t>Bacteria;Bacillota;Bacilli;Bacillales;Paenibacillaceae;Paenibacillus;Paenibacillus sp. RS8;</t>
  </si>
  <si>
    <t>Paenibacillus sp. RS8</t>
  </si>
  <si>
    <t>Bacteria;Actinomycetota;Actinomycetes;Propionibacteriales;Nocardioidaceae;Nocardioides;Nocardioides sp. MH1;</t>
  </si>
  <si>
    <t>Nocardioides sp. MH1</t>
  </si>
  <si>
    <t>Bacteria;Bacteroidota;Cytophagia;Cytophagales;Spirosomataceae;Fibrella;Fibrella sp. Tmos10;</t>
  </si>
  <si>
    <t>Cytophagia</t>
  </si>
  <si>
    <t>Cytophagales</t>
  </si>
  <si>
    <t>Spirosomataceae</t>
  </si>
  <si>
    <t>Fibrella</t>
  </si>
  <si>
    <t>Fibrella sp. Tmos10</t>
  </si>
  <si>
    <t>Bacteria;Bacteroidota;Cytophagia;Cytophagales;Spirosomataceae;Fibrella;Fibrella sp. WM1;</t>
  </si>
  <si>
    <t>Fibrella sp. WM1</t>
  </si>
  <si>
    <t>Bacteria;Bacillota;Bacilli;Bacillales;Paenibacillaceae;Paenibacillus;Paenibacillus sp. sgz500958;</t>
  </si>
  <si>
    <t>Paenibacillus sp. sgz500958</t>
  </si>
  <si>
    <t>Bacteria;Bacillota;Bacilli;Bacillales;Bacillaceae;Ectobacillus;Ectobacillus sp. sgz5001026;</t>
  </si>
  <si>
    <t>Ectobacillus</t>
  </si>
  <si>
    <t>Ectobacillus sp. sgz5001026</t>
  </si>
  <si>
    <t>Bacteria;Bacillota;Negativicutes;Selenomonadales;Sporomusaceae;Pelosinus;Pelosinus sp. sgz500959;</t>
  </si>
  <si>
    <t>Negativicutes</t>
  </si>
  <si>
    <t>Selenomonadales</t>
  </si>
  <si>
    <t>Sporomusaceae</t>
  </si>
  <si>
    <t>Pelosinus</t>
  </si>
  <si>
    <t>Pelosinus sp. sgz500959</t>
  </si>
  <si>
    <t>Bacteria;Actinomycetota;Actinomycetes;Micrococcales;Microbacteriaceae;Microbacterium;Microbacterium terrisoli;</t>
  </si>
  <si>
    <t>Microbacterium terrisoli</t>
  </si>
  <si>
    <t>Bacteria;Bacillota;Clostridia;Eubacteriales;Clostridiaceae;Clostridium;Clostridium moutaii;</t>
  </si>
  <si>
    <t>Clostridium moutaii</t>
  </si>
  <si>
    <t>Bacteria;Bacillota;Bacilli;Bacillales;Bacillaceae;Neobacillus;Neobacillus sp. BF23-41;</t>
  </si>
  <si>
    <t>Neobacillus sp. BF23-41</t>
  </si>
  <si>
    <t>Bacteria;Bacteroidota;Bacteroidia;Bacteroidales;Tenuifilaceae;Tenuifilum;Tenuifilum sp. 4138str;</t>
  </si>
  <si>
    <t>Bacteroidia</t>
  </si>
  <si>
    <t>Bacteroidales</t>
  </si>
  <si>
    <t>Tenuifilaceae</t>
  </si>
  <si>
    <t>Tenuifilum</t>
  </si>
  <si>
    <t>Tenuifilum sp. 4138str</t>
  </si>
  <si>
    <t>Bacteria;Pseudomonadota;Alphaproteobacteria;Hyphomicrobiales;Boseaceae;Bosea;Bosea sp. RCC_152_1;</t>
  </si>
  <si>
    <t>Bosea sp. RCC_152_1</t>
  </si>
  <si>
    <t>Bacteria;Pseudomonadota;Alphaproteobacteria;Hyphomicrobiales;Rhizobiaceae;Rhizobium;Rhizobium sp. RCC_161_2;</t>
  </si>
  <si>
    <t>Rhizobium sp. RCC_161_2</t>
  </si>
  <si>
    <t>Bacteria;Pseudomonadota;Betaproteobacteria;Burkholderiales;Comamonadaceae;Variovorax;Variovorax sp. RCC_210;</t>
  </si>
  <si>
    <t>Variovorax sp. RCC_210</t>
  </si>
  <si>
    <t>Bacteria;Pseudomonadota;Gammaproteobacteria;Pseudomonadales;Pseudomonadaceae;Pseudomonas;Pseudomonas sp. 25A3E;</t>
  </si>
  <si>
    <t>Pseudomonas sp. 25A3E</t>
  </si>
  <si>
    <t>Bacteria;Pseudomonadota;Betaproteobacteria;Burkholderiales;Oxalobacteraceae;Massilia;Massilia sp. X63;</t>
  </si>
  <si>
    <t>Massilia sp. X63</t>
  </si>
  <si>
    <t>Bacteria;Bacillota;Clostridia;Eubacteriales;Clostridiaceae;Clostridium;Clostridium sp. BJN0013;</t>
  </si>
  <si>
    <t>Clostridium sp. BJN0013</t>
  </si>
  <si>
    <t>Bacteria;Pseudomonadota;Gammaproteobacteria;Pseudomonadales;Pseudomonadaceae;Pseudomonas;Pseudomonas sp. B22129;</t>
  </si>
  <si>
    <t>Pseudomonas sp. B22129</t>
  </si>
  <si>
    <t>Bacteria;Bacteroidota;Flavobacteriia;Flavobacteriales;Flavobacteriaceae;Tenacibaculum;Tenacibaculum sp. UWU-22;</t>
  </si>
  <si>
    <t>Tenacibaculum</t>
  </si>
  <si>
    <t>Tenacibaculum sp. UWU-22</t>
  </si>
  <si>
    <t>Bacteria;Pseudomonadota;Betaproteobacteria;Burkholderiales;Comamonadaceae;Rhodoferax;Rhodoferax sp. WC2427;</t>
  </si>
  <si>
    <t>Rhodoferax</t>
  </si>
  <si>
    <t>Rhodoferax sp. WC2427</t>
  </si>
  <si>
    <t>Bacteria;Actinomycetota;Actinomycetes;Kitasatosporales;Streptomycetaceae;Peterkaempfera;Peterkaempfera sp. SMS 1(5)a;</t>
  </si>
  <si>
    <t>Peterkaempfera</t>
  </si>
  <si>
    <t>Peterkaempfera sp. SMS 1(5)a</t>
  </si>
  <si>
    <t>Bacteria;Planctomycetota;Planctomycetia;Planctomycetales;Planctomycetaceae;Thalassoglobus;Thalassoglobus sp. JC818;</t>
  </si>
  <si>
    <t>Planctomycetota</t>
  </si>
  <si>
    <t>Planctomycetia</t>
  </si>
  <si>
    <t>Planctomycetales</t>
  </si>
  <si>
    <t>Planctomycetaceae</t>
  </si>
  <si>
    <t>Thalassoglobus</t>
  </si>
  <si>
    <t>Thalassoglobus sp. JC818</t>
  </si>
  <si>
    <t>Bacteria;Actinomycetota;Actinomycetes;Micrococcales;Microbacteriaceae;Microbacterium;Microbacterium sp. BWT-B31;</t>
  </si>
  <si>
    <t>Microbacterium sp. BWT-B31</t>
  </si>
  <si>
    <t>Bacteria;Bacteroidota;Flavobacteriia;Flavobacteriales;Weeksellaceae;Chryseobacterium;Chryseobacterium sp. KCF3-3;</t>
  </si>
  <si>
    <t>Chryseobacterium</t>
  </si>
  <si>
    <t>Chryseobacterium sp. KCF3-3</t>
  </si>
  <si>
    <t>Bacteria;Pseudomonadota;Betaproteobacteria;Burkholderiales;Comamonadaceae;Comamonas;Comamonas sp. GB3 AK4-5;</t>
  </si>
  <si>
    <t>Comamonas</t>
  </si>
  <si>
    <t>Comamonas sp. GB3 AK4-5</t>
  </si>
  <si>
    <t>Bacteria;Actinomycetota;Actinomycetes;Propionibacteriales;Nocardioidaceae;Nocardioides;Nocardioides sp. DS6;</t>
  </si>
  <si>
    <t>Nocardioides sp. DS6</t>
  </si>
  <si>
    <t>Bacteria;Bacteroidota;Flavobacteriia;Flavobacteriales;Flavobacteriaceae;Flavobacterium;Flavobacterium sp. UW10123;</t>
  </si>
  <si>
    <t>Flavobacterium sp. UW10123</t>
  </si>
  <si>
    <t>Bacteria;Pseudomonadota;Betaproteobacteria;NA;NA;Chitinivorax;Chitinivorax sp. PXF-14;</t>
  </si>
  <si>
    <t>Chitinivorax</t>
  </si>
  <si>
    <t>Chitinivorax sp. PXF-14</t>
  </si>
  <si>
    <t>Bacteria;Verrucomicrobiota;Verrucomicrobiia;Verrucomicrobiales;Verrucomicrobiaceae;Luteolibacter;Luteolibacter sp. Populi;</t>
  </si>
  <si>
    <t>Verrucomicrobiota</t>
  </si>
  <si>
    <t>Verrucomicrobiia</t>
  </si>
  <si>
    <t>Verrucomicrobiales</t>
  </si>
  <si>
    <t>Verrucomicrobiaceae</t>
  </si>
  <si>
    <t>Luteolibacter</t>
  </si>
  <si>
    <t>Luteolibacter sp. Populi</t>
  </si>
  <si>
    <t>Bacteria;Bacillota;Bacilli;Bacillales;Bacillaceae;Pueribacillus;Pueribacillus sp. YX66;</t>
  </si>
  <si>
    <t>Pueribacillus</t>
  </si>
  <si>
    <t>Pueribacillus sp. YX66</t>
  </si>
  <si>
    <t>Bacteria;Pseudomonadota;Gammaproteobacteria;Enterobacterales;Enterobacteriaceae;Phytobacter;Phytobacter sp. RSE-02;</t>
  </si>
  <si>
    <t>Enterobacteriaceae</t>
  </si>
  <si>
    <t>Phytobacter</t>
  </si>
  <si>
    <t>Phytobacter sp. RSE-02</t>
  </si>
  <si>
    <t>Bacteria;Pseudomonadota;Alphaproteobacteria;Sphingomonadales;Sphingomonadaceae;Novosphingobium;Novosphingobium sp. M1R2S20;</t>
  </si>
  <si>
    <t>Novosphingobium sp. M1R2S20</t>
  </si>
  <si>
    <t>Bacteria;Pseudomonadota;Betaproteobacteria;Burkholderiales;Comamonadaceae;Oryzisolibacter;Oryzisolibacter sp. LB2S;</t>
  </si>
  <si>
    <t>Oryzisolibacter</t>
  </si>
  <si>
    <t>Oryzisolibacter sp. LB2S</t>
  </si>
  <si>
    <t>Bacteria;Pseudomonadota;Betaproteobacteria;Burkholderiales;Sphaerotilaceae;Roseateles;Paucibacter sp. JuS9;</t>
  </si>
  <si>
    <t>Paucibacter sp. JuS9</t>
  </si>
  <si>
    <t>Bacteria;Pseudomonadota;Alphaproteobacteria;Hyphomicrobiales;Hyphomicrobiaceae;Rhodoplanes;Rhodoplanes sp. SY1;</t>
  </si>
  <si>
    <t>Hyphomicrobiaceae</t>
  </si>
  <si>
    <t>Rhodoplanes</t>
  </si>
  <si>
    <t>Rhodoplanes sp. SY1</t>
  </si>
  <si>
    <t>Bacteria;Pseudomonadota;Betaproteobacteria;Burkholderiales;Comamonadaceae;Hydrogenophaga;Hydrogenophaga sp. ANAO-22;</t>
  </si>
  <si>
    <t>Hydrogenophaga</t>
  </si>
  <si>
    <t>Hydrogenophaga sp. ANAO-22</t>
  </si>
  <si>
    <t>Bacteria;Bacteroidota;Flavobacteriia;Flavobacteriales;Weeksellaceae;Chryseobacterium;Chryseobacterium terrae;</t>
  </si>
  <si>
    <t>Chryseobacterium terrae</t>
  </si>
  <si>
    <t>Bacteria;Pseudomonadota;Alphaproteobacteria;Hyphomicrobiales;Rhizobiaceae;Shinella;Shinella sp. S4-D37;</t>
  </si>
  <si>
    <t>Shinella</t>
  </si>
  <si>
    <t>Shinella sp. S4-D37</t>
  </si>
  <si>
    <t>Bacteria;Pseudomonadota;Alphaproteobacteria;Caulobacterales;Caulobacteraceae;Caulobacter;Caulobacter sp. 73W;</t>
  </si>
  <si>
    <t>Caulobacter sp. 73W</t>
  </si>
  <si>
    <t>Bacteria;Actinomycetota;Actinomycetes;Kitasatosporales;Streptomycetaceae;Streptomyces;Streptomyces sp. NPDC088270;</t>
  </si>
  <si>
    <t>Streptomyces sp. NPDC088270</t>
  </si>
  <si>
    <t>Bacteria;Bacteroidota;Cytophagia;Cytophagales;Leadbetterellaceae;Emticicia;Emticicia sp. W12TSBA100-4;</t>
  </si>
  <si>
    <t>Leadbetterellaceae</t>
  </si>
  <si>
    <t>Emticicia</t>
  </si>
  <si>
    <t>Emticicia sp. W12TSBA100-4</t>
  </si>
  <si>
    <t>Bacteria;Actinomycetota;Actinomycetes;Propionibacteriales;Actinopolymorphaceae;Actinopolymorpha;Actinopolymorpha sp. B11F2;</t>
  </si>
  <si>
    <t>Actinopolymorphaceae</t>
  </si>
  <si>
    <t>Actinopolymorpha</t>
  </si>
  <si>
    <t>Actinopolymorpha sp. B11F2</t>
  </si>
  <si>
    <t>Bacteria;Pseudomonadota;Alphaproteobacteria;Rhodospirillales;Azospirillaceae;Azospirillum;Azospirillum sp. A23;</t>
  </si>
  <si>
    <t>Rhodospirillales</t>
  </si>
  <si>
    <t>Azospirillaceae</t>
  </si>
  <si>
    <t>Azospirillum</t>
  </si>
  <si>
    <t>Azospirillum sp. A23</t>
  </si>
  <si>
    <t>Bacteria;Pseudomonadota;Gammaproteobacteria;Enterobacterales;Enterobacteriaceae;Salmonella;Salmonella sp. s51933;</t>
  </si>
  <si>
    <t>Salmonella</t>
  </si>
  <si>
    <t>Salmonella sp. s51933</t>
  </si>
  <si>
    <t>Bacteria;Pseudomonadota;Gammaproteobacteria;Pseudomonadales;Pseudomonadaceae;Pseudomonas;Pseudomonas sp. O230;</t>
  </si>
  <si>
    <t>Pseudomonas sp. O230</t>
  </si>
  <si>
    <t>Bacteria;Pseudomonadota;Gammaproteobacteria;Pseudomonadales;Pseudomonadaceae;Pseudomonas;Pseudomonas sp. D47;</t>
  </si>
  <si>
    <t>Pseudomonas sp. D47</t>
  </si>
  <si>
    <t>Bacteria;Pseudomonadota;Gammaproteobacteria;Enterobacterales;Erwiniaceae;Mixta;Mixta sp. BE291;</t>
  </si>
  <si>
    <t>Erwiniaceae</t>
  </si>
  <si>
    <t>Mixta</t>
  </si>
  <si>
    <t>Mixta sp. BE291</t>
  </si>
  <si>
    <t>Bacteria;Actinomycetota;Actinomycetes;Micrococcales;Microbacteriaceae;Agromyces;Agromyces sp. SYSU T00266;</t>
  </si>
  <si>
    <t>Agromyces sp. SYSU T00266</t>
  </si>
  <si>
    <t>Bacteria;Actinomycetota;Actinomycetes;Micrococcales;Microbacteriaceae;Agromyces;Agromyces sp. SYSU T00194;</t>
  </si>
  <si>
    <t>Agromyces sp. SYSU T00194</t>
  </si>
  <si>
    <t>Bacteria;Actinomycetota;Actinomycetes;Propionibacteriales;Nocardioidaceae;Nocardioides;Nocardioides sp. YIM 152588;</t>
  </si>
  <si>
    <t>Nocardioides sp. YIM 152588</t>
  </si>
  <si>
    <t>Bacteria;Actinomycetota;Actinomycetes;Propionibacteriales;Nocardioidaceae;Propionicimonas;Propionicimonas sp. T2.31MG-18;</t>
  </si>
  <si>
    <t>Propionicimonas</t>
  </si>
  <si>
    <t>Propionicimonas sp. T2.31MG-18</t>
  </si>
  <si>
    <t>Bacteria;Actinomycetota;Actinomycetes;Micromonosporales;Micromonosporaceae;Dactylosporangium;Dactylosporangium sp. NPDC050588;</t>
  </si>
  <si>
    <t>Dactylosporangium</t>
  </si>
  <si>
    <t>Dactylosporangium sp. NPDC050588</t>
  </si>
  <si>
    <t>Bacteria;Actinomycetota;Actinomycetes;Kitasatosporales;Streptomycetaceae;Streptomyces;Streptomyces sp. NPDC026206;</t>
  </si>
  <si>
    <t>Streptomyces sp. NPDC026206</t>
  </si>
  <si>
    <t>Bacteria;Actinomycetota;Actinomycetes;Pseudonocardiales;Pseudonocardiaceae;Amycolatopsis;Amycolatopsis sp. NPDC005232;</t>
  </si>
  <si>
    <t>Amycolatopsis sp. NPDC005232</t>
  </si>
  <si>
    <t>Bacteria;Actinomycetota;Actinomycetes;Kitasatosporales;Streptomycetaceae;Streptomyces;Streptomyces sp. NPDC006393;</t>
  </si>
  <si>
    <t>Streptomyces sp. NPDC006393</t>
  </si>
  <si>
    <t>Bacteria;Pseudomonadota;Alphaproteobacteria;Hyphomicrobiales;Xanthobacteraceae;Xanthobacter;Xanthobacter sp. VNH20;</t>
  </si>
  <si>
    <t>Xanthobacter</t>
  </si>
  <si>
    <t>Xanthobacter sp. VNH20</t>
  </si>
  <si>
    <t>Bacteria;Pseudomonadota;Alphaproteobacteria;Hyphomicrobiales;Phyllobacteriaceae;Mesorhizobium;Mesorhizobium sp. KR9-304;</t>
  </si>
  <si>
    <t>Phyllobacteriaceae</t>
  </si>
  <si>
    <t>Mesorhizobium</t>
  </si>
  <si>
    <t>Mesorhizobium sp. KR9-304</t>
  </si>
  <si>
    <t>Bacteria;Pseudomonadota;Alphaproteobacteria;Sphingomonadales;Sphingomonadaceae;Sphingomonas;Sphingomonas sp. KR3-1;</t>
  </si>
  <si>
    <t>Sphingomonas sp. KR3-1</t>
  </si>
  <si>
    <t>Bacteria;Pseudomonadota;Alphaproteobacteria;Hyphomicrobiales;Phyllobacteriaceae;Mesorhizobium;Mesorhizobium sp. KR1-2;</t>
  </si>
  <si>
    <t>Mesorhizobium sp. KR1-2</t>
  </si>
  <si>
    <t>Bacteria;Pseudomonadota;Alphaproteobacteria;Hyphomicrobiales;Xanthobacteraceae;Aquabacter;Aquabacter sp. CN5-332;</t>
  </si>
  <si>
    <t>Aquabacter</t>
  </si>
  <si>
    <t>Aquabacter sp. CN5-332</t>
  </si>
  <si>
    <t>Bacteria;Pseudomonadota;Alphaproteobacteria;Rhodobacterales;Roseobacteraceae;Roseovarius;Roseovarius sp. MBR-78;</t>
  </si>
  <si>
    <t>Roseovarius sp. MBR-78</t>
  </si>
  <si>
    <t>Bacteria;Pseudomonadota;Alphaproteobacteria;Hyphomicrobiales;Devosiaceae;Devosia;Devosia sp. 2618;</t>
  </si>
  <si>
    <t>Devosia sp. 2618</t>
  </si>
  <si>
    <t>Bacteria;Actinomycetota;Actinomycetes;Micrococcales;Microbacteriaceae;Mycetocola;Mycetocola sp. 2940;</t>
  </si>
  <si>
    <t>Mycetocola</t>
  </si>
  <si>
    <t>Mycetocola sp. 2940</t>
  </si>
  <si>
    <t>Bacteria;Pseudomonadota;Alphaproteobacteria;Caulobacterales;Caulobacteraceae;Caulobacter;Caulobacter sp. 1776;</t>
  </si>
  <si>
    <t>Caulobacter sp. 1776</t>
  </si>
  <si>
    <t>Bacteria;Pseudomonadota;Betaproteobacteria;Burkholderiales;Comamonadaceae;Pseudacidovorax;Pseudacidovorax sp. 1753;</t>
  </si>
  <si>
    <t>Pseudacidovorax</t>
  </si>
  <si>
    <t>Pseudacidovorax sp. 1753</t>
  </si>
  <si>
    <t>Bacteria;Pseudomonadota;Alphaproteobacteria;Caulobacterales;Caulobacteraceae;Brevundimonas;Brevundimonas sp. 1080;</t>
  </si>
  <si>
    <t>Brevundimonas sp. 1080</t>
  </si>
  <si>
    <t>Bacteria;Actinomycetota;Actinomycetes;Micrococcales;Microbacteriaceae;Agromyces;Agromyces sp. PvR057;</t>
  </si>
  <si>
    <t>Agromyces sp. PvR057</t>
  </si>
  <si>
    <t>Bacteria;Bacillota;Bacilli;Bacillales;Paenibacillaceae;Paenibacillus;Paenibacillus sp. PvP094;</t>
  </si>
  <si>
    <t>Paenibacillus sp. PvP094</t>
  </si>
  <si>
    <t>Bacteria;Pseudomonadota;Gammaproteobacteria;Enterobacterales;Enterobacteriaceae;Citrobacter;Citrobacter sp. UYEF32;</t>
  </si>
  <si>
    <t>Citrobacter</t>
  </si>
  <si>
    <t>Citrobacter sp. UYEF32</t>
  </si>
  <si>
    <t>Bacteria;Pseudomonadota;Alphaproteobacteria;Caulobacterales;Caulobacteraceae;Brevundimonas;Brevundimonas sp. UYEF29;</t>
  </si>
  <si>
    <t>Brevundimonas sp. UYEF29</t>
  </si>
  <si>
    <t>Bacteria;Pseudomonadota;Alphaproteobacteria;Hyphomicrobiales;Devosiaceae;Devosia;Devosia sp. UYZn731;</t>
  </si>
  <si>
    <t>Devosia sp. UYZn731</t>
  </si>
  <si>
    <t>Bacteria;Actinomycetota;Actinomycetes;Micrococcales;Microbacteriaceae;Glaciihabitans;Glaciihabitans sp. UYNi722;</t>
  </si>
  <si>
    <t>Glaciihabitans</t>
  </si>
  <si>
    <t>Glaciihabitans sp. UYNi722</t>
  </si>
  <si>
    <t>Bacteria;Pseudomonadota;Alphaproteobacteria;Hyphomicrobiales;Nitrobacteraceae;Bradyrhizobium;Bradyrhizobium sp. LB11.1;</t>
  </si>
  <si>
    <t>Nitrobacteraceae</t>
  </si>
  <si>
    <t>Bradyrhizobium</t>
  </si>
  <si>
    <t>Bradyrhizobium sp. LB11.1</t>
  </si>
  <si>
    <t>Bacteria;Pseudomonadota;Gammaproteobacteria;Lysobacterales;Lysobacteraceae;Stenotrophomonas;Stenotrophomonas sp. 2619;</t>
  </si>
  <si>
    <t>Stenotrophomonas sp. 2619</t>
  </si>
  <si>
    <t>Bacteria;Actinomycetota;Actinomycetes;Propionibacteriales;Nocardioidaceae;Nocardioides;Nocardioides sp. 31GB23;</t>
  </si>
  <si>
    <t>Nocardioides sp. 31GB23</t>
  </si>
  <si>
    <t>Bacteria;Actinomycetota;Actinomycetes;Micrococcales;Micrococcaceae;Arthrobacter;Arthrobacter sp. NPDC089319;</t>
  </si>
  <si>
    <t>Arthrobacter sp. NPDC089319</t>
  </si>
  <si>
    <t>Bacteria;Actinomycetota;Actinomycetes;Micrococcales;Microbacteriaceae;Microbacterium;Microbacterium sp. NPDC064584;</t>
  </si>
  <si>
    <t>Microbacterium sp. NPDC064584</t>
  </si>
  <si>
    <t>Bacteria;Actinomycetota;Actinomycetes;Streptosporangiales;Streptosporangiaceae;Nonomuraea;Nonomuraea sp. NPDC049419;</t>
  </si>
  <si>
    <t>Streptosporangiales</t>
  </si>
  <si>
    <t>Streptosporangiaceae</t>
  </si>
  <si>
    <t>Nonomuraea</t>
  </si>
  <si>
    <t>Nonomuraea sp. NPDC049419</t>
  </si>
  <si>
    <t>Bacteria;Actinomycetota;Actinomycetes;Micromonosporales;Micromonosporaceae;Micromonospora;Micromonospora sp. NPDC050200;</t>
  </si>
  <si>
    <t>Micromonospora sp. NPDC050200</t>
  </si>
  <si>
    <t>Bacteria;Actinomycetota;Actinomycetes;Micromonosporales;Micromonosporaceae;Actinoplanes;Actinoplanes sp. NPDC026623;</t>
  </si>
  <si>
    <t>Actinoplanes sp. NPDC026623</t>
  </si>
  <si>
    <t>Bacteria;Actinomycetota;Actinomycetes;Micrococcales;Microbacteriaceae;Leifsonia;Leifsonia sp. NPDC077715;</t>
  </si>
  <si>
    <t>Leifsonia sp. NPDC077715</t>
  </si>
  <si>
    <t>Bacteria;Actinomycetota;Actinomycetes;Kitasatosporales;Streptomycetaceae;Streptomyces;Streptomyces sp. NPDC051133;</t>
  </si>
  <si>
    <t>Streptomyces sp. NPDC051133</t>
  </si>
  <si>
    <t>Bacteria;Actinomycetota;Actinomycetes;Kitasatosporales;Streptomycetaceae;Kitasatospora;Kitasatospora sp. NPDC093558;</t>
  </si>
  <si>
    <t>Kitasatospora</t>
  </si>
  <si>
    <t>Kitasatospora sp. NPDC093558</t>
  </si>
  <si>
    <t>Bacteria;Actinomycetota;Actinomycetes;Micrococcales;Intrasporangiaceae;Terrabacter;Terrabacter sp. NPDC080008;</t>
  </si>
  <si>
    <t>Intrasporangiaceae</t>
  </si>
  <si>
    <t>Terrabacter</t>
  </si>
  <si>
    <t>Terrabacter sp. NPDC080008</t>
  </si>
  <si>
    <t>Bacteria;Actinomycetota;Actinomycetes;Micromonosporales;Micromonosporaceae;Actinoplanes;Actinoplanes sp. NPDC051861;</t>
  </si>
  <si>
    <t>Actinoplanes sp. NPDC051861</t>
  </si>
  <si>
    <t>Bacteria;Actinomycetota;Actinomycetes;Kitasatosporales;Streptomycetaceae;Streptomyces;Streptomyces sp. NPDC049577;</t>
  </si>
  <si>
    <t>Streptomyces sp. NPDC049577</t>
  </si>
  <si>
    <t>Bacteria;Actinomycetota;Actinomycetes;Kitasatosporales;Streptomycetaceae;Streptomyces;Streptomyces sp. NPDC047315;</t>
  </si>
  <si>
    <t>Streptomyces sp. NPDC047315</t>
  </si>
  <si>
    <t>Bacteria;Actinomycetota;Actinomycetes;Micrococcales;Microbacteriaceae;Microbacterium;Microbacterium sp. NPDC028030;</t>
  </si>
  <si>
    <t>Microbacterium sp. NPDC028030</t>
  </si>
  <si>
    <t>Bacteria;Actinomycetota;Actinomycetes;Micrococcales;Microbacteriaceae;Microbacterium;Microbacterium sp. NPDC077644;</t>
  </si>
  <si>
    <t>Microbacterium sp. NPDC077644</t>
  </si>
  <si>
    <t>Bacteria;Actinomycetota;Actinomycetes;Micrococcales;Microbacteriaceae;Microbacterium;Microbacterium sp. NPDC089189;</t>
  </si>
  <si>
    <t>Microbacterium sp. NPDC089189</t>
  </si>
  <si>
    <t>Bacteria;Actinomycetota;Actinomycetes;Micrococcales;Microbacteriaceae;Microbacterium;Microbacterium sp. NPDC076911;</t>
  </si>
  <si>
    <t>Microbacterium sp. NPDC076911</t>
  </si>
  <si>
    <t>Bacteria;Actinomycetota;Actinomycetes;Kitasatosporales;Streptomycetaceae;Streptomyces;Streptomyces sp. NPDC048629;</t>
  </si>
  <si>
    <t>Streptomyces sp. NPDC048629</t>
  </si>
  <si>
    <t>Bacteria;Actinomycetota;Actinomycetes;Micrococcales;Microbacteriaceae;Microbacterium;Microbacterium sp. NPDC077184;</t>
  </si>
  <si>
    <t>Microbacterium sp. NPDC077184</t>
  </si>
  <si>
    <t>Bacteria;Actinomycetota;Actinomycetes;Micromonosporales;Micromonosporaceae;Actinoplanes;Actinoplanes sp. NPDC051851;</t>
  </si>
  <si>
    <t>Actinoplanes sp. NPDC051851</t>
  </si>
  <si>
    <t>Bacteria;Actinomycetota;Thermoleophilia;Solirubrobacterales;Patulibacteraceae;Patulibacter;Patulibacter sp. NPDC049589;</t>
  </si>
  <si>
    <t>Thermoleophilia</t>
  </si>
  <si>
    <t>Solirubrobacterales</t>
  </si>
  <si>
    <t>Patulibacteraceae</t>
  </si>
  <si>
    <t>Patulibacter</t>
  </si>
  <si>
    <t>Patulibacter sp. NPDC049589</t>
  </si>
  <si>
    <t>Bacteria;Actinomycetota;Actinomycetes;Micrococcales;Microbacteriaceae;Microbacterium;Microbacterium sp. NPDC019599;</t>
  </si>
  <si>
    <t>Microbacterium sp. NPDC019599</t>
  </si>
  <si>
    <t>Bacteria;Actinomycetota;Actinomycetes;Mycobacteriales;Nocardiaceae;Nocardia;Nocardia sp. NPDC019302;</t>
  </si>
  <si>
    <t>Nocardia</t>
  </si>
  <si>
    <t>Nocardia sp. NPDC019302</t>
  </si>
  <si>
    <t>Bacteria;Actinomycetota;Actinomycetes;Kitasatosporales;Streptomycetaceae;Streptomyces;Streptomyces sp. NPDC002138;</t>
  </si>
  <si>
    <t>Streptomyces sp. NPDC002138</t>
  </si>
  <si>
    <t>Bacteria;Actinomycetota;Actinomycetes;Micromonosporales;Micromonosporaceae;Dactylosporangium;Dactylosporangium sp. NPDC000244;</t>
  </si>
  <si>
    <t>Dactylosporangium sp. NPDC000244</t>
  </si>
  <si>
    <t>Bacteria;Pseudomonadota;Betaproteobacteria;Burkholderiales;Comamonadaceae;Delftia;Delftia sp. DS1230;</t>
  </si>
  <si>
    <t>Delftia sp. DS1230</t>
  </si>
  <si>
    <t>Bacteria;Actinomycetota;Actinomycetes;Micrococcales;Microbacteriaceae;Agrococcus;Agrococcus sp. ProA11;</t>
  </si>
  <si>
    <t>Agrococcus</t>
  </si>
  <si>
    <t>Agrococcus sp. ProA11</t>
  </si>
  <si>
    <t>Bacteria;Pseudomonadota;Betaproteobacteria;Burkholderiales;Sphaerotilaceae;Roseateles;Roseateles sp. YIM B04394;</t>
  </si>
  <si>
    <t>Roseateles sp. YIM B04394</t>
  </si>
  <si>
    <t>Bacteria;Actinomycetota;Actinomycetes;Mycobacteriales;Mycobacteriaceae;Mycobacterium;Mycobacterium sp. B14F4;</t>
  </si>
  <si>
    <t>Mycobacteriaceae</t>
  </si>
  <si>
    <t>Mycobacterium</t>
  </si>
  <si>
    <t>Mycobacterium sp. B14F4</t>
  </si>
  <si>
    <t>Bacteria;Actinomycetota;Actinomycetes;Micrococcales;Microbacteriaceae;Herbiconiux;Herbiconiux sp. A18JL235;</t>
  </si>
  <si>
    <t>Herbiconiux sp. A18JL235</t>
  </si>
  <si>
    <t>Bacteria;Bacillota;Clostridia;Lachnospirales;Lachnospiraceae;Lacrimispora;Lacrimispora sp. BS-2;</t>
  </si>
  <si>
    <t>Lachnospirales</t>
  </si>
  <si>
    <t>Lachnospiraceae</t>
  </si>
  <si>
    <t>Lacrimispora</t>
  </si>
  <si>
    <t>Lacrimispora sp. BS-2</t>
  </si>
  <si>
    <t>Bacteria;Cyanobacteriota;Cyanophyceae;Nodosilineales;Nodosilineaceae;Sphaerothrix;Sphaerothrix gracilis;</t>
  </si>
  <si>
    <t>Cyanobacteriota</t>
  </si>
  <si>
    <t>Cyanophyceae</t>
  </si>
  <si>
    <t>Nodosilineales</t>
  </si>
  <si>
    <t>Nodosilineaceae</t>
  </si>
  <si>
    <t>Sphaerothrix</t>
  </si>
  <si>
    <t>Sphaerothrix gracilis</t>
  </si>
  <si>
    <t>Bacteria;Bacteroidota;Flavobacteriia;Flavobacteriales;Flavobacteriaceae;Flavobacterium;Flavobacterium sp. WV_118_3;</t>
  </si>
  <si>
    <t>Flavobacterium sp. WV_118_3</t>
  </si>
  <si>
    <t>Bacteria;Bacteroidota;Sphingobacteriia;Sphingobacteriales;Sphingobacteriaceae;Pedobacter;Pedobacter sp. KACC 23697;</t>
  </si>
  <si>
    <t>Pedobacter sp. KACC 23697</t>
  </si>
  <si>
    <t>Bacteria;Pseudomonadota;Alphaproteobacteria;Hyphomicrobiales;Alsobacteraceae;Alsobacter;Alsobacter sp. KACC 23698;</t>
  </si>
  <si>
    <t>Alsobacteraceae</t>
  </si>
  <si>
    <t>Alsobacter</t>
  </si>
  <si>
    <t>Alsobacter sp. KACC 23698</t>
  </si>
  <si>
    <t>Bacteria;Pseudomonadota;Gammaproteobacteria;Moraxellales;Moraxellaceae;Moraxella;Moraxella sp. K23;</t>
  </si>
  <si>
    <t>Moraxellales</t>
  </si>
  <si>
    <t>Moraxellaceae</t>
  </si>
  <si>
    <t>Moraxella</t>
  </si>
  <si>
    <t>Moraxella sp. K23</t>
  </si>
  <si>
    <t>Bacteria;Bacteroidota;Flavobacteriia;Flavobacteriales;Flavobacteriaceae;Flavobacterium;Flavobacterium adhaerens;</t>
  </si>
  <si>
    <t>Flavobacterium adhaerens</t>
  </si>
  <si>
    <t>Bacteria;Pseudomonadota;Betaproteobacteria;Burkholderiales;Sphaerotilaceae;Roseateles;Roseateles sp. 2.12;</t>
  </si>
  <si>
    <t>Roseateles sp. 2.12</t>
  </si>
  <si>
    <t>Bacteria;Actinomycetota;Actinomycetes;Micrococcales;Microbacteriaceae;Microbacterium;Microbacterium sp. SY138;</t>
  </si>
  <si>
    <t>Microbacterium sp. SY138</t>
  </si>
  <si>
    <t>Bacteria;Pseudomonadota;Alphaproteobacteria;Hyphomicrobiales;Boseaceae;Bosea;Bosea sp. TWI1241;</t>
  </si>
  <si>
    <t>Bosea sp. TWI1241</t>
  </si>
  <si>
    <t>Bacteria;Cyanobacteriota;Cyanophyceae;Synechococcales;Merismopediaceae;Synechocystis;Synechocystis sp. LKSZ1;</t>
  </si>
  <si>
    <t>Synechococcales</t>
  </si>
  <si>
    <t>Merismopediaceae</t>
  </si>
  <si>
    <t>Synechocystis</t>
  </si>
  <si>
    <t>Synechocystis sp. LKSZ1</t>
  </si>
  <si>
    <t>Bacteria;Actinomycetota;Actinomycetes;Micrococcales;Microbacteriaceae;Parafrigoribacterium;Parafrigoribacterium humi;</t>
  </si>
  <si>
    <t>Parafrigoribacterium</t>
  </si>
  <si>
    <t>Parafrigoribacterium humi</t>
  </si>
  <si>
    <t>Bacteria;Actinomycetota;Actinomycetes;Micrococcales;Microbacteriaceae;Parafrigoribacterium;Parafrigoribacterium soli;</t>
  </si>
  <si>
    <t>Parafrigoribacterium soli</t>
  </si>
  <si>
    <t>Bacteria;Actinomycetota;Actinomycetes;Micrococcales;Microbacteriaceae;Microbacterium;Microbacterium sp. X-17;</t>
  </si>
  <si>
    <t>Microbacterium sp. X-17</t>
  </si>
  <si>
    <t>Bacteria;Actinomycetota;Actinomycetes;Micrococcales;Microbacteriaceae;Rathayibacter;Rathayibacter soli;</t>
  </si>
  <si>
    <t>Rathayibacter</t>
  </si>
  <si>
    <t>Rathayibacter soli</t>
  </si>
  <si>
    <t>Bacteria;Actinomycetota;Actinomycetes;Micrococcales;Microbacteriaceae;Leifsonia;Leifsonia sp. NPDC080035;</t>
  </si>
  <si>
    <t>Leifsonia sp. NPDC080035</t>
  </si>
  <si>
    <t>Bacteria;Bacteroidota;Sphingobacteriia;Sphingobacteriales;Sphingobacteriaceae;Pedobacter;Pedobacter sp. CG_S7;</t>
  </si>
  <si>
    <t>Pedobacter sp. CG_S7</t>
  </si>
  <si>
    <t>Bacteria;Actinomycetota;Actinomycetes;Micrococcales;Microbacteriaceae;Diaminobutyricibacter;Diaminobutyricibacter sp. McL0608;</t>
  </si>
  <si>
    <t>Diaminobutyricibacter</t>
  </si>
  <si>
    <t>Diaminobutyricibacter sp. McL0608</t>
  </si>
  <si>
    <t>Bacteria;Pseudomonadota;Alphaproteobacteria;Sphingomonadales;Sphingomonadaceae;Sphingomonas;Sphingomonas sp. T9W2;</t>
  </si>
  <si>
    <t>Sphingomonas sp. T9W2</t>
  </si>
  <si>
    <t>Bacteria;Bacteroidota;Flavobacteriia;Flavobacteriales;Flavobacteriaceae;Flavobacterium;Flavobacterium sp. CFS9;</t>
  </si>
  <si>
    <t>Flavobacterium sp. CFS9</t>
  </si>
  <si>
    <t>Bacteria;Pseudomonadota;Alphaproteobacteria;Hyphomicrobiales;Brucellaceae;Brucella;Brucella sp. BE17;</t>
  </si>
  <si>
    <t>Brucellaceae</t>
  </si>
  <si>
    <t>Brucella</t>
  </si>
  <si>
    <t>Brucella sp. BE17</t>
  </si>
  <si>
    <t>Bacteria;Actinomycetota;Actinomycetes;Micrococcales;Microbacteriaceae;Microbacterium;Microbacterium sp. AZCO;</t>
  </si>
  <si>
    <t>Microbacterium sp. AZCO</t>
  </si>
  <si>
    <t>Bacteria;Bacteroidota;Sphingobacteriia;Sphingobacteriales;Sphingobacteriaceae;Mucilaginibacter;Mucilaginibacter sp. CSA2-8R;</t>
  </si>
  <si>
    <t>Mucilaginibacter</t>
  </si>
  <si>
    <t>Mucilaginibacter sp. CSA2-8R</t>
  </si>
  <si>
    <t>Bacteria;Pseudomonadota;Betaproteobacteria;Burkholderiales;Comamonadaceae;Rhodoferax;Rhodoferax sp. GW822-FHT02A01;</t>
  </si>
  <si>
    <t>Rhodoferax sp. GW822-FHT02A01</t>
  </si>
  <si>
    <t>Bacteria;Pseudomonadota;Gammaproteobacteria;Enterobacterales;Erwiniaceae;Erwinia;Erwinia sp. P6884;</t>
  </si>
  <si>
    <t>Erwinia</t>
  </si>
  <si>
    <t>Erwinia sp. P6884</t>
  </si>
  <si>
    <t>Bacteria;Bacteroidota;Sphingobacteriia;Sphingobacteriales;Sphingobacteriaceae;Mucilaginibacter;Mucilaginibacter sp. CAU 1740;</t>
  </si>
  <si>
    <t>Mucilaginibacter sp. CAU 1740</t>
  </si>
  <si>
    <t>Bacteria;Pseudomonadota;Alphaproteobacteria;Acetobacterales;Roseomonadaceae;Roseomonas;Roseomonas sp. CAU 1739;</t>
  </si>
  <si>
    <t>Roseomonas sp. CAU 1739</t>
  </si>
  <si>
    <t>Bacteria;Bacillota;Bacilli;Bacillales;Paenibacillaceae;Gorillibacterium;Gorillibacterium sp. CAU 1737;</t>
  </si>
  <si>
    <t>Gorillibacterium</t>
  </si>
  <si>
    <t>Gorillibacterium sp. CAU 1737</t>
  </si>
  <si>
    <t>Bacteria;Pseudomonadota;Alphaproteobacteria;Hyphomicrobiales;Phyllobacteriaceae;Mesorhizobium;Mesorhizobium sp. CAU 1732;</t>
  </si>
  <si>
    <t>Mesorhizobium sp. CAU 1732</t>
  </si>
  <si>
    <t>Bacteria;Pseudomonadota;Gammaproteobacteria;Enterobacterales;Enterobacteriaceae;Kosakonia;Kosakonia calanthes;</t>
  </si>
  <si>
    <t>Kosakonia</t>
  </si>
  <si>
    <t>Kosakonia calanthes</t>
  </si>
  <si>
    <t>Bacteria;Bacteroidota;Flavobacteriia;Flavobacteriales;Flavobacteriaceae;Flavobacterium;Flavobacterium calami;</t>
  </si>
  <si>
    <t>Flavobacterium calami</t>
  </si>
  <si>
    <t>Bacteria;Bacteroidota;Flavobacteriia;Flavobacteriales;Flavobacteriaceae;Flavobacterium;Flavobacterium arundinis;</t>
  </si>
  <si>
    <t>Flavobacterium arundinis</t>
  </si>
  <si>
    <t>Bacteria;Actinomycetota;Actinomycetes;Micrococcales;Brevibacteriaceae;Brevibacterium;Brevibacterium litoralis;</t>
  </si>
  <si>
    <t>Brevibacteriaceae</t>
  </si>
  <si>
    <t>Brevibacterium</t>
  </si>
  <si>
    <t>Brevibacterium litoralis</t>
  </si>
  <si>
    <t>Bacteria;Bacteroidota;Sphingobacteriia;Sphingobacteriales;Sphingobacteriaceae;Mucilaginibacter;Mucilaginibacter sp. PAMB04274;</t>
  </si>
  <si>
    <t>Mucilaginibacter sp. PAMB04274</t>
  </si>
  <si>
    <t>Bacteria;Pseudomonadota;Gammaproteobacteria;Aeromonadales;Aeromonadaceae;Aeromonas;Aeromonas sp. s3;</t>
  </si>
  <si>
    <t>Aeromonadales</t>
  </si>
  <si>
    <t>Aeromonadaceae</t>
  </si>
  <si>
    <t>Aeromonas</t>
  </si>
  <si>
    <t>Aeromonas sp. s3</t>
  </si>
  <si>
    <t>Bacteria;Pseudomonadota;Gammaproteobacteria;Aeromonadales;Aeromonadaceae;Aeromonas;Aeromonas sp. R9-2;</t>
  </si>
  <si>
    <t>Aeromonas sp. R9-2</t>
  </si>
  <si>
    <t>Bacteria;Pseudomonadota;Gammaproteobacteria;Aeromonadales;Aeromonadaceae;Aeromonas;Aeromonas sp. R5-3;</t>
  </si>
  <si>
    <t>Aeromonas sp. R5-3</t>
  </si>
  <si>
    <t>Bacteria;Actinomycetota;Actinomycetes;Micrococcales;Microbacteriaceae;Salinibacterium;Salinibacterium sp. TMP30;</t>
  </si>
  <si>
    <t>Salinibacterium</t>
  </si>
  <si>
    <t>Salinibacterium sp. TMP30</t>
  </si>
  <si>
    <t>Bacteria;Pseudomonadota;Gammaproteobacteria;Chromatiales;Chromatiaceae;Thiocapsa;Thiocapsa sp. N5-Cardenillas;</t>
  </si>
  <si>
    <t>Chromatiales</t>
  </si>
  <si>
    <t>Chromatiaceae</t>
  </si>
  <si>
    <t>Thiocapsa</t>
  </si>
  <si>
    <t>Thiocapsa sp. N5-Cardenillas</t>
  </si>
  <si>
    <t>Bacteria;Bacteroidota;Chitinophagia;Chitinophagales;Chitinophagaceae;Chitinophaga;Chitinophaga sp. MM2321;</t>
  </si>
  <si>
    <t>Chitinophagia</t>
  </si>
  <si>
    <t>Chitinophagales</t>
  </si>
  <si>
    <t>Chitinophagaceae</t>
  </si>
  <si>
    <t>Chitinophaga</t>
  </si>
  <si>
    <t>Chitinophaga sp. MM2321</t>
  </si>
  <si>
    <t>Bacteria;Pseudomonadota;Gammaproteobacteria;Lysobacterales;Lysobacteraceae;Stenotrophomonas;Stenotrophomonas sp. TWI1183;</t>
  </si>
  <si>
    <t>Stenotrophomonas sp. TWI1183</t>
  </si>
  <si>
    <t>Bacteria;Pseudomonadota;Gammaproteobacteria;Lysobacterales;Lysobacteraceae;Stenotrophomonas;Stenotrophomonas sp. TWI700;</t>
  </si>
  <si>
    <t>Stenotrophomonas sp. TWI700</t>
  </si>
  <si>
    <t>Bacteria;Pseudomonadota;Gammaproteobacteria;Lysobacterales;Lysobacteraceae;Stenotrophomonas;Stenotrophomonas sp. TWI587;</t>
  </si>
  <si>
    <t>Stenotrophomonas sp. TWI587</t>
  </si>
  <si>
    <t>Bacteria;Pseudomonadota;Gammaproteobacteria;Lysobacterales;Lysobacteraceae;Stenotrophomonas;Stenotrophomonas sp. TWI377;</t>
  </si>
  <si>
    <t>Stenotrophomonas sp. TWI377</t>
  </si>
  <si>
    <t>Bacteria;Pseudomonadota;Betaproteobacteria;Burkholderiales;Alcaligenaceae;Alcaligenes;Alcaligenes sp. SDU_A2;</t>
  </si>
  <si>
    <t>Alcaligenaceae</t>
  </si>
  <si>
    <t>Alcaligenes</t>
  </si>
  <si>
    <t>Alcaligenes sp. SDU_A2</t>
  </si>
  <si>
    <t>Bacteria;Pseudomonadota;Betaproteobacteria;Rhodocyclales;Zoogloeaceae;Thauera;Thauera sp. SDU_THAU2;</t>
  </si>
  <si>
    <t>Rhodocyclales</t>
  </si>
  <si>
    <t>Zoogloeaceae</t>
  </si>
  <si>
    <t>Thauera</t>
  </si>
  <si>
    <t>Thauera sp. SDU_THAU2</t>
  </si>
  <si>
    <t>Bacteria;Bdellovibrionota;Bdellovibrionia;Bdellovibrionales;Pseudobdellovibrionaceae;Bdellovibrio;Bdellovibrio sp. GT3;</t>
  </si>
  <si>
    <t>Bdellovibrio sp. GT3</t>
  </si>
  <si>
    <t>Bacteria;Bdellovibrionota;Bdellovibrionia;Bdellovibrionales;Pseudobdellovibrionaceae;Bdellovibrio;Bdellovibrio sp. BCCA;</t>
  </si>
  <si>
    <t>Bdellovibrio sp. BCCA</t>
  </si>
  <si>
    <t>Bacteria;Bacillota;Bacilli;Bacillales;Bacillaceae;Lentibacillus;Lentibacillus sp. N15;</t>
  </si>
  <si>
    <t>Lentibacillus</t>
  </si>
  <si>
    <t>Lentibacillus sp. N15</t>
  </si>
  <si>
    <t>Bacteria;Pseudomonadota;Alphaproteobacteria;Hyphomonadales;Hyphomonadaceae;Henriciella;Henriciella sp. AS95;</t>
  </si>
  <si>
    <t>Hyphomonadales</t>
  </si>
  <si>
    <t>Hyphomonadaceae</t>
  </si>
  <si>
    <t>Henriciella</t>
  </si>
  <si>
    <t>Henriciella sp. AS95</t>
  </si>
  <si>
    <t>Bacteria;Pseudomonadota;Betaproteobacteria;Rhodocyclales;Rhodocyclaceae;Niveibacterium;Niveibacterium sp. SC-1;</t>
  </si>
  <si>
    <t>Rhodocyclaceae</t>
  </si>
  <si>
    <t>Niveibacterium</t>
  </si>
  <si>
    <t>Niveibacterium sp. SC-1</t>
  </si>
  <si>
    <t>Bacteria;Verrucomicrobiota;Verrucomicrobiia;Verrucomicrobiales;Verrucomicrobiaceae;Luteolibacter;Luteolibacter soli;</t>
  </si>
  <si>
    <t>Luteolibacter soli</t>
  </si>
  <si>
    <t>Bacteria;Pseudomonadota;Betaproteobacteria;Burkholderiales;Burkholderiaceae;Burkholderia;Burkholderia sp. LMU1-1-1.1;</t>
  </si>
  <si>
    <t>Burkholderia</t>
  </si>
  <si>
    <t>Burkholderia sp. LMU1-1-1.1</t>
  </si>
  <si>
    <t>Bacteria;Actinomycetota;Actinomycetes;Propionibacteriales;Nocardioidaceae;Nocardioides;Nocardioides sp. LML1-1-1.1;</t>
  </si>
  <si>
    <t>Nocardioides sp. LML1-1-1.1</t>
  </si>
  <si>
    <t>Bacteria;Pseudomonadota;Alphaproteobacteria;Sphingomonadales;Sphingomonadaceae;Sphingobium;Sphingobium sp. LMC3-1-1.1;</t>
  </si>
  <si>
    <t>Sphingobium</t>
  </si>
  <si>
    <t>Sphingobium sp. LMC3-1-1.1</t>
  </si>
  <si>
    <t>Bacteria;Pseudomonadota;Alphaproteobacteria;Sphingomonadales;Sphingomonadaceae;Sphingobium;Sphingobium sp. LSP13-1-1.1;</t>
  </si>
  <si>
    <t>Sphingobium sp. LSP13-1-1.1</t>
  </si>
  <si>
    <t>Bacteria;Bacillota;Bacilli;Bacillales;Paenibacillaceae;Paenibacillus;Paenibacillus sp. LPE1-1-1.1;</t>
  </si>
  <si>
    <t>Paenibacillus sp. LPE1-1-1.1</t>
  </si>
  <si>
    <t>Bacteria;Pseudomonadota;Gammaproteobacteria;Lysobacterales;Lysobacteraceae;Stenotrophomonas;Stenotrophomonas sp. G106K1;</t>
  </si>
  <si>
    <t>Stenotrophomonas sp. G106K1</t>
  </si>
  <si>
    <t>Bacteria;Bacillota;Clostridia;Peptostreptococcales;Peptostreptococcaceae;Tepidibacter;Tepidibacter sp. Z1-5;</t>
  </si>
  <si>
    <t>Peptostreptococcales</t>
  </si>
  <si>
    <t>Peptostreptococcaceae</t>
  </si>
  <si>
    <t>Tepidibacter</t>
  </si>
  <si>
    <t>Tepidibacter sp. Z1-5</t>
  </si>
  <si>
    <t>Bacteria;Actinomycetota;Actinomycetes;Micrococcales;Microbacteriaceae;Leifsonia;Leifsonia stereocauli;</t>
  </si>
  <si>
    <t>Leifsonia stereocauli</t>
  </si>
  <si>
    <t>Bacteria;Pseudomonadota;Alphaproteobacteria;Emcibacterales;Emcibacteraceae;Emcibacter;Emcibacter sp. SYSU 3D8;</t>
  </si>
  <si>
    <t>Emcibacterales</t>
  </si>
  <si>
    <t>Emcibacteraceae</t>
  </si>
  <si>
    <t>Emcibacter</t>
  </si>
  <si>
    <t>Emcibacter sp. SYSU 3D8</t>
  </si>
  <si>
    <t>Bacteria;Pseudomonadota;Alphaproteobacteria;Acetobacterales;Roseomonadaceae;Sediminicoccus;Sediminicoccus sp. KRV36;</t>
  </si>
  <si>
    <t>Sediminicoccus</t>
  </si>
  <si>
    <t>Sediminicoccus sp. KRV36</t>
  </si>
  <si>
    <t>Bacteria;Pseudomonadota;Alphaproteobacteria;Sphingomonadales;Sphingomonadaceae;Sphingobium;Sphingobium sp. AN558;</t>
  </si>
  <si>
    <t>Sphingobium sp. AN558</t>
  </si>
  <si>
    <t>Bacteria;Bacteroidota;Sphingobacteriia;Sphingobacteriales;Sphingobacteriaceae;Pedobacter;Pedobacter sp. Du54;</t>
  </si>
  <si>
    <t>Pedobacter sp. Du54</t>
  </si>
  <si>
    <t>Bacteria;Pseudomonadota;Betaproteobacteria;Burkholderiales;Comamonadaceae;Ramlibacter;Ramlibacter sp. PS3R-8;</t>
  </si>
  <si>
    <t>Ramlibacter sp. PS3R-8</t>
  </si>
  <si>
    <t>Bacteria;Pseudomonadota;Alphaproteobacteria;Sphingomonadales;Sphingomonadaceae;Novosphingobium;Novosphingobium sp. PS1R-30;</t>
  </si>
  <si>
    <t>Novosphingobium sp. PS1R-30</t>
  </si>
  <si>
    <t>Bacteria;Bacillota;Clostridia;Lachnospirales;Lachnospiraceae;Hominiventricola;Hominiventricola aquisgranensis;</t>
  </si>
  <si>
    <t>Hominiventricola</t>
  </si>
  <si>
    <t>Hominiventricola aquisgranensis</t>
  </si>
  <si>
    <t>Bacteria;Bacteroidota;Flavobacteriia;Flavobacteriales;Flavobacteriaceae;Flavobacterium;Flavobacterium aureirubrum;</t>
  </si>
  <si>
    <t>Flavobacterium aureirubrum</t>
  </si>
  <si>
    <t>Bacteria;Pseudomonadota;Gammaproteobacteria;Pseudomonadales;Pseudomonadaceae;Pseudomonas;Pseudomonas sp. TMP9;</t>
  </si>
  <si>
    <t>Pseudomonas sp. TMP9</t>
  </si>
  <si>
    <t>Bacteria;Pseudomonadota;Betaproteobacteria;Burkholderiales;NA;Aquabacterium;Aquabacterium sp. A3;</t>
  </si>
  <si>
    <t>Aquabacterium</t>
  </si>
  <si>
    <t>Aquabacterium sp. A3</t>
  </si>
  <si>
    <t>Bacteria;Pseudomonadota;Alphaproteobacteria;Sphingomonadales;Sphingomonadaceae;Sphingomonas;Sphingomonas flavescens;</t>
  </si>
  <si>
    <t>Sphingomonas flavescens</t>
  </si>
  <si>
    <t>Bacteria;Pseudomonadota;Gammaproteobacteria;Lysobacterales;Lysobacteraceae;Stenotrophomonas;Stenotrophomonas sp. AB1(2024);</t>
  </si>
  <si>
    <t>Stenotrophomonas sp. AB1(2024)</t>
  </si>
  <si>
    <t>Bacteria;Actinomycetota;Actinomycetes;Micrococcales;Microbacteriaceae;Rathayibacter;Rathayibacter sp. YIM 133350;</t>
  </si>
  <si>
    <t>Rathayibacter sp. YIM 133350</t>
  </si>
  <si>
    <t>Bacteria;Pseudomonadota;Gammaproteobacteria;Lysobacterales;Lysobacteraceae;Denitratimonas;Denitratimonas sp. CY0512;</t>
  </si>
  <si>
    <t>Denitratimonas</t>
  </si>
  <si>
    <t>Denitratimonas sp. CY0512</t>
  </si>
  <si>
    <t>Bacteria;Campylobacterota;Epsilonproteobacteria;Campylobacterales;Sulfurimonadaceae;Sulfurimonas;Sulfurimonas sp. HSL-1656;</t>
  </si>
  <si>
    <t>Campylobacterota</t>
  </si>
  <si>
    <t>Epsilonproteobacteria</t>
  </si>
  <si>
    <t>Campylobacterales</t>
  </si>
  <si>
    <t>Sulfurimonadaceae</t>
  </si>
  <si>
    <t>Sulfurimonas</t>
  </si>
  <si>
    <t>Sulfurimonas sp. HSL-1656</t>
  </si>
  <si>
    <t>Bacteria;Pseudomonadota;Betaproteobacteria;Burkholderiales;NA;Aquabacterium;Aquabacterium sp. G14;</t>
  </si>
  <si>
    <t>Aquabacterium sp. G14</t>
  </si>
  <si>
    <t>Bacteria;Pseudomonadota;Alphaproteobacteria;Hyphomicrobiales;Kaistiaceae;Prosthecomicrobium;Prosthecomicrobium sp. N25;</t>
  </si>
  <si>
    <t>Prosthecomicrobium</t>
  </si>
  <si>
    <t>Prosthecomicrobium sp. N25</t>
  </si>
  <si>
    <t>Bacteria;Pseudomonadota;Alphaproteobacteria;Hyphomicrobiales;Rhizobiaceae;Neorhizobium;Neorhizobium sp. EC2-8;</t>
  </si>
  <si>
    <t>Neorhizobium</t>
  </si>
  <si>
    <t>Neorhizobium sp. EC2-8</t>
  </si>
  <si>
    <t>Bacteria;Bacteroidota;Cytophagia;Cytophagales;Cytophagaceae;Spirosoma;Spirosoma sp. SC4-14;</t>
  </si>
  <si>
    <t>Cytophagaceae</t>
  </si>
  <si>
    <t>Spirosoma</t>
  </si>
  <si>
    <t>Spirosoma sp. SC4-14</t>
  </si>
  <si>
    <t>Bacteria;Pseudomonadota;Alphaproteobacteria;Caulobacterales;Caulobacteraceae;Caulobacter;Caulobacter sp. CCG-8;</t>
  </si>
  <si>
    <t>Caulobacter sp. CCG-8</t>
  </si>
  <si>
    <t>Bacteria;Bacteroidota;Sphingobacteriia;Sphingobacteriales;Sphingobacteriaceae;Pedobacter;Pedobacter sp. GR22-6;</t>
  </si>
  <si>
    <t>Pedobacter sp. GR22-6</t>
  </si>
  <si>
    <t>Bacteria;Pseudomonadota;Alphaproteobacteria;Hyphomicrobiales;Boseaceae;Bosea;Bosea sp. MMO-172;</t>
  </si>
  <si>
    <t>Bosea sp. MMO-172</t>
  </si>
  <si>
    <t>Bacteria;Bacteroidota;Cytophagia;Cytophagales;Leadbetterellaceae;Emticicia;Emticicia sp. 17c;</t>
  </si>
  <si>
    <t>Emticicia sp. 17c</t>
  </si>
  <si>
    <t>Bacteria;Pseudomonadota;Betaproteobacteria;Burkholderiales;Comamonadaceae;Hydrogenophaga;Hydrogenophaga sp. 5NK40-0174;</t>
  </si>
  <si>
    <t>Hydrogenophaga sp. 5NK40-0174</t>
  </si>
  <si>
    <t>Bacteria;Pseudomonadota;Alphaproteobacteria;Sphingomonadales;Sphingomonadaceae;Novosphingobium;Novosphingobium sp. BL-8H;</t>
  </si>
  <si>
    <t>Novosphingobium sp. BL-8H</t>
  </si>
  <si>
    <t>Bacteria;Pseudomonadota;Alphaproteobacteria;Sphingomonadales;Sphingomonadaceae;Novosphingobium;Novosphingobium sp. BL-8A;</t>
  </si>
  <si>
    <t>Novosphingobium sp. BL-8A</t>
  </si>
  <si>
    <t>Bacteria;Pseudomonadota;Betaproteobacteria;Burkholderiales;Comamonadaceae;Variovorax;Variovorax sp. CCNWLW225;</t>
  </si>
  <si>
    <t>Variovorax sp. CCNWLW225</t>
  </si>
  <si>
    <t>Bacteria;Bacteroidota;Chitinophagia;Chitinophagales;Chitinophagaceae;Paraflavisolibacter;Paraflavisolibacter sp. H34;</t>
  </si>
  <si>
    <t>Paraflavisolibacter</t>
  </si>
  <si>
    <t>Paraflavisolibacter sp. H34</t>
  </si>
  <si>
    <t>Bacteria;Pseudomonadota;Alphaproteobacteria;Hyphomicrobiales;Devosiaceae;Devosia;Devosia sp. XK-2;</t>
  </si>
  <si>
    <t>Devosia sp. XK-2</t>
  </si>
  <si>
    <t>Bacteria;Pseudomonadota;Betaproteobacteria;Burkholderiales;Comamonadaceae;Comamonas;Comamonas sp. wu1-DMT;</t>
  </si>
  <si>
    <t>Comamonas sp. wu1-DMT</t>
  </si>
  <si>
    <t>Bacteria;Bacillota;Bacilli;Bacillales;Paenibacillaceae;Paenibacillus;Paenibacillus sp. YIM B09110;</t>
  </si>
  <si>
    <t>Paenibacillus sp. YIM B09110</t>
  </si>
  <si>
    <t>Archaea;Methanobacteriota;Methanomicrobia;Methanosarcinales;Methanosarcinaceae;Methanolobus;Methanolobus sp. ZRKC3;</t>
  </si>
  <si>
    <t>Archaea</t>
  </si>
  <si>
    <t>Methanobacteriota</t>
  </si>
  <si>
    <t>Methanomicrobia</t>
  </si>
  <si>
    <t>Methanosarcinales</t>
  </si>
  <si>
    <t>Methanosarcinaceae</t>
  </si>
  <si>
    <t>Methanolobus</t>
  </si>
  <si>
    <t>Methanolobus sp. ZRKC3</t>
  </si>
  <si>
    <t>Bacteria;Pseudomonadota;Alphaproteobacteria;Rhodobacterales;Paracoccaceae;Gemmobacter;Gemmobacter denitrificans;</t>
  </si>
  <si>
    <t>Gemmobacter</t>
  </si>
  <si>
    <t>Gemmobacter denitrificans</t>
  </si>
  <si>
    <t>Bacteria;Actinomycetota;Actinomycetes;Micrococcales;Microbacteriaceae;Microbacterium;Microbacterium sp. Mu-80;</t>
  </si>
  <si>
    <t>Microbacterium sp. Mu-80</t>
  </si>
  <si>
    <t>Bacteria;Pseudomonadota;Alphaproteobacteria;Acetobacterales;Roseomonadaceae;Roseomonas;Roseomonas populi;</t>
  </si>
  <si>
    <t>Roseomonas populi</t>
  </si>
  <si>
    <t>Bacteria;Pseudomonadota;Alphaproteobacteria;Sphingomonadales;Erythrobacteraceae;Croceibacterium;Croceibacterium sp. TMG7-5b_MA50;</t>
  </si>
  <si>
    <t>Erythrobacteraceae</t>
  </si>
  <si>
    <t>Croceibacterium</t>
  </si>
  <si>
    <t>Croceibacterium sp. TMG7-5b_MA50</t>
  </si>
  <si>
    <t>Bacteria;Cyanobacteriota;Cyanophyceae;Nostocales;Scytonemataceae;Scytonema;Scytonema sp. PRP1;</t>
  </si>
  <si>
    <t>Nostocales</t>
  </si>
  <si>
    <t>Scytonemataceae</t>
  </si>
  <si>
    <t>Scytonema</t>
  </si>
  <si>
    <t>Scytonema sp. PRP1</t>
  </si>
  <si>
    <t>Bacteria;Pseudomonadota;Alphaproteobacteria;Magnetococcales;Magnetococcaceae;Magnetococcus;Magnetococcus sp. PR-3;</t>
  </si>
  <si>
    <t>Magnetococcales</t>
  </si>
  <si>
    <t>Magnetococcaceae</t>
  </si>
  <si>
    <t>Magnetococcus</t>
  </si>
  <si>
    <t>Magnetococcus sp. PR-3</t>
  </si>
  <si>
    <t>Bacteria;Pseudomonadota;Alphaproteobacteria;Hyphomicrobiales;Xanthobacteraceae;Xanthobacter;Xanthobacter sp. DSM 14517;</t>
  </si>
  <si>
    <t>Xanthobacter sp. DSM 14517</t>
  </si>
  <si>
    <t>Bacteria;Pseudomonadota;Alphaproteobacteria;Hyphomicrobiales;Xanthobacteraceae;Xanthobacter;Xanthobacter sp. V2C-9;</t>
  </si>
  <si>
    <t>Xanthobacter sp. V2C-9</t>
  </si>
  <si>
    <t>Bacteria;Pseudomonadota;Alphaproteobacteria;Hyphomicrobiales;Xanthobacteraceae;Xanthobacter;Xanthobacter sp. V3C-3;</t>
  </si>
  <si>
    <t>Xanthobacter sp. V3C-3</t>
  </si>
  <si>
    <t>Bacteria;Pseudomonadota;Alphaproteobacteria;Hyphomicrobiales;Xanthobacteraceae;Xanthobacter;Xanthobacter sp. V4C-4;</t>
  </si>
  <si>
    <t>Xanthobacter sp. V4C-4</t>
  </si>
  <si>
    <t>Bacteria;Pseudomonadota;Alphaproteobacteria;Hyphomicrobiales;Xanthobacteraceae;Xanthobacter;Xanthobacter sp. VTT E-85238;</t>
  </si>
  <si>
    <t>Xanthobacter sp. VTT E-85238</t>
  </si>
  <si>
    <t>Bacteria;Pseudomonadota;Betaproteobacteria;Burkholderiales;Sphaerotilaceae;Roseateles;Roseateles microcysteis;</t>
  </si>
  <si>
    <t>Roseateles microcysteis</t>
  </si>
  <si>
    <t>Bacteria;Actinomycetota;Actinomycetes;Micrococcales;Microbacteriaceae;Subtercola;Subtercola sp. YIM 133946;</t>
  </si>
  <si>
    <t>Subtercola</t>
  </si>
  <si>
    <t>Subtercola sp. YIM 133946</t>
  </si>
  <si>
    <t>Bacteria;Pseudomonadota;Alphaproteobacteria;Rhodobacterales;Paracoccaceae;Pseudotabrizicola;Pseudotabrizicola sp. L79;</t>
  </si>
  <si>
    <t>Pseudotabrizicola</t>
  </si>
  <si>
    <t>Pseudotabrizicola sp. L79</t>
  </si>
  <si>
    <t>Bacteria;Pseudomonadota;Alphaproteobacteria;Hyphomicrobiales;Nitrobacteraceae;Bradyrhizobium;Bradyrhizobium sp. AZCC 2289;</t>
  </si>
  <si>
    <t>Bradyrhizobium sp. AZCC 2289</t>
  </si>
  <si>
    <t>Bacteria;Pseudomonadota;Alphaproteobacteria;Hyphomicrobiales;Nitrobacteraceae;Bradyrhizobium;Bradyrhizobium sp. AZCC 2230;</t>
  </si>
  <si>
    <t>Bradyrhizobium sp. AZCC 2230</t>
  </si>
  <si>
    <t>Bacteria;Actinomycetota;Actinomycetes;Mycobacteriales;Gordoniaceae;Gordonia;Gordonia sesuvii;</t>
  </si>
  <si>
    <t>Gordoniaceae</t>
  </si>
  <si>
    <t>Gordonia</t>
  </si>
  <si>
    <t>Gordonia sesuvii</t>
  </si>
  <si>
    <t>Bacteria;Pseudomonadota;Alphaproteobacteria;Sphingomonadales;Sphingomonadaceae;Sphingobium;Sphingobium sp. MK2;</t>
  </si>
  <si>
    <t>Sphingobium sp. MK2</t>
  </si>
  <si>
    <t>Bacteria;Pseudomonadota;Gammaproteobacteria;Pseudomonadales;Pseudomonadaceae;Pseudomonas;Pseudomonas ulcerans;</t>
  </si>
  <si>
    <t>Pseudomonas ulcerans</t>
  </si>
  <si>
    <t>Bacteria;Bacillota;Clostridia;Eubacteriales;Desulfitobacteriaceae;Desulfosporosinus;Desulfosporosinus paludis;</t>
  </si>
  <si>
    <t>Desulfitobacteriaceae</t>
  </si>
  <si>
    <t>Desulfosporosinus</t>
  </si>
  <si>
    <t>Desulfosporosinus paludis</t>
  </si>
  <si>
    <t>Bacteria;Pseudomonadota;Betaproteobacteria;Rhodocyclales;Zoogloeaceae;Uliginosibacterium;Uliginosibacterium sp. H3;</t>
  </si>
  <si>
    <t>Uliginosibacterium</t>
  </si>
  <si>
    <t>Uliginosibacterium sp. H3</t>
  </si>
  <si>
    <t>Bacteria;Pseudomonadota;Alphaproteobacteria;Acetobacterales;Acetobacteraceae;Pararoseomonas;Pararoseomonas sp. SCSIO 73927;</t>
  </si>
  <si>
    <t>Acetobacteraceae</t>
  </si>
  <si>
    <t>Pararoseomonas</t>
  </si>
  <si>
    <t>Pararoseomonas sp. SCSIO 73927</t>
  </si>
  <si>
    <t>Bacteria;Bacteroidota;Sphingobacteriia;Sphingobacteriales;Sphingobacteriaceae;Pedobacter;Pedobacter albus;</t>
  </si>
  <si>
    <t>Pedobacter albus</t>
  </si>
  <si>
    <t>Bacteria;Bacteroidota;Flavobacteriia;Flavobacteriales;Weeksellaceae;Bergeyella;Bergeyella sp. RCAD1439;</t>
  </si>
  <si>
    <t>Bergeyella</t>
  </si>
  <si>
    <t>Bergeyella sp. RCAD1439</t>
  </si>
  <si>
    <t>Bacteria;Pseudomonadota;Alphaproteobacteria;Hyphomicrobiales;Rhizobiaceae;Shinella;Shinella sp. SG148;</t>
  </si>
  <si>
    <t>Shinella sp. SG148</t>
  </si>
  <si>
    <t>Bacteria;Pseudomonadota;Alphaproteobacteria;Hyphomicrobiales;Aurantimonadaceae;Aurantimonas;Aurantimonas sp. A2-1-M11;</t>
  </si>
  <si>
    <t>Aurantimonadaceae</t>
  </si>
  <si>
    <t>Aurantimonas</t>
  </si>
  <si>
    <t>Aurantimonas sp. A2-1-M11</t>
  </si>
  <si>
    <t>Bacteria;Bacteroidota;Sphingobacteriia;Sphingobacteriales;Sphingobacteriaceae;Sphingobacterium;Sphingobacterium sp. R2;</t>
  </si>
  <si>
    <t>Sphingobacterium</t>
  </si>
  <si>
    <t>Sphingobacterium sp. R2</t>
  </si>
  <si>
    <t>Bacteria;Pseudomonadota;Betaproteobacteria;Burkholderiales;Sphaerotilaceae;Ideonella;Ideonella sp. BN130291;</t>
  </si>
  <si>
    <t>Ideonella</t>
  </si>
  <si>
    <t>Ideonella sp. BN130291</t>
  </si>
  <si>
    <t>Bacteria;Pseudomonadota;Betaproteobacteria;Burkholderiales;Burkholderiaceae;Paraburkholderia;Paraburkholderia sp. MPAMCS5;</t>
  </si>
  <si>
    <t>Paraburkholderia</t>
  </si>
  <si>
    <t>Paraburkholderia sp. MPAMCS5</t>
  </si>
  <si>
    <t>Bacteria;Pseudomonadota;Betaproteobacteria;Burkholderiales;Comamonadaceae;Variovorax;Variovorax sp. H27-G14;</t>
  </si>
  <si>
    <t>Variovorax sp. H27-G14</t>
  </si>
  <si>
    <t>Bacteria;Pseudomonadota;Gammaproteobacteria;Pseudomonadales;Pseudomonadaceae;Pseudomonas;Pseudomonas sp. S3(2024);</t>
  </si>
  <si>
    <t>Pseudomonas sp. S3(2024)</t>
  </si>
  <si>
    <t>Bacteria;Actinomycetota;Actinomycetes;Micrococcales;Microbacteriaceae;Lacisediminihabitans;Lacisediminihabitans sp. H27-G8;</t>
  </si>
  <si>
    <t>Lacisediminihabitans</t>
  </si>
  <si>
    <t>Lacisediminihabitans sp. H27-G8</t>
  </si>
  <si>
    <t>Bacteria;Bacillota;Clostridia;Eubacteriales;Eubacteriales Family XIII. Incertae Sedis;Sinanaerobacter;Sinanaerobacter sp. ZZT-01;</t>
  </si>
  <si>
    <t>Eubacteriales Family XIII. Incertae Sedis</t>
  </si>
  <si>
    <t>Sinanaerobacter</t>
  </si>
  <si>
    <t>Sinanaerobacter sp. ZZT-01</t>
  </si>
  <si>
    <t>Bacteria;Cyanobacteriota;Cyanophyceae;Nostocales;Calotrichaceae;Calothrix;Calothrix sp. UHCC 0171;</t>
  </si>
  <si>
    <t>Calotrichaceae</t>
  </si>
  <si>
    <t>Calothrix</t>
  </si>
  <si>
    <t>Calothrix sp. UHCC 0171</t>
  </si>
  <si>
    <t>Bacteria;Cyanobacteriota;Cyanophyceae;Nostocales;Rivulariaceae;Rivularia;Rivularia sp. UHCC 0363;</t>
  </si>
  <si>
    <t>Rivulariaceae</t>
  </si>
  <si>
    <t>Rivularia</t>
  </si>
  <si>
    <t>Rivularia sp. UHCC 0363</t>
  </si>
  <si>
    <t>Bacteria;Pseudomonadota;Gammaproteobacteria;Enterobacterales;Enterobacteriaceae;Lelliottia;Lelliottia sp. JS-SCA-14;</t>
  </si>
  <si>
    <t>Lelliottia</t>
  </si>
  <si>
    <t>Lelliottia sp. JS-SCA-14</t>
  </si>
  <si>
    <t>Bacteria;Bacteroidota;Flavobacteriia;Flavobacteriales;Weeksellaceae;Chryseobacterium;Chryseobacterium sp. MHB01;</t>
  </si>
  <si>
    <t>Chryseobacterium sp. MHB01</t>
  </si>
  <si>
    <t>Bacteria;Bacillota;Tissierellia;NA;NA;Sedimentibacter;Sedimentibacter sp. MB31-C6;</t>
  </si>
  <si>
    <t>Tissierellia</t>
  </si>
  <si>
    <t>Sedimentibacter</t>
  </si>
  <si>
    <t>Sedimentibacter sp. MB31-C6</t>
  </si>
  <si>
    <t>Bacteria;Bacteroidota;Cytophagia;Cytophagales;Cyclobacteriaceae;Algoriphagus;Algoriphagus sp. C2-6-M1;</t>
  </si>
  <si>
    <t>Cyclobacteriaceae</t>
  </si>
  <si>
    <t>Algoriphagus</t>
  </si>
  <si>
    <t>Algoriphagus sp. C2-6-M1</t>
  </si>
  <si>
    <t>Bacteria;Pseudomonadota;Gammaproteobacteria;Enterobacterales;Erwiniaceae;Erwinia;Erwinia sp. MYb416;</t>
  </si>
  <si>
    <t>Erwinia sp. MYb416</t>
  </si>
  <si>
    <t>Bacteria;Pseudomonadota;Betaproteobacteria;Burkholderiales;Burkholderiaceae;Polynucleobacter;Polynucleobacter sp. AP-Sanab-80-C2;</t>
  </si>
  <si>
    <t>Polynucleobacter</t>
  </si>
  <si>
    <t>Polynucleobacter sp. AP-Sanab-80-C2</t>
  </si>
  <si>
    <t>Bacteria;Pseudomonadota;Alphaproteobacteria;Sphingomonadales;Sphingomonadaceae;Sphingomonas;Sphingomonas rustica;</t>
  </si>
  <si>
    <t>Sphingomonas rustica</t>
  </si>
  <si>
    <t>Bacteria;Pseudomonadota;Gammaproteobacteria;Enterobacterales;Morganellaceae;Providencia;Providencia xianensis;</t>
  </si>
  <si>
    <t>Morganellaceae</t>
  </si>
  <si>
    <t>Providencia</t>
  </si>
  <si>
    <t>Providencia xianensis</t>
  </si>
  <si>
    <t>Bacteria;Pseudomonadota;Alphaproteobacteria;Sphingomonadales;Erythrobacteraceae;Erythrobacter;Erythrobacter sp. T5W1-R;</t>
  </si>
  <si>
    <t>Erythrobacter</t>
  </si>
  <si>
    <t>Erythrobacter sp. T5W1-R</t>
  </si>
  <si>
    <t>Bacteria;Pseudomonadota;Alphaproteobacteria;Rhodobacterales;Paracoccaceae;Paracoccus;Paracoccus sp. R86501;</t>
  </si>
  <si>
    <t>Paracoccus</t>
  </si>
  <si>
    <t>Paracoccus sp. R86501</t>
  </si>
  <si>
    <t>Bacteria;Pseudomonadota;Alphaproteobacteria;Hyphomicrobiales;Boseaceae;Bosea;Bosea sp. R86505;</t>
  </si>
  <si>
    <t>Bosea sp. R86505</t>
  </si>
  <si>
    <t>Bacteria;Bacillota;Bacilli;Bacillales;Bacillaceae;Bacillus;Bacillus sp. R86525;</t>
  </si>
  <si>
    <t>Bacillus sp. R86525</t>
  </si>
  <si>
    <t>Bacteria;Pseudomonadota;Betaproteobacteria;Burkholderiales;Comamonadaceae;Hydrogenophaga;Hydrogenophaga sp. SNF1;</t>
  </si>
  <si>
    <t>Hydrogenophaga sp. SNF1</t>
  </si>
  <si>
    <t>Bacteria;Pseudomonadota;Betaproteobacteria;Burkholderiales;Sphaerotilaceae;Roseateles;Roseateles agri;</t>
  </si>
  <si>
    <t>Roseateles agri</t>
  </si>
  <si>
    <t>Bacteria;Pseudomonadota;Gammaproteobacteria;Lysobacterales;Lysobacteraceae;Lysobacter;Lysobacter sp. A3-1-A15;</t>
  </si>
  <si>
    <t>Lysobacter</t>
  </si>
  <si>
    <t>Lysobacter sp. A3-1-A15</t>
  </si>
  <si>
    <t>Bacteria;Bacteroidota;Flavobacteriia;Flavobacteriales;Flavobacteriaceae;Aquimarina;Aquimarina sp. 2201CG5-10;</t>
  </si>
  <si>
    <t>Aquimarina</t>
  </si>
  <si>
    <t>Aquimarina sp. 2201CG5-10</t>
  </si>
  <si>
    <t>Bacteria;Bacillota;Bacilli;Bacillales;Bacillaceae;Robertmurraya;Robertmurraya mangrovi;</t>
  </si>
  <si>
    <t>Robertmurraya</t>
  </si>
  <si>
    <t>Robertmurraya mangrovi</t>
  </si>
  <si>
    <t>Bacteria;Pseudomonadota;Alphaproteobacteria;Hyphomicrobiales;Aurantimonadaceae;Consotaella;Consotaella sp. CSK11QG-6;</t>
  </si>
  <si>
    <t>Consotaella</t>
  </si>
  <si>
    <t>Consotaella sp. CSK11QG-6</t>
  </si>
  <si>
    <t>Bacteria;Bacteroidota;Cytophagia;Cytophagales;Cyclobacteriaceae;Algoriphagus;Algoriphagus sp. NG3;</t>
  </si>
  <si>
    <t>Algoriphagus sp. NG3</t>
  </si>
  <si>
    <t>Bacteria;Bacillota;Bacilli;Bacillales;Bacillaceae;Bacillus;Bacillus sp. WOD8 KX774193;</t>
  </si>
  <si>
    <t>Bacillus sp. WOD8 KX774193</t>
  </si>
  <si>
    <t>Bacteria;Actinomycetota;Actinomycetes;Micrococcales;Microbacteriaceae;Microbacterium;Microbacterium sp. CFBP9034;</t>
  </si>
  <si>
    <t>Microbacterium sp. CFBP9034</t>
  </si>
  <si>
    <t>Bacteria;Bacteroidota;Sphingobacteriia;Sphingobacteriales;Sphingobacteriaceae;Pedobacter;Pedobacter sp. CFBP9032;</t>
  </si>
  <si>
    <t>Pedobacter sp. CFBP9032</t>
  </si>
  <si>
    <t>Bacteria;Bacteroidota;Flavobacteriia;Flavobacteriales;Flavobacteriaceae;Flavobacterium;Flavobacterium sp. CFBP9031;</t>
  </si>
  <si>
    <t>Flavobacterium sp. CFBP9031</t>
  </si>
  <si>
    <t>Bacteria;Actinomycetota;Actinomycetes;Micrococcales;Microbacteriaceae;Microbacterium;Microbacterium sp. CFBP9023;</t>
  </si>
  <si>
    <t>Microbacterium sp. CFBP9023</t>
  </si>
  <si>
    <t>Bacteria;Pseudomonadota;Gammaproteobacteria;Lysobacterales;Lysobacteraceae;Stenotrophomonas;Stenotrophomonas sp. CFBP8994;</t>
  </si>
  <si>
    <t>Stenotrophomonas sp. CFBP8994</t>
  </si>
  <si>
    <t>Bacteria;Pseudomonadota;Gammaproteobacteria;Enterobacterales;Enterobacteriaceae;Lelliottia;Lelliottia sp. CFBP8978;</t>
  </si>
  <si>
    <t>Lelliottia sp. CFBP8978</t>
  </si>
  <si>
    <t>Bacteria;Pseudomonadota;Alphaproteobacteria;Sphingomonadales;Sphingomonadaceae;Sphingomonas;Sphingomonas sp. LB2R24;</t>
  </si>
  <si>
    <t>Sphingomonas sp. LB2R24</t>
  </si>
  <si>
    <t>Bacteria;Pseudomonadota;Alphaproteobacteria;Sphingomonadales;Sphingomonadaceae;Sphingomonas;Sphingomonas sp. RT2P30;</t>
  </si>
  <si>
    <t>Sphingomonas sp. RT2P30</t>
  </si>
  <si>
    <t>Bacteria;Pseudomonadota;Alphaproteobacteria;Sphingomonadales;Sphingomonadaceae;Sphingomonas;Sphingomonas sp. ZT3P38;</t>
  </si>
  <si>
    <t>Sphingomonas sp. ZT3P38</t>
  </si>
  <si>
    <t>Bacteria;Pseudomonadota;Alphaproteobacteria;Sphingomonadales;Sphingomonadaceae;Sphingomonas;Sphingomonas sp. PB2P12;</t>
  </si>
  <si>
    <t>Sphingomonas sp. PB2P12</t>
  </si>
  <si>
    <t>Bacteria;Pseudomonadota;Alphaproteobacteria;Sphingomonadales;Sphingomonadaceae;Sphingomonas;Sphingomonas sp. PB4P5;</t>
  </si>
  <si>
    <t>Sphingomonas sp. PB4P5</t>
  </si>
  <si>
    <t>Bacteria;Pseudomonadota;Betaproteobacteria;Burkholderiales;Comamonadaceae;Acidovorax;Acidovorax sp. DW039;</t>
  </si>
  <si>
    <t>Acidovorax sp. DW039</t>
  </si>
  <si>
    <t>Bacteria;Bacillota;Bacilli;Bacillales;Bacillaceae;Bacillus;Bacillus sp. DAG6;</t>
  </si>
  <si>
    <t>Bacillus sp. DAG6</t>
  </si>
  <si>
    <t>Bacteria;Actinomycetota;Actinomycetes;Propionibacteriales;Nocardioidaceae;Nocardioides;Nocardioides bizhenqiangii;</t>
  </si>
  <si>
    <t>Nocardioides bizhenqiangii</t>
  </si>
  <si>
    <t>Bacteria;Actinomycetota;Actinomycetes;Micrococcales;Microbacteriaceae;Microbacterium;Microbacterium sp. R86528;</t>
  </si>
  <si>
    <t>Microbacterium sp. R86528</t>
  </si>
  <si>
    <t>Bacteria;Pseudomonadota;Alphaproteobacteria;Sphingomonadales;Sphingomonadaceae;Sphingomonas;Sphingomonas sp. R86520;</t>
  </si>
  <si>
    <t>Sphingomonas sp. R86520</t>
  </si>
  <si>
    <t>Bacteria;Pseudomonadota;Alphaproteobacteria;Caulobacterales;Caulobacteraceae;Brevundimonas;Brevundimonas sp. R86498;</t>
  </si>
  <si>
    <t>Brevundimonas sp. R86498</t>
  </si>
  <si>
    <t>Bacteria;Bacteroidota;Flavobacteriia;Flavobacteriales;Flavobacteriaceae;Flavobacterium;Flavobacterium sp. KACC 22761;</t>
  </si>
  <si>
    <t>Flavobacterium sp. KACC 22761</t>
  </si>
  <si>
    <t>Bacteria;Pseudomonadota;Alphaproteobacteria;Hyphomicrobiales;Phyllobacteriaceae;Mesorhizobium;Mesorhizobium sp. BAC0120;</t>
  </si>
  <si>
    <t>Mesorhizobium sp. BAC0120</t>
  </si>
  <si>
    <t>Bacteria;Actinomycetota;Actinomycetes;Mycobacteriales;Mycobacteriaceae;Mycolicibacterium;Mycolicibacterium sp. 050158;</t>
  </si>
  <si>
    <t>Mycolicibacterium</t>
  </si>
  <si>
    <t>Mycolicibacterium sp. 050158</t>
  </si>
  <si>
    <t>Bacteria;Pseudomonadota;Betaproteobacteria;Burkholderiales;NA;Xylophilus;Xylophilus sp. GOD-11R;</t>
  </si>
  <si>
    <t>Xylophilus</t>
  </si>
  <si>
    <t>Xylophilus sp. GOD-11R</t>
  </si>
  <si>
    <t>Bacteria;Bdellovibrionota;Bacteriovoracia;Bacteriovoracales;Bacteriovoracaceae;Bacteriovorax;Bacteriovorax antarcticus;</t>
  </si>
  <si>
    <t>Bacteriovorax</t>
  </si>
  <si>
    <t>Bacteriovorax antarcticus</t>
  </si>
  <si>
    <t>Bacteria;Pseudomonadota;Gammaproteobacteria;Pseudomonadales;Pseudomonadaceae;Pseudomonas;Pseudomonas sp. EA_35y_Pfl2_R111;</t>
  </si>
  <si>
    <t>Pseudomonas sp. EA_35y_Pfl2_R111</t>
  </si>
  <si>
    <t>Bacteria;Bacillota;Bacilli;Bacillales;Bacillaceae;Bacillus;Bacillus dicomae;</t>
  </si>
  <si>
    <t>Bacillus dicomae</t>
  </si>
  <si>
    <t>Bacteria;Cyanobacteriota;Cyanophyceae;Pseudanabaenales;Pseudanabaenaceae;Tumidithrix;Tumidithrix elongata;</t>
  </si>
  <si>
    <t>Pseudanabaenales</t>
  </si>
  <si>
    <t>Pseudanabaenaceae</t>
  </si>
  <si>
    <t>Tumidithrix</t>
  </si>
  <si>
    <t>Tumidithrix elongata</t>
  </si>
  <si>
    <t>Bacteria;Bacillota;Clostridia;Eubacteriales;Desulfotomaculaceae;Desulfotomaculum;Desulfotomaculum sp. 1211_IL3151;</t>
  </si>
  <si>
    <t>Desulfotomaculaceae</t>
  </si>
  <si>
    <t>Desulfotomaculum</t>
  </si>
  <si>
    <t>Desulfotomaculum sp. 1211_IL3151</t>
  </si>
  <si>
    <t>Bacteria;Cyanobacteriota;Cyanophyceae;Desertifilales;Desertifilaceae;Roseofilum;Roseofilum casamattae;</t>
  </si>
  <si>
    <t>Desertifilales</t>
  </si>
  <si>
    <t>Desertifilaceae</t>
  </si>
  <si>
    <t>Roseofilum</t>
  </si>
  <si>
    <t>Roseofilum casamattae</t>
  </si>
  <si>
    <t>Bacteria;Bacteroidota;Chitinophagia;Chitinophagales;Chitinophagaceae;Chitinophaga;Chitinophaga sp. YIM B06452;</t>
  </si>
  <si>
    <t>Chitinophaga sp. YIM B06452</t>
  </si>
  <si>
    <t>Bacteria;Pseudomonadota;Gammaproteobacteria;Oceanospirillales;Halomonadaceae;Salinicola;Salinicola sp. 4072;</t>
  </si>
  <si>
    <t>Oceanospirillales</t>
  </si>
  <si>
    <t>Halomonadaceae</t>
  </si>
  <si>
    <t>Salinicola</t>
  </si>
  <si>
    <t>Salinicola sp. 4072</t>
  </si>
  <si>
    <t>Bacteria;Pseudomonadota;Gammaproteobacteria;Aeromonadales;Aeromonadaceae;Aeromonas;Aeromonas sp. XH;</t>
  </si>
  <si>
    <t>Aeromonas sp. XH</t>
  </si>
  <si>
    <t>Bacteria;Bacillota;Clostridia;Lachnospirales;Lachnospiraceae;Anaerocolumna;Anaerocolumna sp. AGMB13020;</t>
  </si>
  <si>
    <t>Anaerocolumna</t>
  </si>
  <si>
    <t>Anaerocolumna sp. AGMB13020</t>
  </si>
  <si>
    <t>Bacteria;Bacteroidota;Flavobacteriia;Flavobacteriales;Flavobacteriaceae;Flavobacterium;Flavobacterium sp. DG1-102-2;</t>
  </si>
  <si>
    <t>Flavobacterium sp. DG1-102-2</t>
  </si>
  <si>
    <t>Bacteria;Actinomycetota;Actinomycetes;Micrococcales;Microbacteriaceae;Microbacterium;Microbacterium sp. USHLN272;</t>
  </si>
  <si>
    <t>Microbacterium sp. USHLN272</t>
  </si>
  <si>
    <t>Bacteria;Actinomycetota;Actinomycetes;Micrococcales;Microbacteriaceae;Microbacterium;Microbacterium sp. USHLN186;</t>
  </si>
  <si>
    <t>Microbacterium sp. USHLN186</t>
  </si>
  <si>
    <t>Bacteria;Pseudomonadota;Alphaproteobacteria;Hyphomicrobiales;Kaistiaceae;Kaistia;Kaistia sp. MMO-174;</t>
  </si>
  <si>
    <t>Kaistia sp. MMO-174</t>
  </si>
  <si>
    <t>Bacteria;Bacteroidota;Flavobacteriia;Flavobacteriales;Weeksellaceae;Chryseobacterium;Chryseobacterium sp. VD8;</t>
  </si>
  <si>
    <t>Chryseobacterium sp. VD8</t>
  </si>
  <si>
    <t>Bacteria;Pseudomonadota;Gammaproteobacteria;Aeromonadales;Aeromonadaceae;Aeromonas;Aeromonas sp. CD;</t>
  </si>
  <si>
    <t>Aeromonas sp. CD</t>
  </si>
  <si>
    <t>Bacteria;Pseudomonadota;Alphaproteobacteria;Hyphomicrobiales;Boseaceae;Bosea;Bosea sp. 685;</t>
  </si>
  <si>
    <t>Bosea sp. 685</t>
  </si>
  <si>
    <t>Bacteria;Bacteroidota;Sphingobacteriia;Sphingobacteriales;Sphingobacteriaceae;Olivibacter;Olivibacter sp. CPCC 100613;</t>
  </si>
  <si>
    <t>Olivibacter</t>
  </si>
  <si>
    <t>Olivibacter sp. CPCC 100613</t>
  </si>
  <si>
    <t>Bacteria;Actinomycetota;Actinomycetes;Micrococcales;Microbacteriaceae;Microbacterium;Microbacterium sp. KSW-48;</t>
  </si>
  <si>
    <t>Microbacterium sp. KSW-48</t>
  </si>
  <si>
    <t>Bacteria;Pseudomonadota;Alphaproteobacteria;Rhodobacterales;Roseobacteraceae;Roseobacter;Roseobacter sp. HKCCA0434;</t>
  </si>
  <si>
    <t>Roseobacter</t>
  </si>
  <si>
    <t>Roseobacter sp. HKCCA0434</t>
  </si>
  <si>
    <t>Bacteria;Pseudomonadota;Alphaproteobacteria;Hyphomicrobiales;Segnochrobactraceae;Pseudoxanthobacter;Pseudoxanthobacter sp. M-2;</t>
  </si>
  <si>
    <t>Segnochrobactraceae</t>
  </si>
  <si>
    <t>Pseudoxanthobacter</t>
  </si>
  <si>
    <t>Pseudoxanthobacter sp. M-2</t>
  </si>
  <si>
    <t>Bacteria;Pseudomonadota;Gammaproteobacteria;Enterobacterales;Enterobacteriaceae;Candidatus Regiella;Candidatus Regiella endosymbiont of Tuberolachnus salignus;</t>
  </si>
  <si>
    <t>Candidatus Regiella</t>
  </si>
  <si>
    <t>Candidatus Regiella endosymbiont of Tuberolachnus salignus</t>
  </si>
  <si>
    <t>Bacteria;Pseudomonadota;Betaproteobacteria;Burkholderiales;Alcaligenaceae;Achromobacter;Achromobacter sp. ESBL13;</t>
  </si>
  <si>
    <t>Achromobacter</t>
  </si>
  <si>
    <t>Achromobacter sp. ESBL13</t>
  </si>
  <si>
    <t>Bacteria;Pseudomonadota;Betaproteobacteria;Burkholderiales;Comamonadaceae;Curvibacter;Curvibacter sp. APW13;</t>
  </si>
  <si>
    <t>Curvibacter</t>
  </si>
  <si>
    <t>Curvibacter sp. APW13</t>
  </si>
  <si>
    <t>Bacteria;Pseudomonadota;Betaproteobacteria;Burkholderiales;Sphaerotilaceae;Roseateles;Roseateles aquae;</t>
  </si>
  <si>
    <t>Roseateles aquae</t>
  </si>
  <si>
    <t>Bacteria;Bacteroidota;Chitinophagia;Chitinophagales;Chitinophagaceae;Paraflavitalea;Paraflavitalea speifideaquila;</t>
  </si>
  <si>
    <t>Paraflavitalea</t>
  </si>
  <si>
    <t>Paraflavitalea speifideaquila</t>
  </si>
  <si>
    <t>Bacteria;Actinomycetota;Actinomycetes;Pseudonocardiales;Pseudonocardiaceae;Umezawaea;Umezawaea sp. Da 62-37;</t>
  </si>
  <si>
    <t>Umezawaea</t>
  </si>
  <si>
    <t>Umezawaea sp. Da 62-37</t>
  </si>
  <si>
    <t>Bacteria;Pseudomonadota;Alphaproteobacteria;Sphingomonadales;Sphingomonadaceae;Facivitalis;Facivitalis istanbulensis;</t>
  </si>
  <si>
    <t>Facivitalis</t>
  </si>
  <si>
    <t>Facivitalis istanbulensis</t>
  </si>
  <si>
    <t>Bacteria;Pseudomonadota;Gammaproteobacteria;Alteromonadales;Alteromonadaceae;Glaciecola;Glaciecola petra;</t>
  </si>
  <si>
    <t>Alteromonadales</t>
  </si>
  <si>
    <t>Alteromonadaceae</t>
  </si>
  <si>
    <t>Glaciecola</t>
  </si>
  <si>
    <t>Glaciecola petra</t>
  </si>
  <si>
    <t>Bacteria;Pseudomonadota;Gammaproteobacteria;Pseudomonadales;Pseudomonadaceae;Pseudomonas;Pseudomonas sp. C11;</t>
  </si>
  <si>
    <t>Pseudomonas sp. C11</t>
  </si>
  <si>
    <t>Bacteria;Cyanobacteriota;Cyanophyceae;Nostocales;Nostocaceae;Nostoc;Nostoc sp. ChiQUE01b;</t>
  </si>
  <si>
    <t>Nostocaceae</t>
  </si>
  <si>
    <t>Nostoc</t>
  </si>
  <si>
    <t>Nostoc sp. ChiQUE01b</t>
  </si>
  <si>
    <t>Bacteria;Bacillota;Clostridia;Lachnospirales;Vallitaleaceae;Vallitalea;Vallitalea sp. AN17-2;</t>
  </si>
  <si>
    <t>Vallitaleaceae</t>
  </si>
  <si>
    <t>Vallitalea</t>
  </si>
  <si>
    <t>Vallitalea sp. AN17-2</t>
  </si>
  <si>
    <t>Bacteria;Pseudomonadota;Alphaproteobacteria;Rhodobacterales;Paracoccaceae;Paracoccus;Paracoccus aurantius;</t>
  </si>
  <si>
    <t>Paracoccus aurantius</t>
  </si>
  <si>
    <t>Bacteria;Pseudomonadota;Alphaproteobacteria;Sphingomonadales;Sphingomonadaceae;Sphingobium;Sphingobium sp. WCS2017Hpa-17;</t>
  </si>
  <si>
    <t>Sphingobium sp. WCS2017Hpa-17</t>
  </si>
  <si>
    <t>Bacteria;Pseudomonadota;Alphaproteobacteria;Rhodobacterales;Paracoccaceae;Ruixingdingia;Ruixingdingia sedimenti;</t>
  </si>
  <si>
    <t>Ruixingdingia</t>
  </si>
  <si>
    <t>Ruixingdingia sedimenti</t>
  </si>
  <si>
    <t>Bacteria;Actinomycetota;Actinomycetes;Mycobacteriales;Mycobacteriaceae;Mycobacterium;Mycobacterium sp. Z3061;</t>
  </si>
  <si>
    <t>Mycobacterium sp. Z3061</t>
  </si>
  <si>
    <t>Bacteria;Fusobacteriota;Fusobacteriia;Fusobacteriales;Fusobacteriaceae;Cetobacterium;Candidatus Cetobacterium colombiensis;</t>
  </si>
  <si>
    <t>Fusobacteriota</t>
  </si>
  <si>
    <t>Fusobacteriia</t>
  </si>
  <si>
    <t>Fusobacteriales</t>
  </si>
  <si>
    <t>Fusobacteriaceae</t>
  </si>
  <si>
    <t>Cetobacterium</t>
  </si>
  <si>
    <t>Candidatus Cetobacterium colombiensis</t>
  </si>
  <si>
    <t>Bacteria;Pseudomonadota;Alphaproteobacteria;Hyphomicrobiales;Phyllobacteriaceae;Mesorhizobium;Mesorhizobium humile;</t>
  </si>
  <si>
    <t>Mesorhizobium humile</t>
  </si>
  <si>
    <t>Bacteria;Actinomycetota;Actinomycetes;Micrococcales;Microbacteriaceae;Glaciihabitans;Glaciihabitans sp. GrIS 2.15;</t>
  </si>
  <si>
    <t>Glaciihabitans sp. GrIS 2.15</t>
  </si>
  <si>
    <t>Bacteria;Pseudomonadota;Betaproteobacteria;Burkholderiales;Comamonadaceae;Variovorax;Variovorax sp. GrIS 2.14;</t>
  </si>
  <si>
    <t>Variovorax sp. GrIS 2.14</t>
  </si>
  <si>
    <t>Bacteria;Pseudomonadota;Betaproteobacteria;Burkholderiales;Comamonadaceae;Polaromonas;Polaromonas sp. CG_9.5;</t>
  </si>
  <si>
    <t>Polaromonas</t>
  </si>
  <si>
    <t>Polaromonas sp. CG_9.5</t>
  </si>
  <si>
    <t>Bacteria;Pseudomonadota;Alphaproteobacteria;Hyphomicrobiales;Phyllobacteriaceae;Mesorhizobium;Mesorhizobium sp. LHD-90;</t>
  </si>
  <si>
    <t>Mesorhizobium sp. LHD-90</t>
  </si>
  <si>
    <t>Bacteria;Bacteroidota;Cytophagia;Cytophagales;Spirosomataceae;Dyadobacter;Dyadobacter sp. LHD-138;</t>
  </si>
  <si>
    <t>Dyadobacter</t>
  </si>
  <si>
    <t>Dyadobacter sp. LHD-138</t>
  </si>
  <si>
    <t>Bacteria;Bacteroidota;Flavobacteriia;Flavobacteriales;Flavobacteriaceae;Flavobacterium;Flavobacterium sp. LHD-80;</t>
  </si>
  <si>
    <t>Flavobacterium sp. LHD-80</t>
  </si>
  <si>
    <t>Bacteria;Bacteroidota;Flavobacteriia;Flavobacteriales;Flavobacteriaceae;Flavobacterium;Flavobacterium sp. LHD-85;</t>
  </si>
  <si>
    <t>Flavobacterium sp. LHD-85</t>
  </si>
  <si>
    <t>Bacteria;Bacillota;Tissierellia;Tissierellales;Tissierellaceae;Tissierella;Tissierella sp. MB52-C2;</t>
  </si>
  <si>
    <t>Tissierellales</t>
  </si>
  <si>
    <t>Tissierellaceae</t>
  </si>
  <si>
    <t>Tissierella</t>
  </si>
  <si>
    <t>Tissierella sp. MB52-C2</t>
  </si>
  <si>
    <t>Bacteria;Bacillota;Clostridia;Lachnospirales;Lachnospiraceae;Anaerocolumna;Anaerocolumna sp. MB42-C2;</t>
  </si>
  <si>
    <t>Anaerocolumna sp. MB42-C2</t>
  </si>
  <si>
    <t>Bacteria;Bacillota;Clostridia;Eubacteriales;Clostridiaceae;Clostridium;Clostridium sp. MB40-C1;</t>
  </si>
  <si>
    <t>Clostridium sp. MB40-C1</t>
  </si>
  <si>
    <t>Bacteria;Bacillota;Tissierellia;NA;NA;Sedimentibacter;Sedimentibacter sp. MB35-C1;</t>
  </si>
  <si>
    <t>Sedimentibacter sp. MB35-C1</t>
  </si>
  <si>
    <t>Bacteria;Bacillota;Clostridia;Eubacteriales;Clostridiaceae;Clostridium;Clostridium sp. OS1-26;</t>
  </si>
  <si>
    <t>Clostridium sp. OS1-26</t>
  </si>
  <si>
    <t>Bacteria;Bacillota;Bacilli;Bacillales;Bacillaceae;Neobacillus;Neobacillus sp. PS3-40;</t>
  </si>
  <si>
    <t>Neobacillus sp. PS3-40</t>
  </si>
  <si>
    <t>Bacteria;Bacillota;Clostridia;Eubacteriales;Oscillospiraceae;Paludihabitans;Paludicola sp. MB14-C6;</t>
  </si>
  <si>
    <t>Oscillospiraceae</t>
  </si>
  <si>
    <t>Paludihabitans</t>
  </si>
  <si>
    <t>Paludicola sp. MB14-C6</t>
  </si>
  <si>
    <t>Bacteria;Pseudomonadota;Alphaproteobacteria;Hyphomicrobiales;Rhodoligotrophaceae;Rhodoligotrophos;Rhodoligotrophos sp. CJ14;</t>
  </si>
  <si>
    <t>Rhodoligotrophaceae</t>
  </si>
  <si>
    <t>Rhodoligotrophos</t>
  </si>
  <si>
    <t>Rhodoligotrophos sp. CJ14</t>
  </si>
  <si>
    <t>Bacteria;Acidobacteriota;Holophagae;Holophagales;Holophagaceae;Geothrix;Geothrix sp. PMB-07;</t>
  </si>
  <si>
    <t>Acidobacteriota</t>
  </si>
  <si>
    <t>Holophagae</t>
  </si>
  <si>
    <t>Holophagales</t>
  </si>
  <si>
    <t>Holophagaceae</t>
  </si>
  <si>
    <t>Geothrix</t>
  </si>
  <si>
    <t>Geothrix sp. PMB-07</t>
  </si>
  <si>
    <t>Bacteria;Pseudomonadota;Betaproteobacteria;Burkholderiales;Oxalobacteraceae;Telluria;Telluria beijingensis;</t>
  </si>
  <si>
    <t>Telluria</t>
  </si>
  <si>
    <t>Telluria beijingensis</t>
  </si>
  <si>
    <t>Bacteria;Pseudomonadota;Alphaproteobacteria;Hyphomicrobiales;Boseaceae;Bosea;Bosea beijingensis;</t>
  </si>
  <si>
    <t>Bosea beijingensis</t>
  </si>
  <si>
    <t>Bacteria;Pseudomonadota;Betaproteobacteria;Burkholderiales;Comamonadaceae;Rhodoferax;Rhodoferax mekongensis;</t>
  </si>
  <si>
    <t>Rhodoferax mekongensis</t>
  </si>
  <si>
    <t>Bacteria;Actinomycetota;Actinomycetes;Micrococcales;Microbacteriaceae;Microbacterium;Microbacterium psychrotolerans;</t>
  </si>
  <si>
    <t>Microbacterium psychrotolerans</t>
  </si>
  <si>
    <t>Bacteria;Pseudomonadota;Alphaproteobacteria;Caulobacterales;Caulobacteraceae;Brevundimonas;Brevundimonas sp. C43;</t>
  </si>
  <si>
    <t>Brevundimonas sp. C43</t>
  </si>
  <si>
    <t>Bacteria;Pseudomonadota;Gammaproteobacteria;Pseudomonadales;Marinobacteraceae;Marinobacter;Marinobacter sp. MDS2;</t>
  </si>
  <si>
    <t>Marinobacteraceae</t>
  </si>
  <si>
    <t>Marinobacter</t>
  </si>
  <si>
    <t>Marinobacter sp. MDS2</t>
  </si>
  <si>
    <t>Bacteria;Pseudomonadota;Betaproteobacteria;Burkholderiales;Comamonadaceae;Variovorax;Variovorax sp. V213;</t>
  </si>
  <si>
    <t>Variovorax sp. V213</t>
  </si>
  <si>
    <t>Bacteria;Pseudomonadota;Betaproteobacteria;Burkholderiales;Oxalobacteraceae;Janthinobacterium;Janthinobacterium sp. J1-1;</t>
  </si>
  <si>
    <t>Janthinobacterium sp. J1-1</t>
  </si>
  <si>
    <t>Bacteria;Bacteroidota;Flavobacteriia;Flavobacteriales;Flavobacteriaceae;Flavobacterium;Flavobacterium sp. LAR06;</t>
  </si>
  <si>
    <t>Flavobacterium sp. LAR06</t>
  </si>
  <si>
    <t>Bacteria;Pseudomonadota;Alphaproteobacteria;Acetobacterales;Roseomonadaceae;Paracraurococcus;Paracraurococcus lichenis;</t>
  </si>
  <si>
    <t>Paracraurococcus</t>
  </si>
  <si>
    <t>Paracraurococcus lichenis</t>
  </si>
  <si>
    <t>Bacteria;Bacillota;Clostridia;Eubacteriales;Clostridiaceae;Clostridium;Clostridium sp. JS66;</t>
  </si>
  <si>
    <t>Clostridium sp. JS66</t>
  </si>
  <si>
    <t>Bacteria;Actinomycetota;Actinomycetes;Micrococcales;Cellulomonadaceae;Actinotalea;Actinotalea lenta;</t>
  </si>
  <si>
    <t>Actinotalea</t>
  </si>
  <si>
    <t>Actinotalea lenta</t>
  </si>
  <si>
    <t>Bacteria;Actinomycetota;Actinomycetes;Micrococcales;Microbacteriaceae;Salinibacterium;Salinibacterium soli;</t>
  </si>
  <si>
    <t>Salinibacterium soli</t>
  </si>
  <si>
    <t>Bacteria;Pseudomonadota;Gammaproteobacteria;Pseudomonadales;Pseudomonadaceae;Pseudomonas;Pseudomonas serbiensis;</t>
  </si>
  <si>
    <t>Pseudomonas serbiensis</t>
  </si>
  <si>
    <t>Bacteria;Pseudomonadota;Gammaproteobacteria;Pseudomonadales;Pseudomonadaceae;Pseudomonas;Pseudomonas citrulli;</t>
  </si>
  <si>
    <t>Pseudomonas citrulli</t>
  </si>
  <si>
    <t>Bacteria;Pseudomonadota;Alphaproteobacteria;Rhodospirillales;Dongiaceae;Dongia;Dongia sedimenti;</t>
  </si>
  <si>
    <t>Dongiaceae</t>
  </si>
  <si>
    <t>Dongia</t>
  </si>
  <si>
    <t>Dongia sedimenti</t>
  </si>
  <si>
    <t>Bacteria;Pseudomonadota;Alphaproteobacteria;Sphingomonadales;Sphingomonadaceae;Sphingomonas;Sphingomonas immobilis;</t>
  </si>
  <si>
    <t>Sphingomonas immobilis</t>
  </si>
  <si>
    <t>Bacteria;Pseudomonadota;Alphaproteobacteria;Sphingomonadales;Sphingomonadaceae;Sphingomonas;Sphingomonas natans;</t>
  </si>
  <si>
    <t>Sphingomonas natans</t>
  </si>
  <si>
    <t>Bacteria;Bacteroidota;Chitinophagia;Chitinophagales;Chitinophagaceae;Flavitalea;Flavitalea sp. BT771;</t>
  </si>
  <si>
    <t>Flavitalea</t>
  </si>
  <si>
    <t>Flavitalea sp. BT771</t>
  </si>
  <si>
    <t>Bacteria;Bacillota;Bacilli;Bacillales;Staphylococcaceae;Staphylococcus;Staphylococcus pasteuri_A;</t>
  </si>
  <si>
    <t>Staphylococcaceae</t>
  </si>
  <si>
    <t>Staphylococcus</t>
  </si>
  <si>
    <t>Staphylococcus pasteuri_A</t>
  </si>
  <si>
    <t>Bacteria;Bacteroidota;Sphingobacteriia;Sphingobacteriales;Sphingobacteriaceae;Mucilaginibacter;Mucilaginibacter sp. L3T2-6;</t>
  </si>
  <si>
    <t>Mucilaginibacter sp. L3T2-6</t>
  </si>
  <si>
    <t>Bacteria;Bacteroidota;Sphingobacteriia;Sphingobacteriales;Sphingobacteriaceae;Mucilaginibacter;Mucilaginibacter sp. BT774;</t>
  </si>
  <si>
    <t>Mucilaginibacter sp. BT774</t>
  </si>
  <si>
    <t>Bacteria;Pseudomonadota;Gammaproteobacteria;Enterobacterales;Yersiniaceae;Yersinia;Yersinia sp. 2466 StPb PI;</t>
  </si>
  <si>
    <t>Yersinia</t>
  </si>
  <si>
    <t>Yersinia sp. 2466 StPb PI</t>
  </si>
  <si>
    <t>Bacteria;Pseudomonadota;Gammaproteobacteria;Lysobacterales;Lysobacteraceae;Stenotrophomonas;Stenotrophomonas maltophilia group sp. msm1;</t>
  </si>
  <si>
    <t>Stenotrophomonas maltophilia group sp. msm1</t>
  </si>
  <si>
    <t>Bacteria;Pseudomonadota;Betaproteobacteria;Burkholderiales;Oxalobacteraceae;Lacisediminimonas;Lacisediminimonas sp.;</t>
  </si>
  <si>
    <t>Lacisediminimonas</t>
  </si>
  <si>
    <t>Lacisediminimonas sp.</t>
  </si>
  <si>
    <t>Bacteria;Pseudomonadota;Gammaproteobacteria;Lysobacterales;Lysobacteraceae;Stenotrophomonas;Stenotrophomonas sp. YIM B06876;</t>
  </si>
  <si>
    <t>Stenotrophomonas sp. YIM B06876</t>
  </si>
  <si>
    <t>Bacteria;Pseudomonadota;Betaproteobacteria;Burkholderiales;Comamonadaceae;Acidovorax;Acidovorax sp. A1169;</t>
  </si>
  <si>
    <t>Acidovorax sp. A1169</t>
  </si>
  <si>
    <t>Bacteria;Pseudomonadota;Gammaproteobacteria;Pseudomonadales;Pseudomonadaceae;Pseudomonas;Pseudomonas sp. G34;</t>
  </si>
  <si>
    <t>Pseudomonas sp. G34</t>
  </si>
  <si>
    <t>Bacteria;Bacillota;Bacilli;Bacillales;Bacillaceae;Fictibacillus;Fictibacillus terranigra;</t>
  </si>
  <si>
    <t>Fictibacillus</t>
  </si>
  <si>
    <t>Fictibacillus terranigra</t>
  </si>
  <si>
    <t>Bacteria;Bacillota;Bacilli;Bacillales;Bacillaceae;Fictibacillus;Fictibacillus fluitans;</t>
  </si>
  <si>
    <t>Fictibacillus fluitans</t>
  </si>
  <si>
    <t>Bacteria;Pseudomonadota;Betaproteobacteria;Burkholderiales;Alcaligenaceae;Zwartia;Zwartia vadi;</t>
  </si>
  <si>
    <t>Zwartia</t>
  </si>
  <si>
    <t>Zwartia vadi</t>
  </si>
  <si>
    <t>Bacteria;Pseudomonadota;Alphaproteobacteria;Hyphomicrobiales;Rhizobiaceae;Rhizobium;Rhizobium sp. CBN3;</t>
  </si>
  <si>
    <t>Rhizobium sp. CBN3</t>
  </si>
  <si>
    <t>Bacteria;Pseudomonadota;Betaproteobacteria;Burkholderiales;Sphaerotilaceae;Roseateles;Roseateles violae;</t>
  </si>
  <si>
    <t>Roseateles violae</t>
  </si>
  <si>
    <t>Bacteria;Pseudomonadota;Gammaproteobacteria;Thiohalobacterales;Thiohalobacteraceae;Thiohalobacter;Thiohalobacter sp. IOR34;</t>
  </si>
  <si>
    <t>Thiohalobacterales</t>
  </si>
  <si>
    <t>Thiohalobacteraceae</t>
  </si>
  <si>
    <t>Thiohalobacter</t>
  </si>
  <si>
    <t>Thiohalobacter sp. IOR34</t>
  </si>
  <si>
    <t>Bacteria;Pseudomonadota;Betaproteobacteria;Burkholderiales;Comamonadaceae;Acidovorax;Acidovorax sp. A79;</t>
  </si>
  <si>
    <t>Acidovorax sp. A79</t>
  </si>
  <si>
    <t>Bacteria;Bacillota;Bacilli;Bacillales;Bacillaceae;Bacillus;Bacillus sp. BR_16;</t>
  </si>
  <si>
    <t>Bacillus sp. BR_16</t>
  </si>
  <si>
    <t>Bacteria;Pseudomonadota;Alphaproteobacteria;Hyphomicrobiales;Rhizobiaceae;Rhizobium;Rhizobium sp. S152;</t>
  </si>
  <si>
    <t>Rhizobium sp. S152</t>
  </si>
  <si>
    <t>Bacteria;Pseudomonadota;Betaproteobacteria;Burkholderiales;Sphaerotilaceae;Roseateles;Pelomonas sp. SE-A7;</t>
  </si>
  <si>
    <t>Pelomonas sp. SE-A7</t>
  </si>
  <si>
    <t>Bacteria;Actinomycetota;Actinomycetes;Micrococcales;Microbacteriaceae;Galbitalea;Galbitalea sp. SE-J8;</t>
  </si>
  <si>
    <t>Galbitalea</t>
  </si>
  <si>
    <t>Galbitalea sp. SE-J8</t>
  </si>
  <si>
    <t>Bacteria;Pseudomonadota;Betaproteobacteria;Burkholderiales;Comamonadaceae;Variovorax;Variovorax sp. J22P271;</t>
  </si>
  <si>
    <t>Variovorax sp. J22P271</t>
  </si>
  <si>
    <t>Bacteria;Pseudomonadota;Betaproteobacteria;Burkholderiales;Comamonadaceae;Variovorax;Variovorax sp. J22P240;</t>
  </si>
  <si>
    <t>Variovorax sp. J22P240</t>
  </si>
  <si>
    <t>Bacteria;Pseudomonadota;Betaproteobacteria;Burkholderiales;Comamonadaceae;Variovorax;Variovorax sp. J22P168;</t>
  </si>
  <si>
    <t>Variovorax sp. J22P168</t>
  </si>
  <si>
    <t>Bacteria;Pseudomonadota;Betaproteobacteria;Burkholderiales;Comamonadaceae;Variovorax;Variovorax sp. J31P216;</t>
  </si>
  <si>
    <t>Variovorax sp. J31P216</t>
  </si>
  <si>
    <t>Bacteria;Pseudomonadota;Betaproteobacteria;Burkholderiales;Comamonadaceae;Variovorax;Variovorax sp. J31P207;</t>
  </si>
  <si>
    <t>Variovorax sp. J31P207</t>
  </si>
  <si>
    <t>Bacteria;Pseudomonadota;Betaproteobacteria;Burkholderiales;Comamonadaceae;Variovorax;Variovorax sp. J22R115;</t>
  </si>
  <si>
    <t>Variovorax sp. J22R115</t>
  </si>
  <si>
    <t>Bacteria;Pseudomonadota;Betaproteobacteria;Burkholderiales;Comamonadaceae;Variovorax;Variovorax sp. J31P179;</t>
  </si>
  <si>
    <t>Variovorax sp. J31P179</t>
  </si>
  <si>
    <t>Bacteria;Pseudomonadota;Betaproteobacteria;Burkholderiales;Comamonadaceae;Variovorax;Variovorax sp. J22G47;</t>
  </si>
  <si>
    <t>Variovorax sp. J22G47</t>
  </si>
  <si>
    <t>Bacteria;Pseudomonadota;Betaproteobacteria;Burkholderiales;Comamonadaceae;Variovorax;Variovorax sp. J22R133;</t>
  </si>
  <si>
    <t>Variovorax sp. J22R133</t>
  </si>
  <si>
    <t>Bacteria;Pseudomonadota;Betaproteobacteria;Burkholderiales;Comamonadaceae;Variovorax;Variovorax sp. J22R24;</t>
  </si>
  <si>
    <t>Variovorax sp. J22R24</t>
  </si>
  <si>
    <t>Bacteria;Pseudomonadota;Betaproteobacteria;Burkholderiales;Comamonadaceae;Variovorax;Variovorax sp. J2P1-59;</t>
  </si>
  <si>
    <t>Variovorax sp. J2P1-59</t>
  </si>
  <si>
    <t>Bacteria;Pseudomonadota;Betaproteobacteria;Burkholderiales;Sphaerotilaceae;Roseateles;Roseateles subflavus;</t>
  </si>
  <si>
    <t>Roseateles subflavus</t>
  </si>
  <si>
    <t>Bacteria;Actinomycetota;Actinomycetes;Micrococcales;Micrococcaceae;Psychromicrobium;Psychromicrobium xiongbiense;</t>
  </si>
  <si>
    <t>Psychromicrobium</t>
  </si>
  <si>
    <t>Psychromicrobium xiongbiense</t>
  </si>
  <si>
    <t>Bacteria;Actinomycetota;Actinomycetes;Mycobacteriales;Mycobacteriaceae;Mycobacterium;Mycobacterium sp. TY815;</t>
  </si>
  <si>
    <t>Mycobacterium sp. TY815</t>
  </si>
  <si>
    <t>Bacteria;Actinomycetota;Actinomycetes;Mycobacteriales;Mycobacteriaceae;Mycobacterium;Mycobacterium sp. TY813;</t>
  </si>
  <si>
    <t>Mycobacterium sp. TY813</t>
  </si>
  <si>
    <t>Bacteria;Actinomycetota;Actinomycetes;Micrococcales;Microbacteriaceae;Microbacterium;Microbacterium sp. ET2;</t>
  </si>
  <si>
    <t>Microbacterium sp. ET2</t>
  </si>
  <si>
    <t>Bacteria;Pseudomonadota;Betaproteobacteria;Burkholderiales;Oxalobacteraceae;Herbaspirillum;Herbaspirillum sp. RTI4;</t>
  </si>
  <si>
    <t>Herbaspirillum sp. RTI4</t>
  </si>
  <si>
    <t>Bacteria;Pseudomonadota;Betaproteobacteria;Burkholderiales;Comamonadaceae;Variovorax;Variovorax sp. RTB1;</t>
  </si>
  <si>
    <t>Variovorax sp. RTB1</t>
  </si>
  <si>
    <t>Bacteria;Pseudomonadota;Betaproteobacteria;Burkholderiales;Comamonadaceae;Variovorax;Variovorax sp. LG9.2;</t>
  </si>
  <si>
    <t>Variovorax sp. LG9.2</t>
  </si>
  <si>
    <t>Bacteria;Pseudomonadota;Betaproteobacteria;Burkholderiales;Oxalobacteraceae;Actimicrobium;Actimicrobium sp. CCI2.3;</t>
  </si>
  <si>
    <t>Actimicrobium</t>
  </si>
  <si>
    <t>Actimicrobium sp. CCI2.3</t>
  </si>
  <si>
    <t>Bacteria;Bacteroidota;Sphingobacteriia;Sphingobacteriales;Sphingobacteriaceae;Mucilaginibacter;Mucilaginibacter sp. 10I4;</t>
  </si>
  <si>
    <t>Mucilaginibacter sp. 10I4</t>
  </si>
  <si>
    <t>Bacteria;Bacteroidota;Cytophagia;Cytophagales;Rhodocytophagaceae;Xanthocytophaga;Xanthocytophaga flavus;</t>
  </si>
  <si>
    <t>Rhodocytophagaceae</t>
  </si>
  <si>
    <t>Xanthocytophaga</t>
  </si>
  <si>
    <t>Xanthocytophaga flavus</t>
  </si>
  <si>
    <t>Bacteria;Pseudomonadota;Betaproteobacteria;Burkholderiales;Comamonadaceae;Comamonas;Comamonas sp. 17RB;</t>
  </si>
  <si>
    <t>Comamonas sp. 17RB</t>
  </si>
  <si>
    <t>Bacteria;Pseudomonadota;Betaproteobacteria;Burkholderiales;Comamonadaceae;Variovorax;Variovorax sp. CAN15;</t>
  </si>
  <si>
    <t>Variovorax sp. CAN15</t>
  </si>
  <si>
    <t>Bacteria;Pseudomonadota;Gammaproteobacteria;Pseudomonadales;Pseudomonadaceae;Pseudomonas;Pseudomonas sp. CAN1;</t>
  </si>
  <si>
    <t>Pseudomonas sp. CAN1</t>
  </si>
  <si>
    <t>Bacteria;Pseudomonadota;Alphaproteobacteria;Hyphomicrobiales;Stappiaceae;Roseibium;Roseibium sp. MMSF_3412;</t>
  </si>
  <si>
    <t>Stappiaceae</t>
  </si>
  <si>
    <t>Roseibium</t>
  </si>
  <si>
    <t>Roseibium sp. MMSF_3412</t>
  </si>
  <si>
    <t>Bacteria;Pseudomonadota;Alphaproteobacteria;Acetobacterales;Roseomonadaceae;Roseomonas;Roseomonas sp. E05;</t>
  </si>
  <si>
    <t>Roseomonas sp. E05</t>
  </si>
  <si>
    <t>Bacteria;Actinomycetota;Actinomycetes;Micrococcales;Microbacteriaceae;Salinibacterium;Salinibacterium sp. G-O1;</t>
  </si>
  <si>
    <t>Salinibacterium sp. G-O1</t>
  </si>
  <si>
    <t>Bacteria;Actinomycetota;Actinomycetes;Micrococcales;Microbacteriaceae;Cryobacterium;Cryobacterium sp. PH31-AA6;</t>
  </si>
  <si>
    <t>Cryobacterium</t>
  </si>
  <si>
    <t>Cryobacterium sp. PH31-AA6</t>
  </si>
  <si>
    <t>Bacteria;Pseudomonadota;Betaproteobacteria;Burkholderiales;Comamonadaceae;Limnohabitans;Limnohabitans lacus;</t>
  </si>
  <si>
    <t>Limnohabitans</t>
  </si>
  <si>
    <t>Limnohabitans lacus</t>
  </si>
  <si>
    <t>Bacteria;Bacillota;Clostridia;Eubacteriales;Oscillospiraceae;Petroclostridium;Petroclostridium sp. X23;</t>
  </si>
  <si>
    <t>Petroclostridium</t>
  </si>
  <si>
    <t>Petroclostridium sp. X23</t>
  </si>
  <si>
    <t>Bacteria;Pseudomonadota;Betaproteobacteria;Burkholderiales;Oxalobacteraceae;Massilia;Massilia hydrophila;</t>
  </si>
  <si>
    <t>Massilia hydrophila</t>
  </si>
  <si>
    <t>Bacteria;Pseudomonadota;Gammaproteobacteria;Aeromonadales;Aeromonadaceae;Aeromonas;Aeromonas sp. V90_14;</t>
  </si>
  <si>
    <t>Aeromonas sp. V90_14</t>
  </si>
  <si>
    <t>Bacteria;Bdellovibrionota;Bdellovibrionia;Bdellovibrionales;Pseudobdellovibrionaceae;Bdellovibrio;Bdellovibrio sp. 22V;</t>
  </si>
  <si>
    <t>Bdellovibrio sp. 22V</t>
  </si>
  <si>
    <t>Bacteria;Bacillota;Bacilli;Bacillales;Bacillaceae;Bacillus;Bacillus sp. OTU530;</t>
  </si>
  <si>
    <t>Bacillus sp. OTU530</t>
  </si>
  <si>
    <t>Bacteria;Bacteroidota;Cytophagia;Cytophagales;Spirosomataceae;Dyadobacter;Dyadobacter sp. OTU695;</t>
  </si>
  <si>
    <t>Dyadobacter sp. OTU695</t>
  </si>
  <si>
    <t>Bacteria;Pseudomonadota;Betaproteobacteria;Burkholderiales;Comamonadaceae;Hydrogenophaga;Hydrogenophaga sp. OTU3427;</t>
  </si>
  <si>
    <t>Hydrogenophaga sp. OTU3427</t>
  </si>
  <si>
    <t>Bacteria;Actinomycetota;Actinomycetes;Propionibacteriales;Nocardioidaceae;Nocardioides;Nocardioides sp. L-11A;</t>
  </si>
  <si>
    <t>Nocardioides sp. L-11A</t>
  </si>
  <si>
    <t>Bacteria;Pseudomonadota;Gammaproteobacteria;Pseudomonadales;Pseudomonadaceae;Pseudomonas;Pseudomonas sp. P8_250;</t>
  </si>
  <si>
    <t>Pseudomonas sp. P8_250</t>
  </si>
  <si>
    <t>Bacteria;Pseudomonadota;Gammaproteobacteria;Enterobacterales;Yersiniaceae;Serratia;Serratia sp. Se-RSBMAAmG;</t>
  </si>
  <si>
    <t>Serratia sp. Se-RSBMAAmG</t>
  </si>
  <si>
    <t>Bacteria;Pseudomonadota;Gammaproteobacteria;Lysobacterales;Lysobacteraceae;Stenotrophomonas;Stenotrophomonas sp. RS-48;</t>
  </si>
  <si>
    <t>Stenotrophomonas sp. RS-48</t>
  </si>
  <si>
    <t>Bacteria;Pseudomonadota;Gammaproteobacteria;Oceanospirillales;Halomonadaceae;Halomonas;Halomonas kalidii;</t>
  </si>
  <si>
    <t>Halomonas</t>
  </si>
  <si>
    <t>Halomonas kalidii</t>
  </si>
  <si>
    <t>Bacteria;Bacteroidota;Flavobacteriia;Flavobacteriales;Flavobacteriaceae;Winogradskyella;Winogradskyella sp. SYSU M77433;</t>
  </si>
  <si>
    <t>Winogradskyella</t>
  </si>
  <si>
    <t>Winogradskyella sp. SYSU M77433</t>
  </si>
  <si>
    <t>Bacteria;Actinomycetota;Actinomycetes;Micrococcales;Microbacteriaceae;Ruicaihuangia;Ruicaihuangia caeni;</t>
  </si>
  <si>
    <t>Ruicaihuangia</t>
  </si>
  <si>
    <t>Ruicaihuangia caeni</t>
  </si>
  <si>
    <t>Bacteria;Pseudomonadota;Alphaproteobacteria;Rhodobacterales;Paracoccaceae;Fuscovulum;Fuscovulum ytuae;</t>
  </si>
  <si>
    <t>Fuscovulum</t>
  </si>
  <si>
    <t>Fuscovulum ytuae</t>
  </si>
  <si>
    <t>Bacteria;Actinomycetota;Actinomycetes;Micrococcales;Microbacteriaceae;Microbacterium;Microbacterium sp. W4I4;</t>
  </si>
  <si>
    <t>Microbacterium sp. W4I4</t>
  </si>
  <si>
    <t>Bacteria;Bacteroidota;Flavobacteriia;Flavobacteriales;Weeksellaceae;Chryseobacterium;Chryseobacterium sp. W4I1;</t>
  </si>
  <si>
    <t>Chryseobacterium sp. W4I1</t>
  </si>
  <si>
    <t>Bacteria;Bacteroidota;Sphingobacteriia;Sphingobacteriales;Sphingobacteriaceae;Pedobacter;Pedobacter sp. W3I1;</t>
  </si>
  <si>
    <t>Pedobacter sp. W3I1</t>
  </si>
  <si>
    <t>Bacteria;Actinomycetota;Actinomycetes;Micrococcales;Microbacteriaceae;Microbacterium;Microbacterium sp. W4I20;</t>
  </si>
  <si>
    <t>Microbacterium sp. W4I20</t>
  </si>
  <si>
    <t>Bacteria;Actinomycetota;Actinomycetes;Micrococcales;Microbacteriaceae;Microbacterium;Microbacterium sp. ASV49;</t>
  </si>
  <si>
    <t>Microbacterium sp. ASV49</t>
  </si>
  <si>
    <t>Bacteria;Pseudomonadota;Alphaproteobacteria;Caulobacterales;Caulobacteraceae;Brevundimonas;Brevundimonas sp. SORGH_AS_0993;</t>
  </si>
  <si>
    <t>Brevundimonas sp. SORGH_AS_0993</t>
  </si>
  <si>
    <t>Bacteria;Actinomycetota;Actinomycetes;Micrococcales;Microbacteriaceae;Microbacterium;Microbacterium sp. SORGH_AS_0888;</t>
  </si>
  <si>
    <t>Microbacterium sp. SORGH_AS_0888</t>
  </si>
  <si>
    <t>Bacteria;Actinomycetota;Actinomycetes;Micrococcales;Microbacteriaceae;Microbacterium;Microbacterium sp. SORGH_AS_0862;</t>
  </si>
  <si>
    <t>Microbacterium sp. SORGH_AS_0862</t>
  </si>
  <si>
    <t>Bacteria;Pseudomonadota;Gammaproteobacteria;Lysobacterales;Lysobacteraceae;Stenotrophomonas;Stenotrophomonas sp. SORGH_AS_0321;</t>
  </si>
  <si>
    <t>Stenotrophomonas sp. SORGH_AS_0321</t>
  </si>
  <si>
    <t>Bacteria;Pseudomonadota;Alphaproteobacteria;Hyphomicrobiales;Rhizobiaceae;Agrobacterium;Agrobacterium sp. SORGH_AS 787;</t>
  </si>
  <si>
    <t>Agrobacterium sp. SORGH_AS 787</t>
  </si>
  <si>
    <t>Bacteria;Bacteroidota;Flavobacteriia;Flavobacteriales;Flavobacteriaceae;Flavobacterium;Flavobacterium sp. SORGH_AS_0622;</t>
  </si>
  <si>
    <t>Flavobacterium sp. SORGH_AS_0622</t>
  </si>
  <si>
    <t>Bacteria;Bacteroidota;Flavobacteriia;Flavobacteriales;Weeksellaceae;Chryseobacterium;Chryseobacterium sp. SORGH_AS_0447;</t>
  </si>
  <si>
    <t>Chryseobacterium sp. SORGH_AS_0447</t>
  </si>
  <si>
    <t>Bacteria;Actinomycetota;Actinomycetes;Micrococcales;Microbacteriaceae;Microbacterium;Microbacterium sp. SORGH_AS_0421;</t>
  </si>
  <si>
    <t>Microbacterium sp. SORGH_AS_0421</t>
  </si>
  <si>
    <t>Bacteria;Pseudomonadota;Gammaproteobacteria;Lysobacterales;Lysobacteraceae;Stenotrophomonas;Stenotrophomonas sp. SORGH_AS_0282;</t>
  </si>
  <si>
    <t>Stenotrophomonas sp. SORGH_AS_0282</t>
  </si>
  <si>
    <t>Bacteria;Pseudomonadota;Gammaproteobacteria;Pseudomonadales;Pseudomonadaceae;Thiopseudomonas;Thiopseudomonas acetoxidans;</t>
  </si>
  <si>
    <t>Thiopseudomonas</t>
  </si>
  <si>
    <t>Thiopseudomonas acetoxidans</t>
  </si>
  <si>
    <t>Bacteria;Pseudomonadota;Alphaproteobacteria;Hyphomicrobiales;Hyphomicrobiaceae;Hyphomicrobium;Hyphomicrobium sp. D-2;</t>
  </si>
  <si>
    <t>Hyphomicrobium</t>
  </si>
  <si>
    <t>Hyphomicrobium sp. D-2</t>
  </si>
  <si>
    <t>Bacteria;Pseudomonadota;Betaproteobacteria;Burkholderiales;Comamonadaceae;Comamonas;Comamonas halotolerans;</t>
  </si>
  <si>
    <t>Comamonas halotolerans</t>
  </si>
  <si>
    <t>Bacteria;Bacteroidota;Sphingobacteriia;Sphingobacteriales;Sphingobacteriaceae;Pedobacter;Pedobacter faecalis;</t>
  </si>
  <si>
    <t>Pedobacter faecalis</t>
  </si>
  <si>
    <t>Bacteria;Bacteroidota;Flavobacteriia;Flavobacteriales;Flavobacteriaceae;Flavobacterium;Flavobacterium yafengii;</t>
  </si>
  <si>
    <t>Flavobacterium yafengii</t>
  </si>
  <si>
    <t>Bacteria;Actinomycetota;Actinomycetes;Micrococcales;Microbacteriaceae;Microbacterium;Microbacterium sp. T2.11-28;</t>
  </si>
  <si>
    <t>Microbacterium sp. T2.11-28</t>
  </si>
  <si>
    <t>Bacteria;Pseudomonadota;Alphaproteobacteria;Hyphomicrobiales;Rhizobiaceae;Rhizobium;Rhizobium sp. AN80A;</t>
  </si>
  <si>
    <t>Rhizobium sp. AN80A</t>
  </si>
  <si>
    <t>Bacteria;Pseudomonadota;Alphaproteobacteria;Hyphomicrobiales;Rhizobiaceae;Rhizobium;Rhizobium sp. BR 362;</t>
  </si>
  <si>
    <t>Rhizobium sp. BR 362</t>
  </si>
  <si>
    <t>Bacteria;Pseudomonadota;Gammaproteobacteria;Oceanospirillales;Balneatrichaceae;Pokkaliibacter;Pokkaliibacter sp. MBI-7;</t>
  </si>
  <si>
    <t>Balneatrichaceae</t>
  </si>
  <si>
    <t>Pokkaliibacter</t>
  </si>
  <si>
    <t>Pokkaliibacter sp. MBI-7</t>
  </si>
  <si>
    <t>Bacteria;Pseudomonadota;Alphaproteobacteria;Caulobacterales;Caulobacteraceae;Asticcacaulis;Asticcacaulis sp. EMRT-3;</t>
  </si>
  <si>
    <t>Asticcacaulis</t>
  </si>
  <si>
    <t>Asticcacaulis sp. EMRT-3</t>
  </si>
  <si>
    <t>Bacteria;Bacillota;Bacilli;Bacillales;Bacillaceae;Bacillus;Bacillus sp. LS15-K4;</t>
  </si>
  <si>
    <t>Bacillus sp. LS15-K4</t>
  </si>
  <si>
    <t>Bacteria;Pseudomonadota;Gammaproteobacteria;Pseudomonadales;Pseudomonadaceae;Pseudomonas;Pseudomonas sp. lyk4-TYG-107;</t>
  </si>
  <si>
    <t>Pseudomonas sp. lyk4-TYG-107</t>
  </si>
  <si>
    <t>Bacteria;Pseudomonadota;Gammaproteobacteria;Pseudomonadales;Pseudomonadaceae;Pseudomonas;Pseudomonas sp. efr-133-TYG-5;</t>
  </si>
  <si>
    <t>Pseudomonas sp. efr-133-TYG-5</t>
  </si>
  <si>
    <t>Bacteria;Actinomycetota;Actinomycetes;Micrococcales;Microbacteriaceae;Plantibacter;Plantibacter sp. lyk4-40-MEA-4;</t>
  </si>
  <si>
    <t>Plantibacter</t>
  </si>
  <si>
    <t>Plantibacter sp. lyk4-40-MEA-4</t>
  </si>
  <si>
    <t>Bacteria;Pseudomonadota;Alphaproteobacteria;Sphingomonadales;Sphingomonadaceae;Novosphingobium;Novosphingobium sp. fls2-241-R2A-195;</t>
  </si>
  <si>
    <t>Novosphingobium sp. fls2-241-R2A-195</t>
  </si>
  <si>
    <t>Bacteria;Pseudomonadota;Alphaproteobacteria;Caulobacterales;Caulobacteraceae;Brevundimonas;Brevundimonas sp. MEB006b;</t>
  </si>
  <si>
    <t>Brevundimonas sp. MEB006b</t>
  </si>
  <si>
    <t>Bacteria;Actinomycetota;Actinomycetes;Micrococcales;Micrococcaceae;Arthrobacter;Arthrobacter sp. efr-133-TYG-118;</t>
  </si>
  <si>
    <t>Arthrobacter sp. efr-133-TYG-118</t>
  </si>
  <si>
    <t>Bacteria;Bacillota;Bacilli;Bacillales;Bacillaceae;Bacillus;Bacillus cereus group sp. RP43;</t>
  </si>
  <si>
    <t>Bacillus cereus group sp. RP43</t>
  </si>
  <si>
    <t>Bacteria;Bacillota;Bacilli;Bacillales;Bacillaceae;Bacillus;Bacillus cereus group sp. RP37;</t>
  </si>
  <si>
    <t>Bacillus cereus group sp. RP37</t>
  </si>
  <si>
    <t>Bacteria;Bacillota;Bacilli;Bacillales;Bacillaceae;Bacillus;Bacillus cereus group sp. RP32;</t>
  </si>
  <si>
    <t>Bacillus cereus group sp. RP32</t>
  </si>
  <si>
    <t>Bacteria;Bacillota;Bacilli;Bacillales;Bacillaceae;Bacillus;Bacillus cereus group sp. FL70;</t>
  </si>
  <si>
    <t>Bacillus cereus group sp. FL70</t>
  </si>
  <si>
    <t>Bacteria;Bacillota;Bacilli;Bacillales;Bacillaceae;Bacillus;Bacillus cereus group sp. MG9;</t>
  </si>
  <si>
    <t>Bacillus cereus group sp. MG9</t>
  </si>
  <si>
    <t>Bacteria;Pseudomonadota;Alphaproteobacteria;Hyphomicrobiales;Xanthobacteraceae;Ancylobacter;Ancylobacter sp. WKF20;</t>
  </si>
  <si>
    <t>Ancylobacter sp. WKF20</t>
  </si>
  <si>
    <t>Bacteria;Pseudomonadota;Gammaproteobacteria;Enterobacterales;Erwiniaceae;Erwinia;Erwinia sp. E_sp_B04_8;</t>
  </si>
  <si>
    <t>Erwinia sp. E_sp_B04_8</t>
  </si>
  <si>
    <t>Bacteria;Actinomycetota;Actinomycetes;Micrococcales;Microbacteriaceae;Amnibacterium;Amnibacterium sp. CER49;</t>
  </si>
  <si>
    <t>Amnibacterium</t>
  </si>
  <si>
    <t>Amnibacterium sp. CER49</t>
  </si>
  <si>
    <t>Bacteria;Pseudomonadota;Alphaproteobacteria;Hyphomicrobiales;Rhizobiaceae;Rhizobium;Rhizobium sp. CB3090;</t>
  </si>
  <si>
    <t>Rhizobium sp. CB3090</t>
  </si>
  <si>
    <t>Bacteria;Bacillota;Clostridia;Lachnospirales;Lachnospiraceae;Anaerocolumna;Anaerocolumna sp. AGMB13025;</t>
  </si>
  <si>
    <t>Anaerocolumna sp. AGMB13025</t>
  </si>
  <si>
    <t>Bacteria;Pseudomonadota;Betaproteobacteria;Burkholderiales;Burkholderiaceae;Caballeronia;Caballeronia sp. LZ034LL;</t>
  </si>
  <si>
    <t>Caballeronia</t>
  </si>
  <si>
    <t>Caballeronia sp. LZ034LL</t>
  </si>
  <si>
    <t>Bacteria;Actinomycetota;Actinomycetes;Propionibacteriales;Nocardioidaceae;Nocardioides;Nocardioides sp. CER19;</t>
  </si>
  <si>
    <t>Nocardioides sp. CER19</t>
  </si>
  <si>
    <t>Bacteria;Bacillota;Clostridia;Eubacteriales;Clostridiaceae;Clostridium;Clostridium tanneri;</t>
  </si>
  <si>
    <t>Clostridium tanneri</t>
  </si>
  <si>
    <t>Bacteria;Pseudomonadota;Betaproteobacteria;Burkholderiales;Sphaerotilaceae;Piscinibacter;Piscinibacter sp. XHJ-5;</t>
  </si>
  <si>
    <t>Piscinibacter</t>
  </si>
  <si>
    <t>Piscinibacter sp. XHJ-5</t>
  </si>
  <si>
    <t>Bacteria;Pseudomonadota;Alphaproteobacteria;Hyphomicrobiales;Rhizobiaceae;Rhizobium;Rhizobium sp. YJ-22;</t>
  </si>
  <si>
    <t>Rhizobium sp. YJ-22</t>
  </si>
  <si>
    <t>Bacteria;Pseudomonadota;Alphaproteobacteria;Hyphomicrobiales;Lichenihabitantaceae;Lichenihabitans;Lichenihabitans sp. Uapishka_5;</t>
  </si>
  <si>
    <t>Lichenihabitantaceae</t>
  </si>
  <si>
    <t>Lichenihabitans</t>
  </si>
  <si>
    <t>Lichenihabitans sp. Uapishka_5</t>
  </si>
  <si>
    <t>Bacteria;Pseudomonadota;Alphaproteobacteria;Hyphomicrobiales;Stappiaceae;Pseudovibrio;Pseudovibrio sp. MaLMAid0302;</t>
  </si>
  <si>
    <t>Pseudovibrio</t>
  </si>
  <si>
    <t>Pseudovibrio sp. MaLMAid0302</t>
  </si>
  <si>
    <t>Bacteria;Pseudomonadota;Gammaproteobacteria;Lysobacterales;Lysobacteraceae;Stenotrophomonas;Stenotrophomonas sp. HITSZ_GD;</t>
  </si>
  <si>
    <t>Stenotrophomonas sp. HITSZ_GD</t>
  </si>
  <si>
    <t>Bacteria;Pseudomonadota;Alphaproteobacteria;Sphingomonadales;Sphingomonadaceae;Sphingomonas;Sphingomonas sp. HITSZ_GF;</t>
  </si>
  <si>
    <t>Sphingomonas sp. HITSZ_GF</t>
  </si>
  <si>
    <t>Bacteria;Bacillota;Clostridia;Eubacteriales;Clostridiaceae;Proteiniclasticum;Proteiniclasticum sp. QWL-01;</t>
  </si>
  <si>
    <t>Proteiniclasticum</t>
  </si>
  <si>
    <t>Proteiniclasticum sp. QWL-01</t>
  </si>
  <si>
    <t>Bacteria;Actinomycetota;Actinomycetes;Propionibacteriales;Nocardioidaceae;Nocardioides;Nocardioides sp. BP30;</t>
  </si>
  <si>
    <t>Nocardioides sp. BP30</t>
  </si>
  <si>
    <t>Bacteria;Bacteroidota;Sphingobacteriia;Sphingobacteriales;Aurantibacillaceae;Aurantibacillus;Aurantibacillus circumpalustris;</t>
  </si>
  <si>
    <t>Aurantibacillaceae</t>
  </si>
  <si>
    <t>Aurantibacillus</t>
  </si>
  <si>
    <t>Aurantibacillus circumpalustris</t>
  </si>
  <si>
    <t>Bacteria;Pseudomonadota;Betaproteobacteria;Burkholderiales;Comamonadaceae;Diaphorobacter;Diaphorobacter limosus;</t>
  </si>
  <si>
    <t>Diaphorobacter</t>
  </si>
  <si>
    <t>Diaphorobacter limosus</t>
  </si>
  <si>
    <t>Bacteria;Bacillota;Clostridia;Peptostreptococcales;Peptostreptococcaceae;Tepidibacter;Tepidibacter hydrothermalis;</t>
  </si>
  <si>
    <t>Tepidibacter hydrothermalis</t>
  </si>
  <si>
    <t>Bacteria;Actinomycetota;Actinomycetes;Micrococcales;Micrococcaceae;Arthrobacter;Arthrobacter burdickii;</t>
  </si>
  <si>
    <t>Arthrobacter burdickii</t>
  </si>
  <si>
    <t>Bacteria;Actinomycetota;Actinomycetes;Micrococcales;Microbacteriaceae;Leifsonia;Leifsonia virtsii;</t>
  </si>
  <si>
    <t>Leifsonia virtsii</t>
  </si>
  <si>
    <t>Bacteria;Acidobacteriota;Terriglobia;Terriglobales;Acidobacteriaceae;Edaphobacter;Edaphobacter paludis;</t>
  </si>
  <si>
    <t>Terriglobia</t>
  </si>
  <si>
    <t>Terriglobales</t>
  </si>
  <si>
    <t>Acidobacteriaceae</t>
  </si>
  <si>
    <t>Edaphobacter</t>
  </si>
  <si>
    <t>Edaphobacter paludis</t>
  </si>
  <si>
    <t>Bacteria;Actinomycetota;Actinomycetes;Micrococcales;Cellulomonadaceae;Cellulomonas;Cellulomonas sp. RIT-PI-Y;</t>
  </si>
  <si>
    <t>Cellulomonas</t>
  </si>
  <si>
    <t>Cellulomonas sp. RIT-PI-Y</t>
  </si>
  <si>
    <t>Bacteria;Pseudomonadota;Gammaproteobacteria;Pseudomonadales;Pseudomonadaceae;Pseudomonas;Pseudomonas sp. RIT-PI-AD;</t>
  </si>
  <si>
    <t>Pseudomonas sp. RIT-PI-AD</t>
  </si>
  <si>
    <t>Bacteria;Bacteroidota;Sphingobacteriia;Sphingobacteriales;Sphingobacteriaceae;Pedobacter;Pedobacter sp. JY14-1;</t>
  </si>
  <si>
    <t>Pedobacter sp. JY14-1</t>
  </si>
  <si>
    <t>Bacteria;Bacteroidota;Chitinophagia;Chitinophagales;Chitinophagaceae;Polluticoccus;Polluticoccus soli;</t>
  </si>
  <si>
    <t>Polluticoccus</t>
  </si>
  <si>
    <t>Polluticoccus soli</t>
  </si>
  <si>
    <t>Bacteria;Bacteroidota;Flavobacteriia;Flavobacteriales;Flavobacteriaceae;Flavobacterium;Flavobacterium sp. H4147;</t>
  </si>
  <si>
    <t>Flavobacterium sp. H4147</t>
  </si>
  <si>
    <t>Bacteria;Bacteroidota;Chitinophagia;Chitinophagales;Chitinophagaceae;Terrimonas;Terrimonas pollutisoli;</t>
  </si>
  <si>
    <t>Terrimonas</t>
  </si>
  <si>
    <t>Terrimonas pollutisoli</t>
  </si>
  <si>
    <t>Bacteria;Bacteroidota;Flavobacteriia;Flavobacteriales;Flavobacteriaceae;Flavobacterium;Flavobacterium panacagri;</t>
  </si>
  <si>
    <t>Flavobacterium panacagri</t>
  </si>
  <si>
    <t>Bacteria;Verrucomicrobiota;Opitutia;Opitutales;Opitutaceae;Nibricoccus;Nibricoccus sp. IMCC34717;</t>
  </si>
  <si>
    <t>Opitutia</t>
  </si>
  <si>
    <t>Opitutales</t>
  </si>
  <si>
    <t>Opitutaceae</t>
  </si>
  <si>
    <t>Nibricoccus</t>
  </si>
  <si>
    <t>Nibricoccus sp. IMCC34717</t>
  </si>
  <si>
    <t>Bacteria;Bacteroidota;Cytophagia;Cytophagales;Hymenobacteraceae;Hymenobacter;Hymenobacter sp. YC55;</t>
  </si>
  <si>
    <t>Hymenobacteraceae</t>
  </si>
  <si>
    <t>Hymenobacter</t>
  </si>
  <si>
    <t>Hymenobacter sp. YC55</t>
  </si>
  <si>
    <t>Bacteria;Bacteroidota;Cytophagia;Cytophagales;Spirosomataceae;Runella;Runella sp. MFBS21;</t>
  </si>
  <si>
    <t>Runella</t>
  </si>
  <si>
    <t>Runella sp. MFBS21</t>
  </si>
  <si>
    <t>Bacteria;Pseudomonadota;Alphaproteobacteria;Rhodobacterales;NA;Paenirhodobacter;Paenirhodobacter sp. CAU 1674;</t>
  </si>
  <si>
    <t>Paenirhodobacter</t>
  </si>
  <si>
    <t>Paenirhodobacter sp. CAU 1674</t>
  </si>
  <si>
    <t>Bacteria;Bacteroidota;Flavobacteriia;Flavobacteriales;Flavobacteriaceae;Flavobacterium;Flavobacterium sp. YJ01;</t>
  </si>
  <si>
    <t>Flavobacterium sp. YJ01</t>
  </si>
  <si>
    <t>Bacteria;Actinomycetota;Actinomycetes;Micrococcales;Dermacoccaceae;Luteipulveratus;Luteipulveratus flavus;</t>
  </si>
  <si>
    <t>Dermacoccaceae</t>
  </si>
  <si>
    <t>Luteipulveratus</t>
  </si>
  <si>
    <t>Luteipulveratus flavus</t>
  </si>
  <si>
    <t>Bacteria;Pseudomonadota;Betaproteobacteria;Burkholderiales;Comamonadaceae;Ramlibacter;Ramlibacter sp. H39-3-26;</t>
  </si>
  <si>
    <t>Ramlibacter sp. H39-3-26</t>
  </si>
  <si>
    <t>Bacteria;Bacillota;Bacilli;Bacillales;Bacillaceae;Cytobacillus;Cytobacillus sp. S13-E01;</t>
  </si>
  <si>
    <t>Cytobacillus sp. S13-E01</t>
  </si>
  <si>
    <t>Bacteria;Pseudomonadota;Betaproteobacteria;Burkholderiales;Comamonadaceae;Extensimonas;Extensimonas sp. H3M7-6;</t>
  </si>
  <si>
    <t>Extensimonas</t>
  </si>
  <si>
    <t>Extensimonas sp. H3M7-6</t>
  </si>
  <si>
    <t>Bacteria;Actinomycetota;Actinomycetes;Micrococcales;Microbacteriaceae;Salinibacterium;Salinibacterium metalliresistens;</t>
  </si>
  <si>
    <t>Salinibacterium metalliresistens</t>
  </si>
  <si>
    <t>Bacteria;Actinomycetota;Actinomycetes;Micrococcales;Microbacteriaceae;Microbacterium;Microbacterium sp. STF-2;</t>
  </si>
  <si>
    <t>Microbacterium sp. STF-2</t>
  </si>
  <si>
    <t>Bacteria;Pseudomonadota;Alphaproteobacteria;Sphingomonadales;Sphingomonadaceae;Novosphingobium;Novosphingobium album (ex Liu et al. 2023);</t>
  </si>
  <si>
    <t>Novosphingobium album (ex Liu et al. 2023)</t>
  </si>
  <si>
    <t>Bacteria;Pseudomonadota;Alphaproteobacteria;Sphingomonadales;Sphingomonadaceae;Sphingobium;Sphingobium arseniciresistens;</t>
  </si>
  <si>
    <t>Sphingobium arseniciresistens</t>
  </si>
  <si>
    <t>Bacteria;Bacillota;Negativicutes;Selenomonadales;Sporomusaceae;Pelosinus;Pelosinus sp. IPA-1;</t>
  </si>
  <si>
    <t>Pelosinus sp. IPA-1</t>
  </si>
  <si>
    <t>Bacteria;Bacteroidota;Sphingobacteriia;Sphingobacteriales;Sphingobacteriaceae;Mucilaginibacter;Mucilaginibacter sp. SJ;</t>
  </si>
  <si>
    <t>Mucilaginibacter sp. SJ</t>
  </si>
  <si>
    <t>Archaea;Methanobacteriota;Methanomicrobia;Methanosarcinales;Methanosarcinaceae;Methanolapillus;Methanolapillus millepedarum;</t>
  </si>
  <si>
    <t>Methanolapillus</t>
  </si>
  <si>
    <t>Methanolapillus millepedarum</t>
  </si>
  <si>
    <t>Bacteria;Actinomycetota;Actinomycetes;Micrococcales;Microbacteriaceae;Microbacterium;Microbacterium thalli;</t>
  </si>
  <si>
    <t>Microbacterium thalli</t>
  </si>
  <si>
    <t>Bacteria;Bacillota;Clostridia;Eubacteriales;Clostridiaceae;Clostridium;Clostridium sp. 'White wine YQ';</t>
  </si>
  <si>
    <t>Clostridium sp. 'White wine YQ'</t>
  </si>
  <si>
    <t>Bacteria;Pseudomonadota;Gammaproteobacteria;Lysobacterales;Lysobacteraceae;Stenotrophomonas;Stenotrophomonas sp. BIO128-Bstrain;</t>
  </si>
  <si>
    <t>Stenotrophomonas sp. BIO128-Bstrain</t>
  </si>
  <si>
    <t>Bacteria;Pseudomonadota;Betaproteobacteria;Burkholderiales;Comamonadaceae;Curvibacter;Curvibacter cyanobacteriorum;</t>
  </si>
  <si>
    <t>Curvibacter cyanobacteriorum</t>
  </si>
  <si>
    <t>Bacteria;Pseudomonadota;Betaproteobacteria;Burkholderiales;Comamonadaceae;Curvibacter;Curvibacter microcysteis;</t>
  </si>
  <si>
    <t>Curvibacter microcysteis</t>
  </si>
  <si>
    <t>Bacteria;Pseudomonadota;Alphaproteobacteria;Hyphomicrobiales;Devosiaceae;Devosia;Devosia sp. ZB163;</t>
  </si>
  <si>
    <t>Devosia sp. ZB163</t>
  </si>
  <si>
    <t>Bacteria;Pseudomonadota;Gammaproteobacteria;Enterobacterales;Morganellaceae;Xenorhabdus;Xenorhabdus yunnanensis;</t>
  </si>
  <si>
    <t>Xenorhabdus</t>
  </si>
  <si>
    <t>Xenorhabdus yunnanensis</t>
  </si>
  <si>
    <t>Bacteria;Bacteroidota;Sphingobacteriia;Sphingobacteriales;Sphingobacteriaceae;Mucilaginibacter;Mucilaginibacter sp. KACC 22773;</t>
  </si>
  <si>
    <t>Mucilaginibacter sp. KACC 22773</t>
  </si>
  <si>
    <t>Bacteria;Pseudomonadota;Alphaproteobacteria;Sphingomonadales;Sphingomonadaceae;Novosphingobium;Novosphingobium sp. KACC 22771;</t>
  </si>
  <si>
    <t>Novosphingobium sp. KACC 22771</t>
  </si>
  <si>
    <t>Bacteria;Bacteroidota;Flavobacteriia;Flavobacteriales;Flavobacteriaceae;Flavobacterium;Flavobacterium sp. KACC 22763;</t>
  </si>
  <si>
    <t>Flavobacterium sp. KACC 22763</t>
  </si>
  <si>
    <t>Bacteria;Bacteroidota;Flavobacteriia;Flavobacteriales;Flavobacteriaceae;Flavobacterium;Flavobacterium sp. KACC 22758;</t>
  </si>
  <si>
    <t>Flavobacterium sp. KACC 22758</t>
  </si>
  <si>
    <t>Bacteria;Bacteroidota;Sphingobacteriia;Sphingobacteriales;Sphingobacteriaceae;Mucilaginibacter;Mucilaginibacter sp. KACC 22063;</t>
  </si>
  <si>
    <t>Mucilaginibacter sp. KACC 22063</t>
  </si>
  <si>
    <t>Bacteria;Pseudomonadota;Betaproteobacteria;Burkholderiales;Oxalobacteraceae;Massilia;Massilia sp. S19_KUP03_FR1;</t>
  </si>
  <si>
    <t>Massilia sp. S19_KUP03_FR1</t>
  </si>
  <si>
    <t>Bacteria;Pseudomonadota;Betaproteobacteria;Burkholderiales;Oxalobacteraceae;Duganella;Duganella sp. S19_KUP01_CR8;</t>
  </si>
  <si>
    <t>Duganella</t>
  </si>
  <si>
    <t>Duganella sp. S19_KUP01_CR8</t>
  </si>
  <si>
    <t>Bacteria;Pseudomonadota;Gammaproteobacteria;Pseudomonadales;Pseudomonadaceae;Pseudomonas;Pseudomonas sp. BLCC-B13;</t>
  </si>
  <si>
    <t>Pseudomonas sp. BLCC-B13</t>
  </si>
  <si>
    <t>Bacteria;Pseudomonadota;Gammaproteobacteria;Enterobacterales;Erwiniaceae;Pantoea;Pantoea sp. SS70;</t>
  </si>
  <si>
    <t>Pantoea</t>
  </si>
  <si>
    <t>Pantoea sp. SS70</t>
  </si>
  <si>
    <t>Bacteria;Pseudomonadota;Alphaproteobacteria;Sphingomonadales;Sphingomonadaceae;Novosphingobium;Novosphingobium cyanobacteriorum;</t>
  </si>
  <si>
    <t>Novosphingobium cyanobacteriorum</t>
  </si>
  <si>
    <t>Bacteria;Bacillota;Bacilli;Bacillales;Bacillaceae;Bacillus;Bacillus sp. BP-3;</t>
  </si>
  <si>
    <t>Bacillus sp. BP-3</t>
  </si>
  <si>
    <t>Bacteria;Pseudomonadota;Betaproteobacteria;Burkholderiales;Comamonadaceae;Delftia;Delftia sp. DT-2;</t>
  </si>
  <si>
    <t>Delftia sp. DT-2</t>
  </si>
  <si>
    <t>Bacteria;Bacillota;Bacilli;Bacillales;Paenibacillaceae;Aneurinibacillus;Aneurinibacillus sp. Ricciae_BoGa-3;</t>
  </si>
  <si>
    <t>Aneurinibacillus</t>
  </si>
  <si>
    <t>Aneurinibacillus sp. Ricciae_BoGa-3</t>
  </si>
  <si>
    <t>Bacteria;Bacillota;Bacilli;Bacillales;NA;Exiguobacterium;Exiguobacterium sp. MMG028;</t>
  </si>
  <si>
    <t>Exiguobacterium sp. MMG028</t>
  </si>
  <si>
    <t>Bacteria;Pseudomonadota;Alphaproteobacteria;Hyphomicrobiales;Rhizobiaceae;Rhizobium;Rhizobium sp. CNPSo 4062;</t>
  </si>
  <si>
    <t>Rhizobium sp. CNPSo 4062</t>
  </si>
  <si>
    <t>Bacteria;Bacillota;Bacilli;Bacillales;Paenibacillaceae;Paenibacillus;Paenibacillus agilis;</t>
  </si>
  <si>
    <t>Paenibacillus agilis</t>
  </si>
  <si>
    <t>Bacteria;Pseudomonadota;Gammaproteobacteria;Enterobacterales;Erwiniaceae;Erwinia;Erwinia sp. SLM-02;</t>
  </si>
  <si>
    <t>Erwinia sp. SLM-02</t>
  </si>
  <si>
    <t>Bacteria;Pseudomonadota;Gammaproteobacteria;Chromatiales;Chromatiaceae;Rheinheimera;Rheinheimera sp. MM224;</t>
  </si>
  <si>
    <t>Rheinheimera</t>
  </si>
  <si>
    <t>Rheinheimera sp. MM224</t>
  </si>
  <si>
    <t>Bacteria;Pseudomonadota;Alphaproteobacteria;Hyphomicrobiales;Rhizobiaceae;Rhizobium;Rhizobium brockwellii;</t>
  </si>
  <si>
    <t>Rhizobium brockwellii</t>
  </si>
  <si>
    <t>Bacteria;Pseudomonadota;Betaproteobacteria;Burkholderiales;Sphaerotilaceae;Roseateles;Paucibacter sediminis;</t>
  </si>
  <si>
    <t>Paucibacter sediminis</t>
  </si>
  <si>
    <t>Bacteria;Pseudomonadota;Alphaproteobacteria;Rhodobacterales;Paracoccaceae;Paracoccus;Paracoccus sp. DMF-8;</t>
  </si>
  <si>
    <t>Paracoccus sp. DMF-8</t>
  </si>
  <si>
    <t>Bacteria;Bacillota;Bacilli;Bacillales;Bacillaceae;Bacillus;Bacillus cereus group sp. Bc061;</t>
  </si>
  <si>
    <t>Bacillus cereus group sp. Bc061</t>
  </si>
  <si>
    <t>Bacteria;Bacillota;Bacilli;Bacillales;Bacillaceae;Bacillus;Bacillus cereus group sp. BcHK140;</t>
  </si>
  <si>
    <t>Bacillus cereus group sp. BcHK140</t>
  </si>
  <si>
    <t>Bacteria;Bacillota;Bacilli;Bacillales;Bacillaceae;Bacillus;Bacillus cereus group sp. BY105LC;</t>
  </si>
  <si>
    <t>Bacillus cereus group sp. BY105LC</t>
  </si>
  <si>
    <t>Bacteria;Bacillota;Bacilli;Bacillales;Bacillaceae;Bacillus;Bacillus cereus group sp. TH152-1LC;</t>
  </si>
  <si>
    <t>Bacillus cereus group sp. TH152-1LC</t>
  </si>
  <si>
    <t>Bacteria;Bacillota;Bacilli;Bacillales;Bacillaceae;Bacillus;Bacillus cereus group sp. TH260-2LC;</t>
  </si>
  <si>
    <t>Bacillus cereus group sp. TH260-2LC</t>
  </si>
  <si>
    <t>Bacteria;Actinomycetota;Actinomycetes;Micromonosporales;Micromonosporaceae;Solwaraspora;Solwaraspora sp. WMMD406;</t>
  </si>
  <si>
    <t>Solwaraspora</t>
  </si>
  <si>
    <t>Solwaraspora sp. WMMD406</t>
  </si>
  <si>
    <t>Bacteria;Pseudomonadota;Alphaproteobacteria;Caulobacterales;Caulobacteraceae;Caulobacter;Caulobacter sp. NIBR1757;</t>
  </si>
  <si>
    <t>Caulobacter sp. NIBR1757</t>
  </si>
  <si>
    <t>Bacteria;Pseudomonadota;Alphaproteobacteria;Caulobacterales;Caulobacteraceae;Brevundimonas;Brevundimonas sp. NIBR11;</t>
  </si>
  <si>
    <t>Brevundimonas sp. NIBR11</t>
  </si>
  <si>
    <t>Bacteria;Pseudomonadota;Betaproteobacteria;Burkholderiales;Sphaerotilaceae;Roseateles;Paucibacter sp. M5-1;</t>
  </si>
  <si>
    <t>Paucibacter sp. M5-1</t>
  </si>
  <si>
    <t>Bacteria;Pseudomonadota;Alphaproteobacteria;Caulobacterales;Caulobacteraceae;Brevundimonas;Brevundimonas sp. NIBR10;</t>
  </si>
  <si>
    <t>Brevundimonas sp. NIBR10</t>
  </si>
  <si>
    <t>Bacteria;Pseudomonadota;Alphaproteobacteria;Caulobacterales;Caulobacteraceae;Caulobacter;Caulobacter sp. NIBR2454;</t>
  </si>
  <si>
    <t>Caulobacter sp. NIBR2454</t>
  </si>
  <si>
    <t>Bacteria;Bacteroidota;Chitinophagia;Chitinophagales;Chitinophagaceae;Polluticaenibacter;Polluticaenibacter yanchengensis;</t>
  </si>
  <si>
    <t>Polluticaenibacter</t>
  </si>
  <si>
    <t>Polluticaenibacter yanchengensis</t>
  </si>
  <si>
    <t>Bacteria;Pseudomonadota;Alphaproteobacteria;Sphingomonadales;Sphingomonadaceae;Sphingomonas;Sphingomonas abietis;</t>
  </si>
  <si>
    <t>Sphingomonas abietis</t>
  </si>
  <si>
    <t>Bacteria;Pseudomonadota;Betaproteobacteria;Burkholderiales;Burkholderiaceae;Burkholderia;Burkholderia sp. IMCC1007;</t>
  </si>
  <si>
    <t>Burkholderia sp. IMCC1007</t>
  </si>
  <si>
    <t>Bacteria;Bacteroidota;Sphingobacteriia;Sphingobacteriales;Sphingobacteriaceae;Pedobacter;Pedobacter rhodius;</t>
  </si>
  <si>
    <t>Pedobacter rhodius</t>
  </si>
  <si>
    <t>Bacteria;Bacteroidota;Sphingobacteriia;Sphingobacteriales;Sphingobacteriaceae;Pedobacter;Pedobacter punctiformis;</t>
  </si>
  <si>
    <t>Pedobacter punctiformis</t>
  </si>
  <si>
    <t>Bacteria;Pseudomonadota;Gammaproteobacteria;Lysobacterales;Lysobacteraceae;Stenotrophomonas;Stenotrophomonas aracearum;</t>
  </si>
  <si>
    <t>Stenotrophomonas aracearum</t>
  </si>
  <si>
    <t>Bacteria;Pseudomonadota;Gammaproteobacteria;Lysobacterales;Lysobacteraceae;Stenotrophomonas;Stenotrophomonas oahuensis;</t>
  </si>
  <si>
    <t>Stenotrophomonas oahuensis</t>
  </si>
  <si>
    <t>Bacteria;Bacteroidota;Flavobacteriia;Flavobacteriales;Flavobacteriaceae;Flavobacterium;Flavobacterium aquiphilum;</t>
  </si>
  <si>
    <t>Flavobacterium aquiphilum</t>
  </si>
  <si>
    <t>Bacteria;Bacteroidota;Flavobacteriia;Flavobacteriales;Flavobacteriaceae;Flavobacterium;Flavobacterium gelatinilyticum;</t>
  </si>
  <si>
    <t>Flavobacterium gelatinilyticum</t>
  </si>
  <si>
    <t>Bacteria;Bacteroidota;Flavobacteriia;Flavobacteriales;Flavobacteriaceae;Flavobacterium;Flavobacterium luteolum;</t>
  </si>
  <si>
    <t>Flavobacterium luteolum</t>
  </si>
  <si>
    <t>Bacteria;Pseudomonadota;Alphaproteobacteria;Hyphomicrobiales;Phreatobacteraceae;Phreatobacter;Phreatobacter sp. AB_2022a;</t>
  </si>
  <si>
    <t>Phreatobacteraceae</t>
  </si>
  <si>
    <t>Phreatobacter</t>
  </si>
  <si>
    <t>Phreatobacter sp. AB_2022a</t>
  </si>
  <si>
    <t>Bacteria;Pseudomonadota;Gammaproteobacteria;Pseudomonadales;Pseudomonadaceae;Pseudomonas;Pseudomonas huanghezhanensis;</t>
  </si>
  <si>
    <t>Pseudomonas huanghezhanensis</t>
  </si>
  <si>
    <t>Bacteria;Bacteroidota;Flavobacteriia;Flavobacteriales;Flavobacteriaceae;Flavobacterium;Flavobacterium praedii;</t>
  </si>
  <si>
    <t>Flavobacterium praedii</t>
  </si>
  <si>
    <t>Bacteria;Bacillota;Clostridia;Eubacteriales;Butyricicoccaceae;Butyricicoccus;Butyricicoccus sp. AF18-9LB;</t>
  </si>
  <si>
    <t>Butyricicoccaceae</t>
  </si>
  <si>
    <t>Butyricicoccus</t>
  </si>
  <si>
    <t>Butyricicoccus sp. AF18-9LB</t>
  </si>
  <si>
    <t>Bacteria;Bacteroidota;Flavobacteriia;Flavobacteriales;Flavobacteriaceae;Flavobacterium;Flavobacterium sp. SUN052;</t>
  </si>
  <si>
    <t>Flavobacterium sp. SUN052</t>
  </si>
  <si>
    <t>Bacteria;Bacteroidota;Flavobacteriia;Flavobacteriales;Flavobacteriaceae;Flavobacterium;Flavobacterium sp. SUN046;</t>
  </si>
  <si>
    <t>Flavobacterium sp. SUN046</t>
  </si>
  <si>
    <t>Bacteria;Bacillota;Clostridia;Eubacteriales;Clostridiaceae;Oceanirhabdus;Oceanirhabdus sp. W0125-5;</t>
  </si>
  <si>
    <t>Oceanirhabdus</t>
  </si>
  <si>
    <t>Oceanirhabdus sp. W0125-5</t>
  </si>
  <si>
    <t>Bacteria;Bacillota;Clostridia;Eubacteriales;Clostridiaceae;Clostridium;Clostridium brassicae;</t>
  </si>
  <si>
    <t>Clostridium brassicae</t>
  </si>
  <si>
    <t>Bacteria;Pseudomonadota;Alphaproteobacteria;Sphingomonadales;Sphingomonadaceae;Sphingomonas;Sphingomonas sp. So64.6b;</t>
  </si>
  <si>
    <t>Sphingomonas sp. So64.6b</t>
  </si>
  <si>
    <t>Bacteria;Fusobacteriota;Fusobacteriia;Fusobacteriales;Haliovirgaceae;Haliovirga;Haliovirga abyssi;</t>
  </si>
  <si>
    <t>Haliovirgaceae</t>
  </si>
  <si>
    <t>Haliovirga</t>
  </si>
  <si>
    <t>Haliovirga abyssi</t>
  </si>
  <si>
    <t>Bacteria;Myxococcota;Myxococcia;Myxococcales;Myxococcaceae;Pyxidicoccus;Pyxidicoccus sp. MSG2;</t>
  </si>
  <si>
    <t>Myxococcota</t>
  </si>
  <si>
    <t>Myxococcia</t>
  </si>
  <si>
    <t>Myxococcales</t>
  </si>
  <si>
    <t>Myxococcaceae</t>
  </si>
  <si>
    <t>Pyxidicoccus</t>
  </si>
  <si>
    <t>Pyxidicoccus sp. MSG2</t>
  </si>
  <si>
    <t>Bacteria;Actinomycetota;Actinomycetes;Micrococcales;Micrococcaceae;Arthrobacter;Arthrobacter sp. MMS18-M83;</t>
  </si>
  <si>
    <t>Arthrobacter sp. MMS18-M83</t>
  </si>
  <si>
    <t>Bacteria;Actinomycetota;Actinomycetes;Micrococcales;Microbacteriaceae;Microbacterium;Microbacterium sp. STN6;</t>
  </si>
  <si>
    <t>Microbacterium sp. STN6</t>
  </si>
  <si>
    <t>Bacteria;Pseudomonadota;Gammaproteobacteria;Enterobacterales;Enterobacteriaceae;Kluyvera;Kluyvera sp. CHPC 1.2972;</t>
  </si>
  <si>
    <t>Kluyvera</t>
  </si>
  <si>
    <t>Kluyvera sp. CHPC 1.2972</t>
  </si>
  <si>
    <t>Bacteria;Verrucomicrobiota;Verrucomicrobiia;Verrucomicrobiales;Verrucomicrobiaceae;Luteolibacter;Luteolibacter sp. SL250;</t>
  </si>
  <si>
    <t>Luteolibacter sp. SL250</t>
  </si>
  <si>
    <t>Bacteria;Pseudomonadota;Alphaproteobacteria;Hyphomicrobiales;Xanthobacteraceae;Ancylobacter;Ancylobacter sp. SL191;</t>
  </si>
  <si>
    <t>Ancylobacter sp. SL191</t>
  </si>
  <si>
    <t>Bacteria;Bacteroidota;Sphingobacteriia;Sphingobacteriales;Sphingobacteriaceae;Pedobacter;Pedobacter sp. SL55;</t>
  </si>
  <si>
    <t>Pedobacter sp. SL55</t>
  </si>
  <si>
    <t>Bacteria;Pseudomonadota;Alphaproteobacteria;Caulobacterales;Caulobacteraceae;Caulobacter;Caulobacter sp. SL161;</t>
  </si>
  <si>
    <t>Caulobacter sp. SL161</t>
  </si>
  <si>
    <t>Bacteria;Pseudomonadota;Alphaproteobacteria;Hyphomicrobiales;Stappiaceae;Pannonibacter;Pannonibacter sp. SL95;</t>
  </si>
  <si>
    <t>Pannonibacter</t>
  </si>
  <si>
    <t>Pannonibacter sp. SL95</t>
  </si>
  <si>
    <t>Bacteria;Pseudomonadota;Alphaproteobacteria;Sphingomonadales;Sphingomonadaceae;Novosphingobium;Novosphingobium sp. SL115;</t>
  </si>
  <si>
    <t>Novosphingobium sp. SL115</t>
  </si>
  <si>
    <t>Bacteria;Pseudomonadota;Alphaproteobacteria;Caulobacterales;Caulobacteraceae;Brevundimonas;Brevundimonas sp. SL130;</t>
  </si>
  <si>
    <t>Brevundimonas sp. SL130</t>
  </si>
  <si>
    <t>Bacteria;Pseudomonadota;Betaproteobacteria;Burkholderiales;Sphaerotilaceae;Roseateles;Roseateles sp. SL47;</t>
  </si>
  <si>
    <t>Roseateles sp. SL47</t>
  </si>
  <si>
    <t>Bacteria;Pseudomonadota;Gammaproteobacteria;Pseudomonadales;Pseudomonadaceae;Pseudomonas;Pseudomonas sp. SL4(2022);</t>
  </si>
  <si>
    <t>Pseudomonas sp. SL4(2022)</t>
  </si>
  <si>
    <t>Bacteria;Pseudomonadota;Alphaproteobacteria;Hyphomicrobiales;Kaistiaceae;Kaistia;Kaistia nematophila;</t>
  </si>
  <si>
    <t>Kaistia nematophila</t>
  </si>
  <si>
    <t>Bacteria;Actinomycetota;Actinomycetes;Micrococcales;Microbacteriaceae;Agromyces;Agromyces sp. NBRC 114283;</t>
  </si>
  <si>
    <t>Agromyces sp. NBRC 114283</t>
  </si>
  <si>
    <t>Bacteria;Pseudomonadota;Gammaproteobacteria;Lysobacterales;Rhodanobacteraceae;Dyella;Dyella sp. GSA-30;</t>
  </si>
  <si>
    <t>Rhodanobacteraceae</t>
  </si>
  <si>
    <t>Dyella</t>
  </si>
  <si>
    <t>Dyella sp. GSA-30</t>
  </si>
  <si>
    <t>Bacteria;Bacteroidota;Sphingobacteriia;Sphingobacteriales;Sphingobacteriaceae;Pedobacter;Pedobacter sp. MC2016-05;</t>
  </si>
  <si>
    <t>Pedobacter sp. MC2016-05</t>
  </si>
  <si>
    <t>Bacteria;Bacteroidota;Sphingobacteriia;Sphingobacteriales;Sphingobacteriaceae;Pedobacter;Pedobacter sp. MC2016-15;</t>
  </si>
  <si>
    <t>Pedobacter sp. MC2016-15</t>
  </si>
  <si>
    <t>Bacteria;Bacteroidota;Sphingobacteriia;Sphingobacteriales;Sphingobacteriaceae;Pedobacter;Pedobacter sp. GR22-10;</t>
  </si>
  <si>
    <t>Pedobacter sp. GR22-10</t>
  </si>
  <si>
    <t>Bacteria;Bacteroidota;Sphingobacteriia;Sphingobacteriales;Sphingobacteriaceae;Pedobacter;Pedobacter sp. MR2016-24;</t>
  </si>
  <si>
    <t>Pedobacter sp. MR2016-24</t>
  </si>
  <si>
    <t>Bacteria;Bacteroidota;Flavobacteriia;Flavobacteriales;Flavobacteriaceae;Flavobacterium;Flavobacterium sp. GSB-24;</t>
  </si>
  <si>
    <t>Flavobacterium sp. GSB-24</t>
  </si>
  <si>
    <t>Bacteria;Actinomycetota;Actinomycetes;Mycobacteriales;Mycobacteriaceae;Mycobacterium;Mycobacterium pinniadriaticum;</t>
  </si>
  <si>
    <t>Mycobacterium pinniadriaticum</t>
  </si>
  <si>
    <t>Bacteria;Pseudomonadota;Betaproteobacteria;Burkholderiales;Sphaerotilaceae;Roseateles;Paucibacter sp. PLA-PC-4;</t>
  </si>
  <si>
    <t>Paucibacter sp. PLA-PC-4</t>
  </si>
  <si>
    <t>Bacteria;Pseudomonadota;Alphaproteobacteria;Sphingomonadales;Sphingomonadaceae;Sphingobium;Sphingobium sp. DEHP117;</t>
  </si>
  <si>
    <t>Sphingobium sp. DEHP117</t>
  </si>
  <si>
    <t>Bacteria;Actinomycetota;Actinomycetes;Mycobacteriales;Hoyosellaceae;Hoyosella;Hoyosella sp. YIM 151337;</t>
  </si>
  <si>
    <t>Hoyosellaceae</t>
  </si>
  <si>
    <t>Hoyosella</t>
  </si>
  <si>
    <t>Hoyosella sp. YIM 151337</t>
  </si>
  <si>
    <t>Bacteria;Bacillota;Clostridia;Eubacteriales;Clostridiaceae;Clostridium;Clostridium butanoliproducens;</t>
  </si>
  <si>
    <t>Clostridium butanoliproducens</t>
  </si>
  <si>
    <t>Bacteria;Bacteroidota;Chitinophagia;Chitinophagales;Chitinophagaceae;Chitinophaga;Chitinophaga nivalis;</t>
  </si>
  <si>
    <t>Chitinophaga nivalis</t>
  </si>
  <si>
    <t>Bacteria;Pseudomonadota;Gammaproteobacteria;Pseudomonadales;Pseudomonadaceae;Pseudomonas;Pseudomonas sp. PS02288;</t>
  </si>
  <si>
    <t>Pseudomonas sp. PS02288</t>
  </si>
  <si>
    <t>Bacteria;Pseudomonadota;Gammaproteobacteria;Pseudomonadales;Pseudomonadaceae;Pseudomonas;Pseudomonas sp. PS01298;</t>
  </si>
  <si>
    <t>Pseudomonas sp. PS01298</t>
  </si>
  <si>
    <t>Bacteria;Pseudomonadota;Gammaproteobacteria;Lysobacterales;Lysobacteraceae;Stenotrophomonas;Stenotrophomonas sp. PS02301;</t>
  </si>
  <si>
    <t>Stenotrophomonas sp. PS02301</t>
  </si>
  <si>
    <t>Bacteria;Pseudomonadota;Gammaproteobacteria;Lysobacterales;Lysobacteraceae;Stenotrophomonas;Stenotrophomonas sp. PS02300;</t>
  </si>
  <si>
    <t>Stenotrophomonas sp. PS02300</t>
  </si>
  <si>
    <t>Bacteria;Pseudomonadota;Gammaproteobacteria;Lysobacterales;Lysobacteraceae;Stenotrophomonas;Stenotrophomonas sp. PS02289;</t>
  </si>
  <si>
    <t>Stenotrophomonas sp. PS02289</t>
  </si>
  <si>
    <t>Bacteria;Pseudomonadota;Gammaproteobacteria;Aeromonadales;Aeromonadaceae;Aeromonas;Aeromonas sp. Y318-1;</t>
  </si>
  <si>
    <t>Aeromonas sp. Y318-1</t>
  </si>
  <si>
    <t>Bacteria;Pseudomonadota;Gammaproteobacteria;Aeromonadales;Aeromonadaceae;Aeromonas;Aeromonas sp. S41-2;</t>
  </si>
  <si>
    <t>Aeromonas sp. S41-2</t>
  </si>
  <si>
    <t>Bacteria;Pseudomonadota;Gammaproteobacteria;Aeromonadales;Aeromonadaceae;Aeromonas;Aeromonas sp. QDB03;</t>
  </si>
  <si>
    <t>Aeromonas sp. QDB03</t>
  </si>
  <si>
    <t>Bacteria;Pseudomonadota;Gammaproteobacteria;Aeromonadales;Aeromonadaceae;Aeromonas;Aeromonas sp. QDB54;</t>
  </si>
  <si>
    <t>Aeromonas sp. QDB54</t>
  </si>
  <si>
    <t>Bacteria;Pseudomonadota;Gammaproteobacteria;Lysobacterales;Lysobacteraceae;Xanthomonas;Xanthomonas chitinilytica;</t>
  </si>
  <si>
    <t>Xanthomonas</t>
  </si>
  <si>
    <t>Xanthomonas chitinilytica</t>
  </si>
  <si>
    <t>Bacteria;Bacteroidota;Flavobacteriia;Flavobacteriales;Flavobacteriaceae;Flavobacterium;Flavobacterium sp. MFBS3-15;</t>
  </si>
  <si>
    <t>Flavobacterium sp. MFBS3-15</t>
  </si>
  <si>
    <t>Bacteria;Pseudomonadota;Alphaproteobacteria;Sphingomonadales;Sphingomonadaceae;Novosphingobium;Novosphingobium sp. JCM 18896;</t>
  </si>
  <si>
    <t>Novosphingobium sp. JCM 18896</t>
  </si>
  <si>
    <t>Bacteria;Verrucomicrobiota;Verrucomicrobiia;Verrucomicrobiales;Verrucomicrobiaceae;Luteolibacter;Luteolibacter rhizosphaerae;</t>
  </si>
  <si>
    <t>Luteolibacter rhizosphaerae</t>
  </si>
  <si>
    <t>Bacteria;Bacillota;Clostridia;Eubacteriales;Clostridiaceae;Clostridium;Clostridium sp. ZS2-4;</t>
  </si>
  <si>
    <t>Clostridium sp. ZS2-4</t>
  </si>
  <si>
    <t>Bacteria;Pseudomonadota;Alphaproteobacteria;Hyphomicrobiales;Beijerinckiaceae;Methylocella;Methylocella sp. CPCC 101449;</t>
  </si>
  <si>
    <t>Beijerinckiaceae</t>
  </si>
  <si>
    <t>Methylocella</t>
  </si>
  <si>
    <t>Methylocella sp. CPCC 101449</t>
  </si>
  <si>
    <t>Bacteria;Bacillota;Clostridia;Eubacteriales;Clostridiaceae;Clostridium;Clostridium sp. LIBA-8841;</t>
  </si>
  <si>
    <t>Clostridium sp. LIBA-8841</t>
  </si>
  <si>
    <t>Bacteria;Pseudomonadota;Betaproteobacteria;Burkholderiales;Sphaerotilaceae;Roseateles;Roseateles koreensis;</t>
  </si>
  <si>
    <t>Roseateles koreensis</t>
  </si>
  <si>
    <t>Bacteria;Pseudomonadota;Betaproteobacteria;Burkholderiales;Sphaerotilaceae;Roseateles;Roseateles albus;</t>
  </si>
  <si>
    <t>Roseateles albus</t>
  </si>
  <si>
    <t>Bacteria;Pseudomonadota;Betaproteobacteria;Burkholderiales;Oxalobacteraceae;Janthinobacterium;Janthinobacterium fluminis;</t>
  </si>
  <si>
    <t>Janthinobacterium fluminis</t>
  </si>
  <si>
    <t>Bacteria;Pseudomonadota;Betaproteobacteria;Burkholderiales;Comamonadaceae;Acidovorax;Acidovorax benzenivorans;</t>
  </si>
  <si>
    <t>Acidovorax benzenivorans</t>
  </si>
  <si>
    <t>Bacteria;Pseudomonadota;Alphaproteobacteria;Caulobacterales;Caulobacteraceae;Brevundimonas;Brevundimonas sp. BT-123;</t>
  </si>
  <si>
    <t>Brevundimonas sp. BT-123</t>
  </si>
  <si>
    <t>Bacteria;Pseudomonadota;Alphaproteobacteria;Hyphomicrobiales;Rhizobiaceae;Pararhizobium;Pararhizobium sp. YC-54;</t>
  </si>
  <si>
    <t>Pararhizobium</t>
  </si>
  <si>
    <t>Pararhizobium sp. YC-54</t>
  </si>
  <si>
    <t>Bacteria;Bacteroidota;Flavobacteriia;Flavobacteriales;Flavobacteriaceae;Flavobacterium;Flavobacterium sp. N502540;</t>
  </si>
  <si>
    <t>Flavobacterium sp. N502540</t>
  </si>
  <si>
    <t>Bacteria;Bacteroidota;Flavobacteriia;Flavobacteriales;Flavobacteriaceae;Flavobacterium;Flavobacterium sp. N2270;</t>
  </si>
  <si>
    <t>Flavobacterium sp. N2270</t>
  </si>
  <si>
    <t>Bacteria;Bacteroidota;Flavobacteriia;Flavobacteriales;Flavobacteriaceae;Flavobacterium;Flavobacterium sp. N1736;</t>
  </si>
  <si>
    <t>Flavobacterium sp. N1736</t>
  </si>
  <si>
    <t>Bacteria;Actinomycetota;Actinomycetes;Micrococcales;Microbacteriaceae;Salinibacterium;Salinibacterium sedimenticola;</t>
  </si>
  <si>
    <t>Salinibacterium sedimenticola</t>
  </si>
  <si>
    <t>Bacteria;Pseudomonadota;Betaproteobacteria;Burkholderiales;Comamonadaceae;Delftia;Delftia sp. UGAL515B_04;</t>
  </si>
  <si>
    <t>Delftia sp. UGAL515B_04</t>
  </si>
  <si>
    <t>Bacteria;Pseudomonadota;Gammaproteobacteria;Enterobacterales;Yersiniaceae;Serratia;Serratia sp. UGAL515B_01;</t>
  </si>
  <si>
    <t>Serratia sp. UGAL515B_01</t>
  </si>
  <si>
    <t>Bacteria;Pseudomonadota;Betaproteobacteria;Burkholderiales;Comamonadaceae;Limnohabitans;Limnohabitans sp. INBF002;</t>
  </si>
  <si>
    <t>Limnohabitans sp. INBF002</t>
  </si>
  <si>
    <t>Bacteria;Actinomycetota;Actinomycetes;Micrococcales;Microbacteriaceae;Homoserinibacter;Homoserinibacter sp. YIM 151385;</t>
  </si>
  <si>
    <t>Homoserinibacter</t>
  </si>
  <si>
    <t>Homoserinibacter sp. YIM 151385</t>
  </si>
  <si>
    <t>Bacteria;Pseudomonadota;Alphaproteobacteria;Acetobacterales;Acetobacteraceae;Sabulicella;Sabulicella glaciei;</t>
  </si>
  <si>
    <t>Sabulicella</t>
  </si>
  <si>
    <t>Sabulicella glaciei</t>
  </si>
  <si>
    <t>Bacteria;Pseudomonadota;Alphaproteobacteria;Caulobacterales;Caulobacteraceae;Asticcacaulis;Asticcacaulis aquaticus;</t>
  </si>
  <si>
    <t>Asticcacaulis aquaticus</t>
  </si>
  <si>
    <t>Bacteria;Pseudomonadota;Alphaproteobacteria;Caulobacterales;Caulobacteraceae;Asticcacaulis;Asticcacaulis machinosus;</t>
  </si>
  <si>
    <t>Asticcacaulis machinosus</t>
  </si>
  <si>
    <t>Bacteria;Bacteroidota;Cytophagia;Cytophagales;Flectobacillaceae;Flectobacillus;Flectobacillus rivi;</t>
  </si>
  <si>
    <t>Flectobacillaceae</t>
  </si>
  <si>
    <t>Flectobacillus</t>
  </si>
  <si>
    <t>Flectobacillus rivi</t>
  </si>
  <si>
    <t>Bacteria;Bacteroidota;Cytophagia;Cytophagales;Flectobacillaceae;Flectobacillus;Flectobacillus longus;</t>
  </si>
  <si>
    <t>Flectobacillus longus</t>
  </si>
  <si>
    <t>Bacteria;Pseudomonadota;Betaproteobacteria;Neisseriales;Chromobacteriaceae;Vogesella;Vogesella aquatica;</t>
  </si>
  <si>
    <t>Neisseriales</t>
  </si>
  <si>
    <t>Chromobacteriaceae</t>
  </si>
  <si>
    <t>Vogesella</t>
  </si>
  <si>
    <t>Vogesella aquatica</t>
  </si>
  <si>
    <t>Bacteria;Bacteroidota;Cytophagia;Cytophagales;Flectobacillaceae;Arcicella;Arcicella lustrica;</t>
  </si>
  <si>
    <t>Arcicella</t>
  </si>
  <si>
    <t>Arcicella lustrica</t>
  </si>
  <si>
    <t>Bacteria;Bacteroidota;Cytophagia;Cytophagales;Flectobacillaceae;Arcicella;Arcicella gelida;</t>
  </si>
  <si>
    <t>Arcicella gelida</t>
  </si>
  <si>
    <t>Bacteria;Pseudomonadota;Betaproteobacteria;Burkholderiales;Sphaerotilaceae;Pseudaquabacterium;Pseudaquabacterium rugosum;</t>
  </si>
  <si>
    <t>Pseudaquabacterium</t>
  </si>
  <si>
    <t>Pseudaquabacterium rugosum</t>
  </si>
  <si>
    <t>Bacteria;Pseudomonadota;Betaproteobacteria;Burkholderiales;Sphaerotilaceae;Ideonella;Ideonella lacteola;</t>
  </si>
  <si>
    <t>Ideonella lacteola</t>
  </si>
  <si>
    <t>Bacteria;Pseudomonadota;Betaproteobacteria;Burkholderiales;Sphaerotilaceae;Pseudaquabacterium;Pseudaquabacterium inlustre;</t>
  </si>
  <si>
    <t>Pseudaquabacterium inlustre</t>
  </si>
  <si>
    <t>Bacteria;Pseudomonadota;Betaproteobacteria;Burkholderiales;Sphaerotilaceae;Ideonella;Ideonella margarita;</t>
  </si>
  <si>
    <t>Ideonella margarita</t>
  </si>
  <si>
    <t>Bacteria;Bacteroidota;Flavobacteriia;Flavobacteriales;Flavobacteriaceae;Flavobacterium;Flavobacterium sp. SH_e;</t>
  </si>
  <si>
    <t>Flavobacterium sp. SH_e</t>
  </si>
  <si>
    <t>Bacteria;Bacteroidota;Flavobacteriia;Flavobacteriales;Weeksellaceae;Chryseobacterium;Chryseobacterium luquanense;</t>
  </si>
  <si>
    <t>Chryseobacterium luquanense</t>
  </si>
  <si>
    <t>Bacteria;Actinomycetota;Actinomycetes;Micrococcales;Cellulomonadaceae;Actinotalea;Actinotalea sp. M2MS4P-6;</t>
  </si>
  <si>
    <t>Actinotalea sp. M2MS4P-6</t>
  </si>
  <si>
    <t>Bacteria;Bacillota;Bacilli;Bacillales;Bacillaceae;Bacillus;Bacillus pretiosus;</t>
  </si>
  <si>
    <t>Bacillus pretiosus</t>
  </si>
  <si>
    <t>Bacteria;Pseudomonadota;Gammaproteobacteria;Pseudomonadales;Pseudomonadaceae;Pseudomonas;Pseudomonas sp. AM14(2022);</t>
  </si>
  <si>
    <t>Pseudomonas sp. AM14(2022)</t>
  </si>
  <si>
    <t>Bacteria;Bacteroidota;Flavobacteriia;Flavobacteriales;Weeksellaceae;Chryseobacterium;Chryseobacterium sp. PET-29;</t>
  </si>
  <si>
    <t>Chryseobacterium sp. PET-29</t>
  </si>
  <si>
    <t>Bacteria;Pseudomonadota;Alphaproteobacteria;Caulobacterales;Caulobacteraceae;Phenylobacterium;Phenylobacterium ferrooxidans;</t>
  </si>
  <si>
    <t>Phenylobacterium</t>
  </si>
  <si>
    <t>Phenylobacterium ferrooxidans</t>
  </si>
  <si>
    <t>Bacteria;Pseudomonadota;Betaproteobacteria;Burkholderiales;Burkholderiaceae;Polynucleobacter;Polynucleobacter sp. KF022;</t>
  </si>
  <si>
    <t>Polynucleobacter sp. KF022</t>
  </si>
  <si>
    <t>Bacteria;Bacteroidota;Chitinophagia;Chitinophagales;Chitinophagaceae;Paraflavisolibacter;Paraflavisolibacter caeni;</t>
  </si>
  <si>
    <t>Paraflavisolibacter caeni</t>
  </si>
  <si>
    <t>Bacteria;Bacteroidota;Saprospiria;Saprospirales;Saprospiraceae;Candidatus Brachybacter;Candidatus Brachybacter algidus;</t>
  </si>
  <si>
    <t>Saprospiria</t>
  </si>
  <si>
    <t>Saprospirales</t>
  </si>
  <si>
    <t>Saprospiraceae</t>
  </si>
  <si>
    <t>Candidatus Brachybacter</t>
  </si>
  <si>
    <t>Candidatus Brachybacter algidus</t>
  </si>
  <si>
    <t>Bacteria;Bacillota;Clostridia;Lachnospirales;Lachnospiraceae;Muricoprocola;Muricoprocola aceti;</t>
  </si>
  <si>
    <t>Muricoprocola</t>
  </si>
  <si>
    <t>Muricoprocola aceti</t>
  </si>
  <si>
    <t>Bacteria;Pseudomonadota;Betaproteobacteria;Burkholderiales;Comamonadaceae;Variovorax;Variovorax sp. N23;</t>
  </si>
  <si>
    <t>Variovorax sp. N23</t>
  </si>
  <si>
    <t>Bacteria;Bacillota;Bacilli;Bacillales;Bacillaceae;Bacillus;Bacillus sp. SM-B1;</t>
  </si>
  <si>
    <t>Bacillus sp. SM-B1</t>
  </si>
  <si>
    <t>Bacteria;Pseudomonadota;Alphaproteobacteria;Hyphomicrobiales;Rhizobiaceae;Rhizobium;Rhizobium sp. TRM95796;</t>
  </si>
  <si>
    <t>Rhizobium sp. TRM95796</t>
  </si>
  <si>
    <t>Bacteria;Actinomycetota;Actinomycetes;Micrococcales;Microbacteriaceae;Microbacterium;Microbacterium memoriense;</t>
  </si>
  <si>
    <t>Microbacterium memoriense</t>
  </si>
  <si>
    <t>Bacteria;Bacillota;Clostridia;Eubacteriales;Clostridiaceae;Clostridium;Clostridium sp. CX1;</t>
  </si>
  <si>
    <t>Clostridium sp. CX1</t>
  </si>
  <si>
    <t>Bacteria;Pseudomonadota;Betaproteobacteria;Burkholderiales;NA;Aquabacterium;Aquabacterium sp. OR-4;</t>
  </si>
  <si>
    <t>Aquabacterium sp. OR-4</t>
  </si>
  <si>
    <t>Bacteria;Pseudomonadota;Betaproteobacteria;Burkholderiales;Comamonadaceae;Acidovorax;Acidovorax sp. K2F;</t>
  </si>
  <si>
    <t>Acidovorax sp. K2F</t>
  </si>
  <si>
    <t>Bacteria;Pseudomonadota;Betaproteobacteria;Burkholderiales;Alcaligenaceae;Zwartia;Zwartia sp.;</t>
  </si>
  <si>
    <t>Zwartia sp.</t>
  </si>
  <si>
    <t>Bacteria;Pseudomonadota;Gammaproteobacteria;Chromatiales;Chromatiaceae;Rheinheimera;Rheinheimera sp. 4Y26;</t>
  </si>
  <si>
    <t>Rheinheimera sp. 4Y26</t>
  </si>
  <si>
    <t>Bacteria;Bacteroidota;Flavobacteriia;Flavobacteriales;Flavobacteriaceae;Flavobacterium;Flavobacterium sp. TR2;</t>
  </si>
  <si>
    <t>Flavobacterium sp. TR2</t>
  </si>
  <si>
    <t>Bacteria;Pseudomonadota;Betaproteobacteria;Burkholderiales;Comamonadaceae;Comamonas;Comamonas sp. PR12;</t>
  </si>
  <si>
    <t>Comamonas sp. PR12</t>
  </si>
  <si>
    <t>Bacteria;Pseudomonadota;Gammaproteobacteria;Lysobacterales;Lysobacteraceae;Stenotrophomonas;Stenotrophomonas sp. Iso1;</t>
  </si>
  <si>
    <t>Stenotrophomonas sp. Iso1</t>
  </si>
  <si>
    <t>Bacteria;Bacteroidota;Flavobacteriia;Flavobacteriales;Weeksellaceae;Cloacibacterium;Cloacibacterium sp. TD35;</t>
  </si>
  <si>
    <t>Cloacibacterium</t>
  </si>
  <si>
    <t>Cloacibacterium sp. TD35</t>
  </si>
  <si>
    <t>Bacteria;Bacillota;Bacilli;Bacillales;Bacillaceae;Alkalihalobacillus;Alkalihalobacillus sp. MEB130;</t>
  </si>
  <si>
    <t>Alkalihalobacillus</t>
  </si>
  <si>
    <t>Alkalihalobacillus sp. MEB130</t>
  </si>
  <si>
    <t>Bacteria;Pseudomonadota;Betaproteobacteria;Burkholderiales;Comamonadaceae;Acidovorax;Acidovorax bellezanensis;</t>
  </si>
  <si>
    <t>Acidovorax bellezanensis</t>
  </si>
  <si>
    <t>Bacteria;Pseudomonadota;Betaproteobacteria;Neisseriales;Chitinibacteraceae;Chitinimonas;Chitinimonas sp. BJYL2;</t>
  </si>
  <si>
    <t>Chitinibacteraceae</t>
  </si>
  <si>
    <t>Chitinimonas</t>
  </si>
  <si>
    <t>Chitinimonas sp. BJYL2</t>
  </si>
  <si>
    <t>Bacteria;Bacteroidota;Flavobacteriia;Flavobacteriales;Weeksellaceae;Chryseobacterium;Chryseobacterium edaphi;</t>
  </si>
  <si>
    <t>Chryseobacterium edaphi</t>
  </si>
  <si>
    <t>Bacteria;Pseudomonadota;Alphaproteobacteria;Sphingomonadales;Sphingomonadaceae;Novosphingobium;Novosphingobium mangrovi (ex Huang et al. 2023);</t>
  </si>
  <si>
    <t>Novosphingobium mangrovi (ex Huang et al. 2023)</t>
  </si>
  <si>
    <t>Bacteria;Actinomycetota;Actinomycetes;Mycobacteriales;Mycobacteriaceae;Mycobacterium;Mycobacterium sp. NBC_00419;</t>
  </si>
  <si>
    <t>Mycobacterium sp. NBC_00419</t>
  </si>
  <si>
    <t>Bacteria;Actinomycetota;Actinomycetes;Micromonosporales;Micromonosporaceae;Micromonospora;Micromonospora sp. NBC_01699;</t>
  </si>
  <si>
    <t>Micromonospora sp. NBC_01699</t>
  </si>
  <si>
    <t>Bacteria;Pseudomonadota;Gammaproteobacteria;Pseudomonadales;Pseudomonadaceae;Pseudomonas;Pseudomonas sp. GD03944;</t>
  </si>
  <si>
    <t>Pseudomonas sp. GD03944</t>
  </si>
  <si>
    <t>Bacteria;Pseudomonadota;Gammaproteobacteria;Pseudomonadales;Pseudomonadaceae;Pseudomonas;Pseudomonas sp. GD03860;</t>
  </si>
  <si>
    <t>Pseudomonas sp. GD03860</t>
  </si>
  <si>
    <t>Bacteria;Bacillota;Bacilli;Bacillales;Bacillaceae;Bacillus;Bacillus sp. FSL R12-0069;</t>
  </si>
  <si>
    <t>Bacillus sp. FSL R12-0069</t>
  </si>
  <si>
    <t>Bacteria;Bacillota;Bacilli;Bacillales;Bacillaceae;Bacillus;Bacillus sp. FSL K6-0273;</t>
  </si>
  <si>
    <t>Bacillus sp. FSL K6-0273</t>
  </si>
  <si>
    <t>Bacteria;Pseudomonadota;Betaproteobacteria;Burkholderiales;Sphaerotilaceae;Roseateles;Pelomonas sp. UHG3;</t>
  </si>
  <si>
    <t>Pelomonas sp. UHG3</t>
  </si>
  <si>
    <t>Bacteria;Pseudomonadota;Alphaproteobacteria;Hyphomicrobiales;Brucellaceae;Brucella;Brucella sp. 2716;</t>
  </si>
  <si>
    <t>Brucella sp. 2716</t>
  </si>
  <si>
    <t>Bacteria;Pseudomonadota;Alphaproteobacteria;Rhodobacterales;NA;Rhodobacter;Rhodobacter sp. KR11;</t>
  </si>
  <si>
    <t>Rhodobacter</t>
  </si>
  <si>
    <t>Rhodobacter sp. KR11</t>
  </si>
  <si>
    <t>Bacteria;Pseudomonadota;Betaproteobacteria;Rhodocyclales;Zoogloeaceae;Thauera;Thauera sp. Sel9;</t>
  </si>
  <si>
    <t>Thauera sp. Sel9</t>
  </si>
  <si>
    <t>Bacteria;Bdellovibrionota;Bdellovibrionia;Bdellovibrionales;Pseudobdellovibrionaceae;Bdellovibrio;Bdellovibrio svalbardensis;</t>
  </si>
  <si>
    <t>Bdellovibrio svalbardensis</t>
  </si>
  <si>
    <t>Bacteria;Pseudomonadota;Alphaproteobacteria;Acetobacterales;Roseomonadaceae;Rhodovarius;Rhodovarius sp.;</t>
  </si>
  <si>
    <t>Rhodovarius</t>
  </si>
  <si>
    <t>Rhodovarius sp.</t>
  </si>
  <si>
    <t>Bacteria;Pseudomonadota;Gammaproteobacteria;Pseudomonadales;Pseudomonadaceae;Pseudomonas;Pseudomonas sp. 13B_2.1_Bac1;</t>
  </si>
  <si>
    <t>Pseudomonas sp. 13B_2.1_Bac1</t>
  </si>
  <si>
    <t>Bacteria;Pseudomonadota;Betaproteobacteria;Burkholderiales;Comamonadaceae;Variovorax;Variovorax sp. ZS18.2.2;</t>
  </si>
  <si>
    <t>Variovorax sp. ZS18.2.2</t>
  </si>
  <si>
    <t>Bacteria;Pseudomonadota;Gammaproteobacteria;Aeromonadales;Aeromonadaceae;Aeromonas;Aeromonas sp. BC14;</t>
  </si>
  <si>
    <t>Aeromonas sp. BC14</t>
  </si>
  <si>
    <t>Bacteria;Actinomycetota;Actinomycetes;Micrococcales;Microbacteriaceae;Protaetiibacter;Protaetiibacter mangrovi;</t>
  </si>
  <si>
    <t>Protaetiibacter</t>
  </si>
  <si>
    <t>Protaetiibacter mangrovi</t>
  </si>
  <si>
    <t>Bacteria;Actinomycetota;Actinomycetes;Micrococcales;Microbacteriaceae;Herbiconiux;Herbiconiux daphne;</t>
  </si>
  <si>
    <t>Herbiconiux daphne</t>
  </si>
  <si>
    <t>Bacteria;Actinomycetota;Actinomycetes;Micrococcales;Microbacteriaceae;Herbiconiux;Herbiconiux aconitum;</t>
  </si>
  <si>
    <t>Herbiconiux aconitum</t>
  </si>
  <si>
    <t>Bacteria;Actinomycetota;Actinomycetes;Micrococcales;Microbacteriaceae;Herbiconiux;Herbiconiux gentiana;</t>
  </si>
  <si>
    <t>Herbiconiux gentiana</t>
  </si>
  <si>
    <t>Bacteria;Pseudomonadota;Alphaproteobacteria;Hyphomicrobiales;Boseaceae;Bosea;Bosea sp. NBC_00550;</t>
  </si>
  <si>
    <t>Bosea sp. NBC_00550</t>
  </si>
  <si>
    <t>Bacteria;Actinomycetota;Actinomycetes;Micrococcales;Microbacteriaceae;Microbacterium;Microbacterium sp. zg.B48;</t>
  </si>
  <si>
    <t>Microbacterium sp. zg.B48</t>
  </si>
  <si>
    <t>Bacteria;Pseudomonadota;Gammaproteobacteria;Pseudomonadales;Pseudomonadaceae;Stutzerimonas;Stutzerimonas frequens;</t>
  </si>
  <si>
    <t>Stutzerimonas</t>
  </si>
  <si>
    <t>Stutzerimonas frequens</t>
  </si>
  <si>
    <t>Bacteria;Actinomycetota;Actinomycetes;Micrococcales;Microbacteriaceae;Aquiluna;Aquiluna sp. KACHI24;</t>
  </si>
  <si>
    <t>Aquiluna</t>
  </si>
  <si>
    <t>Aquiluna sp. KACHI24</t>
  </si>
  <si>
    <t>Bacteria;Pseudomonadota;Alphaproteobacteria;Sphingomonadales;Sphingomonadaceae;Sphingopyxis;Sphingopyxis sp. DBS4;</t>
  </si>
  <si>
    <t>Sphingopyxis</t>
  </si>
  <si>
    <t>Sphingopyxis sp. DBS4</t>
  </si>
  <si>
    <t>Bacteria;Pseudomonadota;Alphaproteobacteria;Hyphomicrobiales;Aurantimonadaceae;Mangrovibrevibacter;Mangrovibrevibacter kandeliae;</t>
  </si>
  <si>
    <t>Mangrovibrevibacter</t>
  </si>
  <si>
    <t>Mangrovibrevibacter kandeliae</t>
  </si>
  <si>
    <t>Bacteria;Pseudomonadota;Alphaproteobacteria;Sphingomonadales;Sphingomonadaceae;Sphingomonas;Sphingomonas sp. NY01;</t>
  </si>
  <si>
    <t>Sphingomonas sp. NY01</t>
  </si>
  <si>
    <t>Bacteria;Bacteroidota;Sphingobacteriia;Sphingobacteriales;Sphingobacteriaceae;Mucilaginibacter;Mucilaginibacter aquariorum;</t>
  </si>
  <si>
    <t>Mucilaginibacter aquariorum</t>
  </si>
  <si>
    <t>Bacteria;Pseudomonadota;Betaproteobacteria;Burkholderiales;Comamonadaceae;Comamonas;Comamonas sp. C11;</t>
  </si>
  <si>
    <t>Comamonas sp. C11</t>
  </si>
  <si>
    <t>Bacteria;Pseudomonadota;Alphaproteobacteria;Hyphomicrobiales;Rhizobiaceae;Ectorhizobium;Ectorhizobium quercum;</t>
  </si>
  <si>
    <t>Ectorhizobium</t>
  </si>
  <si>
    <t>Ectorhizobium quercum</t>
  </si>
  <si>
    <t>Bacteria;Cyanobacteriota;Cyanophyceae;Gomontiellales;Chamaesiphonaceae;Chamaesiphon;Chamaesiphon sp. OTE_75_metabat_556;</t>
  </si>
  <si>
    <t>Gomontiellales</t>
  </si>
  <si>
    <t>Chamaesiphonaceae</t>
  </si>
  <si>
    <t>Chamaesiphon</t>
  </si>
  <si>
    <t>Chamaesiphon sp. OTE_75_metabat_556</t>
  </si>
  <si>
    <t>Bacteria;Pseudomonadota;Gammaproteobacteria;Pseudomonadales;Pseudomonadaceae;Pseudomonas;Pseudomonas serboccidentalis;</t>
  </si>
  <si>
    <t>Pseudomonas serboccidentalis</t>
  </si>
  <si>
    <t>Bacteria;Pseudomonadota;Gammaproteobacteria;Lysobacterales;Rhodanobacteraceae;Tahibacter;Tahibacter harae;</t>
  </si>
  <si>
    <t>Tahibacter</t>
  </si>
  <si>
    <t>Tahibacter harae</t>
  </si>
  <si>
    <t>Bacteria;Pseudomonadota;Betaproteobacteria;Nitrosomonadales;Sterolibacteriaceae;Methyloversatilis;Methyloversatilis sp. XJ19-49;</t>
  </si>
  <si>
    <t>Nitrosomonadales</t>
  </si>
  <si>
    <t>Sterolibacteriaceae</t>
  </si>
  <si>
    <t>Methyloversatilis</t>
  </si>
  <si>
    <t>Methyloversatilis sp. XJ19-49</t>
  </si>
  <si>
    <t>Bacteria;Actinomycetota;Actinomycetes;Micrococcales;Microbacteriaceae;Microcella;Microcella humidisoli;</t>
  </si>
  <si>
    <t>Microcella</t>
  </si>
  <si>
    <t>Microcella humidisoli</t>
  </si>
  <si>
    <t>Bacteria;Pseudomonadota;Gammaproteobacteria;Lysobacterales;Lysobacteraceae;Stenotrophomonas;Stenotrophomonas muris;</t>
  </si>
  <si>
    <t>Stenotrophomonas muris</t>
  </si>
  <si>
    <t>Bacteria;Pseudomonadota;Alphaproteobacteria;Hyphomicrobiales;Alsobacteraceae;Alsobacter;Alsobacter ponti;</t>
  </si>
  <si>
    <t>Alsobacter ponti</t>
  </si>
  <si>
    <t>Bacteria;Actinomycetota;Actinomycetes;Micrococcales;Microbacteriaceae;Microbacterium;Microbacterium sp. M28;</t>
  </si>
  <si>
    <t>Microbacterium sp. M28</t>
  </si>
  <si>
    <t>Bacteria;Bacteroidota;Cytophagia;Cytophagales;Cyclobacteriaceae;Aquiflexum;Aquiflexum gelatinilyticum;</t>
  </si>
  <si>
    <t>Aquiflexum</t>
  </si>
  <si>
    <t>Aquiflexum gelatinilyticum</t>
  </si>
  <si>
    <t>Bacteria;Pseudomonadota;Gammaproteobacteria;Pseudomonadales;Pseudomonadaceae;Pseudomonas;Pseudomonas sp. KHPS1;</t>
  </si>
  <si>
    <t>Pseudomonas sp. KHPS1</t>
  </si>
  <si>
    <t>Bacteria;Pseudomonadota;Alphaproteobacteria;Hyphomicrobiales;Phyllobacteriaceae;Mesorhizobium;Mesorhizobium sp. M1406;</t>
  </si>
  <si>
    <t>Mesorhizobium sp. M1406</t>
  </si>
  <si>
    <t>Bacteria;Pseudomonadota;Alphaproteobacteria;Hyphomicrobiales;Phyllobacteriaceae;Mesorhizobium;Mesorhizobium sp. M0663;</t>
  </si>
  <si>
    <t>Mesorhizobium sp. M0663</t>
  </si>
  <si>
    <t>Bacteria;Pseudomonadota;Alphaproteobacteria;Hyphomicrobiales;Phyllobacteriaceae;Mesorhizobium;Mesorhizobium sp. M0408;</t>
  </si>
  <si>
    <t>Mesorhizobium sp. M0408</t>
  </si>
  <si>
    <t>Bacteria;Pseudomonadota;Alphaproteobacteria;Hyphomicrobiales;Phyllobacteriaceae;Mesorhizobium;Mesorhizobium sp. M0276;</t>
  </si>
  <si>
    <t>Mesorhizobium sp. M0276</t>
  </si>
  <si>
    <t>Bacteria;Pseudomonadota;Alphaproteobacteria;Hyphomicrobiales;Phyllobacteriaceae;Mesorhizobium;Mesorhizobium sp. M0203;</t>
  </si>
  <si>
    <t>Mesorhizobium sp. M0203</t>
  </si>
  <si>
    <t>Bacteria;Pseudomonadota;Alphaproteobacteria;Hyphomicrobiales;Phyllobacteriaceae;Mesorhizobium;Mesorhizobium sp. M0040;</t>
  </si>
  <si>
    <t>Mesorhizobium sp. M0040</t>
  </si>
  <si>
    <t>Bacteria;Pseudomonadota;Betaproteobacteria;Burkholderiales;Burkholderiaceae;Polynucleobacter;Polynucleobacter sp. UK-FUSCHL-C3;</t>
  </si>
  <si>
    <t>Polynucleobacter sp. UK-FUSCHL-C3</t>
  </si>
  <si>
    <t>Bacteria;Pseudomonadota;Alphaproteobacteria;Hyphomicrobiales;Rhizobiaceae;Rhizobium;Rhizobium sp. L1K21;</t>
  </si>
  <si>
    <t>Rhizobium sp. L1K21</t>
  </si>
  <si>
    <t>Bacteria;Pseudomonadota;Alphaproteobacteria;Hyphomicrobiales;Rhizobiaceae;Ciceribacter;Ciceribacter sp. RN22;</t>
  </si>
  <si>
    <t>Ciceribacter sp. RN22</t>
  </si>
  <si>
    <t>Bacteria;Bacillota;Bacilli;Bacillales;Paenibacillaceae;Paenibacillus;Paenibacillus sp. FSL H7-0756;</t>
  </si>
  <si>
    <t>Paenibacillus sp. FSL H7-0756</t>
  </si>
  <si>
    <t>Bacteria;Bacillota;Bacilli;Bacillales;Paenibacillaceae;Paenibacillus;Paenibacillus sp. FSL E2-0230;</t>
  </si>
  <si>
    <t>Paenibacillus sp. FSL E2-0230</t>
  </si>
  <si>
    <t>Bacteria;Bacillota;Bacilli;Bacillales;Bacillaceae;Neobacillus;Neobacillus sp. FSL H8-0543;</t>
  </si>
  <si>
    <t>Neobacillus sp. FSL H8-0543</t>
  </si>
  <si>
    <t>Bacteria;Bacillota;Bacilli;Bacillales;Bacillaceae;Bacillus;Bacillus sp. FSL E2-8868;</t>
  </si>
  <si>
    <t>Bacillus sp. FSL E2-8868</t>
  </si>
  <si>
    <t>Bacteria;Bacillota;Bacilli;Bacillales;Caryophanaceae;Ureibacillus;Ureibacillus sp. FSL W8-0352;</t>
  </si>
  <si>
    <t>Caryophanaceae</t>
  </si>
  <si>
    <t>Ureibacillus</t>
  </si>
  <si>
    <t>Ureibacillus sp. FSL W8-0352</t>
  </si>
  <si>
    <t>Bacteria;Bacillota;Bacilli;Bacillales;Caryophanaceae;Solibacillus;Solibacillus sp. FSL H8-0523;</t>
  </si>
  <si>
    <t>Solibacillus</t>
  </si>
  <si>
    <t>Solibacillus sp. FSL H8-0523</t>
  </si>
  <si>
    <t>Bacteria;Pseudomonadota;Betaproteobacteria;NA;NA;Candidatus Accumulibacter;Candidatus Accumulibacter necessarius;</t>
  </si>
  <si>
    <t>Candidatus Accumulibacter</t>
  </si>
  <si>
    <t>Candidatus Accumulibacter necessarius</t>
  </si>
  <si>
    <t>Bacteria;Pseudomonadota;Alphaproteobacteria;Hyphomicrobiales;Rhodoblastaceae;Rhodoblastus;Candidatus Rhodoblastus alkanivorans;</t>
  </si>
  <si>
    <t>Rhodoblastaceae</t>
  </si>
  <si>
    <t>Rhodoblastus</t>
  </si>
  <si>
    <t>Candidatus Rhodoblastus alkanivorans</t>
  </si>
  <si>
    <t>Bacteria;Pseudomonadota;Gammaproteobacteria;Pseudomonadales;Pseudomonadaceae;Pseudomonas;Pseudomonas sp. FP198;</t>
  </si>
  <si>
    <t>Pseudomonas sp. FP198</t>
  </si>
  <si>
    <t>Bacteria;Actinomycetota;Actinomycetes;Micrococcales;Micrococcaceae;Pseudarthrobacter;Pseudarthrobacter sp. HLT1-5;</t>
  </si>
  <si>
    <t>Pseudarthrobacter</t>
  </si>
  <si>
    <t>Pseudarthrobacter sp. HLT1-5</t>
  </si>
  <si>
    <t>Bacteria;Actinomycetota;Actinomycetes;Kitasatosporales;Streptomycetaceae;Streptomyces;Streptomyces humicola;</t>
  </si>
  <si>
    <t>Streptomyces humicola</t>
  </si>
  <si>
    <t>Bacteria;Pseudomonadota;Gammaproteobacteria;Pseudomonadales;Pseudomonadaceae;Pseudomonas;Pseudomonas subflava;</t>
  </si>
  <si>
    <t>Pseudomonas subflava</t>
  </si>
  <si>
    <t>Bacteria;Bacteroidota;Bacteroidia;Bacteroidales;NA;Candidatus Cryptobacteroides;Candidatus Cryptobacteroides sp.;</t>
  </si>
  <si>
    <t>Candidatus Cryptobacteroides</t>
  </si>
  <si>
    <t>Candidatus Cryptobacteroides sp.</t>
  </si>
  <si>
    <t>Bacteria;Pseudomonadota;Gammaproteobacteria;Enterobacterales;Yersiniaceae;Serratia;Serratia sp. PL7;</t>
  </si>
  <si>
    <t>Serratia sp. PL7</t>
  </si>
  <si>
    <t>Bacteria;Actinomycetota;Actinomycetes;Frankiales;Frankiaceae;Frankia;Frankia sp. R82;</t>
  </si>
  <si>
    <t>Frankiales</t>
  </si>
  <si>
    <t>Frankiaceae</t>
  </si>
  <si>
    <t>Frankia</t>
  </si>
  <si>
    <t>Frankia sp. R82</t>
  </si>
  <si>
    <t>Bacteria;Pseudomonadota;Gammaproteobacteria;Aeromonadales;Aeromonadaceae;Aeromonas;Aeromonas sp. JL9;</t>
  </si>
  <si>
    <t>Aeromonas sp. JL9</t>
  </si>
  <si>
    <t>Bacteria;Bacteroidota;Cytophagia;Cytophagales;Spirosomataceae;Runella;Runella salmonicolor;</t>
  </si>
  <si>
    <t>Runella salmonicolor</t>
  </si>
  <si>
    <t>Bacteria;Pseudomonadota;Gammaproteobacteria;Lysobacterales;Lysobacteraceae;Stenotrophomonas;Stenotrophomonas sp. 9(2022);</t>
  </si>
  <si>
    <t>Stenotrophomonas sp. 9(2022)</t>
  </si>
  <si>
    <t>Bacteria;Pseudomonadota;Gammaproteobacteria;Lysobacterales;Lysobacteraceae;Arenimonas;Arenimonas sp. GDDSR-1;</t>
  </si>
  <si>
    <t>Arenimonas</t>
  </si>
  <si>
    <t>Arenimonas sp. GDDSR-1</t>
  </si>
  <si>
    <t>Bacteria;Pseudomonadota;Gammaproteobacteria;Moraxellales;Moraxellaceae;Acinetobacter;Acinetobacter sp. C32I;</t>
  </si>
  <si>
    <t>Acinetobacter</t>
  </si>
  <si>
    <t>Acinetobacter sp. C32I</t>
  </si>
  <si>
    <t>Bacteria;Bacillota;Clostridia;Eubacteriales;Clostridiaceae;Clostridium;Clostridium sp. VAP41;</t>
  </si>
  <si>
    <t>Clostridium sp. VAP41</t>
  </si>
  <si>
    <t>Bacteria;Bacillota;Clostridia;Eubacteriales;Clostridiaceae;Clostridium;Clostridium sp. ZBS13;</t>
  </si>
  <si>
    <t>Clostridium sp. ZBS13</t>
  </si>
  <si>
    <t>Bacteria;Bacillota;Clostridia;Eubacteriales;Clostridiaceae;Clostridium;Clostridium sp. ZBS14;</t>
  </si>
  <si>
    <t>Clostridium sp. ZBS14</t>
  </si>
  <si>
    <t>Bacteria;Bacillota;Clostridia;Eubacteriales;Clostridiaceae;Clostridium;Clostridium sp. ZBS17;</t>
  </si>
  <si>
    <t>Clostridium sp. ZBS17</t>
  </si>
  <si>
    <t>Bacteria;Pseudomonadota;Gammaproteobacteria;Enterobacterales;Morganellaceae;Providencia;Providencia sp. PROV024;</t>
  </si>
  <si>
    <t>Providencia sp. PROV024</t>
  </si>
  <si>
    <t>Bacteria;Actinomycetota;Thermoleophilia;Solirubrobacterales;Paraconexibacteraceae;Paraconexibacter;Paraconexibacter sp.;</t>
  </si>
  <si>
    <t>Paraconexibacteraceae</t>
  </si>
  <si>
    <t>Paraconexibacter</t>
  </si>
  <si>
    <t>Paraconexibacter sp.</t>
  </si>
  <si>
    <t>Bacteria;Pseudomonadota;Alphaproteobacteria;Hyphomicrobiales;Nitrobacteraceae;Bradyrhizobium;Bradyrhizobium sp. CCGB20;</t>
  </si>
  <si>
    <t>Bradyrhizobium sp. CCGB20</t>
  </si>
  <si>
    <t>Bacteria;Pseudomonadota;Alphaproteobacteria;Hyphomicrobiales;Nitrobacteraceae;Bradyrhizobium;Bradyrhizobium sp. CCGB12;</t>
  </si>
  <si>
    <t>Bradyrhizobium sp. CCGB12</t>
  </si>
  <si>
    <t>Bacteria;Pseudomonadota;Alphaproteobacteria;Rhodobacterales;Roseobacteraceae;Sinisalibacter;Sinisalibacter aestuarii;</t>
  </si>
  <si>
    <t>Sinisalibacter</t>
  </si>
  <si>
    <t>Sinisalibacter aestuarii</t>
  </si>
  <si>
    <t>Bacteria;Bacillota;Clostridia;Lachnospirales;Lachnospiraceae;Aequitasia;Aequitasia blattaphilus;</t>
  </si>
  <si>
    <t>Aequitasia</t>
  </si>
  <si>
    <t>Aequitasia blattaphilus</t>
  </si>
  <si>
    <t>Bacteria;Bacteroidota;Sphingobacteriia;Sphingobacteriales;Sphingobacteriaceae;Mucilaginibacter;Mucilaginibacter flavidus;</t>
  </si>
  <si>
    <t>Mucilaginibacter flavidus</t>
  </si>
  <si>
    <t>Bacteria;Bacteroidota;Sphingobacteriia;Sphingobacteriales;Sphingobacteriaceae;Mucilaginibacter;Mucilaginibacter aurantiaciroseus;</t>
  </si>
  <si>
    <t>Mucilaginibacter aurantiaciroseus</t>
  </si>
  <si>
    <t>Bacteria;Pseudomonadota;Alphaproteobacteria;Sphingomonadales;Sphingomonadaceae;Sphingomonas;Sphingomonas liriopis;</t>
  </si>
  <si>
    <t>Sphingomonas liriopis</t>
  </si>
  <si>
    <t>Bacteria;Pseudomonadota;Alphaproteobacteria;Sphingomonadales;Sphingomonadaceae;Sphingomonas;Sphingomonas tagetis;</t>
  </si>
  <si>
    <t>Sphingomonas tagetis</t>
  </si>
  <si>
    <t>Bacteria;Pseudomonadota;Betaproteobacteria;Burkholderiales;Comamonadaceae;Comamonas;Comamonas endophytica;</t>
  </si>
  <si>
    <t>Comamonas endophytica</t>
  </si>
  <si>
    <t>Bacteria;Actinomycetota;Actinomycetes;Propionibacteriales;Nocardioidaceae;Nocardioides;Nocardioides bruguierae;</t>
  </si>
  <si>
    <t>Nocardioides bruguierae</t>
  </si>
  <si>
    <t>Bacteria;Pseudomonadota;Betaproteobacteria;Burkholderiales;Sphaerotilaceae;Caldimonas;Caldimonas mangrovi;</t>
  </si>
  <si>
    <t>Caldimonas</t>
  </si>
  <si>
    <t>Caldimonas mangrovi</t>
  </si>
  <si>
    <t>Bacteria;Pseudomonadota;Betaproteobacteria;Burkholderiales;Burkholderiaceae;Zeimonas;Zeimonas sediminis;</t>
  </si>
  <si>
    <t>Zeimonas</t>
  </si>
  <si>
    <t>Zeimonas sediminis</t>
  </si>
  <si>
    <t>Bacteria;Bacillota;Clostridia;Lachnospirales;Lachnospiraceae;Zhenhengia;Zhenhengia sp.;</t>
  </si>
  <si>
    <t>Zhenhengia</t>
  </si>
  <si>
    <t>Zhenhengia sp.</t>
  </si>
  <si>
    <t>Bacteria;Pseudomonadota;Betaproteobacteria;Burkholderiales;Oxalobacteraceae;Duganella;Duganella sp. BuS-21;</t>
  </si>
  <si>
    <t>Duganella sp. BuS-21</t>
  </si>
  <si>
    <t>Bacteria;Bacillota;Clostridia;Eubacteriales;Clostridiaceae;Clostridium;Clostridium sp. SHJSY1;</t>
  </si>
  <si>
    <t>Clostridium sp. SHJSY1</t>
  </si>
  <si>
    <t>Bacteria;Bacillota;Clostridia;Eubacteriales;Clostridiaceae;Clostridium;Clostridium sp. LY3-2;</t>
  </si>
  <si>
    <t>Clostridium sp. LY3-2</t>
  </si>
  <si>
    <t>Bacteria;Pseudomonadota;Betaproteobacteria;Neisseriales;Neisseriaceae;Craterilacuibacter;Craterilacuibacter sp. RT1T;</t>
  </si>
  <si>
    <t>Neisseriaceae</t>
  </si>
  <si>
    <t>Craterilacuibacter</t>
  </si>
  <si>
    <t>Craterilacuibacter sp. RT1T</t>
  </si>
  <si>
    <t>Bacteria;Bacillota;Clostridia;Eubacteriales;Clostridiaceae;Clostridium;Clostridium sp. Marseille-Q2269;</t>
  </si>
  <si>
    <t>Clostridium sp. Marseille-Q2269</t>
  </si>
  <si>
    <t>Bacteria;Bacillota;Clostridia;Eubacteriales;Clostridiaceae;Clostridium;Clostridium caldaquaticum;</t>
  </si>
  <si>
    <t>Clostridium caldaquaticum</t>
  </si>
  <si>
    <t>Bacteria;Pseudomonadota;Gammaproteobacteria;Lysobacterales;Lysobacteraceae;Stenotrophomonas;Stenotrophomonas sp. BIGb0135;</t>
  </si>
  <si>
    <t>Stenotrophomonas sp. BIGb0135</t>
  </si>
  <si>
    <t>Bacteria;Bacteroidota;Sphingobacteriia;Sphingobacteriales;Sphingobacteriaceae;Sphingobacterium;Sphingobacterium sp. BIGb0165;</t>
  </si>
  <si>
    <t>Sphingobacterium sp. BIGb0165</t>
  </si>
  <si>
    <t>Bacteria;Pseudomonadota;Gammaproteobacteria;Enterobacterales;Yersiniaceae;Rahnella;Rahnella sp. BIGb0603;</t>
  </si>
  <si>
    <t>Rahnella</t>
  </si>
  <si>
    <t>Rahnella sp. BIGb0603</t>
  </si>
  <si>
    <t>Bacteria;Pseudomonadota;Gammaproteobacteria;Pseudomonadales;Pseudomonadaceae;Pseudomonas;Pseudomonas sp. JUb42;</t>
  </si>
  <si>
    <t>Pseudomonas sp. JUb42</t>
  </si>
  <si>
    <t>Bacteria;Bacteroidota;Flavobacteriia;Flavobacteriales;Weeksellaceae;Chryseobacterium;Chryseobacterium sp. H1D6B;</t>
  </si>
  <si>
    <t>Chryseobacterium sp. H1D6B</t>
  </si>
  <si>
    <t>Bacteria;Pseudomonadota;Alphaproteobacteria;Sphingomonadales;Sphingomonadaceae;Sphingobium;Sphingobium sp. B7D2B;</t>
  </si>
  <si>
    <t>Sphingobium sp. B7D2B</t>
  </si>
  <si>
    <t>Bacteria;Pseudomonadota;Betaproteobacteria;Burkholderiales;Comamonadaceae;Variovorax;Variovorax sp. TBS-050B;</t>
  </si>
  <si>
    <t>Variovorax sp. TBS-050B</t>
  </si>
  <si>
    <t>Bacteria;Pseudomonadota;Gammaproteobacteria;Lysobacterales;Lysobacteraceae;Luteimonas;Luteimonas galliterrae;</t>
  </si>
  <si>
    <t>Luteimonas</t>
  </si>
  <si>
    <t>Luteimonas galliterrae</t>
  </si>
  <si>
    <t>Bacteria;Pseudomonadota;Alphaproteobacteria;Rhodobacterales;Paracoccaceae;Pseudotabrizicola;Pseudotabrizicola sp.;</t>
  </si>
  <si>
    <t>Pseudotabrizicola sp.</t>
  </si>
  <si>
    <t>Bacteria;Bacillota;Bacilli;Bacillales;Bacillaceae;Niallia;Niallia sp. MER 6;</t>
  </si>
  <si>
    <t>Niallia</t>
  </si>
  <si>
    <t>Niallia sp. MER 6</t>
  </si>
  <si>
    <t>Bacteria;Pseudomonadota;Gammaproteobacteria;Pseudomonadales;Pseudomonadaceae;Pseudomonas;Pseudomonas morbosilactucae;</t>
  </si>
  <si>
    <t>Pseudomonas morbosilactucae</t>
  </si>
  <si>
    <t>Bacteria;Bacteroidota;Cytophagia;Cytophagales;Spirosomataceae;Dyadobacter;Dyadobacter diqingensis;</t>
  </si>
  <si>
    <t>Dyadobacter diqingensis</t>
  </si>
  <si>
    <t>Bacteria;Actinomycetota;Actinomycetes;Micrococcales;Promicromonosporaceae;Cellulosimicrobium;Cellulosimicrobium sp. Marseille-Q4280;</t>
  </si>
  <si>
    <t>Promicromonosporaceae</t>
  </si>
  <si>
    <t>Cellulosimicrobium</t>
  </si>
  <si>
    <t>Cellulosimicrobium sp. Marseille-Q4280</t>
  </si>
  <si>
    <t>Bacteria;Actinomycetota;Thermoleophilia;Solirubrobacterales;Conexibacteraceae;Conexibacter;Conexibacter sp. S30A1;</t>
  </si>
  <si>
    <t>Conexibacteraceae</t>
  </si>
  <si>
    <t>Conexibacter</t>
  </si>
  <si>
    <t>Conexibacter sp. S30A1</t>
  </si>
  <si>
    <t>Bacteria;Pseudomonadota;Alphaproteobacteria;Hyphomicrobiales;Rhizobiaceae;Neorhizobium;Neorhizobium turbinariae;</t>
  </si>
  <si>
    <t>Neorhizobium turbinariae</t>
  </si>
  <si>
    <t>Bacteria;Pseudomonadota;Alphaproteobacteria;Acetobacterales;Roseomonadaceae;Roseomonas;Roseomonas acroporae;</t>
  </si>
  <si>
    <t>Roseomonas acroporae</t>
  </si>
  <si>
    <t>Bacteria;Pseudomonadota;Alphaproteobacteria;Sphingomonadales;Sphingomonadaceae;Sphingomonas;Sphingomonas sp. SUN039;</t>
  </si>
  <si>
    <t>Sphingomonas sp. SUN039</t>
  </si>
  <si>
    <t>Bacteria;Bacteroidota;Bacteroidia;Marinilabiliales;Marinifilaceae;Marinifilum;Marinifilum sp. D714;</t>
  </si>
  <si>
    <t>Marinilabiliales</t>
  </si>
  <si>
    <t>Marinifilaceae</t>
  </si>
  <si>
    <t>Marinifilum</t>
  </si>
  <si>
    <t>Marinifilum sp. D714</t>
  </si>
  <si>
    <t>Bacteria;Bacteroidota;Flavobacteriia;Flavobacteriales;Flavobacteriaceae;Flavobacterium;Flavobacterium humidisoli;</t>
  </si>
  <si>
    <t>Flavobacterium humidisoli</t>
  </si>
  <si>
    <t>Bacteria;Pseudomonadota;Betaproteobacteria;Burkholderiales;Sphaerotilaceae;Ideonella;Ideonella oryzae;</t>
  </si>
  <si>
    <t>Ideonella oryzae</t>
  </si>
  <si>
    <t>Bacteria;Bacillota;Bacilli;Bacillales;Bacillaceae;Bacillus;Bacillus sp. GC_Bacil_1;</t>
  </si>
  <si>
    <t>Bacillus sp. GC_Bacil_1</t>
  </si>
  <si>
    <t>Bacteria;Bacillota;Bacilli;Bacillales;Paenibacillaceae;Paenibacillus;Paenibacillus hamazuiensis;</t>
  </si>
  <si>
    <t>Paenibacillus hamazuiensis</t>
  </si>
  <si>
    <t>Bacteria;Bacillota;Clostridia;Lachnospirales;Vallitaleaceae;Vallitalea;Vallitalea longa;</t>
  </si>
  <si>
    <t>Vallitalea longa</t>
  </si>
  <si>
    <t>Bacteria;Pseudomonadota;Gammaproteobacteria;Pseudomonadales;Pseudomonadaceae;Pseudomonas;Pseudomonas sp. BJa5;</t>
  </si>
  <si>
    <t>Pseudomonas sp. BJa5</t>
  </si>
  <si>
    <t>Bacteria;Actinomycetota;Actinomycetes;Mycobacteriales;Gordoniaceae;Gordonia;Gordonia sp. PP30;</t>
  </si>
  <si>
    <t>Gordonia sp. PP30</t>
  </si>
  <si>
    <t>Bacteria;Pseudomonadota;Alphaproteobacteria;Rhodobacterales;Paracoccaceae;Phaeovulum;Phaeovulum sp. NW3;</t>
  </si>
  <si>
    <t>Phaeovulum</t>
  </si>
  <si>
    <t>Phaeovulum sp. NW3</t>
  </si>
  <si>
    <t>Bacteria;Bacillota;Clostridia;Lachnospirales;Lachnospiraceae;Anaeropeptidivorans;Anaeropeptidivorans aminofermentans;</t>
  </si>
  <si>
    <t>Anaeropeptidivorans</t>
  </si>
  <si>
    <t>Anaeropeptidivorans aminofermentans</t>
  </si>
  <si>
    <t>Bacteria;Pseudomonadota;Alphaproteobacteria;Sphingomonadales;Sphingomonadaceae;Sphingobium;Sphingobium sp. Sx8-8;</t>
  </si>
  <si>
    <t>Sphingobium sp. Sx8-8</t>
  </si>
  <si>
    <t>Bacteria;Bacteroidota;Sphingobacteriia;Sphingobacteriales;Sphingobacteriaceae;Mucilaginibacter;Mucilaginibacter straminoryzae;</t>
  </si>
  <si>
    <t>Mucilaginibacter straminoryzae</t>
  </si>
  <si>
    <t>Bacteria;Pseudomonadota;Alphaproteobacteria;Hyphomicrobiales;Rhizobiaceae;Shinella;Shinella sp. CPCC 101442;</t>
  </si>
  <si>
    <t>Shinella sp. CPCC 101442</t>
  </si>
  <si>
    <t>Bacteria;Actinomycetota;Actinomycetes;Micrococcales;Microbacteriaceae;Leucobacter;Leucobacter allii;</t>
  </si>
  <si>
    <t>Leucobacter</t>
  </si>
  <si>
    <t>Leucobacter allii</t>
  </si>
  <si>
    <t>Bacteria;Actinomycetota;Actinomycetes;Micrococcales;Microbacteriaceae;Leucobacter;Leucobacter rhizosphaerae;</t>
  </si>
  <si>
    <t>Leucobacter rhizosphaerae</t>
  </si>
  <si>
    <t>Bacteria;Actinomycetota;Actinomycetes;Micrococcales;Microbacteriaceae;Agromyces;Agromyces sp. H17E-10;</t>
  </si>
  <si>
    <t>Agromyces sp. H17E-10</t>
  </si>
  <si>
    <t>Bacteria;Pseudomonadota;Alphaproteobacteria;Hyphomicrobiales;Tepidamorphaceae;Microbaculum;Microbaculum marinisediminis;</t>
  </si>
  <si>
    <t>Tepidamorphaceae</t>
  </si>
  <si>
    <t>Microbaculum</t>
  </si>
  <si>
    <t>Microbaculum marinisediminis</t>
  </si>
  <si>
    <t>Bacteria;Pseudomonadota;Gammaproteobacteria;Pseudomonadales;Pseudomonadaceae;Pseudomonas;Pseudomonas abieticivorans;</t>
  </si>
  <si>
    <t>Pseudomonas abieticivorans</t>
  </si>
  <si>
    <t>Bacteria;Pseudomonadota;Alphaproteobacteria;Sphingomonadales;Sphingomonadaceae;Novosphingobium;Novosphingobium beihaiensis;</t>
  </si>
  <si>
    <t>Novosphingobium beihaiensis</t>
  </si>
  <si>
    <t>Bacteria;Bacillota;Clostridia;Eubacteriales;Clostridiaceae;Clostridium;Clostridium sp. BJN0001;</t>
  </si>
  <si>
    <t>Clostridium sp. BJN0001</t>
  </si>
  <si>
    <t>Bacteria;Pseudomonadota;Alphaproteobacteria;Sphingomonadales;Sphingomonadaceae;Novosphingobium;Novosphingobium album (ex Hu et al. 2023);</t>
  </si>
  <si>
    <t>Novosphingobium album (ex Hu et al. 2023)</t>
  </si>
  <si>
    <t>Bacteria;Pseudomonadota;Alphaproteobacteria;Sphingomonadales;Sphingomonadaceae;Novosphingobium;Novosphingobium organovorum;</t>
  </si>
  <si>
    <t>Novosphingobium organovorum</t>
  </si>
  <si>
    <t>Bacteria;Bacteroidota;Sphingobacteriia;Sphingobacteriales;Sphingobacteriaceae;Mucilaginibacter;Mucilaginibacter sp. SMC90;</t>
  </si>
  <si>
    <t>Mucilaginibacter sp. SMC90</t>
  </si>
  <si>
    <t>Bacteria;Actinomycetota;Actinomycetes;Micrococcales;Microbacteriaceae;Agromyces;Agromyces larvae;</t>
  </si>
  <si>
    <t>Agromyces larvae</t>
  </si>
  <si>
    <t>Bacteria;Bacillota;Bacilli;Bacillales;Bacillaceae;Bacillus;Bacillus sp. ZJS3;</t>
  </si>
  <si>
    <t>Bacillus sp. ZJS3</t>
  </si>
  <si>
    <t>Bacteria;Pseudomonadota;Betaproteobacteria;Burkholderiales;Sphaerotilaceae;Roseateles;Paucibacter sp. XJ19-41;</t>
  </si>
  <si>
    <t>Paucibacter sp. XJ19-41</t>
  </si>
  <si>
    <t>Bacteria;Pseudomonadota;Gammaproteobacteria;Oceanospirillales;Oceanospirillaceae;Marinobacterium;Marinobacterium sedimentorum;</t>
  </si>
  <si>
    <t>Oceanospirillaceae</t>
  </si>
  <si>
    <t>Marinobacterium</t>
  </si>
  <si>
    <t>Marinobacterium sedimentorum</t>
  </si>
  <si>
    <t>Bacteria;Pseudomonadota;Alphaproteobacteria;Hyphomicrobiales;Rhizobiaceae;Ferirhizobium;Ferirhizobium litorale;</t>
  </si>
  <si>
    <t>Ferirhizobium</t>
  </si>
  <si>
    <t>Ferirhizobium litorale</t>
  </si>
  <si>
    <t>Bacteria;Bacteroidota;Flavobacteriia;Flavobacteriales;Weeksellaceae;Chryseobacterium;Chryseobacterium sp. WG23;</t>
  </si>
  <si>
    <t>Chryseobacterium sp. WG23</t>
  </si>
  <si>
    <t>Bacteria;Pseudomonadota;Alphaproteobacteria;Hyphomicrobiales;Rhizobiaceae;Aliirhizobium;Aliirhizobium terrae;</t>
  </si>
  <si>
    <t>Aliirhizobium</t>
  </si>
  <si>
    <t>Aliirhizobium terrae</t>
  </si>
  <si>
    <t>Bacteria;Actinomycetota;Actinomycetes;Micrococcales;Micrococcaceae;Paenarthrobacter;Paenarthrobacter sp. TYUT067;</t>
  </si>
  <si>
    <t>Paenarthrobacter sp. TYUT067</t>
  </si>
  <si>
    <t>Bacteria;Pseudomonadota;Gammaproteobacteria;Lysobacterales;Lysobacteraceae;Stenotrophomonas;Stenotrophomonas sp. Ste96;</t>
  </si>
  <si>
    <t>Stenotrophomonas sp. Ste96</t>
  </si>
  <si>
    <t>Bacteria;Pseudomonadota;Alphaproteobacteria;Hyphomicrobiales;Nitrobacteraceae;Bradyrhizobium;Bradyrhizobium sp. Bra78;</t>
  </si>
  <si>
    <t>Bradyrhizobium sp. Bra78</t>
  </si>
  <si>
    <t>Bacteria;Pseudomonadota;Betaproteobacteria;Burkholderiales;Comamonadaceae;Variovorax;Variovorax terrae;</t>
  </si>
  <si>
    <t>Variovorax terrae</t>
  </si>
  <si>
    <t>Bacteria;Bacteroidota;Sphingobacteriia;Sphingobacteriales;Sphingobacteriaceae;Pedobacter;Pedobacter montanisoli;</t>
  </si>
  <si>
    <t>Pedobacter montanisoli</t>
  </si>
  <si>
    <t>Bacteria;Actinomycetota;Actinomycetes;Micrococcales;Microbacteriaceae;Microbacterium;Microbacterium sp. CFH 31415;</t>
  </si>
  <si>
    <t>Microbacterium sp. CFH 31415</t>
  </si>
  <si>
    <t>Bacteria;Bacillota;Bacilli;Bacillales;Bacillaceae;Bacillus;Bacillus sp. FSL R9-9497;</t>
  </si>
  <si>
    <t>Bacillus sp. FSL R9-9497</t>
  </si>
  <si>
    <t>Bacteria;Bacillota;Bacilli;Bacillales;Bacillaceae;Niallia;Niallia sp. FSL R7-0271;</t>
  </si>
  <si>
    <t>Niallia sp. FSL R7-0271</t>
  </si>
  <si>
    <t>Bacteria;Bacillota;Bacilli;Bacillales;Bacillaceae;Bacillus;Bacillus sp. FSL R7-0642;</t>
  </si>
  <si>
    <t>Bacillus sp. FSL R7-0642</t>
  </si>
  <si>
    <t>Bacteria;Bacillota;Bacilli;Bacillales;Bacillaceae;Bacillus;Bacillus sp. FSL M7-0996;</t>
  </si>
  <si>
    <t>Bacillus sp. FSL M7-0996</t>
  </si>
  <si>
    <t>Bacteria;Bacillota;Bacilli;Bacillales;Bacillaceae;Bacillus;Bacillus sp. FSL L8-0642;</t>
  </si>
  <si>
    <t>Bacillus sp. FSL L8-0642</t>
  </si>
  <si>
    <t>Bacteria;Bacillota;Bacilli;Bacillales;Bacillaceae;Bacillus;Bacillus sp. FSL L8-0152;</t>
  </si>
  <si>
    <t>Bacillus sp. FSL L8-0152</t>
  </si>
  <si>
    <t>Bacteria;Bacillota;Bacilli;Bacillales;Bacillaceae;Lysinibacillus;Lysinibacillus sp. FSL L8-0126;</t>
  </si>
  <si>
    <t>Lysinibacillus</t>
  </si>
  <si>
    <t>Lysinibacillus sp. FSL L8-0126</t>
  </si>
  <si>
    <t>Bacteria;Bacillota;Bacilli;Bacillales;Paenibacillaceae;Paenibacillus;Paenibacillus sp. FSL K6-3182;</t>
  </si>
  <si>
    <t>Paenibacillus sp. FSL K6-3182</t>
  </si>
  <si>
    <t>Bacteria;Bacillota;Bacilli;Bacillales;Bacillaceae;Bacillus;Bacillus sp. FSL E2-0195;</t>
  </si>
  <si>
    <t>Bacillus sp. FSL E2-0195</t>
  </si>
  <si>
    <t>Bacteria;Bacillota;Bacilli;Bacillales;Paenibacillaceae;Paenibacillus;Paenibacillus sp. FSL E2-0178;</t>
  </si>
  <si>
    <t>Paenibacillus sp. FSL E2-0178</t>
  </si>
  <si>
    <t>Bacteria;Bacteroidota;Flavobacteriia;Flavobacteriales;Weeksellaceae;Chryseobacterium;Chryseobacterium sp. Y16C;</t>
  </si>
  <si>
    <t>Chryseobacterium sp. Y16C</t>
  </si>
  <si>
    <t>Bacteria;Pseudomonadota;Betaproteobacteria;Burkholderiales;Comamonadaceae;Acidovorax;Acidovorax sp. SUPP3434;</t>
  </si>
  <si>
    <t>Acidovorax sp. SUPP3434</t>
  </si>
  <si>
    <t>Bacteria;Bacillota;Bacilli;Bacillales;Bacillaceae;Bacillus;Bacillus cereus group sp. BfR-BA-01448;</t>
  </si>
  <si>
    <t>Bacillus cereus group sp. BfR-BA-01448</t>
  </si>
  <si>
    <t>Bacteria;Bacillota;Bacilli;Bacillales;Bacillaceae;Bacillus;Bacillus cereus group sp. BfR-BA-01446;</t>
  </si>
  <si>
    <t>Bacillus cereus group sp. BfR-BA-01446</t>
  </si>
  <si>
    <t>Bacteria;Bacillota;Bacilli;Bacillales;Bacillaceae;Bacillus;Bacillus cereus group sp. BfR-BA-01399;</t>
  </si>
  <si>
    <t>Bacillus cereus group sp. BfR-BA-01399</t>
  </si>
  <si>
    <t>Bacteria;Bacillota;Bacilli;Bacillales;Bacillaceae;Bacillus;Bacillus cereus group sp. BfR-BA-01394;</t>
  </si>
  <si>
    <t>Bacillus cereus group sp. BfR-BA-01394</t>
  </si>
  <si>
    <t>Bacteria;Bacillota;Bacilli;Bacillales;Bacillaceae;Bacillus;Bacillus cereus group sp. BfR-BA-01383;</t>
  </si>
  <si>
    <t>Bacillus cereus group sp. BfR-BA-01383</t>
  </si>
  <si>
    <t>Bacteria;Bacillota;Bacilli;Bacillales;Bacillaceae;Bacillus;Bacillus cereus group sp. BfR-BA-01355;</t>
  </si>
  <si>
    <t>Bacillus cereus group sp. BfR-BA-01355</t>
  </si>
  <si>
    <t>Bacteria;Bacillota;Bacilli;Bacillales;Bacillaceae;Bacillus;Bacillus cereus group sp. BfR-BA-01350;</t>
  </si>
  <si>
    <t>Bacillus cereus group sp. BfR-BA-01350</t>
  </si>
  <si>
    <t>Bacteria;Bacillota;Bacilli;Bacillales;Bacillaceae;Bacillus;Bacillus cereus group sp. BfR-BA-01330;</t>
  </si>
  <si>
    <t>Bacillus cereus group sp. BfR-BA-01330</t>
  </si>
  <si>
    <t>Bacteria;Bacillota;Bacilli;Bacillales;Bacillaceae;Bacillus;Bacillus cereus group sp. BfR-BA-01310;</t>
  </si>
  <si>
    <t>Bacillus cereus group sp. BfR-BA-01310</t>
  </si>
  <si>
    <t>Bacteria;Actinomycetota;Actinomycetes;Micrococcales;Microbacteriaceae;Microbacterium;Microbacterium sp. SS28;</t>
  </si>
  <si>
    <t>Microbacterium sp. SS28</t>
  </si>
  <si>
    <t>Bacteria;Actinomycetota;Actinomycetes;Micrococcales;Microbacteriaceae;Humibacter;Humibacter sp. RRB41;</t>
  </si>
  <si>
    <t>Humibacter</t>
  </si>
  <si>
    <t>Humibacter sp. RRB41</t>
  </si>
  <si>
    <t>Bacteria;Actinomycetota;Actinomycetes;Micrococcales;Microbacteriaceae;Agrococcus;Agrococcus sp. ARC_14;</t>
  </si>
  <si>
    <t>Agrococcus sp. ARC_14</t>
  </si>
  <si>
    <t>Bacteria;Bacteroidota;Flavobacteriia;Flavobacteriales;Weeksellaceae;Chryseobacterium;Chryseobacterium sp. SSA4.19;</t>
  </si>
  <si>
    <t>Chryseobacterium sp. SSA4.19</t>
  </si>
  <si>
    <t>Bacteria;Actinomycetota;Actinomycetes;Propionibacteriales;Nocardioidaceae;Nocardioides;Nocardioides sp. CFH 31398;</t>
  </si>
  <si>
    <t>Nocardioides sp. CFH 31398</t>
  </si>
  <si>
    <t>Bacteria;Pseudomonadota;Betaproteobacteria;Burkholderiales;Oxalobacteraceae;Massilia;Massilia sp. MB5;</t>
  </si>
  <si>
    <t>Massilia sp. MB5</t>
  </si>
  <si>
    <t>Bacteria;Actinomycetota;Actinomycetes;Propionibacteriales;Nocardioidaceae;Nocardioides;Nocardioides sp. SR21;</t>
  </si>
  <si>
    <t>Nocardioides sp. SR21</t>
  </si>
  <si>
    <t>Bacteria;Pseudomonadota;Betaproteobacteria;Burkholderiales;Comamonadaceae;Simplicispira;Simplicispira sedimenti;</t>
  </si>
  <si>
    <t>Simplicispira</t>
  </si>
  <si>
    <t>Simplicispira sedimenti</t>
  </si>
  <si>
    <t>Bacteria;Bacillota;Bacilli;Bacillales;Bacillaceae;Fredinandcohnia;Ferdinandcohnia quinoae;</t>
  </si>
  <si>
    <t>Fredinandcohnia</t>
  </si>
  <si>
    <t>Ferdinandcohnia quinoae</t>
  </si>
  <si>
    <t>Bacteria;Bacillota;Bacilli;Bacillales;Paenibacillaceae;Paenibacillus;Paenibacillus aurantius;</t>
  </si>
  <si>
    <t>Paenibacillus aurantius</t>
  </si>
  <si>
    <t>Bacteria;Actinomycetota;Actinomycetes;Micrococcales;Cellulomonadaceae;Cellulomonas;Cellulomonas sp. ACRRI;</t>
  </si>
  <si>
    <t>Cellulomonas sp. ACRRI</t>
  </si>
  <si>
    <t>Bacteria;Actinomycetota;Actinomycetes;Mycobacteriales;Mycobacteriaceae;Mycobacterium;Mycobacterium sp. PSTR-4-N;</t>
  </si>
  <si>
    <t>Mycobacterium sp. PSTR-4-N</t>
  </si>
  <si>
    <t>Bacteria;Pseudomonadota;Alphaproteobacteria;Hyphomicrobiales;Aurantimonadaceae;Jiella;Jiella sp. LLJ827;</t>
  </si>
  <si>
    <t>Jiella</t>
  </si>
  <si>
    <t>Jiella sp. LLJ827</t>
  </si>
  <si>
    <t>Bacteria;Actinomycetota;Actinomycetes;Micrococcales;Microbacteriaceae;Microbacterium;Microbacterium sp. p3-SID131;</t>
  </si>
  <si>
    <t>Microbacterium sp. p3-SID131</t>
  </si>
  <si>
    <t>Bacteria;Actinomycetota;Actinomycetes;Micrococcales;Microbacteriaceae;Microbacterium;Microbacterium sp. p3-SID336;</t>
  </si>
  <si>
    <t>Microbacterium sp. p3-SID336</t>
  </si>
  <si>
    <t>Bacteria;Pseudomonadota;Alphaproteobacteria;Sphingomonadales;Sphingomonadaceae;Sphingomonas;Sphingomonas sp. TREG-RG-20F-R18-01;</t>
  </si>
  <si>
    <t>Sphingomonas sp. TREG-RG-20F-R18-01</t>
  </si>
  <si>
    <t>Bacteria;Pseudomonadota;Alphaproteobacteria;Sphingomonadales;Sphingomonadaceae;Sphingomonas;Sphingomonas sp. BAUL-RG-20F-R05-02;</t>
  </si>
  <si>
    <t>Sphingomonas sp. BAUL-RG-20F-R05-02</t>
  </si>
  <si>
    <t>Bacteria;Pseudomonadota;Betaproteobacteria;Burkholderiales;Sphaerotilaceae;Sphaerotilus;Sphaerotilus microaerophilus;</t>
  </si>
  <si>
    <t>Sphaerotilus</t>
  </si>
  <si>
    <t>Sphaerotilus microaerophilus</t>
  </si>
  <si>
    <t>Bacteria;Pseudomonadota;Alphaproteobacteria;Sphingomonadales;Sphingosinicellaceae;Sandaracinobacteroides;Sandaracinobacteroides sayramensis;</t>
  </si>
  <si>
    <t>Sphingosinicellaceae</t>
  </si>
  <si>
    <t>Sandaracinobacteroides</t>
  </si>
  <si>
    <t>Sandaracinobacteroides sayramensis</t>
  </si>
  <si>
    <t>Bacteria;Pseudomonadota;Betaproteobacteria;Burkholderiales;Sphaerotilaceae;Sphaerotilus;Sphaerotilus sp. FB-3;</t>
  </si>
  <si>
    <t>Sphaerotilus sp. FB-3</t>
  </si>
  <si>
    <t>Bacteria;Pseudomonadota;Betaproteobacteria;Burkholderiales;Oxalobacteraceae;Herbaspirillum;Herbaspirillum sp. alder98;</t>
  </si>
  <si>
    <t>Herbaspirillum sp. alder98</t>
  </si>
  <si>
    <t>Bacteria;Bacillota;Clostridia;Eubacteriales;Clostridiaceae;Clostridium;Clostridium sp. YIM B02555;</t>
  </si>
  <si>
    <t>Clostridium sp. YIM B02555</t>
  </si>
  <si>
    <t>Bacteria;Pseudomonadota;Alphaproteobacteria;Acetobacterales;Roseomonadaceae;Falsiroseomonas;Falsiroseomonas oryziterrae;</t>
  </si>
  <si>
    <t>Falsiroseomonas</t>
  </si>
  <si>
    <t>Falsiroseomonas oryziterrae</t>
  </si>
  <si>
    <t>Bacteria;Pseudomonadota;Gammaproteobacteria;Enterobacterales;Enterobacteriaceae;Citrobacter;Citrobacter sp. MNAZ 1397;</t>
  </si>
  <si>
    <t>Citrobacter sp. MNAZ 1397</t>
  </si>
  <si>
    <t>Bacteria;Bacteroidota;Sphingobacteriia;Sphingobacteriales;Sphingobacteriaceae;Solitalea;Solitalea lacus;</t>
  </si>
  <si>
    <t>Solitalea</t>
  </si>
  <si>
    <t>Solitalea lacus</t>
  </si>
  <si>
    <t>Bacteria;Bacteroidota;Flavobacteriia;Flavobacteriales;Flavobacteriaceae;Flavobacterium;Flavobacterium sp. HSC-32F16;</t>
  </si>
  <si>
    <t>Flavobacterium sp. HSC-32F16</t>
  </si>
  <si>
    <t>Bacteria;Bacillota;Clostridia;Eubacteriales;Clostridiaceae;Clostridium;Clostridium sp. YIM B02506;</t>
  </si>
  <si>
    <t>Clostridium sp. YIM B02506</t>
  </si>
  <si>
    <t>Bacteria;Bacillota;Clostridia;Eubacteriales;Clostridiaceae;Clostridium;Clostridium sp. YIM B02551;</t>
  </si>
  <si>
    <t>Clostridium sp. YIM B02551</t>
  </si>
  <si>
    <t>Bacteria;Bacteroidota;Flavobacteriia;Flavobacteriales;Flavobacteriaceae;Flavobacterium;Flavobacterium sp. WG47;</t>
  </si>
  <si>
    <t>Flavobacterium sp. WG47</t>
  </si>
  <si>
    <t>Bacteria;Actinomycetota;Actinomycetes;Micrococcales;Microbacteriaceae;Microbacterium;Microbacterium sp. KUDC0406;</t>
  </si>
  <si>
    <t>Microbacterium sp. KUDC0406</t>
  </si>
  <si>
    <t>Bacteria;Actinomycetota;Actinomycetes;Micrococcales;Microbacteriaceae;Microbacterium;Microbacterium elymi;</t>
  </si>
  <si>
    <t>Microbacterium elymi</t>
  </si>
  <si>
    <t>Bacteria;Planctomycetota;Planctomycetia;Planctomycetales;Planctomycetaceae;Rubinisphaera;Rubinisphaera margarita;</t>
  </si>
  <si>
    <t>Rubinisphaera</t>
  </si>
  <si>
    <t>Rubinisphaera margarita</t>
  </si>
  <si>
    <t>Bacteria;Bacteroidota;Cytophagia;Cytophagales;Spirosomataceae;Dyadobacter;Dyadobacter sp. CY347;</t>
  </si>
  <si>
    <t>Dyadobacter sp. CY347</t>
  </si>
  <si>
    <t>Bacteria;Bacteroidota;Cytophagia;Cytophagales;Spirosomataceae;Dyadobacter;Dyadobacter sp. CY345;</t>
  </si>
  <si>
    <t>Dyadobacter sp. CY345</t>
  </si>
  <si>
    <t>Bacteria;Bacteroidota;Cytophagia;Cytophagales;Spirosomataceae;Dyadobacter;Dyadobacter sp. MSC1_007;</t>
  </si>
  <si>
    <t>Dyadobacter sp. MSC1_007</t>
  </si>
  <si>
    <t>Bacteria;Bacillota;Bacilli;Bacillales;Paenibacillaceae;Paenibacillus;Paenibacillus sp. YYML68;</t>
  </si>
  <si>
    <t>Paenibacillus sp. YYML68</t>
  </si>
  <si>
    <t>Bacteria;Pseudomonadota;Alphaproteobacteria;Rhodobacterales;Paracoccaceae;Aliitabrizicola;Allitabrizicola rongguiensis;</t>
  </si>
  <si>
    <t>Aliitabrizicola</t>
  </si>
  <si>
    <t>Allitabrizicola rongguiensis</t>
  </si>
  <si>
    <t>Bacteria;Actinomycetota;Actinomycetes;Micrococcales;Ornithinimicrobiaceae;Ornithinimicrobium;Ornithinimicrobium sp. INDO-MA30-4;</t>
  </si>
  <si>
    <t>Ornithinimicrobiaceae</t>
  </si>
  <si>
    <t>Ornithinimicrobium</t>
  </si>
  <si>
    <t>Ornithinimicrobium sp. INDO-MA30-4</t>
  </si>
  <si>
    <t>Bacteria;Pseudomonadota;Alphaproteobacteria;Sphingomonadales;Sphingosinicellaceae;Pedomonas;Pedomonas mirosovicensis;</t>
  </si>
  <si>
    <t>Pedomonas</t>
  </si>
  <si>
    <t>Pedomonas mirosovicensis</t>
  </si>
  <si>
    <t>Bacteria;Bacteroidota;Flavobacteriia;Flavobacteriales;Flavobacteriaceae;Antarcticibacterium;Antarcticibacterium sp. 1MA-6-2;</t>
  </si>
  <si>
    <t>Antarcticibacterium</t>
  </si>
  <si>
    <t>Antarcticibacterium sp. 1MA-6-2</t>
  </si>
  <si>
    <t>Bacteria;Pseudomonadota;Betaproteobacteria;Burkholderiales;Oxalobacteraceae;Massilia;Massilia sp. TS11;</t>
  </si>
  <si>
    <t>Massilia sp. TS11</t>
  </si>
  <si>
    <t>Bacteria;Pseudomonadota;Betaproteobacteria;Burkholderiales;Comamonadaceae;Ramlibacter;Ramlibacter paludis;</t>
  </si>
  <si>
    <t>Ramlibacter paludis</t>
  </si>
  <si>
    <t>Bacteria;Pseudomonadota;Betaproteobacteria;Burkholderiales;Sphaerotilaceae;Roseateles;Pelomonas sp. CA6;</t>
  </si>
  <si>
    <t>Pelomonas sp. CA6</t>
  </si>
  <si>
    <t>Bacteria;Pseudomonadota;Alphaproteobacteria;Sphingomonadales;Sphingomonadaceae;Sphingomonas;Sphingomonas telluris;</t>
  </si>
  <si>
    <t>Sphingomonas telluris</t>
  </si>
  <si>
    <t>Bacteria;Bacillota;Clostridia;Eubacteriales;Desulfitobacteriaceae;Dehalobacter;Dehalobacter sp. DCM;</t>
  </si>
  <si>
    <t>Dehalobacter</t>
  </si>
  <si>
    <t>Dehalobacter sp. DCM</t>
  </si>
  <si>
    <t>Bacteria;Bacteroidota;Cytophagia;Cytophagales;Spirosomataceae;Dyadobacter;Dyadobacter sp. CY312;</t>
  </si>
  <si>
    <t>Dyadobacter sp. CY312</t>
  </si>
  <si>
    <t>Bacteria;Bacteroidota;Cytophagia;Cytophagales;Spirosomataceae;Dyadobacter;Dyadobacter sp. CY323;</t>
  </si>
  <si>
    <t>Dyadobacter sp. CY323</t>
  </si>
  <si>
    <t>Bacteria;Actinomycetota;Actinomycetes;Kitasatosporales;Streptomycetaceae;Streptomyces;Streptomyces sp. ST2-7A;</t>
  </si>
  <si>
    <t>Streptomyces sp. ST2-7A</t>
  </si>
  <si>
    <t>Bacteria;Bacteroidota;Cytophagia;Cytophagales;Spirosomataceae;Dyadobacter;Dyadobacter sp. CY261;</t>
  </si>
  <si>
    <t>Dyadobacter sp. CY261</t>
  </si>
  <si>
    <t>Bacteria;Cyanobacteriota;Cyanophyceae;Leptolyngbyales;Leptolyngbyaceae;Leptodesmis;Leptodesmis sichuanensis;</t>
  </si>
  <si>
    <t>Leptolyngbyales</t>
  </si>
  <si>
    <t>Leptolyngbyaceae</t>
  </si>
  <si>
    <t>Leptodesmis</t>
  </si>
  <si>
    <t>Leptodesmis sichuanensis</t>
  </si>
  <si>
    <t>Bacteria;Pseudomonadota;Betaproteobacteria;Burkholderiales;Sphaerotilaceae;Roseateles;Roseateles cellulosilyticus;</t>
  </si>
  <si>
    <t>Roseateles cellulosilyticus</t>
  </si>
  <si>
    <t>Bacteria;Bacteroidota;Cytophagia;Cytophagales;Spirosomataceae;Dyadobacter;Dyadobacter chenwenxiniae;</t>
  </si>
  <si>
    <t>Dyadobacter chenwenxiniae</t>
  </si>
  <si>
    <t>Bacteria;Bacteroidota;Cytophagia;Cytophagales;Spirosomataceae;Dyadobacter;Dyadobacter sp. CY356;</t>
  </si>
  <si>
    <t>Dyadobacter sp. CY356</t>
  </si>
  <si>
    <t>Bacteria;Actinomycetota;Actinomycetes;Micrococcales;Microbacteriaceae;Terrimesophilobacter;Terrimesophilobacter sp.;</t>
  </si>
  <si>
    <t>Terrimesophilobacter</t>
  </si>
  <si>
    <t>Terrimesophilobacter sp.</t>
  </si>
  <si>
    <t>Bacteria;Bacillota;Bacilli;Bacillales;Paenibacillaceae;Paenibacillus;Paenibacillus plantiphilus;</t>
  </si>
  <si>
    <t>Paenibacillus plantiphilus</t>
  </si>
  <si>
    <t>Bacteria;Actinomycetota;Actinomycetes;Micrococcales;Ornithinimicrobiaceae;Ornithinimicrobium;Ornithinimicrobium sediminis;</t>
  </si>
  <si>
    <t>Ornithinimicrobium sediminis</t>
  </si>
  <si>
    <t>Bacteria;Pseudomonadota;Alphaproteobacteria;Caulobacterales;Caulobacteraceae;Phenylobacterium;Phenylobacterium sp. LH3H17;</t>
  </si>
  <si>
    <t>Phenylobacterium sp. LH3H17</t>
  </si>
  <si>
    <t>Bacteria;Actinomycetota;Actinomycetes;Kitasatosporales;Streptomycetaceae;Streptomyces;Streptomyces sp. IBSBF 2390;</t>
  </si>
  <si>
    <t>Streptomyces sp. IBSBF 2390</t>
  </si>
  <si>
    <t>Bacteria;Pseudomonadota;Gammaproteobacteria;Pseudomonadales;Pseudomonadaceae;Pseudomonas;Pseudomonas sp. NMI760_13;</t>
  </si>
  <si>
    <t>Pseudomonas sp. NMI760_13</t>
  </si>
  <si>
    <t>Bacteria;Actinomycetota;Acidimicrobiia;Acidimicrobiales;Iamiaceae;Rhabdothermincola;Rhabdothermincola salaria;</t>
  </si>
  <si>
    <t>Acidimicrobiia</t>
  </si>
  <si>
    <t>Acidimicrobiales</t>
  </si>
  <si>
    <t>Iamiaceae</t>
  </si>
  <si>
    <t>Rhabdothermincola</t>
  </si>
  <si>
    <t>Rhabdothermincola salaria</t>
  </si>
  <si>
    <t>Bacteria;Bacteroidota;Flavobacteriia;Flavobacteriales;Flavobacteriaceae;Flavobacterium;Flavobacterium soyae;</t>
  </si>
  <si>
    <t>Flavobacterium soyae</t>
  </si>
  <si>
    <t>Bacteria;Bacteroidota;Flavobacteriia;Flavobacteriales;Weeksellaceae;Epilithonimonas;Epilithonimonas sp. JDS;</t>
  </si>
  <si>
    <t>Epilithonimonas sp. JDS</t>
  </si>
  <si>
    <t>Bacteria;Bacillota;Bacilli;Bacillales;Alicyclobacillaceae;Fodinisporobacter;Fodinisporobacter ferrooxydans;</t>
  </si>
  <si>
    <t>Alicyclobacillaceae</t>
  </si>
  <si>
    <t>Fodinisporobacter</t>
  </si>
  <si>
    <t>Fodinisporobacter ferrooxydans</t>
  </si>
  <si>
    <t>Bacteria;Pseudomonadota;Alphaproteobacteria;Hyphomicrobiales;Rhizobiaceae;Rhizobium;Rhizobium quercicola;</t>
  </si>
  <si>
    <t>Rhizobium quercicola</t>
  </si>
  <si>
    <t>Bacteria;Pseudomonadota;Gammaproteobacteria;Chromatiales;Chromatiaceae;Rheinheimera;Rheinheimera faecalis;</t>
  </si>
  <si>
    <t>Rheinheimera faecalis</t>
  </si>
  <si>
    <t>Bacteria;Pseudomonadota;Alphaproteobacteria;Acetobacterales;Roseomonadaceae;Siccirubricoccus;Siccirubricoccus soli;</t>
  </si>
  <si>
    <t>Siccirubricoccus</t>
  </si>
  <si>
    <t>Siccirubricoccus soli</t>
  </si>
  <si>
    <t>Bacteria;Pseudomonadota;Betaproteobacteria;Burkholderiales;Oxalobacteraceae;Massilia;Massilia phyllostachyos;</t>
  </si>
  <si>
    <t>Massilia phyllostachyos</t>
  </si>
  <si>
    <t>Bacteria;Pseudomonadota;Gammaproteobacteria;Pseudomonadales;Pseudomonadaceae;Pseudomonas;Pseudomonas sp. J452;</t>
  </si>
  <si>
    <t>Pseudomonas sp. J452</t>
  </si>
  <si>
    <t>Bacteria;Pseudomonadota;Alphaproteobacteria;Caulobacterales;Caulobacteraceae;Phenylobacterium;Phenylobacterium sp. J426;</t>
  </si>
  <si>
    <t>Phenylobacterium sp. J426</t>
  </si>
  <si>
    <t>Bacteria;Actinomycetota;Thermoleophilia;Solirubrobacterales;Baekduiaceae;Svornostia;Svornostia abyssi;</t>
  </si>
  <si>
    <t>Baekduiaceae</t>
  </si>
  <si>
    <t>Svornostia</t>
  </si>
  <si>
    <t>Svornostia abyssi</t>
  </si>
  <si>
    <t>Bacteria;Bacteroidota;Flavobacteriia;Flavobacteriales;Flavobacteriaceae;Flavobacterium;Flavobacterium sp. J372;</t>
  </si>
  <si>
    <t>Flavobacterium sp. J372</t>
  </si>
  <si>
    <t>Bacteria;Pseudomonadota;Alphaproteobacteria;Caulobacterales;Caulobacteraceae;Phenylobacterium;Phenylobacterium sp. J367;</t>
  </si>
  <si>
    <t>Phenylobacterium sp. J367</t>
  </si>
  <si>
    <t>Bacteria;Pseudomonadota;Alphaproteobacteria;Sphingomonadales;Sphingomonadaceae;Sphingomonas;Sphingomonas sp. J315;</t>
  </si>
  <si>
    <t>Sphingomonas sp. J315</t>
  </si>
  <si>
    <t>Bacteria;Pseudomonadota;Betaproteobacteria;Burkholderiales;NA;Aquabacterium;Aquabacterium sp. J223;</t>
  </si>
  <si>
    <t>Aquabacterium sp. J223</t>
  </si>
  <si>
    <t>Bacteria;Actinomycetota;Actinomycetes;Kitasatosporales;Streptomycetaceae;Streptomyces;Streptomyces sp. CC228A;</t>
  </si>
  <si>
    <t>Streptomyces sp. CC228A</t>
  </si>
  <si>
    <t>Bacteria;Bacillota;Clostridia;Eubacteriales;Clostridiaceae;Clostridium;Clostridium sp. NSJ-145;</t>
  </si>
  <si>
    <t>Clostridium sp. NSJ-145</t>
  </si>
  <si>
    <t>Bacteria;Bacillota;Clostridia;Eubacteriales;Oscillospiraceae;Merdimmobilis;Merdimmobilis hominis;</t>
  </si>
  <si>
    <t>Merdimmobilis</t>
  </si>
  <si>
    <t>Merdimmobilis hominis</t>
  </si>
  <si>
    <t>Bacteria;Bacillota;Tissierellia;Tissierellales;Peptoniphilaceae;Peptoniphilus;Peptoniphilus sp. KCTC 25270;</t>
  </si>
  <si>
    <t>Peptoniphilaceae</t>
  </si>
  <si>
    <t>Peptoniphilus</t>
  </si>
  <si>
    <t>Peptoniphilus sp. KCTC 25270</t>
  </si>
  <si>
    <t>Bacteria;Pseudomonadota;Alphaproteobacteria;Acetobacterales;Roseomonadaceae;Roseomonas;Roseomonas cutis;</t>
  </si>
  <si>
    <t>Roseomonas cutis</t>
  </si>
  <si>
    <t>Bacteria;Bacteroidota;Sphingobacteriia;Sphingobacteriales;Sphingobacteriaceae;Pedobacter;Pedobacter sp. MC2016-14;</t>
  </si>
  <si>
    <t>Pedobacter sp. MC2016-14</t>
  </si>
  <si>
    <t>Bacteria;Bacteroidota;Flavobacteriia;Flavobacteriales;Flavobacteriaceae;Flavobacterium;Flavobacterium channae;</t>
  </si>
  <si>
    <t>Flavobacterium channae</t>
  </si>
  <si>
    <t>Bacteria;Pseudomonadota;Betaproteobacteria;Burkholderiales;Sphaerotilaceae;Scleromatobacter;Scleromatobacter humisilvae;</t>
  </si>
  <si>
    <t>Scleromatobacter</t>
  </si>
  <si>
    <t>Scleromatobacter humisilvae</t>
  </si>
  <si>
    <t>Bacteria;Pseudomonadota;Alphaproteobacteria;Sphingomonadales;Sphingomonadaceae;Novosphingobium;Novosphingobium kaempferiae;</t>
  </si>
  <si>
    <t>Novosphingobium kaempferiae</t>
  </si>
  <si>
    <t>Bacteria;Pseudomonadota;Alphaproteobacteria;Caulobacterales;Caulobacteraceae;Brevundimonas;Brevundimonas pishanensis;</t>
  </si>
  <si>
    <t>Brevundimonas pishanensis</t>
  </si>
  <si>
    <t>Bacteria;Bacteroidota;Flavobacteriia;Flavobacteriales;Flavobacteriaceae;Flavobacterium;Flavobacterium cyclinae;</t>
  </si>
  <si>
    <t>Flavobacterium cyclinae</t>
  </si>
  <si>
    <t>Bacteria;Bacillota;Bacilli;Bacillales;Paenibacillaceae;Paenibacillus;Paenibacillus sp. MMS20-IR301;</t>
  </si>
  <si>
    <t>Paenibacillus sp. MMS20-IR301</t>
  </si>
  <si>
    <t>Bacteria;Actinomycetota;Actinomycetes;Micrococcales;Microbacteriaceae;Subtercola;Subtercola endophyticus;</t>
  </si>
  <si>
    <t>Subtercola endophyticus</t>
  </si>
  <si>
    <t>Bacteria;Bacillota;Bacilli;Bacillales;Paenibacillaceae;Brevibacillus;Brevibacillus humidisoli;</t>
  </si>
  <si>
    <t>Brevibacillus humidisoli</t>
  </si>
  <si>
    <t>Bacteria;Pseudomonadota;Gammaproteobacteria;Pseudomonadales;Pseudomonadaceae;Pseudomonas;Pseudomonas sp. B21-051;</t>
  </si>
  <si>
    <t>Pseudomonas sp. B21-051</t>
  </si>
  <si>
    <t>Bacteria;Pseudomonadota;Gammaproteobacteria;Pseudomonadales;Pseudomonadaceae;Pseudomonas;Pseudomonas sp. B21-023;</t>
  </si>
  <si>
    <t>Pseudomonas sp. B21-023</t>
  </si>
  <si>
    <t>Bacteria;Bacteroidota;Sphingobacteriia;Sphingobacteriales;Sphingobacteriaceae;Pedobacter;Pedobacter mucosus;</t>
  </si>
  <si>
    <t>Pedobacter mucosus</t>
  </si>
  <si>
    <t>Bacteria;Bacillota;Bacilli;Bacillales;Bacillaceae;Bacillus;Bacillus sp. TL12;</t>
  </si>
  <si>
    <t>Bacillus sp. TL12</t>
  </si>
  <si>
    <t>Bacteria;Bacteroidota;Flavobacteriia;Flavobacteriales;Weeksellaceae;Epilithonimonas;Epilithonimonas sp.;</t>
  </si>
  <si>
    <t>Epilithonimonas sp.</t>
  </si>
  <si>
    <t>Bacteria;Bacteroidota;Cytophagia;Cytophagales;Cytophagaceae;Spirosoma;Spirosoma sp. KNUC1025;</t>
  </si>
  <si>
    <t>Spirosoma sp. KNUC1025</t>
  </si>
  <si>
    <t>Bacteria;Bacillota;Bacilli;Bacillales;Bacillaceae;Lysinibacillus;Lysinibacillus sp. CD3-6;</t>
  </si>
  <si>
    <t>Lysinibacillus sp. CD3-6</t>
  </si>
  <si>
    <t>Bacteria;Bacillota;Negativicutes;Selenomonadales;Sporomusaceae;Pelosinus;Pelosinus baikalensis;</t>
  </si>
  <si>
    <t>Pelosinus baikalensis</t>
  </si>
  <si>
    <t>Bacteria;Bacteroidota;Chitinophagia;Chitinophagales;Chitinophagaceae;Niabella;Niabella agricola;</t>
  </si>
  <si>
    <t>Niabella</t>
  </si>
  <si>
    <t>Niabella agricola</t>
  </si>
  <si>
    <t>Bacteria;Actinomycetota;Actinomycetes;Micrococcales;Microbacteriaceae;Microbacterium;Microbacterium sp. cx-59;</t>
  </si>
  <si>
    <t>Microbacterium sp. cx-59</t>
  </si>
  <si>
    <t>Bacteria;Pseudomonadota;Alphaproteobacteria;Sphingomonadales;Sphingomonadaceae;Sphingomonas;Sphingomonas radiodurans;</t>
  </si>
  <si>
    <t>Sphingomonas radiodurans</t>
  </si>
  <si>
    <t>Bacteria;Pseudomonadota;Gammaproteobacteria;Enterobacterales;Yersiniaceae;Yersinia;Yersinia vastinensis;</t>
  </si>
  <si>
    <t>Yersinia vastinensis</t>
  </si>
  <si>
    <t>Bacteria;Pseudomonadota;Gammaproteobacteria;Enterobacterales;Yersiniaceae;Yersinia;Yersinia proxima;</t>
  </si>
  <si>
    <t>Yersinia proxima</t>
  </si>
  <si>
    <t>Bacteria;Pseudomonadota;Gammaproteobacteria;Lysobacterales;Lysobacteraceae;Thermomonas;Thermomonas alba;</t>
  </si>
  <si>
    <t>Thermomonas</t>
  </si>
  <si>
    <t>Thermomonas alba</t>
  </si>
  <si>
    <t>Bacteria;Pseudomonadota;Betaproteobacteria;Burkholderiales;Oxalobacteraceae;Massilia;Massilia sp. IC2-476;</t>
  </si>
  <si>
    <t>Massilia sp. IC2-476</t>
  </si>
  <si>
    <t>Bacteria;Pseudomonadota;Betaproteobacteria;Nitrosomonadales;Gallionellaceae;Candidatus Nitrotoga;Candidatus Nitrotoga sp. 1052;</t>
  </si>
  <si>
    <t>Gallionellaceae</t>
  </si>
  <si>
    <t>Candidatus Nitrotoga</t>
  </si>
  <si>
    <t>Candidatus Nitrotoga sp. 1052</t>
  </si>
  <si>
    <t>Bacteria;Cyanobacteriota;Cyanophyceae;Pleurocapsales;Hyellaceae;Waterburya;Waterburya agarophytonicola;</t>
  </si>
  <si>
    <t>Pleurocapsales</t>
  </si>
  <si>
    <t>Hyellaceae</t>
  </si>
  <si>
    <t>Waterburya</t>
  </si>
  <si>
    <t>Waterburya agarophytonicola</t>
  </si>
  <si>
    <t>Bacteria;Actinomycetota;Actinomycetes;Propionibacteriales;Propionibacteriaceae;Tessaracoccus;Tessaracoccus sp. OS52;</t>
  </si>
  <si>
    <t>Propionibacteriaceae</t>
  </si>
  <si>
    <t>Tessaracoccus</t>
  </si>
  <si>
    <t>Tessaracoccus sp. OS52</t>
  </si>
  <si>
    <t>Bacteria;Bacillota;Clostridia;Eubacteriales;Clostridiaceae;Clostridium;Clostridium folliculivorans;</t>
  </si>
  <si>
    <t>Clostridium folliculivorans</t>
  </si>
  <si>
    <t>Bacteria;Actinomycetota;Actinomycetes;Micrococcales;Cellulomonadaceae;Cellulomonas;Cellulomonas sp. P24;</t>
  </si>
  <si>
    <t>Cellulomonas sp. P24</t>
  </si>
  <si>
    <t>Bacteria;Bacillota;Bacilli;Lactobacillales;Enterococcaceae;Enterococcus;Enterococcus sp. CWB-B31;</t>
  </si>
  <si>
    <t>Enterococcaceae</t>
  </si>
  <si>
    <t>Enterococcus</t>
  </si>
  <si>
    <t>Enterococcus sp. CWB-B31</t>
  </si>
  <si>
    <t>Bacteria;Actinomycetota;Actinomycetes;Propionibacteriales;Nocardioidaceae;Nocardioides;Nocardioides sp. Kera G14;</t>
  </si>
  <si>
    <t>Nocardioides sp. Kera G14</t>
  </si>
  <si>
    <t>Bacteria;Actinomycetota;Actinomycetes;Mycobacteriales;Mycobacteriaceae;Mycobacterium;Mycobacterium sp. MYCO198283;</t>
  </si>
  <si>
    <t>Mycobacterium sp. MYCO198283</t>
  </si>
  <si>
    <t>Bacteria;Pseudomonadota;Alphaproteobacteria;Acetobacterales;Roseomonadaceae;Roseicella;Roseicella aerolata;</t>
  </si>
  <si>
    <t>Roseicella</t>
  </si>
  <si>
    <t>Roseicella aerolata</t>
  </si>
  <si>
    <t>Bacteria;Pseudomonadota;Betaproteobacteria;Burkholderiales;Burkholderiaceae;Paraburkholderia;Paraburkholderia sp. ZP32-5;</t>
  </si>
  <si>
    <t>Paraburkholderia sp. ZP32-5</t>
  </si>
  <si>
    <t>Bacteria;Bacillota;Bacilli;Bacillales;Bacillaceae;Sutcliffiella;Sutcliffiella rhizosphaerae;</t>
  </si>
  <si>
    <t>Sutcliffiella</t>
  </si>
  <si>
    <t>Sutcliffiella rhizosphaerae</t>
  </si>
  <si>
    <t>Bacteria;Pseudomonadota;Alphaproteobacteria;Hyphomicrobiales;Phyllobacteriaceae;Mesorhizobium;Mesorhizobium sp. PAMC28654;</t>
  </si>
  <si>
    <t>Mesorhizobium sp. PAMC28654</t>
  </si>
  <si>
    <t>Bacteria;Bacillota;Clostridia;Eubacteriales;Clostridiaceae;Clostridium;Clostridium sp. CS001;</t>
  </si>
  <si>
    <t>Clostridium sp. CS001</t>
  </si>
  <si>
    <t>Bacteria;Actinomycetota;Actinomycetes;Micrococcales;Microbacteriaceae;Antiquaquibacter;Antiquaquibacter oligotrophicus;</t>
  </si>
  <si>
    <t>Antiquaquibacter</t>
  </si>
  <si>
    <t>Antiquaquibacter oligotrophicus</t>
  </si>
  <si>
    <t>Bacteria;Pseudomonadota;Alphaproteobacteria;Hyphomicrobiales;Rhizobiaceae;Rhizobium;Rhizobium sp. SG_E_25_P2;</t>
  </si>
  <si>
    <t>Rhizobium sp. SG_E_25_P2</t>
  </si>
  <si>
    <t>Bacteria;Pseudomonadota;Alphaproteobacteria;Sphingomonadales;Sphingomonadaceae;Novosphingobium;Novosphingobium sp. FKTRR1;</t>
  </si>
  <si>
    <t>Novosphingobium sp. FKTRR1</t>
  </si>
  <si>
    <t>Bacteria;Pseudomonadota;Alphaproteobacteria;Hyphomicrobiales;Brucellaceae;Pseudochrobactrum;Pseudochrobactrum sp. XF203;</t>
  </si>
  <si>
    <t>Pseudochrobactrum</t>
  </si>
  <si>
    <t>Pseudochrobactrum sp. XF203</t>
  </si>
  <si>
    <t>Bacteria;Pseudomonadota;Gammaproteobacteria;Enterobacterales;Enterobacteriaceae;Enterobacter;Enterobacter sp. K16B;</t>
  </si>
  <si>
    <t>Enterobacter</t>
  </si>
  <si>
    <t>Enterobacter sp. K16B</t>
  </si>
  <si>
    <t>Bacteria;Pseudomonadota;Betaproteobacteria;Neisseriales;Chromobacteriaceae;Vogesella;Vogesella sp. XCS3;</t>
  </si>
  <si>
    <t>Vogesella sp. XCS3</t>
  </si>
  <si>
    <t>Bacteria;Pseudomonadota;Alphaproteobacteria;Hyphomicrobiales;Phyllobacteriaceae;Mesorhizobium;Mesorhizobium sp. BR1-1-16;</t>
  </si>
  <si>
    <t>Mesorhizobium sp. BR1-1-16</t>
  </si>
  <si>
    <t>Bacteria;Pseudomonadota;Betaproteobacteria;Burkholderiales;Comamonadaceae;Acidovorax;Acidovorax sp. Leaf73;</t>
  </si>
  <si>
    <t>Acidovorax sp. Leaf73</t>
  </si>
  <si>
    <t>Bacteria;Bacteroidota;Sphingobacteriia;Sphingobacteriales;Sphingobacteriaceae;Pedobacter;Pedobacter sp. Leaf250;</t>
  </si>
  <si>
    <t>Pedobacter sp. Leaf250</t>
  </si>
  <si>
    <t>Bacteria;Bacteroidota;Sphingobacteriia;Sphingobacteriales;Sphingobacteriaceae;Pedobacter;Pedobacter sp. Leaf170;</t>
  </si>
  <si>
    <t>Pedobacter sp. Leaf170</t>
  </si>
  <si>
    <t>Bacteria;Bacteroidota;Sphingobacteriia;Sphingobacteriales;Sphingobacteriaceae;Pedobacter;Pedobacter sp. Leaf132;</t>
  </si>
  <si>
    <t>Pedobacter sp. Leaf132</t>
  </si>
  <si>
    <t>Bacteria;Pseudomonadota;Alphaproteobacteria;Hyphomicrobiales;Methylobacteriaceae;Microvirga;Microvirga puerhi;</t>
  </si>
  <si>
    <t>Methylobacteriaceae</t>
  </si>
  <si>
    <t>Microvirga</t>
  </si>
  <si>
    <t>Microvirga puerhi</t>
  </si>
  <si>
    <t>Bacteria;Actinomycetota;Actinomycetes;Micrococcales;Microbacteriaceae;Microbacterium;Microbacterium sp. cx-55;</t>
  </si>
  <si>
    <t>Microbacterium sp. cx-55</t>
  </si>
  <si>
    <t>Bacteria;Actinomycetota;Actinomycetes;Micrococcales;Microbacteriaceae;Leucobacter;Leucobacter sp. Psy1;</t>
  </si>
  <si>
    <t>Leucobacter sp. Psy1</t>
  </si>
  <si>
    <t>Bacteria;Actinomycetota;Actinomycetes;Kitasatosporales;Streptomycetaceae;Streptomyces;Streptomyces gobiensis;</t>
  </si>
  <si>
    <t>Streptomyces gobiensis</t>
  </si>
  <si>
    <t>Bacteria;Bacteroidota;Chitinophagia;Chitinophagales;Chitinophagaceae;Ferruginibacter;Ferruginibacter albus;</t>
  </si>
  <si>
    <t>Ferruginibacter</t>
  </si>
  <si>
    <t>Ferruginibacter albus</t>
  </si>
  <si>
    <t>Bacteria;Pseudomonadota;Alphaproteobacteria;Sphingomonadales;Sphingomonadaceae;Sphingomonas;Sphingomonas sp. R647;</t>
  </si>
  <si>
    <t>Sphingomonas sp. R647</t>
  </si>
  <si>
    <t>Bacteria;Pseudomonadota;Alphaproteobacteria;Sphingomonadales;Sphingomonadaceae;Sphingobium;Sphingobium sp. 3R8;</t>
  </si>
  <si>
    <t>Sphingobium sp. 3R8</t>
  </si>
  <si>
    <t>Bacteria;Pseudomonadota;Gammaproteobacteria;Pseudomonadales;Pseudomonadaceae;Pseudomonas;Pseudomonas sp. p1(2021b);</t>
  </si>
  <si>
    <t>Pseudomonas sp. p1(2021b)</t>
  </si>
  <si>
    <t>Bacteria;Actinomycetota;Actinomycetes;Propionibacteriales;Nocardioidaceae;Nocardioides;Nocardioides sp. TRM66260-LWL;</t>
  </si>
  <si>
    <t>Nocardioides sp. TRM66260-LWL</t>
  </si>
  <si>
    <t>Bacteria;Bacillota;Bacilli;Bacillales;Paenibacillaceae;Cohnella;Cohnella silvisoli;</t>
  </si>
  <si>
    <t>Cohnella</t>
  </si>
  <si>
    <t>Cohnella silvisoli</t>
  </si>
  <si>
    <t>Bacteria;Actinomycetota;Actinomycetes;Kitasatosporales;Streptomycetaceae;Actinacidiphila;Actinacidiphila acidipaludis;</t>
  </si>
  <si>
    <t>Actinacidiphila</t>
  </si>
  <si>
    <t>Actinacidiphila acidipaludis</t>
  </si>
  <si>
    <t>Bacteria;Pseudomonadota;Alphaproteobacteria;Sphingomonadales;Sphingomonadaceae;Sphingomonas;Sphingomonas nostoxanthinifaciens;</t>
  </si>
  <si>
    <t>Sphingomonas nostoxanthinifaciens</t>
  </si>
  <si>
    <t>Bacteria;Pseudomonadota;Alphaproteobacteria;Sphingomonadales;Erythrobacteraceae;Caenibius;Caenibius sp. WL;</t>
  </si>
  <si>
    <t>Caenibius</t>
  </si>
  <si>
    <t>Caenibius sp. WL</t>
  </si>
  <si>
    <t>Bacteria;Bacteroidota;Flavobacteriia;Flavobacteriales;Flavobacteriaceae;Flavobacterium;Flavobacterium potami;</t>
  </si>
  <si>
    <t>Flavobacterium potami</t>
  </si>
  <si>
    <t>Bacteria;Pseudomonadota;Alphaproteobacteria;Hyphomicrobiales;Rhizobiaceae;Shinella;Shinella oryzae;</t>
  </si>
  <si>
    <t>Shinella oryzae</t>
  </si>
  <si>
    <t>Bacteria;Pseudomonadota;Alphaproteobacteria;Hyphomicrobiales;Boseaceae;Bosea;Bosea sp. BH3;</t>
  </si>
  <si>
    <t>Bosea sp. BH3</t>
  </si>
  <si>
    <t>Bacteria;Pseudomonadota;Gammaproteobacteria;Lysobacterales;Lysobacteraceae;Stenotrophomonas;Stenotrophomonas sp. DR822;</t>
  </si>
  <si>
    <t>Stenotrophomonas sp. DR822</t>
  </si>
  <si>
    <t>Bacteria;Pseudomonadota;Gammaproteobacteria;Lysobacterales;Lysobacteraceae;Stenotrophomonas;Stenotrophomonas mori;</t>
  </si>
  <si>
    <t>Stenotrophomonas mori</t>
  </si>
  <si>
    <t>Bacteria;Actinomycetota;Actinomycetes;Mycobacteriales;Mycobacteriaceae;Mycobacterium;Mycobacterium kiyosense;</t>
  </si>
  <si>
    <t>Mycobacterium kiyosense</t>
  </si>
  <si>
    <t>Bacteria;Bacteroidota;Flavobacteriia;Flavobacteriales;Flavobacteriaceae;Flavobacterium;Flavobacterium agricola;</t>
  </si>
  <si>
    <t>Flavobacterium agricola</t>
  </si>
  <si>
    <t>Bacteria;Pseudomonadota;Gammaproteobacteria;Pseudomonadales;Pseudomonadaceae;Pseudomonas;Pseudomonas sp. CYM-20-01;</t>
  </si>
  <si>
    <t>Pseudomonas sp. CYM-20-01</t>
  </si>
  <si>
    <t>Bacteria;Pseudomonadota;Alphaproteobacteria;Acetobacterales;Roseomonadaceae;Falsiroseomonas;Falsiroseomonas sp.;</t>
  </si>
  <si>
    <t>Falsiroseomonas sp.</t>
  </si>
  <si>
    <t>Bacteria;Pseudomonadota;Gammaproteobacteria;Lysobacterales;Lysobacteraceae;Stenotrophomonas;Stenotrophomonas sp. SRS1;</t>
  </si>
  <si>
    <t>Stenotrophomonas sp. SRS1</t>
  </si>
  <si>
    <t>Bacteria;Pseudomonadota;Alphaproteobacteria;Rhodobacterales;Roseobacteraceae;Leisingera;Leisingera sp. S132;</t>
  </si>
  <si>
    <t>Leisingera</t>
  </si>
  <si>
    <t>Leisingera sp. S132</t>
  </si>
  <si>
    <t>Bacteria;Pseudomonadota;Betaproteobacteria;Burkholderiales;Comamonadaceae;Xenophilus;Xenophilus sp. Marseille-Q4582;</t>
  </si>
  <si>
    <t>Xenophilus</t>
  </si>
  <si>
    <t>Xenophilus sp. Marseille-Q4582</t>
  </si>
  <si>
    <t>Bacteria;Pseudomonadota;Gammaproteobacteria;Lysobacterales;Lysobacteraceae;Stenotrophomonas;Stenotrophomonas sp. Marseille-Q4652;</t>
  </si>
  <si>
    <t>Stenotrophomonas sp. Marseille-Q4652</t>
  </si>
  <si>
    <t>Bacteria;Verrucomicrobiota;Opitutia;Puniceicoccales;Cerasicoccaceae;Ruficoccus;Ruficoccus sp. ZRK36;</t>
  </si>
  <si>
    <t>Puniceicoccales</t>
  </si>
  <si>
    <t>Cerasicoccaceae</t>
  </si>
  <si>
    <t>Ruficoccus</t>
  </si>
  <si>
    <t>Ruficoccus sp. ZRK36</t>
  </si>
  <si>
    <t>Bacteria;Actinomycetota;Actinomycetes;Propionibacteriales;Nocardioidaceae;Nocardioides;Nocardioides jiangsuensis;</t>
  </si>
  <si>
    <t>Nocardioides jiangsuensis</t>
  </si>
  <si>
    <t>Bacteria;Pseudomonadota;Alphaproteobacteria;Rhodobacterales;Paracoccaceae;Xinfangfangia;Xinfangfangia pollutisoli;</t>
  </si>
  <si>
    <t>Xinfangfangia</t>
  </si>
  <si>
    <t>Xinfangfangia pollutisoli</t>
  </si>
  <si>
    <t>Bacteria;Pseudomonadota;Betaproteobacteria;Burkholderiales;Oxalobacteraceae;Rugamonas;Rugamonas sp. R1(2021);</t>
  </si>
  <si>
    <t>Rugamonas</t>
  </si>
  <si>
    <t>Rugamonas sp. R1(2021)</t>
  </si>
  <si>
    <t>Bacteria;Pseudomonadota;Gammaproteobacteria;Lysobacterales;Lysobacteraceae;Agrilutibacter;Agrilutibacter terrestris;</t>
  </si>
  <si>
    <t>Agrilutibacter</t>
  </si>
  <si>
    <t>Agrilutibacter terrestris</t>
  </si>
  <si>
    <t>Bacteria;Pseudomonadota;Alphaproteobacteria;Hyphomicrobiales;Brucellaceae;Pseudochrobactrum;Pseudochrobactrum sp. Wa41.01b-1;</t>
  </si>
  <si>
    <t>Pseudochrobactrum sp. Wa41.01b-1</t>
  </si>
  <si>
    <t>Bacteria;Verrucomicrobiota;Opitutia;Opitutales;Opitutaceae;Horticoccus;Horticoccus luteus;</t>
  </si>
  <si>
    <t>Horticoccus</t>
  </si>
  <si>
    <t>Horticoccus luteus</t>
  </si>
  <si>
    <t>Bacteria;Actinomycetota;Actinomycetes;Micrococcales;Microbacteriaceae;Microbacterium;Microbacterium sp. EST19A;</t>
  </si>
  <si>
    <t>Microbacterium sp. EST19A</t>
  </si>
  <si>
    <t>Bacteria;Bacteroidota;Sphingobacteriia;Sphingobacteriales;Sphingobacteriaceae;Sphingobacterium;Sphingobacterium sp. GVS05A;</t>
  </si>
  <si>
    <t>Sphingobacterium sp. GVS05A</t>
  </si>
  <si>
    <t>Bacteria;Pseudomonadota;Alphaproteobacteria;Sphingomonadales;Sphingomonadaceae;Sphingomonas;Sphingomonas citri;</t>
  </si>
  <si>
    <t>Sphingomonas citri</t>
  </si>
  <si>
    <t>Bacteria;Bacteroidota;Cytophagia;Cytophagales;Spirosomataceae;Dyadobacter;Dyadobacter sp. NIV53;</t>
  </si>
  <si>
    <t>Dyadobacter sp. NIV53</t>
  </si>
  <si>
    <t>Bacteria;Pseudomonadota;Alphaproteobacteria;Caulobacterales;Caulobacteraceae;Brevundimonas;Brevundimonas sp. PAMC22021;</t>
  </si>
  <si>
    <t>Brevundimonas sp. PAMC22021</t>
  </si>
  <si>
    <t>Bacteria;Pseudomonadota;Betaproteobacteria;Burkholderiales;Oxalobacteraceae;Massilia;Massilia sp. PAMC28688;</t>
  </si>
  <si>
    <t>Massilia sp. PAMC28688</t>
  </si>
  <si>
    <t>Bacteria;Pseudomonadota;Gammaproteobacteria;Lysobacterales;Lysobacteraceae;Stenotrophomonas;Stenotrophomonas sepilia;</t>
  </si>
  <si>
    <t>Stenotrophomonas sepilia</t>
  </si>
  <si>
    <t>Bacteria;Bacillota;Bacilli;Bacillales;Bacillaceae;Metabacillus;uncultured Metabacillus sp.;</t>
  </si>
  <si>
    <t>Metabacillus</t>
  </si>
  <si>
    <t>uncultured Metabacillus sp.</t>
  </si>
  <si>
    <t>Bacteria;Pseudomonadota;Alphaproteobacteria;Hyphomicrobiales;Rhizobiaceae;Rhizobium;Rhizobium populisoli;</t>
  </si>
  <si>
    <t>Rhizobium populisoli</t>
  </si>
  <si>
    <t>Bacteria;Bacillota;Clostridia;Eubacteriales;Clostridiaceae;Clostridium;Clostridium weizhouense;</t>
  </si>
  <si>
    <t>Clostridium weizhouense</t>
  </si>
  <si>
    <t>Bacteria;Bacillota;Bacilli;Bacillales;Paenibacillaceae;Paenibacillus;Paenibacillus sp. R14(2021);</t>
  </si>
  <si>
    <t>Paenibacillus sp. R14(2021)</t>
  </si>
  <si>
    <t>Bacteria;Actinomycetota;Actinomycetes;Micrococcales;Microbacteriaceae;Mycetocola;Mycetocola spongiae;</t>
  </si>
  <si>
    <t>Mycetocola spongiae</t>
  </si>
  <si>
    <t>Bacteria;Bacteroidota;Sphingobacteriia;Sphingobacteriales;Sphingobacteriaceae;Mucilaginibacter;Mucilaginibacter rivuli;</t>
  </si>
  <si>
    <t>Mucilaginibacter rivuli</t>
  </si>
  <si>
    <t>Bacteria;Actinomycetota;Actinomycetes;Mycobacteriales;Mycobacteriaceae;Mycobacterium;Mycobacterium sp. SMC-4;</t>
  </si>
  <si>
    <t>Mycobacterium sp. SMC-4</t>
  </si>
  <si>
    <t>Bacteria;Pseudomonadota;Gammaproteobacteria;Pseudomonadales;Pseudomonadaceae;Pseudomonas;Pseudomonas sp. HD6515;</t>
  </si>
  <si>
    <t>Pseudomonas sp. HD6515</t>
  </si>
  <si>
    <t>Bacteria;Bacteroidota;Sphingobacteriia;Sphingobacteriales;Sphingobacteriaceae;Pedobacter;Pedobacter sp. D749;</t>
  </si>
  <si>
    <t>Pedobacter sp. D749</t>
  </si>
  <si>
    <t>Bacteria;Bacillota;Clostridia;Eubacteriales;Clostridiaceae;Clostridium;Clostridium hydrogenum;</t>
  </si>
  <si>
    <t>Clostridium hydrogenum</t>
  </si>
  <si>
    <t>Bacteria;Pseudomonadota;Betaproteobacteria;Burkholderiales;Comamonadaceae;Variovorax;Variovorax sp. CY25R-8;</t>
  </si>
  <si>
    <t>Variovorax sp. CY25R-8</t>
  </si>
  <si>
    <t>Bacteria;Bacillota;Clostridia;Eubacteriales;Clostridiaceae;Crassaminicella;Crassaminicella indica;</t>
  </si>
  <si>
    <t>Crassaminicella</t>
  </si>
  <si>
    <t>Crassaminicella indica</t>
  </si>
  <si>
    <t>Bacteria;Pseudomonadota;Betaproteobacteria;Burkholderiales;Comamonadaceae;Acidovorax;Acidovorax sp. sif1233;</t>
  </si>
  <si>
    <t>Acidovorax sp. sif1233</t>
  </si>
  <si>
    <t>Bacteria;Pseudomonadota;Betaproteobacteria;Burkholderiales;Oxalobacteraceae;Duganella;Duganella sp. sic0402;</t>
  </si>
  <si>
    <t>Duganella sp. sic0402</t>
  </si>
  <si>
    <t>Bacteria;Bacteroidota;Chitinophagia;Chitinophagales;Chitinophagaceae;Chitinophaga;Chitinophaga sp. sic0106;</t>
  </si>
  <si>
    <t>Chitinophaga sp. sic0106</t>
  </si>
  <si>
    <t>Bacteria;Pseudomonadota;Betaproteobacteria;Burkholderiales;Comamonadaceae;Acidovorax;Acidovorax sp. sic0104;</t>
  </si>
  <si>
    <t>Acidovorax sp. sic0104</t>
  </si>
  <si>
    <t>Bacteria;Pseudomonadota;Gammaproteobacteria;Pseudomonadales;Pseudomonadaceae;Pseudomonas;Pseudomonas sp. sia0905;</t>
  </si>
  <si>
    <t>Pseudomonas sp. sia0905</t>
  </si>
  <si>
    <t>Bacteria;Pseudomonadota;Betaproteobacteria;Burkholderiales;Comamonadaceae;Comamonas;Comamonas sp. CMM03;</t>
  </si>
  <si>
    <t>Comamonas sp. CMM03</t>
  </si>
  <si>
    <t>Bacteria;Pseudomonadota;Gammaproteobacteria;Pseudomonadales;Pseudomonadaceae;Pseudomonas;Pseudomonas sp. PDM30;</t>
  </si>
  <si>
    <t>Pseudomonas sp. PDM30</t>
  </si>
  <si>
    <t>Bacteria;Pseudomonadota;Alphaproteobacteria;Rhodobacterales;Roseobacteraceae;Hasllibacter;Hasllibacter sp. MH4015;</t>
  </si>
  <si>
    <t>Hasllibacter</t>
  </si>
  <si>
    <t>Hasllibacter sp. MH4015</t>
  </si>
  <si>
    <t>Bacteria;Pseudomonadota;Gammaproteobacteria;Alteromonadales;Shewanellaceae;Shewanella;Shewanella sp. NIFS-20-20;</t>
  </si>
  <si>
    <t>Shewanellaceae</t>
  </si>
  <si>
    <t>Shewanella</t>
  </si>
  <si>
    <t>Shewanella sp. NIFS-20-20</t>
  </si>
  <si>
    <t>Bacteria;Pseudomonadota;Alphaproteobacteria;Rhodobacterales;Paracoccaceae;Paracoccus;Paracoccus sp. PARArs4;</t>
  </si>
  <si>
    <t>Paracoccus sp. PARArs4</t>
  </si>
  <si>
    <t>Bacteria;Bacteroidota;Sphingobacteriia;Sphingobacteriales;Sphingobacteriaceae;Sphingobacterium;Sphingobacterium sp. E70;</t>
  </si>
  <si>
    <t>Sphingobacterium sp. E70</t>
  </si>
  <si>
    <t>Bacteria;Pseudomonadota;Alphaproteobacteria;Rhodobacterales;NA;Rhodobacter;Rhodobacter amnigenus;</t>
  </si>
  <si>
    <t>Rhodobacter amnigenus</t>
  </si>
  <si>
    <t>Bacteria;Actinomycetota;Actinomycetes;Micrococcales;Microbacteriaceae;Microbacterium;Microbacterium sp. KSW4-4;</t>
  </si>
  <si>
    <t>Microbacterium sp. KSW4-4</t>
  </si>
  <si>
    <t>Bacteria;Actinomycetota;Actinomycetes;Micrococcales;Microbacteriaceae;Microbacterium;Microbacterium galbinum;</t>
  </si>
  <si>
    <t>Microbacterium galbinum</t>
  </si>
  <si>
    <t>Bacteria;Actinomycetota;Actinomycetes;Micromonosporales;Micromonosporaceae;Catellatospora;Catellatospora tritici;</t>
  </si>
  <si>
    <t>Catellatospora</t>
  </si>
  <si>
    <t>Catellatospora tritici</t>
  </si>
  <si>
    <t>Bacteria;Pseudomonadota;Alphaproteobacteria;Rhodobacterales;NA;Sedimentimonas;Sedimentimonas flavescens;</t>
  </si>
  <si>
    <t>Sedimentimonas</t>
  </si>
  <si>
    <t>Sedimentimonas flavescens</t>
  </si>
  <si>
    <t>Bacteria;Actinomycetota;Acidimicrobiia;Acidimicrobiales;Iamiaceae;Aquihabitans;Aquihabitans sp. G128;</t>
  </si>
  <si>
    <t>Aquihabitans</t>
  </si>
  <si>
    <t>Aquihabitans sp. G128</t>
  </si>
  <si>
    <t>Bacteria;Actinomycetota;Actinomycetes;Propionibacteriales;Nocardioidaceae;Nocardioides;Nocardioides nematodiphilus;</t>
  </si>
  <si>
    <t>Nocardioides nematodiphilus</t>
  </si>
  <si>
    <t>Bacteria;Bacteroidota;Flavobacteriia;Flavobacteriales;Weeksellaceae;Kaistella;Kaistella soli;</t>
  </si>
  <si>
    <t>Kaistella</t>
  </si>
  <si>
    <t>Kaistella soli</t>
  </si>
  <si>
    <t>Bacteria;Actinomycetota;Actinomycetes;Propionibacteriales;Nocardioidaceae;Nocardioides;Nocardioides panacis;</t>
  </si>
  <si>
    <t>Nocardioides panacis</t>
  </si>
  <si>
    <t>Bacteria;Pseudomonadota;Alphaproteobacteria;Sphingomonadales;Sphingomonadaceae;Novosphingobium;Novosphingobium sp. G106;</t>
  </si>
  <si>
    <t>Novosphingobium sp. G106</t>
  </si>
  <si>
    <t>Bacteria;Pseudomonadota;Alphaproteobacteria;Hyphomicrobiales;Reyranellaceae;Reyranella;Reyranella humidisoli;</t>
  </si>
  <si>
    <t>Reyranellaceae</t>
  </si>
  <si>
    <t>Reyranella</t>
  </si>
  <si>
    <t>Reyranella humidisoli</t>
  </si>
  <si>
    <t>Bacteria;Pseudomonadota;Alphaproteobacteria;Hyphomicrobiales;Rhizobiaceae;Rhizobium;Rhizobium halophilum;</t>
  </si>
  <si>
    <t>Rhizobium halophilum</t>
  </si>
  <si>
    <t>Bacteria;Pseudomonadota;Alphaproteobacteria;Acetobacterales;Acetobacteraceae;Neoroseomonas;Neoroseomonas alba;</t>
  </si>
  <si>
    <t>Neoroseomonas</t>
  </si>
  <si>
    <t>Neoroseomonas alba</t>
  </si>
  <si>
    <t>Bacteria;Actinomycetota;Actinomycetes;Micrococcales;Microbacteriaceae;Subtercola;Subtercola sp. PAMC28395;</t>
  </si>
  <si>
    <t>Subtercola sp. PAMC28395</t>
  </si>
  <si>
    <t>Bacteria;Pseudomonadota;Alphaproteobacteria;Acetobacterales;Roseomonadaceae;Roseomonas;Roseomonas sp. CECT 9278;</t>
  </si>
  <si>
    <t>Roseomonas sp. CECT 9278</t>
  </si>
  <si>
    <t>Bacteria;Pseudomonadota;Betaproteobacteria;Burkholderiales;NA;Aquabacterium;Aquabacterium sp. CECT 9606;</t>
  </si>
  <si>
    <t>Aquabacterium sp. CECT 9606</t>
  </si>
  <si>
    <t>Bacteria;Bacteroidota;Flavobacteriia;Flavobacteriales;Flavobacteriaceae;Flavobacterium;Flavobacterium sp. CECT 9288;</t>
  </si>
  <si>
    <t>Flavobacterium sp. CECT 9288</t>
  </si>
  <si>
    <t>Bacteria;Bacillota;Clostridia;Eubacteriales;Clostridiaceae;Clostridium;Clostridium sp. CF012;</t>
  </si>
  <si>
    <t>Clostridium sp. CF012</t>
  </si>
  <si>
    <t>Bacteria;Pseudomonadota;Betaproteobacteria;Burkholderiales;Burkholderiaceae;Burkholderia;Burkholderia sola;</t>
  </si>
  <si>
    <t>Burkholderia sola</t>
  </si>
  <si>
    <t>Bacteria;Actinomycetota;Thermoleophilia;Miltoncostaeales;Miltoncostaeaceae;Miltoncostaea;Miltoncostaea marina;</t>
  </si>
  <si>
    <t>Miltoncostaeales</t>
  </si>
  <si>
    <t>Miltoncostaeaceae</t>
  </si>
  <si>
    <t>Miltoncostaea</t>
  </si>
  <si>
    <t>Miltoncostaea marina</t>
  </si>
  <si>
    <t>Bacteria;Pseudomonadota;Betaproteobacteria;Burkholderiales;Alcaligenaceae;Bordetella;Bordetella sp. LUAb4;</t>
  </si>
  <si>
    <t>Bordetella</t>
  </si>
  <si>
    <t>Bordetella sp. LUAb4</t>
  </si>
  <si>
    <t>Bacteria;Pseudomonadota;Alphaproteobacteria;Sphingomonadales;Sphingomonadaceae;Sphingomonas;Sphingomonas quercus;</t>
  </si>
  <si>
    <t>Sphingomonas quercus</t>
  </si>
  <si>
    <t>Bacteria;Pseudomonadota;Gammaproteobacteria;Pseudomonadales;Pseudomonadaceae;Pseudomonas;Pseudomonas azerbaijanoccidentalis;</t>
  </si>
  <si>
    <t>Pseudomonas azerbaijanoccidentalis</t>
  </si>
  <si>
    <t>Bacteria;Cyanobacteriota;Cyanophyceae;Oscillatoriales;Microcoleaceae;Microcoleus;Microcoleus sp. CAWBG58;</t>
  </si>
  <si>
    <t>Oscillatoriales</t>
  </si>
  <si>
    <t>Microcoleaceae</t>
  </si>
  <si>
    <t>Microcoleus</t>
  </si>
  <si>
    <t>Microcoleus sp. CAWBG58</t>
  </si>
  <si>
    <t>Bacteria;Bacillota;Bacilli;Bacillales;Paenibacillaceae;Paenibacillus;Paenibacillus sp. MSJ-34;</t>
  </si>
  <si>
    <t>Paenibacillus sp. MSJ-34</t>
  </si>
  <si>
    <t>Bacteria;Bacillota;Clostridia;Eubacteriales;Acutalibacteraceae;Caproiciproducens;Caproiciproducens sp. MSJ-32;</t>
  </si>
  <si>
    <t>Acutalibacteraceae</t>
  </si>
  <si>
    <t>Caproiciproducens</t>
  </si>
  <si>
    <t>Caproiciproducens sp. MSJ-32</t>
  </si>
  <si>
    <t>Bacteria;Bacillota;Clostridia;Eubacteriales;Oscillospiraceae;Oscillibacter;Oscillibacter sp. MSJ-31;</t>
  </si>
  <si>
    <t>Oscillibacter</t>
  </si>
  <si>
    <t>Oscillibacter sp. MSJ-31</t>
  </si>
  <si>
    <t>Bacteria;Bacillota;Clostridia;Eubacteriales;Clostridiaceae;Clostridium;Clostridium mobile;</t>
  </si>
  <si>
    <t>Clostridium mobile</t>
  </si>
  <si>
    <t>Bacteria;Bacillota;Clostridia;Eubacteriales;Clostridiaceae;Clostridium;Clostridium sp. MSJ-8;</t>
  </si>
  <si>
    <t>Clostridium sp. MSJ-8</t>
  </si>
  <si>
    <t>Bacteria;Bacillota;Bacilli;Bacillales;Paenibacillaceae;Paenibacillus;Paenibacillus brevis;</t>
  </si>
  <si>
    <t>Paenibacillus brevis</t>
  </si>
  <si>
    <t>Bacteria;Bacillota;Clostridia;Peptostreptococcales;Natronincolaceae;Alkaliphilus;Alkaliphilus flagellatus;</t>
  </si>
  <si>
    <t>Natronincolaceae</t>
  </si>
  <si>
    <t>Alkaliphilus</t>
  </si>
  <si>
    <t>Alkaliphilus flagellatus</t>
  </si>
  <si>
    <t>Bacteria;Bacillota;Clostridia;Eubacteriales;Clostridiaceae;Clostridium;Clostridium simiarum;</t>
  </si>
  <si>
    <t>Clostridium simiarum</t>
  </si>
  <si>
    <t>Bacteria;Pseudomonadota;Alphaproteobacteria;Rhodobacterales;Paracoccaceae;Gemmobacter;Gemmobacter fulvus;</t>
  </si>
  <si>
    <t>Gemmobacter fulvus</t>
  </si>
  <si>
    <t>Bacteria;Pseudomonadota;Alphaproteobacteria;Hyphomicrobiales;Nitrobacteraceae;Bradyrhizobium;Bradyrhizobium sediminis;</t>
  </si>
  <si>
    <t>Bradyrhizobium sediminis</t>
  </si>
  <si>
    <t>Bacteria;Pseudomonadota;Alphaproteobacteria;Sphingomonadales;Sphingomonadaceae;Novosphingobium;Novosphingobium aerophilum;</t>
  </si>
  <si>
    <t>Novosphingobium aerophilum</t>
  </si>
  <si>
    <t>Bacteria;Pseudomonadota;Gammaproteobacteria;Methylococcales;Methylococcaceae;Methylobacter;Methylobacter sp. S3L5C;</t>
  </si>
  <si>
    <t>Methylococcales</t>
  </si>
  <si>
    <t>Methylococcaceae</t>
  </si>
  <si>
    <t>Methylobacter</t>
  </si>
  <si>
    <t>Methylobacter sp. S3L5C</t>
  </si>
  <si>
    <t>Bacteria;Pseudomonadota;Alphaproteobacteria;Sphingomonadales;Erythrobacteraceae;Croceibacterium;Croceibacterium selenioxidans;</t>
  </si>
  <si>
    <t>Croceibacterium selenioxidans</t>
  </si>
  <si>
    <t>Bacteria;Pseudomonadota;Betaproteobacteria;Burkholderiales;Sphaerotilaceae;Caldimonas;Caldimonas sp.;</t>
  </si>
  <si>
    <t>Caldimonas sp.</t>
  </si>
  <si>
    <t>Bacteria;Bacillota;Bacilli;Bacillales;Listeriaceae;Listeria;Listeria cossartiae;</t>
  </si>
  <si>
    <t>Listeriaceae</t>
  </si>
  <si>
    <t>Listeria</t>
  </si>
  <si>
    <t>Listeria cossartiae</t>
  </si>
  <si>
    <t>Bacteria;Bacteroidota;Chitinophagia;Chitinophagales;Chitinophagaceae;Flavihumibacter;Flavihumibacter fluvii;</t>
  </si>
  <si>
    <t>Flavihumibacter</t>
  </si>
  <si>
    <t>Flavihumibacter fluvii</t>
  </si>
  <si>
    <t>Bacteria;Pseudomonadota;Alphaproteobacteria;Rhodobacterales;Roseobacteraceae;Maritimibacter;Maritimibacter sp. DP1N21-5;</t>
  </si>
  <si>
    <t>Maritimibacter</t>
  </si>
  <si>
    <t>Maritimibacter sp. DP1N21-5</t>
  </si>
  <si>
    <t>Bacteria;Pseudomonadota;Betaproteobacteria;Burkholderiales;Comamonadaceae;Curvibacter;Curvibacter sp. CHRR-16;</t>
  </si>
  <si>
    <t>Curvibacter sp. CHRR-16</t>
  </si>
  <si>
    <t>Bacteria;Actinomycetota;Actinomycetes;Mycobacteriales;Nocardiaceae;Williamsia;Williamsia sp. CHRR-6;</t>
  </si>
  <si>
    <t>Williamsia</t>
  </si>
  <si>
    <t>Williamsia sp. CHRR-6</t>
  </si>
  <si>
    <t>Bacteria;Bacillota;Bacilli;Bacillales;Paenibacillaceae;Paenibacillus;Paenibacillus sp. 481;</t>
  </si>
  <si>
    <t>Paenibacillus sp. 481</t>
  </si>
  <si>
    <t>Bacteria;Actinomycetota;Actinomycetes;Streptosporangiales;Streptosporangiaceae;Sphaerisporangium;Sphaerisporangium fuscum;</t>
  </si>
  <si>
    <t>Sphaerisporangium</t>
  </si>
  <si>
    <t>Sphaerisporangium fuscum</t>
  </si>
  <si>
    <t>Bacteria;Actinomycetota;Actinomycetes;Pseudonocardiales;Pseudonocardiaceae;Pseudonocardia;Pseudonocardia sp. H11422;</t>
  </si>
  <si>
    <t>Pseudonocardia</t>
  </si>
  <si>
    <t>Pseudonocardia sp. H11422</t>
  </si>
  <si>
    <t>Bacteria;Pseudomonadota;Betaproteobacteria;Burkholderiales;Comamonadaceae;Variovorax;Variovorax sp. PCZ-1;</t>
  </si>
  <si>
    <t>Variovorax sp. PCZ-1</t>
  </si>
  <si>
    <t>Bacteria;Pseudomonadota;Alphaproteobacteria;Acetobacterales;Roseomonadaceae;Roseococcus;Roseococcus sp. SDR;</t>
  </si>
  <si>
    <t>Roseococcus sp. SDR</t>
  </si>
  <si>
    <t>Bacteria;Bdellovibrionota;Bdellovibrionia;Bdellovibrionales;Pseudobdellovibrionaceae;Bdellovibrio;Bdellovibrio reynosensis;</t>
  </si>
  <si>
    <t>Bdellovibrio reynosensis</t>
  </si>
  <si>
    <t>Bacteria;Pseudomonadota;Alphaproteobacteria;Acetobacterales;Roseomonadaceae;Roseococcus;Roseococcus pinisoli;</t>
  </si>
  <si>
    <t>Roseococcus pinisoli</t>
  </si>
  <si>
    <t>Bacteria;Pseudomonadota;Alphaproteobacteria;Hyphomicrobiales;Brucellaceae;Pseudochrobactrum;Pseudochrobactrum algeriensis;</t>
  </si>
  <si>
    <t>Pseudochrobactrum algeriensis</t>
  </si>
  <si>
    <t>Bacteria;Pseudomonadota;Gammaproteobacteria;Pseudomonadales;Pseudomonadaceae;Pseudomonas;Pseudomonas sp. BF-R-19;</t>
  </si>
  <si>
    <t>Pseudomonas sp. BF-R-19</t>
  </si>
  <si>
    <t>Bacteria;Pseudomonadota;Gammaproteobacteria;Pseudomonadales;Pseudomonadaceae;Pseudomonas;Pseudomonas sp. GL-B-19;</t>
  </si>
  <si>
    <t>Pseudomonas sp. GL-B-19</t>
  </si>
  <si>
    <t>Bacteria;Pseudomonadota;Gammaproteobacteria;Enterobacterales;Yersiniaceae;Serratia;Serratia sp. JSRIV006;</t>
  </si>
  <si>
    <t>Serratia sp. JSRIV006</t>
  </si>
  <si>
    <t>Bacteria;Pseudomonadota;Gammaproteobacteria;Enterobacterales;Yersiniaceae;Serratia;Serratia sp. JSRIV004;</t>
  </si>
  <si>
    <t>Serratia sp. JSRIV004</t>
  </si>
  <si>
    <t>Bacteria;Pseudomonadota;Gammaproteobacteria;Enterobacterales;Yersiniaceae;Serratia;Serratia sp. JSRIV002;</t>
  </si>
  <si>
    <t>Serratia sp. JSRIV002</t>
  </si>
  <si>
    <t>Bacteria;Pseudomonadota;Gammaproteobacteria;Enterobacterales;Yersiniaceae;Serratia;Serratia sp. JSRIV001;</t>
  </si>
  <si>
    <t>Serratia sp. JSRIV001</t>
  </si>
  <si>
    <t>Bacteria;Pseudomonadota;Alphaproteobacteria;Hyphomicrobiales;Nitrobacteraceae;Bradyrhizobium;Bradyrhizobium sp. sBnM-33;</t>
  </si>
  <si>
    <t>Bradyrhizobium sp. sBnM-33</t>
  </si>
  <si>
    <t>Bacteria;Pseudomonadota;Betaproteobacteria;Burkholderiales;Sphaerotilaceae;Ideonella;Ideonella benzenivorans;</t>
  </si>
  <si>
    <t>Ideonella benzenivorans</t>
  </si>
  <si>
    <t>Bacteria;Actinomycetota;Actinomycetes;Micrococcales;Dermatophilaceae;Austwickia;Austwickia sp. TVS 96-490-7B;</t>
  </si>
  <si>
    <t>Dermatophilaceae</t>
  </si>
  <si>
    <t>Austwickia</t>
  </si>
  <si>
    <t>Austwickia sp. TVS 96-490-7B</t>
  </si>
  <si>
    <t>Bacteria;Pseudomonadota;Gammaproteobacteria;Pseudomonadales;Pseudomonadaceae;Halopseudomonas;Halopseudomonas nanhaiensis;</t>
  </si>
  <si>
    <t>Halopseudomonas</t>
  </si>
  <si>
    <t>Halopseudomonas nanhaiensis</t>
  </si>
  <si>
    <t>Bacteria;Actinomycetota;Actinomycetes;Micrococcales;Microbacteriaceae;Microbacterium;Microbacterium allomyrinae;</t>
  </si>
  <si>
    <t>Microbacterium allomyrinae</t>
  </si>
  <si>
    <t>Bacteria;Pseudomonadota;Betaproteobacteria;Neisseriales;Neisseriaceae;Neisseria;Neisseria maigaei;</t>
  </si>
  <si>
    <t>Neisseria</t>
  </si>
  <si>
    <t>Neisseria maigaei</t>
  </si>
  <si>
    <t>Bacteria;Myxococcota;NA;Polyangiales;Polyangiaceae;Polyangium;Polyangium jinanense;</t>
  </si>
  <si>
    <t>Polyangiales</t>
  </si>
  <si>
    <t>Polyangiaceae</t>
  </si>
  <si>
    <t>Polyangium</t>
  </si>
  <si>
    <t>Polyangium jinanense</t>
  </si>
  <si>
    <t>Bacteria;Pseudomonadota;Gammaproteobacteria;Pseudomonadales;Pseudomonadaceae;Pseudomonas;Pseudomonas californiensis;</t>
  </si>
  <si>
    <t>Pseudomonas californiensis</t>
  </si>
  <si>
    <t>Bacteria;Bacillota;Bacilli;Bacillales;NA;Exiguobacterium;Exiguobacterium sp. PFWT01;</t>
  </si>
  <si>
    <t>Exiguobacterium sp. PFWT01</t>
  </si>
  <si>
    <t>Bacteria;Pseudomonadota;Alphaproteobacteria;Sphingomonadales;Sphingomonadaceae;Novosphingobium;Novosphingobium sp. CECT 9465;</t>
  </si>
  <si>
    <t>Novosphingobium sp. CECT 9465</t>
  </si>
  <si>
    <t>Bacteria;Bacillota;Clostridia;Eubacteriales;Clostridiaceae;Oceanirhabdus;Oceanirhabdus seepicola;</t>
  </si>
  <si>
    <t>Oceanirhabdus seepicola</t>
  </si>
  <si>
    <t>Bacteria;Bacillota;Clostridia;Lutisporales;Lutisporaceae;Lutispora;Lutispora sp.;</t>
  </si>
  <si>
    <t>Lutisporales</t>
  </si>
  <si>
    <t>Lutisporaceae</t>
  </si>
  <si>
    <t>Lutispora</t>
  </si>
  <si>
    <t>Lutispora sp.</t>
  </si>
  <si>
    <t>Bacteria;Pseudomonadota;Alphaproteobacteria;Hyphomicrobiales;Aurantimonadaceae;Aureimonas;Aureimonas sp. SA4125;</t>
  </si>
  <si>
    <t>Aureimonas</t>
  </si>
  <si>
    <t>Aureimonas sp. SA4125</t>
  </si>
  <si>
    <t>Bacteria;Pseudomonadota;Gammaproteobacteria;Lysobacterales;Lysobacteraceae;Stenotrophomonas;Stenotrophomonas sp. GbtcB23;</t>
  </si>
  <si>
    <t>Stenotrophomonas sp. GbtcB23</t>
  </si>
  <si>
    <t>Bacteria;Verrucomicrobiota;Verrucomicrobiia;Verrucomicrobiales;Verrucomicrobiaceae;Luteolibacter;Luteolibacter ambystomatis;</t>
  </si>
  <si>
    <t>Luteolibacter ambystomatis</t>
  </si>
  <si>
    <t>Bacteria;Pseudomonadota;Gammaproteobacteria;Enterobacterales;Yersiniaceae;Serratia;Serratia silvae;</t>
  </si>
  <si>
    <t>Serratia silvae</t>
  </si>
  <si>
    <t>Bacteria;Pseudomonadota;Betaproteobacteria;Burkholderiales;Sphaerotilaceae;Ideonella;Ideonella aquatica;</t>
  </si>
  <si>
    <t>Ideonella aquatica</t>
  </si>
  <si>
    <t>Bacteria;Pseudomonadota;Betaproteobacteria;Burkholderiales;Sphaerotilaceae;Ideonella;Ideonella alba;</t>
  </si>
  <si>
    <t>Ideonella alba</t>
  </si>
  <si>
    <t>Bacteria;Pseudomonadota;Alphaproteobacteria;Caulobacterales;Caulobacteraceae;Phenylobacterium;Phenylobacterium montanum;</t>
  </si>
  <si>
    <t>Phenylobacterium montanum</t>
  </si>
  <si>
    <t>Bacteria;Pseudomonadota;Alphaproteobacteria;Sphingomonadales;Sphingomonadaceae;Allosphingosinicella;Allosphingosinicella sp.;</t>
  </si>
  <si>
    <t>Allosphingosinicella</t>
  </si>
  <si>
    <t>Allosphingosinicella sp.</t>
  </si>
  <si>
    <t>Bacteria;Pseudomonadota;Betaproteobacteria;Burkholderiales;Comamonadaceae;Rhodoferax;Rhodoferax sp. PAMC 29310;</t>
  </si>
  <si>
    <t>Rhodoferax sp. PAMC 29310</t>
  </si>
  <si>
    <t>Bacteria;Pseudomonadota;Betaproteobacteria;Burkholderiales;Comamonadaceae;Acidovorax;Acidovorax sp. JG5;</t>
  </si>
  <si>
    <t>Acidovorax sp. JG5</t>
  </si>
  <si>
    <t>Bacteria;Pseudomonadota;Betaproteobacteria;Burkholderiales;Sphaerotilaceae;Roseateles;Pelomonas sp. V22;</t>
  </si>
  <si>
    <t>Pelomonas sp. V22</t>
  </si>
  <si>
    <t>Bacteria;Pseudomonadota;Gammaproteobacteria;Pseudomonadales;Pseudomonadaceae;Metapseudomonas;Metapseudomonas boanensis;</t>
  </si>
  <si>
    <t>Metapseudomonas</t>
  </si>
  <si>
    <t>Metapseudomonas boanensis</t>
  </si>
  <si>
    <t>Bacteria;Pseudomonadota;Alphaproteobacteria;Rhodobacterales;Roseobacteraceae;Ruegeria;Ruegeria sp. R13_0;</t>
  </si>
  <si>
    <t>Ruegeria</t>
  </si>
  <si>
    <t>Ruegeria sp. R13_0</t>
  </si>
  <si>
    <t>Bacteria;Pseudomonadota;Alphaproteobacteria;Caulobacterales;Caulobacteraceae;Brevundimonas;Brevundimonas sp. A19_0;</t>
  </si>
  <si>
    <t>Brevundimonas sp. A19_0</t>
  </si>
  <si>
    <t>Bacteria;Pseudomonadota;Alphaproteobacteria;Acetobacterales;Acetobacteraceae;Pararoseomonas;Pararoseomonas indoligenes;</t>
  </si>
  <si>
    <t>Pararoseomonas indoligenes</t>
  </si>
  <si>
    <t>Bacteria;Pseudomonadota;Alphaproteobacteria;Acetobacterales;Acetobacteraceae;Neoroseomonas;Neoroseomonas nitratireducens;</t>
  </si>
  <si>
    <t>Neoroseomonas nitratireducens</t>
  </si>
  <si>
    <t>Bacteria;Actinomycetota;Acidimicrobiia;Acidimicrobiales;Iamiaceae;Rhabdothermincola;Rhabdothermincola sp.;</t>
  </si>
  <si>
    <t>Rhabdothermincola sp.</t>
  </si>
  <si>
    <t>Bacteria;Actinomycetota;Actinomycetes;Micromonosporales;Micromonosporaceae;Actinoplanes;Actinoplanes flavus;</t>
  </si>
  <si>
    <t>Actinoplanes flavus</t>
  </si>
  <si>
    <t>Bacteria;Pseudomonadota;Alphaproteobacteria;Hyphomicrobiales;Xanthobacteraceae;Aquabacter;Aquabacter sp. L1I39;</t>
  </si>
  <si>
    <t>Aquabacter sp. L1I39</t>
  </si>
  <si>
    <t>Bacteria;Bacillota;Bacilli;Bacillales;Bacillaceae;Bacillus;Bacillus sp. XF8;</t>
  </si>
  <si>
    <t>Bacillus sp. XF8</t>
  </si>
  <si>
    <t>Bacteria;Verrucomicrobiota;Verrucomicrobiia;Verrucomicrobiales;Verrucomicrobiaceae;Luteolibacter;Luteolibacter sp. LG18;</t>
  </si>
  <si>
    <t>Luteolibacter sp. LG18</t>
  </si>
  <si>
    <t>Bacteria;Actinomycetota;Actinomycetes;Micrococcales;NA;Pengzhenrongella;Pengzhenrongella sicca;</t>
  </si>
  <si>
    <t>Pengzhenrongella</t>
  </si>
  <si>
    <t>Pengzhenrongella sicca</t>
  </si>
  <si>
    <t>Bacteria;Pseudomonadota;Gammaproteobacteria;Lysobacterales;Lysobacteraceae;Stenotrophomonas;Stenotrophomonas sp. ISL-67;</t>
  </si>
  <si>
    <t>Stenotrophomonas sp. ISL-67</t>
  </si>
  <si>
    <t>Bacteria;Bacillota;Bacilli;Bacillales;Bacillaceae;Bacillus;Bacillus sp. ISL-37;</t>
  </si>
  <si>
    <t>Bacillus sp. ISL-37</t>
  </si>
  <si>
    <t>Bacteria;Actinomycetota;Actinomycetes;Micrococcales;Microbacteriaceae;Agromyces;Agromyces sp. ISL-38;</t>
  </si>
  <si>
    <t>Agromyces sp. ISL-38</t>
  </si>
  <si>
    <t>Bacteria;Pseudomonadota;Betaproteobacteria;Burkholderiales;Comamonadaceae;Giesbergeria;Giesbergeria sp.;</t>
  </si>
  <si>
    <t>Giesbergeria</t>
  </si>
  <si>
    <t>Giesbergeria sp.</t>
  </si>
  <si>
    <t>Bacteria;Pseudomonadota;Gammaproteobacteria;Pseudomonadales;Pseudomonadaceae;Pseudomonas;Pseudomonas sp. OA65;</t>
  </si>
  <si>
    <t>Pseudomonas sp. OA65</t>
  </si>
  <si>
    <t>Bacteria;Acidobacteriota;Holophagae;Acanthopleuribacterales;Acanthopleuribacteraceae;Sulfidibacter;Sulfidibacter corallicola;</t>
  </si>
  <si>
    <t>Acanthopleuribacterales</t>
  </si>
  <si>
    <t>Acanthopleuribacteraceae</t>
  </si>
  <si>
    <t>Sulfidibacter</t>
  </si>
  <si>
    <t>Sulfidibacter corallicola</t>
  </si>
  <si>
    <t>Bacteria;Bacillota;Clostridia;Eubacteriales;Eubacteriales Family XIII. Incertae Sedis;Sinanaerobacter;Sinanaerobacter chloroacetimidivorans;</t>
  </si>
  <si>
    <t>Sinanaerobacter chloroacetimidivorans</t>
  </si>
  <si>
    <t>Bacteria;Pseudomonadota;Gammaproteobacteria;Orbales;Orbaceae;Gilliamella;Gilliamella sp. B3801;</t>
  </si>
  <si>
    <t>Orbales</t>
  </si>
  <si>
    <t>Orbaceae</t>
  </si>
  <si>
    <t>Gilliamella</t>
  </si>
  <si>
    <t>Gilliamella sp. B3801</t>
  </si>
  <si>
    <t>Bacteria;Pseudomonadota;Alphaproteobacteria;Sphingomonadales;Sphingomonadaceae;Sphingobium;Sphingobium sp. OAS761;</t>
  </si>
  <si>
    <t>Sphingobium sp. OAS761</t>
  </si>
  <si>
    <t>Bacteria;Actinomycetota;Actinomycetes;Propionibacteriales;Nocardioidaceae;Marmoricola;Marmoricola sp. OAE513;</t>
  </si>
  <si>
    <t>Marmoricola</t>
  </si>
  <si>
    <t>Marmoricola sp. OAE513</t>
  </si>
  <si>
    <t>Bacteria;Pseudomonadota;Gammaproteobacteria;Pseudomonadales;Pseudomonadaceae;Pseudomonas;Pseudomonas sp. S3E17;</t>
  </si>
  <si>
    <t>Pseudomonas sp. S3E17</t>
  </si>
  <si>
    <t>Bacteria;Pseudomonadota;Alphaproteobacteria;Rhodospirillales;Azospirillaceae;Azospirillum;Azospirillum sp. BE72;</t>
  </si>
  <si>
    <t>Azospirillum sp. BE72</t>
  </si>
  <si>
    <t>Bacteria;Bacteroidota;Flavobacteriia;Flavobacteriales;Flavobacteriaceae;Flavobacterium;Flavobacterium sp. 2755;</t>
  </si>
  <si>
    <t>Flavobacterium sp. 2755</t>
  </si>
  <si>
    <t>Bacteria;Bacteroidota;Sphingobacteriia;Sphingobacteriales;Sphingobacteriaceae;Sphingobacterium;Sphingobacterium sp. 2149;</t>
  </si>
  <si>
    <t>Sphingobacterium sp. 2149</t>
  </si>
  <si>
    <t>Bacteria;Pseudomonadota;Alphaproteobacteria;Hyphomicrobiales;Rhizobiaceae;Neorhizobium;Neorhizobium sp. 2083;</t>
  </si>
  <si>
    <t>Neorhizobium sp. 2083</t>
  </si>
  <si>
    <t>Bacteria;Pseudomonadota;Betaproteobacteria;Burkholderiales;Oxalobacteraceae;Duganella;Duganella sp. 3397;</t>
  </si>
  <si>
    <t>Duganella sp. 3397</t>
  </si>
  <si>
    <t>Bacteria;Pseudomonadota;Alphaproteobacteria;Rhodobacterales;Paracoccaceae;Pseudotabrizicola;Pseudotabrizicola sp. 4114;</t>
  </si>
  <si>
    <t>Pseudotabrizicola sp. 4114</t>
  </si>
  <si>
    <t>Bacteria;Pseudomonadota;Alphaproteobacteria;Caulobacterales;Caulobacteraceae;Caulobacter;Caulobacter sp. BE264;</t>
  </si>
  <si>
    <t>Caulobacter sp. BE264</t>
  </si>
  <si>
    <t>Bacteria;Pseudomonadota;Alphaproteobacteria;Hyphomicrobiales;Rhizobiaceae;Rhizobium;Rhizobium sp. BE258;</t>
  </si>
  <si>
    <t>Rhizobium sp. BE258</t>
  </si>
  <si>
    <t>Bacteria;Pseudomonadota;Alphaproteobacteria;Caulobacterales;Caulobacteraceae;Caulobacter;Caulobacter sp. BE254;</t>
  </si>
  <si>
    <t>Caulobacter sp. BE254</t>
  </si>
  <si>
    <t>Bacteria;Pseudomonadota;Alphaproteobacteria;Hyphomicrobiales;Phyllobacteriaceae;Mesorhizobium;Mesorhizobium sp. BE184;</t>
  </si>
  <si>
    <t>Mesorhizobium sp. BE184</t>
  </si>
  <si>
    <t>Bacteria;Bacillota;Bacilli;Bacillales;Bacillaceae;Bacillus;Bacillus hominis;</t>
  </si>
  <si>
    <t>Bacillus hominis</t>
  </si>
  <si>
    <t>Bacteria;Bacillota;Bacilli;Bacillales;Bacillaceae;Bacillus;Bacillus paramobilis;</t>
  </si>
  <si>
    <t>Bacillus paramobilis</t>
  </si>
  <si>
    <t>Bacteria;Bacteroidota;Sphingobacteriia;Sphingobacteriales;Sphingobacteriaceae;Pedobacter;Pedobacter deserti;</t>
  </si>
  <si>
    <t>Pedobacter deserti</t>
  </si>
  <si>
    <t>Bacteria;Actinomycetota;Actinomycetes;Micrococcales;Microbacteriaceae;Naasia;Naasia sp. SYSU D00948;</t>
  </si>
  <si>
    <t>Naasia</t>
  </si>
  <si>
    <t>Naasia sp. SYSU D00948</t>
  </si>
  <si>
    <t>Bacteria;Pseudomonadota;Alphaproteobacteria;Rhodobacterales;Roseobacteraceae;Rubellimicrobium;Rubellimicrobium arenae;</t>
  </si>
  <si>
    <t>Rubellimicrobium</t>
  </si>
  <si>
    <t>Rubellimicrobium arenae</t>
  </si>
  <si>
    <t>Bacteria;Bacteroidota;Sphingobacteriia;Sphingobacteriales;Sphingobacteriaceae;Pedobacter;Pedobacter sp. B4-66;</t>
  </si>
  <si>
    <t>Pedobacter sp. B4-66</t>
  </si>
  <si>
    <t>Bacteria;Pseudomonadota;Gammaproteobacteria;Pseudomonadales;Pseudomonadaceae;Pseudomonas;Pseudomonas schmalbachii;</t>
  </si>
  <si>
    <t>Pseudomonas schmalbachii</t>
  </si>
  <si>
    <t>Bacteria;Bacteroidota;Flavobacteriia;Flavobacteriales;Flavobacteriaceae;Aureitalea;Aureitalea sp. L0-47;</t>
  </si>
  <si>
    <t>Aureitalea</t>
  </si>
  <si>
    <t>Aureitalea sp. L0-47</t>
  </si>
  <si>
    <t>Bacteria;Pseudomonadota;Betaproteobacteria;Burkholderiales;Comamonadaceae;Ottowia;Ottowia testudinis;</t>
  </si>
  <si>
    <t>Ottowia</t>
  </si>
  <si>
    <t>Ottowia testudinis</t>
  </si>
  <si>
    <t>Bacteria;Bacillota;Tissierellia;NA;NA;Sedimentibacter;Sedimentibacter sp. zth1;</t>
  </si>
  <si>
    <t>Sedimentibacter sp. zth1</t>
  </si>
  <si>
    <t>Bacteria;Pseudomonadota;Alphaproteobacteria;Hyphomicrobiales;Aurantimonadaceae;Jiella;Jiella sonneratiae;</t>
  </si>
  <si>
    <t>Jiella sonneratiae</t>
  </si>
  <si>
    <t>Bacteria;Bacillota;Bacilli;Bacillales;Bacillaceae;Bacillus;Bacillus cereus group sp. Sample30;</t>
  </si>
  <si>
    <t>Bacillus cereus group sp. Sample30</t>
  </si>
  <si>
    <t>Bacteria;Bacteroidota;Flavobacteriia;Flavobacteriales;Flavobacteriaceae;Flavobacterium;Flavobacterium endoglycinae;</t>
  </si>
  <si>
    <t>Flavobacterium endoglycinae</t>
  </si>
  <si>
    <t>Bacteria;Pseudomonadota;Betaproteobacteria;Burkholderiales;Burkholderiaceae;Trinickia;Trinickia mobilis;</t>
  </si>
  <si>
    <t>Trinickia</t>
  </si>
  <si>
    <t>Trinickia mobilis</t>
  </si>
  <si>
    <t>Bacteria;Pseudomonadota;Gammaproteobacteria;Enterobacterales;Yersiniaceae;Rahnella;Rahnella sp. BCC 1045;</t>
  </si>
  <si>
    <t>Rahnella sp. BCC 1045</t>
  </si>
  <si>
    <t>Bacteria;Spirochaetota;Spirochaetia;Spirochaetales;Spirochaetaceae;Bullifex;Bullifex sp.;</t>
  </si>
  <si>
    <t>Spirochaetota</t>
  </si>
  <si>
    <t>Spirochaetia</t>
  </si>
  <si>
    <t>Spirochaetales</t>
  </si>
  <si>
    <t>Spirochaetaceae</t>
  </si>
  <si>
    <t>Bullifex</t>
  </si>
  <si>
    <t>Bullifex sp.</t>
  </si>
  <si>
    <t>Bacteria;Pseudomonadota;Alphaproteobacteria;Hyphomicrobiales;Ancalomicrobiaceae;Pinisolibacter;Pinisolibacter aquiterrae;</t>
  </si>
  <si>
    <t>Ancalomicrobiaceae</t>
  </si>
  <si>
    <t>Pinisolibacter</t>
  </si>
  <si>
    <t>Pinisolibacter aquiterrae</t>
  </si>
  <si>
    <t>Bacteria;Pseudomonadota;Alphaproteobacteria;Hyphomicrobiales;Rhizobiaceae;Agrobacterium;Agrobacterium sp. OT33;</t>
  </si>
  <si>
    <t>Agrobacterium sp. OT33</t>
  </si>
  <si>
    <t>Bacteria;Actinomycetota;Actinomycetes;Micrococcales;Microbacteriaceae;Leifsonia;Leifsonia sp. TF02-11;</t>
  </si>
  <si>
    <t>Leifsonia sp. TF02-11</t>
  </si>
  <si>
    <t>Bacteria;Pseudomonadota;Alphaproteobacteria;Caulobacterales;Caulobacteraceae;Brevundimonas;Brevundimonas fontaquae;</t>
  </si>
  <si>
    <t>Brevundimonas fontaquae</t>
  </si>
  <si>
    <t>Bacteria;Actinomycetota;Actinomycetes;Micrococcales;Microbacteriaceae;Leucobacter;Leucobacter soli;</t>
  </si>
  <si>
    <t>Leucobacter soli</t>
  </si>
  <si>
    <t>Bacteria;Actinomycetota;Actinomycetes;Kitasatosporales;Streptomycetaceae;Streptomyces;Streptomyces sp. GESEQ-13;</t>
  </si>
  <si>
    <t>Streptomyces sp. GESEQ-13</t>
  </si>
  <si>
    <t>Bacteria;Actinomycetota;Actinomycetes;Micrococcales;Microbacteriaceae;Herbiconiux;Herbiconiux sp. SYSU D00978;</t>
  </si>
  <si>
    <t>Herbiconiux sp. SYSU D00978</t>
  </si>
  <si>
    <t>Bacteria;Actinomycetota;Thermoleophilia;Solirubrobacterales;Conexibacteraceae;Conexibacter;Conexibacter sp. SYSU D00693;</t>
  </si>
  <si>
    <t>Conexibacter sp. SYSU D00693</t>
  </si>
  <si>
    <t>Bacteria;Pseudomonadota;Alphaproteobacteria;Sphingomonadales;Sphingomonadaceae;Sphingomonas;Sphingomonas arenae;</t>
  </si>
  <si>
    <t>Sphingomonas arenae</t>
  </si>
  <si>
    <t>Bacteria;Pseudomonadota;Alphaproteobacteria;Acetobacterales;Acetobacteraceae;Sabulicella;Sabulicella rubraurantiaca;</t>
  </si>
  <si>
    <t>Sabulicella rubraurantiaca</t>
  </si>
  <si>
    <t>Bacteria;Pseudomonadota;Alphaproteobacteria;Hyphomicrobiales;Rhizobiaceae;Ensifer;Ensifer sp. PDNC004;</t>
  </si>
  <si>
    <t>Ensifer sp. PDNC004</t>
  </si>
  <si>
    <t>Bacteria;Bacillota;Clostridia;Eubacteriales;Clostridiaceae;Clostridium;Clostridium sp. CCUG 7971;</t>
  </si>
  <si>
    <t>Clostridium sp. CCUG 7971</t>
  </si>
  <si>
    <t>Bacteria;Pseudomonadota;Alphaproteobacteria;Rhodobacterales;Paracoccaceae;Cypionkella;Cypionkella sp.;</t>
  </si>
  <si>
    <t>Cypionkella</t>
  </si>
  <si>
    <t>Cypionkella sp.</t>
  </si>
  <si>
    <t>Bacteria;Pseudomonadota;Gammaproteobacteria;Enterobacterales;Pectobacteriaceae;Acerihabitans;Acerihabitans sp.;</t>
  </si>
  <si>
    <t>Pectobacteriaceae</t>
  </si>
  <si>
    <t>Acerihabitans</t>
  </si>
  <si>
    <t>Acerihabitans sp.</t>
  </si>
  <si>
    <t>Bacteria;Bacteroidota;Cytophagia;Cytophagales;Cyclobacteriaceae;Algoriphagus;Algoriphagus pacificus;</t>
  </si>
  <si>
    <t>Algoriphagus pacificus</t>
  </si>
  <si>
    <t>Bacteria;Bacteroidota;Sphingobacteriia;Sphingobacteriales;Sphingobacteriaceae;Desertivirga;Desertivirga arenae;</t>
  </si>
  <si>
    <t>Desertivirga</t>
  </si>
  <si>
    <t>Desertivirga arenae</t>
  </si>
  <si>
    <t>Bacteria;Actinomycetota;Actinomycetes;Micromonosporales;Micromonosporaceae;Micromonospora;Micromonospora humida;</t>
  </si>
  <si>
    <t>Micromonospora humida</t>
  </si>
  <si>
    <t>Bacteria;Pseudomonadota;Gammaproteobacteria;Pseudomonadales;Pseudomonadaceae;Pseudomonas;Pseudomonas insulae;</t>
  </si>
  <si>
    <t>Pseudomonas insulae</t>
  </si>
  <si>
    <t>Bacteria;Pseudomonadota;Betaproteobacteria;Burkholderiales;Oxalobacteraceae;Glaciimonas;Glaciimonas sp. PAMC28666;</t>
  </si>
  <si>
    <t>Glaciimonas</t>
  </si>
  <si>
    <t>Glaciimonas sp. PAMC28666</t>
  </si>
  <si>
    <t>Bacteria;Planctomycetota;Phycisphaerae;Tepidisphaerales;Tepidisphaeraceae;Humisphaera;Humisphaera borealis;</t>
  </si>
  <si>
    <t>Phycisphaerae</t>
  </si>
  <si>
    <t>Tepidisphaerales</t>
  </si>
  <si>
    <t>Tepidisphaeraceae</t>
  </si>
  <si>
    <t>Humisphaera</t>
  </si>
  <si>
    <t>Humisphaera borealis</t>
  </si>
  <si>
    <t>Bacteria;Pseudomonadota;Alphaproteobacteria;Hyphomicrobiales;Methylobacteriaceae;Microvirga;Microvirga sp. VF16;</t>
  </si>
  <si>
    <t>Microvirga sp. VF16</t>
  </si>
  <si>
    <t>Bacteria;Pseudomonadota;Alphaproteobacteria;Rhodobacterales;Paracoccaceae;Neotabrizicola;Neotabrizicola shimadae;</t>
  </si>
  <si>
    <t>Neotabrizicola shimadae</t>
  </si>
  <si>
    <t>Bacteria;Bacteroidota;Flavobacteriia;Flavobacteriales;Flavobacteriaceae;Flavobacterium;Flavobacterium sp. 1355;</t>
  </si>
  <si>
    <t>Flavobacterium sp. 1355</t>
  </si>
  <si>
    <t>Bacteria;Bacillota;Erysipelotrichia;Erysipelotrichales;Turicibacteraceae;Turicibacter;Turicibacter sp. TJ11;</t>
  </si>
  <si>
    <t>Erysipelotrichia</t>
  </si>
  <si>
    <t>Erysipelotrichales</t>
  </si>
  <si>
    <t>Turicibacteraceae</t>
  </si>
  <si>
    <t>Turicibacter</t>
  </si>
  <si>
    <t>Turicibacter sp. TJ11</t>
  </si>
  <si>
    <t>Bacteria;Pseudomonadota;Alphaproteobacteria;Hyphomicrobiales;Devosiaceae;Devosia;Devosia sp. SL43;</t>
  </si>
  <si>
    <t>Devosia sp. SL43</t>
  </si>
  <si>
    <t>Bacteria;Pseudomonadota;Betaproteobacteria;Burkholderiales;Comamonadaceae;Hydrogenophaga;Hydrogenophaga sp. SL48;</t>
  </si>
  <si>
    <t>Hydrogenophaga sp. SL48</t>
  </si>
  <si>
    <t>Bacteria;Pseudomonadota;Betaproteobacteria;Neisseriales;Chromobacteriaceae;Paludibacterium;Paludibacterium sp. B53371;</t>
  </si>
  <si>
    <t>Paludibacterium</t>
  </si>
  <si>
    <t>Paludibacterium sp. B53371</t>
  </si>
  <si>
    <t>Bacteria;Pseudomonadota;Betaproteobacteria;Burkholderiales;Comamonadaceae;Hydrogenophaga;Hydrogenophaga sp. YM1;</t>
  </si>
  <si>
    <t>Hydrogenophaga sp. YM1</t>
  </si>
  <si>
    <t>Bacteria;Actinomycetota;Actinomycetes;Micromonosporales;Micromonosporaceae;Micromonospora;Micromonospora sp. 4G55;</t>
  </si>
  <si>
    <t>Micromonospora sp. 4G55</t>
  </si>
  <si>
    <t>Bacteria;Pseudomonadota;Betaproteobacteria;Burkholderiales;Burkholderiaceae;Paraburkholderia;Paraburkholderia sp. J12;</t>
  </si>
  <si>
    <t>Paraburkholderia sp. J12</t>
  </si>
  <si>
    <t>Bacteria;Bacteroidota;Sphingobacteriia;Sphingobacteriales;Sphingobacteriaceae;Daejeonella;Daejeonella sp.;</t>
  </si>
  <si>
    <t>Daejeonella</t>
  </si>
  <si>
    <t>Daejeonella sp.</t>
  </si>
  <si>
    <t>Bacteria;Pseudomonadota;Alphaproteobacteria;Acetobacterales;Roseomonadaceae;Belnapia;Belnapia arida;</t>
  </si>
  <si>
    <t>Belnapia</t>
  </si>
  <si>
    <t>Belnapia arida</t>
  </si>
  <si>
    <t>Bacteria;Pseudomonadota;Alphaproteobacteria;Acetobacterales;Roseomonadaceae;Belnapia;Belnapia mucosa;</t>
  </si>
  <si>
    <t>Belnapia mucosa</t>
  </si>
  <si>
    <t>Bacteria;Bacillota;Bacilli;Bacillales;Staphylococcaceae;Staphylococcus;Staphylococcus sp. GDY8P19P;</t>
  </si>
  <si>
    <t>Staphylococcus sp. GDY8P19P</t>
  </si>
  <si>
    <t>Bacteria;Bacillota;Clostridia;Eubacteriales;Clostridiaceae;Proteiniclasticum;Proteiniclasticum sediminis;</t>
  </si>
  <si>
    <t>Proteiniclasticum sediminis</t>
  </si>
  <si>
    <t>Bacteria;Pseudomonadota;Alphaproteobacteria;Rhodobacterales;Paracoccaceae;Fuscibacter;Fuscibacter oryzae;</t>
  </si>
  <si>
    <t>Fuscibacter</t>
  </si>
  <si>
    <t>Fuscibacter oryzae</t>
  </si>
  <si>
    <t>Bacteria;Bacillota;Clostridia;Eubacteriales;Clostridiaceae;Clostridium;Clostridium paridis;</t>
  </si>
  <si>
    <t>Clostridium paridis</t>
  </si>
  <si>
    <t>Bacteria;Bacillota;Clostridia;Eubacteriales;Clostridiaceae;Clostridium;Clostridium rhizosphaerae;</t>
  </si>
  <si>
    <t>Clostridium rhizosphaerae</t>
  </si>
  <si>
    <t>Bacteria;Actinomycetota;Actinomycetes;Propionibacteriales;Nocardioidaceae;Nocardioides;Nocardioides faecalis;</t>
  </si>
  <si>
    <t>Nocardioides faecalis</t>
  </si>
  <si>
    <t>Bacteria;Bacteroidota;Sphingobacteriia;Sphingobacteriales;Sphingobacteriaceae;Sphingobacterium;Sphingobacterium faecale;</t>
  </si>
  <si>
    <t>Sphingobacterium faecale</t>
  </si>
  <si>
    <t>Bacteria;Pseudomonadota;Alphaproteobacteria;Acetobacterales;Acidocellaceae;Acidisoma;Acidisoma silvae;</t>
  </si>
  <si>
    <t>Acidocellaceae</t>
  </si>
  <si>
    <t>Acidisoma</t>
  </si>
  <si>
    <t>Acidisoma silvae</t>
  </si>
  <si>
    <t>Bacteria;Pseudomonadota;Alphaproteobacteria;Hyphomicrobiales;Rhizobiaceae;Rhizobium;Rhizobium sp. AG207R;</t>
  </si>
  <si>
    <t>Rhizobium sp. AG207R</t>
  </si>
  <si>
    <t>Bacteria;Pseudomonadota;Alphaproteobacteria;Hyphomicrobiales;Rhizobiaceae;Rhizobium;Rhizobium setariae;</t>
  </si>
  <si>
    <t>Rhizobium setariae</t>
  </si>
  <si>
    <t>Bacteria;Bacteroidota;Flavobacteriia;Flavobacteriales;Flavobacteriaceae;Flavobacterium;Flavobacterium tagetis;</t>
  </si>
  <si>
    <t>Flavobacterium tagetis</t>
  </si>
  <si>
    <t>Bacteria;Bacteroidota;Flavobacteriia;Flavobacteriales;Weeksellaceae;Chryseobacterium;Chryseobacterium tagetis;</t>
  </si>
  <si>
    <t>Chryseobacterium tagetis</t>
  </si>
  <si>
    <t>Bacteria;Pseudomonadota;Betaproteobacteria;Burkholderiales;Sphaerotilaceae;Aquariibacter;Aquariibacter lacus;</t>
  </si>
  <si>
    <t>Aquariibacter</t>
  </si>
  <si>
    <t>Aquariibacter lacus</t>
  </si>
  <si>
    <t>Bacteria;Pseudomonadota;Betaproteobacteria;Burkholderiales;Comamonadaceae;Ramlibacter;Ramlibacter aurantiacus;</t>
  </si>
  <si>
    <t>Ramlibacter aurantiacus</t>
  </si>
  <si>
    <t>Bacteria;Pseudomonadota;Alphaproteobacteria;Caulobacterales;Caulobacteraceae;Brevundimonas;Brevundimonas vitisensis;</t>
  </si>
  <si>
    <t>Brevundimonas vitisensis</t>
  </si>
  <si>
    <t>Bacteria;Bacillota;Bacilli;Bacillales;Bacillaceae;Lysinibacillus;Lysinibacillus sp. HST-98;</t>
  </si>
  <si>
    <t>Lysinibacillus sp. HST-98</t>
  </si>
  <si>
    <t>Bacteria;Bacillota;Clostridia;Eubacteriales;Clostridiaceae;Clostridium;Clostridium yunnanense;</t>
  </si>
  <si>
    <t>Clostridium yunnanense</t>
  </si>
  <si>
    <t>Bacteria;Actinomycetota;Actinomycetes;Mycobacteriales;Nocardiaceae;Antrihabitans;Antrihabitans sp. YC2-6;</t>
  </si>
  <si>
    <t>Antrihabitans</t>
  </si>
  <si>
    <t>Antrihabitans sp. YC2-6</t>
  </si>
  <si>
    <t>Bacteria;Cyanobacteriota;Cyanophyceae;Oscillatoriales;Microcoleaceae;Microcoleus;Microcoleus sp. PH2017_31_RDM_U_A;</t>
  </si>
  <si>
    <t>Microcoleus sp. PH2017_31_RDM_U_A</t>
  </si>
  <si>
    <t>Bacteria;Pseudomonadota;Betaproteobacteria;Burkholderiales;Comamonadaceae;Rhodoferax;Rhodoferax lithotrophicus;</t>
  </si>
  <si>
    <t>Rhodoferax lithotrophicus</t>
  </si>
  <si>
    <t>Bacteria;Spirochaetota;Spirochaetia;Spirochaetales;Breznakiellaceae;Breznakiella;Breznakiella homolactica;</t>
  </si>
  <si>
    <t>Breznakiellaceae</t>
  </si>
  <si>
    <t>Breznakiella</t>
  </si>
  <si>
    <t>Breznakiella homolactica</t>
  </si>
  <si>
    <t>Bacteria;Actinomycetota;Actinomycetes;Micrococcales;Microbacteriaceae;Leucobacter;Leucobacter chromiisoli;</t>
  </si>
  <si>
    <t>Leucobacter chromiisoli</t>
  </si>
  <si>
    <t>Bacteria;Actinomycetota;Actinomycetes;Kitasatosporales;Streptomycetaceae;Streptomyces;Streptomyces adelaidensis;</t>
  </si>
  <si>
    <t>Streptomyces adelaidensis</t>
  </si>
  <si>
    <t>Bacteria;Bacillota;Bacilli;Bacillales;Bacillaceae;Bacillus;Bacillus sp. TH17;</t>
  </si>
  <si>
    <t>Bacillus sp. TH17</t>
  </si>
  <si>
    <t>Bacteria;Pseudomonadota;Betaproteobacteria;Burkholderiales;Comamonadaceae;Comamonas;Comamonas fluminis;</t>
  </si>
  <si>
    <t>Comamonas fluminis</t>
  </si>
  <si>
    <t>Bacteria;Pseudomonadota;Betaproteobacteria;Burkholderiales;Comamonadaceae;Comamonas;Comamonas sp. NyZ500;</t>
  </si>
  <si>
    <t>Comamonas sp. NyZ500</t>
  </si>
  <si>
    <t>Bacteria;Pseudomonadota;Alphaproteobacteria;Hyphomicrobiales;Kaistiaceae;Kaistia;Kaistia sp. 32K;</t>
  </si>
  <si>
    <t>Kaistia sp. 32K</t>
  </si>
  <si>
    <t>Bacteria;Pseudomonadota;Betaproteobacteria;Rhodocyclales;Zoogloeaceae;Denitromonas;Denitromonas iodatirespirans;</t>
  </si>
  <si>
    <t>Denitromonas</t>
  </si>
  <si>
    <t>Denitromonas iodatirespirans</t>
  </si>
  <si>
    <t>Bacteria;Bacillota;Bacilli;Bacillales;Bacillaceae;Metabacillus;Metabacillus bambusae;</t>
  </si>
  <si>
    <t>Metabacillus bambusae</t>
  </si>
  <si>
    <t>Bacteria;Pseudomonadota;Betaproteobacteria;Burkholderiales;NA;Xylophilus;Xylophilus sp. ASV27;</t>
  </si>
  <si>
    <t>Xylophilus sp. ASV27</t>
  </si>
  <si>
    <t>Bacteria;Pseudomonadota;Gammaproteobacteria;Enterobacterales;Yersiniaceae;Serratia;Serratia sp. ASV30;</t>
  </si>
  <si>
    <t>Serratia sp. ASV30</t>
  </si>
  <si>
    <t>Bacteria;Bacteroidota;Sphingobacteriia;Sphingobacteriales;Sphingobacteriaceae;Pedobacter;Pedobacter sp. ASV28;</t>
  </si>
  <si>
    <t>Pedobacter sp. ASV28</t>
  </si>
  <si>
    <t>Bacteria;Bacteroidota;Sphingobacteriia;Sphingobacteriales;Sphingobacteriaceae;Pedobacter;Pedobacter sp. ASV12;</t>
  </si>
  <si>
    <t>Pedobacter sp. ASV12</t>
  </si>
  <si>
    <t>Bacteria;Pseudomonadota;Betaproteobacteria;Burkholderiales;Comamonadaceae;Delftia;Delftia sp. ASV31;</t>
  </si>
  <si>
    <t>Delftia sp. ASV31</t>
  </si>
  <si>
    <t>Bacteria;Pseudomonadota;Alphaproteobacteria;Hyphomicrobiales;Boseaceae;Bosea;Bosea sp. ASV33;</t>
  </si>
  <si>
    <t>Bosea sp. ASV33</t>
  </si>
  <si>
    <t>Bacteria;Pseudomonadota;Betaproteobacteria;Burkholderiales;Sphaerotilaceae;Inhella;Inhella gelatinilytica;</t>
  </si>
  <si>
    <t>Inhella</t>
  </si>
  <si>
    <t>Inhella gelatinilytica</t>
  </si>
  <si>
    <t>Bacteria;Thermodesulfobacteriota;Desulfovibrionia;Desulfovibrionales;Desulfovibrionaceae;Maridesulfovibrio;Maridesulfovibrio sp.;</t>
  </si>
  <si>
    <t>Thermodesulfobacteriota</t>
  </si>
  <si>
    <t>Desulfovibrionia</t>
  </si>
  <si>
    <t>Desulfovibrionales</t>
  </si>
  <si>
    <t>Desulfovibrionaceae</t>
  </si>
  <si>
    <t>Maridesulfovibrio</t>
  </si>
  <si>
    <t>Maridesulfovibrio sp.</t>
  </si>
  <si>
    <t>Bacteria;NA;NA;NA;NA;NA;sulfur-oxidizing endosymbiont of Gigantopelta aegis;</t>
  </si>
  <si>
    <t>sulfur-oxidizing endosymbiont of Gigantopelta aegis</t>
  </si>
  <si>
    <t>Bacteria;Bacillota;Bacilli;Bacillales;Bacillaceae;Bacillus;Bacillus cereus group sp. N14;</t>
  </si>
  <si>
    <t>Bacillus cereus group sp. N14</t>
  </si>
  <si>
    <t>Bacteria;Bacillota;Bacilli;Bacillales;Bacillaceae;Bacillus;Bacillus cereus group sp. N11;</t>
  </si>
  <si>
    <t>Bacillus cereus group sp. N11</t>
  </si>
  <si>
    <t>Bacteria;Pseudomonadota;Gammaproteobacteria;Pseudomonadales;Pseudomonadaceae;Pseudomonas;Pseudomonas sp. USTB-Z;</t>
  </si>
  <si>
    <t>Pseudomonas sp. USTB-Z</t>
  </si>
  <si>
    <t>Bacteria;Bacillota;Clostridia;Eubacteriales;Clostridiaceae;Clostridium;Clostridium thailandense;</t>
  </si>
  <si>
    <t>Clostridium thailandense</t>
  </si>
  <si>
    <t>Bacteria;Bacteroidota;Sphingobacteriia;Sphingobacteriales;Sphingobacteriaceae;Mucilaginibacter;Mucilaginibacter segetis;</t>
  </si>
  <si>
    <t>Mucilaginibacter segetis</t>
  </si>
  <si>
    <t>Bacteria;Bacteroidota;Cytophagia;Cytophagales;Hymenobacteraceae;Adhaeribacter;Adhaeribacter terrigena;</t>
  </si>
  <si>
    <t>Adhaeribacter</t>
  </si>
  <si>
    <t>Adhaeribacter terrigena</t>
  </si>
  <si>
    <t>Bacteria;Pseudomonadota;Alphaproteobacteria;Sphingomonadales;Sphingomonadaceae;Novosphingobium;Novosphingobium aureum;</t>
  </si>
  <si>
    <t>Novosphingobium aureum</t>
  </si>
  <si>
    <t>Bacteria;Pseudomonadota;Gammaproteobacteria;Lysobacterales;Lysobacteraceae;Lysobacter;Lysobacter changpingensis;</t>
  </si>
  <si>
    <t>Lysobacter changpingensis</t>
  </si>
  <si>
    <t>Bacteria;Actinomycetota;Actinomycetes;Micrococcales;Microbacteriaceae;Salinibacterium;Salinibacterium sp. NK8237;</t>
  </si>
  <si>
    <t>Salinibacterium sp. NK8237</t>
  </si>
  <si>
    <t>Bacteria;Pseudomonadota;Alphaproteobacteria;Hyphomicrobiales;Rhizobiaceae;Agrobacterium;Agrobacterium leguminum;</t>
  </si>
  <si>
    <t>Agrobacterium leguminum</t>
  </si>
  <si>
    <t>Bacteria;Pseudomonadota;Alphaproteobacteria;Sphingomonadales;Sphingomonadaceae;Novosphingobium;Novosphingobium jiangmenense;</t>
  </si>
  <si>
    <t>Novosphingobium jiangmenense</t>
  </si>
  <si>
    <t>Bacteria;Bacteroidota;Cytophagia;Cytophagales;Hymenobacteraceae;Pontibacter;Pontibacter sp. 172403-2;</t>
  </si>
  <si>
    <t>Pontibacter</t>
  </si>
  <si>
    <t>Pontibacter sp. 172403-2</t>
  </si>
  <si>
    <t>Bacteria;Pseudomonadota;Alphaproteobacteria;Hyphomicrobiales;Methylobacteriaceae;Microvirga;Microvirga terrestris;</t>
  </si>
  <si>
    <t>Microvirga terrestris</t>
  </si>
  <si>
    <t>Bacteria;Actinomycetota;Acidimicrobiia;Acidimicrobiales;Iamiaceae;Actinomarinicola;Actinomarinicola tropica;</t>
  </si>
  <si>
    <t>Actinomarinicola</t>
  </si>
  <si>
    <t>Actinomarinicola tropica</t>
  </si>
  <si>
    <t>Bacteria;Bacteroidota;Sphingobacteriia;Sphingobacteriales;Sphingobacteriaceae;Pedobacter;Pedobacter endophyticus;</t>
  </si>
  <si>
    <t>Pedobacter endophyticus</t>
  </si>
  <si>
    <t>Bacteria;Actinomycetota;Actinomycetes;Micrococcales;Microbacteriaceae;Frigoribacterium;Frigoribacterium sp. CG_9.8;</t>
  </si>
  <si>
    <t>Frigoribacterium</t>
  </si>
  <si>
    <t>Frigoribacterium sp. CG_9.8</t>
  </si>
  <si>
    <t>Bacteria;Pseudomonadota;Betaproteobacteria;Burkholderiales;Comamonadaceae;Polaromonas;Polaromonas sp. CG_9.11;</t>
  </si>
  <si>
    <t>Polaromonas sp. CG_9.11</t>
  </si>
  <si>
    <t>Bacteria;Actinomycetota;Actinomycetes;Micrococcales;Microbacteriaceae;Salinibacterium;Salinibacterium sp. CAN_S4;</t>
  </si>
  <si>
    <t>Salinibacterium sp. CAN_S4</t>
  </si>
  <si>
    <t>Bacteria;Actinomycetota;Actinomycetes;Micrococcales;Microbacteriaceae;Mycetocola;Mycetocola sp. CAN_C7;</t>
  </si>
  <si>
    <t>Mycetocola sp. CAN_C7</t>
  </si>
  <si>
    <t>Bacteria;Actinomycetota;Actinomycetes;Micrococcales;Microbacteriaceae;Lacisediminihabitans;Lacisediminihabitans changchengi;</t>
  </si>
  <si>
    <t>Lacisediminihabitans changchengi</t>
  </si>
  <si>
    <t>Bacteria;Actinomycetota;Actinomycetes;Micrococcales;Microbacteriaceae;Lacisediminihabitans;Lacisediminihabitans sp.;</t>
  </si>
  <si>
    <t>Lacisediminihabitans sp.</t>
  </si>
  <si>
    <t>Bacteria;Pseudomonadota;Gammaproteobacteria;Enterobacterales;Yersiniaceae;Rahnella;Rahnella laticis;</t>
  </si>
  <si>
    <t>Rahnella laticis</t>
  </si>
  <si>
    <t>Bacteria;Bacillota;Clostridia;Eubacteriales;Clostridiaceae;Clostridium;Clostridium sp. 1001271B_151109_B4;</t>
  </si>
  <si>
    <t>Clostridium sp. 1001271B_151109_B4</t>
  </si>
  <si>
    <t>Bacteria;Bacillota;Clostridia;Eubacteriales;Clostridiaceae;Clostridium;Clostridium sp. D43t1_170807_H7;</t>
  </si>
  <si>
    <t>Clostridium sp. D43t1_170807_H7</t>
  </si>
  <si>
    <t>Bacteria;Bacillota;Clostridia;Eubacteriales;Clostridiaceae;Clostridium;Clostridium sp. 1001275B_160808_H3;</t>
  </si>
  <si>
    <t>Clostridium sp. 1001275B_160808_H3</t>
  </si>
  <si>
    <t>Bacteria;Bacillota;Clostridia;Peptostreptococcales;Peptostreptococcaceae;Romboutsia;Romboutsia sp. 1001713B170131_170501_G6;</t>
  </si>
  <si>
    <t>Romboutsia</t>
  </si>
  <si>
    <t>Romboutsia sp. 1001713B170131_170501_G6</t>
  </si>
  <si>
    <t>Bacteria;Bacillota;Clostridia;Eubacteriales;Clostridiaceae;Clostridium;Clostridium sp. D53t1_180928_C8;</t>
  </si>
  <si>
    <t>Clostridium sp. D53t1_180928_C8</t>
  </si>
  <si>
    <t>Bacteria;Pseudomonadota;Alphaproteobacteria;Rhodobacterales;Roseobacteraceae;Actibacterium;Actibacterium sp. 188UL27-1;</t>
  </si>
  <si>
    <t>Actibacterium</t>
  </si>
  <si>
    <t>Actibacterium sp. 188UL27-1</t>
  </si>
  <si>
    <t>Bacteria;Pseudomonadota;Alphaproteobacteria;Acetobacterales;Roseomonadaceae;Roseomonas;Roseomonas ponticola;</t>
  </si>
  <si>
    <t>Roseomonas ponticola</t>
  </si>
  <si>
    <t>Bacteria;Pseudomonadota;Alphaproteobacteria;Hyphomicrobiales;Methylocystaceae;Methylosinus;Methylosinus sp. H3A;</t>
  </si>
  <si>
    <t>Methylocystaceae</t>
  </si>
  <si>
    <t>Methylosinus</t>
  </si>
  <si>
    <t>Methylosinus sp. H3A</t>
  </si>
  <si>
    <t>Bacteria;Bacillota;Clostridia;Lachnospirales;Lachnospiraceae;Anaeromicropila;Anaeromicropila herbilytica;</t>
  </si>
  <si>
    <t>Anaeromicropila</t>
  </si>
  <si>
    <t>Anaeromicropila herbilytica</t>
  </si>
  <si>
    <t>Bacteria;Actinomycetota;Actinomycetes;Propionibacteriales;Nocardioidaceae;Nocardioides;Nocardioides acrostichi;</t>
  </si>
  <si>
    <t>Nocardioides acrostichi</t>
  </si>
  <si>
    <t>Bacteria;Actinomycetota;Actinomycetes;Micrococcales;Microbacteriaceae;Curtobacterium;Curtobacterium sp. VKM Ac-2887;</t>
  </si>
  <si>
    <t>Curtobacterium sp. VKM Ac-2887</t>
  </si>
  <si>
    <t>Bacteria;Bacteroidota;Flavobacteriia;Flavobacteriales;Flavobacteriaceae;Flavobacterium;Flavobacterium sp. JLP;</t>
  </si>
  <si>
    <t>Flavobacterium sp. JLP</t>
  </si>
  <si>
    <t>Bacteria;Pseudomonadota;Alphaproteobacteria;Hyphomicrobiales;Nitrobacteraceae;Bradyrhizobium;Bradyrhizobium sp. 199;</t>
  </si>
  <si>
    <t>Bradyrhizobium sp. 199</t>
  </si>
  <si>
    <t>Bacteria;Pseudomonadota;Alphaproteobacteria;Hyphomicrobiales;Nitrobacteraceae;Bradyrhizobium;Bradyrhizobium sp. 173;</t>
  </si>
  <si>
    <t>Bradyrhizobium sp. 173</t>
  </si>
  <si>
    <t>Bacteria;Pseudomonadota;Alphaproteobacteria;Hyphomicrobiales;Nitrobacteraceae;Bradyrhizobium;Bradyrhizobium sp. 149;</t>
  </si>
  <si>
    <t>Bradyrhizobium sp. 149</t>
  </si>
  <si>
    <t>Bacteria;Pseudomonadota;Alphaproteobacteria;Sphingomonadales;Sphingomonadaceae;Sphingobium;Sphingobium nicotianae;</t>
  </si>
  <si>
    <t>Sphingobium nicotianae</t>
  </si>
  <si>
    <t>Bacteria;Bacillota;Bacilli;Bacillales;Caryophanaceae;Planococcus;Planococcus beigongshangi;</t>
  </si>
  <si>
    <t>Planococcus</t>
  </si>
  <si>
    <t>Planococcus beigongshangi</t>
  </si>
  <si>
    <t>Bacteria;Pseudomonadota;Betaproteobacteria;Burkholderiales;Alcaligenaceae;Orrella;Orrella daihaiensis;</t>
  </si>
  <si>
    <t>Orrella</t>
  </si>
  <si>
    <t>Orrella daihaiensis</t>
  </si>
  <si>
    <t>Bacteria;Actinomycetota;Actinomycetes;Micrococcales;Microbacteriaceae;Microbacterium;Microbacterium cremeum;</t>
  </si>
  <si>
    <t>Microbacterium cremeum</t>
  </si>
  <si>
    <t>Bacteria;Actinomycetota;Actinomycetes;Micrococcales;Microbacteriaceae;Microbacterium;Microbacterium atlanticum;</t>
  </si>
  <si>
    <t>Microbacterium atlanticum</t>
  </si>
  <si>
    <t>Bacteria;Actinomycetota;Actinomycetes;Micrococcales;Microbacteriaceae;Agromyces;Agromyces archimandritae;</t>
  </si>
  <si>
    <t>Agromyces archimandritae</t>
  </si>
  <si>
    <t>Bacteria;Bacteroidota;Sphingobacteriia;Sphingobacteriales;Sphingobacteriaceae;Sphingobacterium;Sphingobacterium bovistauri;</t>
  </si>
  <si>
    <t>Sphingobacterium bovistauri</t>
  </si>
  <si>
    <t>Bacteria;Pseudomonadota;Betaproteobacteria;Burkholderiales;Comamonadaceae;Delftia;Delftia sp. SD083;</t>
  </si>
  <si>
    <t>Delftia sp. SD083</t>
  </si>
  <si>
    <t>Bacteria;Pseudomonadota;Betaproteobacteria;Nitrosomonadales;Methylophilaceae;Methylophilus;Methylophilus sp. 14;</t>
  </si>
  <si>
    <t>Methylophilaceae</t>
  </si>
  <si>
    <t>Methylophilus</t>
  </si>
  <si>
    <t>Methylophilus sp. 14</t>
  </si>
  <si>
    <t>Bacteria;Bacteroidota;Bacteroidia;Bacteroidales;Dysgonomonadaceae;Dysgonomonas;Dysgonomonas sp. GY75;</t>
  </si>
  <si>
    <t>Dysgonomonadaceae</t>
  </si>
  <si>
    <t>Dysgonomonas</t>
  </si>
  <si>
    <t>Dysgonomonas sp. GY75</t>
  </si>
  <si>
    <t>Bacteria;Bacteroidota;Sphingobacteriia;Sphingobacteriales;Sphingobacteriaceae;Pedobacter;Pedobacter sp. MC2016-24;</t>
  </si>
  <si>
    <t>Pedobacter sp. MC2016-24</t>
  </si>
  <si>
    <t>Bacteria;Bacteroidota;Sphingobacteriia;Sphingobacteriales;Sphingobacteriaceae;Pedobacter;Pedobacter sp. MR2016-19;</t>
  </si>
  <si>
    <t>Pedobacter sp. MR2016-19</t>
  </si>
  <si>
    <t>Bacteria;Pseudomonadota;Betaproteobacteria;Burkholderiales;Comamonadaceae;Ramlibacter;Ramlibacter pallidus;</t>
  </si>
  <si>
    <t>Ramlibacter pallidus</t>
  </si>
  <si>
    <t>Bacteria;Pseudomonadota;Gammaproteobacteria;Moraxellales;Moraxellaceae;Moraxella;Moraxella sp. K1664;</t>
  </si>
  <si>
    <t>Moraxella sp. K1664</t>
  </si>
  <si>
    <t>Bacteria;Pseudomonadota;Alphaproteobacteria;Sphingomonadales;Sphingomonadaceae;Novosphingobium;Novosphingobium sp. ES2-1;</t>
  </si>
  <si>
    <t>Novosphingobium sp. ES2-1</t>
  </si>
  <si>
    <t>Bacteria;Pseudomonadota;Betaproteobacteria;Burkholderiales;Alcaligenaceae;Verticiella;Verticiella sp. GG226;</t>
  </si>
  <si>
    <t>Verticiella</t>
  </si>
  <si>
    <t>Verticiella sp. GG226</t>
  </si>
  <si>
    <t>Bacteria;Bacillota;Clostridia;Eubacteriales;Clostridiaceae;Clostridium;Clostridium sp. 'deep sea';</t>
  </si>
  <si>
    <t>Clostridium sp. 'deep sea'</t>
  </si>
  <si>
    <t>Bacteria;Bacteroidota;Flavobacteriia;Flavobacteriales;Flavobacteriaceae;Flavobacterium;Flavobacterium sp. IB48;</t>
  </si>
  <si>
    <t>Flavobacterium sp. IB48</t>
  </si>
  <si>
    <t>Bacteria;Pseudomonadota;Betaproteobacteria;Burkholderiales;Comamonadaceae;Variovorax;Variovorax sp. IB41;</t>
  </si>
  <si>
    <t>Variovorax sp. IB41</t>
  </si>
  <si>
    <t>Bacteria;Chloroflexota;Chloroflexia;Chloroflexales;Roseiflexaceae;Kouleothrix;Kouleothrix sp.;</t>
  </si>
  <si>
    <t>Chloroflexota</t>
  </si>
  <si>
    <t>Chloroflexia</t>
  </si>
  <si>
    <t>Chloroflexales</t>
  </si>
  <si>
    <t>Roseiflexaceae</t>
  </si>
  <si>
    <t>Kouleothrix</t>
  </si>
  <si>
    <t>Kouleothrix sp.</t>
  </si>
  <si>
    <t>Bacteria;Bacteroidota;Sphingobacteriia;Sphingobacteriales;Sphingobacteriaceae;Mucilaginibacter;Mucilaginibacter sp. 21P;</t>
  </si>
  <si>
    <t>Mucilaginibacter sp. 21P</t>
  </si>
  <si>
    <t>Bacteria;Bacillota;Bacilli;Bacillales;Bacillaceae;Bacillus;Bacillus sp. 6YEL31;</t>
  </si>
  <si>
    <t>Bacillus sp. 6YEL31</t>
  </si>
  <si>
    <t>Bacteria;Pseudomonadota;Gammaproteobacteria;Aeromonadales;Aeromonadaceae;Aeromonas;Aeromonas sp. FDAARGOS 1408;</t>
  </si>
  <si>
    <t>Aeromonas sp. FDAARGOS 1408</t>
  </si>
  <si>
    <t>Bacteria;Pseudomonadota;Betaproteobacteria;Burkholderiales;Burkholderiaceae;Paraburkholderia;Paraburkholderia saeva;</t>
  </si>
  <si>
    <t>Paraburkholderia saeva</t>
  </si>
  <si>
    <t>Bacteria;Verrucomicrobiota;Verrucomicrobiia;Verrucomicrobiales;Verrucomicrobiaceae;Luteolibacter;Luteolibacter marinus;</t>
  </si>
  <si>
    <t>Luteolibacter marinus</t>
  </si>
  <si>
    <t>Bacteria;Pseudomonadota;Alphaproteobacteria;Hyphomicrobiales;Rhizobiaceae;Rhizobium;Rhizobium sp. TH2;</t>
  </si>
  <si>
    <t>Rhizobium sp. TH2</t>
  </si>
  <si>
    <t>Bacteria;Pseudomonadota;Gammaproteobacteria;Lysobacterales;Lysobacteraceae;Stenotrophomonas;Stenotrophomonas sp. CFBP 13724;</t>
  </si>
  <si>
    <t>Stenotrophomonas sp. CFBP 13724</t>
  </si>
  <si>
    <t>Bacteria;Pseudomonadota;Alphaproteobacteria;Hyphomicrobiales;Rhizobiaceae;Rhizobium;Rhizobium sp. CFBP 13726;</t>
  </si>
  <si>
    <t>Rhizobium sp. CFBP 13726</t>
  </si>
  <si>
    <t>Bacteria;Pseudomonadota;Alphaproteobacteria;Sphingomonadales;Sphingomonadaceae;Sphingomonas;Sphingomonas sp. CFBP 13728;</t>
  </si>
  <si>
    <t>Sphingomonas sp. CFBP 13728</t>
  </si>
  <si>
    <t>Bacteria;Pseudomonadota;Alphaproteobacteria;Hyphomicrobiales;Rhizobiaceae;Rhizobium;Rhizobium sp. CFBP 8762;</t>
  </si>
  <si>
    <t>Rhizobium sp. CFBP 8762</t>
  </si>
  <si>
    <t>Bacteria;Actinomycetota;Actinomycetes;Propionibacteriales;Propionibacteriaceae;Propioniciclava;Propioniciclava soli;</t>
  </si>
  <si>
    <t>Propioniciclava</t>
  </si>
  <si>
    <t>Propioniciclava soli</t>
  </si>
  <si>
    <t>Bacteria;Pseudomonadota;Alphaproteobacteria;Rhodospirillales;Kiloniellaceae;Aestuariispira;Aestuariispira ectoiniformans;</t>
  </si>
  <si>
    <t>Kiloniellaceae</t>
  </si>
  <si>
    <t>Aestuariispira</t>
  </si>
  <si>
    <t>Aestuariispira ectoiniformans</t>
  </si>
  <si>
    <t>Bacteria;Pseudomonadota;Betaproteobacteria;Burkholderiales;Comamonadaceae;Variovorax;Variovorax sp. 38R;</t>
  </si>
  <si>
    <t>Variovorax sp. 38R</t>
  </si>
  <si>
    <t>Bacteria;Deinococcota;Deinococci;Deinococcales;Deinococcaceae;Deinococcus;Deinococcus aestuarii;</t>
  </si>
  <si>
    <t>Deinococcota</t>
  </si>
  <si>
    <t>Deinococci</t>
  </si>
  <si>
    <t>Deinococcales</t>
  </si>
  <si>
    <t>Deinococcaceae</t>
  </si>
  <si>
    <t>Deinococcus</t>
  </si>
  <si>
    <t>Deinococcus aestuarii</t>
  </si>
  <si>
    <t>Bacteria;Pseudomonadota;Alphaproteobacteria;Caulobacterales;Caulobacteraceae;Brevundimonas;Brevundimonas goettingensis;</t>
  </si>
  <si>
    <t>Brevundimonas goettingensis</t>
  </si>
  <si>
    <t>Bacteria;Pseudomonadota;Alphaproteobacteria;Caulobacterales;Caulobacteraceae;Brevundimonas;Brevundimonas pondensis;</t>
  </si>
  <si>
    <t>Brevundimonas pondensis</t>
  </si>
  <si>
    <t>Bacteria;Actinomycetota;Actinomycetes;Micrococcales;Cellulomonadaceae;Cellulomonas;Cellulomonas sp. JH27-2;</t>
  </si>
  <si>
    <t>Cellulomonas sp. JH27-2</t>
  </si>
  <si>
    <t>Bacteria;Actinomycetota;Actinomycetes;Propionibacteriales;Nocardioidaceae;Nocardioides;Nocardioides donggukensis;</t>
  </si>
  <si>
    <t>Nocardioides donggukensis</t>
  </si>
  <si>
    <t>Bacteria;Verrucomicrobiota;Opitutia;Puniceicoccales;Pelagicoccaceae;Pelagicoccus;Pelagicoccus enzymogenes;</t>
  </si>
  <si>
    <t>Pelagicoccaceae</t>
  </si>
  <si>
    <t>Pelagicoccus</t>
  </si>
  <si>
    <t>Pelagicoccus enzymogenes</t>
  </si>
  <si>
    <t>Bacteria;Pseudomonadota;Alphaproteobacteria;Hyphomicrobiales;Boseaceae;Bosea;Bosea spartocytisi;</t>
  </si>
  <si>
    <t>Bosea spartocytisi</t>
  </si>
  <si>
    <t>Bacteria;Bacteroidota;Cytophagia;Cytophagales;Spirosomataceae;Dyadobacter;Dyadobacter subterraneus;</t>
  </si>
  <si>
    <t>Dyadobacter subterraneus</t>
  </si>
  <si>
    <t>Bacteria;Pseudomonadota;Gammaproteobacteria;Pseudomonadales;Pseudomonadaceae;Pseudomonas;Pseudomonas paralcaligenes;</t>
  </si>
  <si>
    <t>Pseudomonas paralcaligenes</t>
  </si>
  <si>
    <t>Bacteria;Thermodesulfobacteriota;Desulfobulbia;Desulfobulbales;Desulfobulbaceae;Desulfomarina;Desulfomarina profundi;</t>
  </si>
  <si>
    <t>Desulfobulbia</t>
  </si>
  <si>
    <t>Desulfobulbales</t>
  </si>
  <si>
    <t>Desulfobulbaceae</t>
  </si>
  <si>
    <t>Desulfomarina</t>
  </si>
  <si>
    <t>Desulfomarina profundi</t>
  </si>
  <si>
    <t>Bacteria;Bacteroidota;Cytophagia;Cytophagales;Cyclobacteriaceae;Algoriphagus;Algoriphagus sp. Y33;</t>
  </si>
  <si>
    <t>Algoriphagus sp. Y33</t>
  </si>
  <si>
    <t>Bacteria;Bacillota;Negativicutes;Selenomonadales;Sporomusaceae;Pelorhabdus;Pelorhabdus rhamnosifermentans;</t>
  </si>
  <si>
    <t>Pelorhabdus</t>
  </si>
  <si>
    <t>Pelorhabdus rhamnosifermentans</t>
  </si>
  <si>
    <t>Bacteria;Pseudomonadota;Betaproteobacteria;Burkholderiales;Sphaerotilaceae;Rubrivivax;Rubrivivax sp. A210;</t>
  </si>
  <si>
    <t>Rubrivivax</t>
  </si>
  <si>
    <t>Rubrivivax sp. A210</t>
  </si>
  <si>
    <t>Bacteria;Bacteroidota;Sphingobacteriia;Sphingobacteriales;Sphingobacteriaceae;Mucilaginibacter;Mucilaginibacter pankratovii;</t>
  </si>
  <si>
    <t>Mucilaginibacter pankratovii</t>
  </si>
  <si>
    <t>Bacteria;Bacteroidota;Sphingobacteriia;Sphingobacteriales;Sphingobacteriaceae;Mucilaginibacter;Mucilaginibacter glaciei;</t>
  </si>
  <si>
    <t>Mucilaginibacter glaciei</t>
  </si>
  <si>
    <t>Bacteria;Bacillota;Bacilli;Bacillales;Bacillaceae;Metabacillus;Metabacillus arenae;</t>
  </si>
  <si>
    <t>Metabacillus arenae</t>
  </si>
  <si>
    <t>Bacteria;Bacteroidota;Flavobacteriia;Flavobacteriales;Weeksellaceae;Chryseobacterium;Chryseobacterium caseinilyticum;</t>
  </si>
  <si>
    <t>Chryseobacterium caseinilyticum</t>
  </si>
  <si>
    <t>Bacteria;Pseudomonadota;Betaproteobacteria;Burkholderiales;Comamonadaceae;Limnohabitans;Limnohabitans radicicola;</t>
  </si>
  <si>
    <t>Limnohabitans radicicola</t>
  </si>
  <si>
    <t>Bacteria;Pseudomonadota;Gammaproteobacteria;Lysobacterales;Lysobacteraceae;Stenotrophomonas;Stenotrophomonas cyclobalanopsidis;</t>
  </si>
  <si>
    <t>Stenotrophomonas cyclobalanopsidis</t>
  </si>
  <si>
    <t>Bacteria;Pseudomonadota;Alphaproteobacteria;Acetobacterales;Roseomonadaceae;Roseococcus;Roseococcus microcysteis;</t>
  </si>
  <si>
    <t>Roseococcus microcysteis</t>
  </si>
  <si>
    <t>Bacteria;Cyanobacteriota;Cyanophyceae;Chroococcales;Microcystaceae;Microcystis;Microcystis sp. M043S1;</t>
  </si>
  <si>
    <t>Chroococcales</t>
  </si>
  <si>
    <t>Microcystaceae</t>
  </si>
  <si>
    <t>Microcystis</t>
  </si>
  <si>
    <t>Microcystis sp. M043S1</t>
  </si>
  <si>
    <t>Bacteria;Pseudomonadota;Alphaproteobacteria;Rhodobacterales;Paracoccaceae;Mangrovicoccus;Mangrovicoccus algicola;</t>
  </si>
  <si>
    <t>Mangrovicoccus</t>
  </si>
  <si>
    <t>Mangrovicoccus algicola</t>
  </si>
  <si>
    <t>Bacteria;Bacillota;Bacilli;Bacillales;Paenibacillaceae;Paenibacillus;Paenibacillus sedimenti;</t>
  </si>
  <si>
    <t>Paenibacillus sedimenti</t>
  </si>
  <si>
    <t>Bacteria;Bacillota;Clostridia;Eubacteriales;Clostridiaceae;Clostridium;Clostridium prolinivorans;</t>
  </si>
  <si>
    <t>Clostridium prolinivorans</t>
  </si>
  <si>
    <t>Bacteria;Pseudomonadota;Gammaproteobacteria;Enterobacterales;Erwiniaceae;Erwinia;Erwinia sp. S43;</t>
  </si>
  <si>
    <t>Erwinia sp. S43</t>
  </si>
  <si>
    <t>Bacteria;Pseudomonadota;Betaproteobacteria;Burkholderiales;Comamonadaceae;Acidovorax;Acidovorax sp. ACV02;</t>
  </si>
  <si>
    <t>Acidovorax sp. ACV02</t>
  </si>
  <si>
    <t>Bacteria;Pseudomonadota;Gammaproteobacteria;Pseudomonadales;Pseudomonadaceae;Pseudomonas;Pseudomonas sp. PDM15;</t>
  </si>
  <si>
    <t>Pseudomonas sp. PDM15</t>
  </si>
  <si>
    <t>Bacteria;Pseudomonadota;Gammaproteobacteria;Lysobacterales;Lysobacteraceae;Pseudoxanthomonas;Pseudoxanthomonas sp. PXM01;</t>
  </si>
  <si>
    <t>Pseudoxanthomonas</t>
  </si>
  <si>
    <t>Pseudoxanthomonas sp. PXM01</t>
  </si>
  <si>
    <t>Bacteria;Pseudomonadota;Gammaproteobacteria;Pseudomonadales;Pseudomonadaceae;Pseudomonas;Pseudomonas sp. PDM16;</t>
  </si>
  <si>
    <t>Pseudomonas sp. PDM16</t>
  </si>
  <si>
    <t>Bacteria;Pseudomonadota;Alphaproteobacteria;Hyphomicrobiales;Rhizobiaceae;Ensifer;Ensifer sp. ENS11;</t>
  </si>
  <si>
    <t>Ensifer sp. ENS11</t>
  </si>
  <si>
    <t>Bacteria;Pseudomonadota;Gammaproteobacteria;Lysobacterales;Lysobacteraceae;Xanthomonas;Xanthomonas sp. XNM01;</t>
  </si>
  <si>
    <t>Xanthomonas sp. XNM01</t>
  </si>
  <si>
    <t>Bacteria;Pseudomonadota;Gammaproteobacteria;Pseudomonadales;Pseudomonadaceae;Pseudomonas;Pseudomonas sp. PDM14;</t>
  </si>
  <si>
    <t>Pseudomonas sp. PDM14</t>
  </si>
  <si>
    <t>Bacteria;Pseudomonadota;Betaproteobacteria;Burkholderiales;Comamonadaceae;Delftia;Delftia sp. DLF01;</t>
  </si>
  <si>
    <t>Delftia sp. DLF01</t>
  </si>
  <si>
    <t>Bacteria;Pseudomonadota;Alphaproteobacteria;Hyphomicrobiales;Rhizobiaceae;Ensifer;Ensifer sp. ENS08;</t>
  </si>
  <si>
    <t>Ensifer sp. ENS08</t>
  </si>
  <si>
    <t>Bacteria;Pseudomonadota;Alphaproteobacteria;Hyphomicrobiales;Rhizobiaceae;Ensifer;Ensifer sp. ENS09;</t>
  </si>
  <si>
    <t>Ensifer sp. ENS09</t>
  </si>
  <si>
    <t>Bacteria;Pseudomonadota;Gammaproteobacteria;Pseudomonadales;Pseudomonadaceae;Pseudomonas;Pseudomonas sp. PDM13;</t>
  </si>
  <si>
    <t>Pseudomonas sp. PDM13</t>
  </si>
  <si>
    <t>Bacteria;Actinomycetota;Actinomycetes;Micrococcales;Microbacteriaceae;Microbacterium;Microbacterium sp. SLBN-146;</t>
  </si>
  <si>
    <t>Microbacterium sp. SLBN-146</t>
  </si>
  <si>
    <t>Bacteria;Bacillota;Clostridia;Eubacteriales;Clostridiaceae;Clostridium;Clostridium sp. 19966;</t>
  </si>
  <si>
    <t>Clostridium sp. 19966</t>
  </si>
  <si>
    <t>Bacteria;Pseudomonadota;Alphaproteobacteria;Acetobacterales;Roseomonadaceae;Roseomonas;Roseomonas haemaphysalidis;</t>
  </si>
  <si>
    <t>Roseomonas haemaphysalidis</t>
  </si>
  <si>
    <t>Bacteria;Pseudomonadota;Alphaproteobacteria;Acetobacterales;Roseomonadaceae;Roseomonas;Roseomonas marmotae;</t>
  </si>
  <si>
    <t>Roseomonas marmotae</t>
  </si>
  <si>
    <t>Bacteria;Cyanobacteriota;Cyanophyceae;Leptolyngbyales;Leptolyngbyaceae;Leptolyngbya;Leptolyngbya sp. CCY15150;</t>
  </si>
  <si>
    <t>Leptolyngbya</t>
  </si>
  <si>
    <t>Leptolyngbya sp. CCY15150</t>
  </si>
  <si>
    <t>Bacteria;Pseudomonadota;Betaproteobacteria;Burkholderiales;Burkholderiaceae;Trinickia;Trinickia acidisoli;</t>
  </si>
  <si>
    <t>Trinickia acidisoli</t>
  </si>
  <si>
    <t>Bacteria;Pseudomonadota;Gammaproteobacteria;Lysobacterales;Lysobacteraceae;Stenotrophomonas;Stenotrophomonas sp. S41;</t>
  </si>
  <si>
    <t>Stenotrophomonas sp. S41</t>
  </si>
  <si>
    <t>Bacteria;Pseudomonadota;Betaproteobacteria;Burkholderiales;Comamonadaceae;Delftia;Delftia sp. S66;</t>
  </si>
  <si>
    <t>Delftia sp. S66</t>
  </si>
  <si>
    <t>Bacteria;Pseudomonadota;Betaproteobacteria;Burkholderiales;Comamonadaceae;Delftia;Delftia sp. PS-11;</t>
  </si>
  <si>
    <t>Delftia sp. PS-11</t>
  </si>
  <si>
    <t>Bacteria;Bacteroidota;Sphingobacteriia;Sphingobacteriales;Sphingobacteriaceae;Pedobacter;Pedobacter riviphilus;</t>
  </si>
  <si>
    <t>Pedobacter riviphilus</t>
  </si>
  <si>
    <t>Bacteria;Bacillota;Clostridia;Eubacteriales;Oscillospiraceae;Caproicibacterium;Caproicibacterium amylolyticum;</t>
  </si>
  <si>
    <t>Caproicibacterium</t>
  </si>
  <si>
    <t>Caproicibacterium amylolyticum</t>
  </si>
  <si>
    <t>Bacteria;Pseudomonadota;Betaproteobacteria;Burkholderiales;Oxalobacteraceae;Oxalicibacterium;Oxalicibacterium sp.;</t>
  </si>
  <si>
    <t>Oxalicibacterium</t>
  </si>
  <si>
    <t>Oxalicibacterium sp.</t>
  </si>
  <si>
    <t>Bacteria;Bacteroidota;Flavobacteriia;Flavobacteriales;Crocinitomicaceae;Taishania;Taishania pollutisoli;</t>
  </si>
  <si>
    <t>Crocinitomicaceae</t>
  </si>
  <si>
    <t>Taishania</t>
  </si>
  <si>
    <t>Taishania pollutisoli</t>
  </si>
  <si>
    <t>Bacteria;Pseudomonadota;Alphaproteobacteria;Hyphomicrobiales;Pleomorphomonadaceae;Oryzibacter;Oryzibacter oryziterrae;</t>
  </si>
  <si>
    <t>Pleomorphomonadaceae</t>
  </si>
  <si>
    <t>Oryzibacter</t>
  </si>
  <si>
    <t>Oryzibacter oryziterrae</t>
  </si>
  <si>
    <t>Bacteria;Pseudomonadota;Alphaproteobacteria;Acetobacterales;Roseomonadaceae;Falsiroseomonas;Falsiroseomonas oryzae;</t>
  </si>
  <si>
    <t>Falsiroseomonas oryzae</t>
  </si>
  <si>
    <t>Bacteria;Bacteroidota;Sphingobacteriia;Sphingobacteriales;Sphingobacteriaceae;Pedobacter;Pedobacter fastidiosus;</t>
  </si>
  <si>
    <t>Pedobacter fastidiosus</t>
  </si>
  <si>
    <t>Bacteria;Pseudomonadota;Betaproteobacteria;Burkholderiales;Oxalobacteraceae;Massilia;Massilia antarctica;</t>
  </si>
  <si>
    <t>Massilia antarctica</t>
  </si>
  <si>
    <t>Bacteria;Bacteroidota;Sphingobacteriia;Sphingobacteriales;Sphingobacteriaceae;Olivibacter;Olivibacter sp. SDN3;</t>
  </si>
  <si>
    <t>Olivibacter sp. SDN3</t>
  </si>
  <si>
    <t>Bacteria;Bacteroidota;Flavobacteriia;Flavobacteriales;Flavobacteriaceae;Flavobacterium;Flavobacterium muglaense;</t>
  </si>
  <si>
    <t>Flavobacterium muglaense</t>
  </si>
  <si>
    <t>Bacteria;Bacillota;Clostridia;Peptostreptococcales;Peptostreptococcaceae;Romboutsia;Romboutsia faecis;</t>
  </si>
  <si>
    <t>Romboutsia faecis</t>
  </si>
  <si>
    <t>Bacteria;Bacillota;Clostridia;Peptostreptococcales;Peptostreptococcaceae;Paeniclostridium;Paeniclostridium hominis;</t>
  </si>
  <si>
    <t>Paeniclostridium</t>
  </si>
  <si>
    <t>Paeniclostridium hominis</t>
  </si>
  <si>
    <t>Bacteria;Bacillota;Tissierellia;Tissierellales;Tissierellaceae;Paratissierella;Paratissierella segnis;</t>
  </si>
  <si>
    <t>Paratissierella</t>
  </si>
  <si>
    <t>Paratissierella segnis</t>
  </si>
  <si>
    <t>Bacteria;Bacillota;Clostridia;Lachnospirales;Lachnospiraceae;Wansuia;Wansuia hejianensis;</t>
  </si>
  <si>
    <t>Wansuia</t>
  </si>
  <si>
    <t>Wansuia hejianensis</t>
  </si>
  <si>
    <t>Bacteria;Bacillota;Clostridia;Eubacteriales;Bianqueaceae;Bianquea;Bianquea renquensis;</t>
  </si>
  <si>
    <t>Bianqueaceae</t>
  </si>
  <si>
    <t>Bianquea</t>
  </si>
  <si>
    <t>Bianquea renquensis</t>
  </si>
  <si>
    <t>Bacteria;Pseudomonadota;Alphaproteobacteria;Caulobacterales;Caulobacteraceae;Caulobacter;Caulobacter sp. 17J80-11;</t>
  </si>
  <si>
    <t>Caulobacter sp. 17J80-11</t>
  </si>
  <si>
    <t>Bacteria;Bacillota;Clostridia;Eubacteriales;Clostridiaceae;Clostridium;Clostridium hominis;</t>
  </si>
  <si>
    <t>Clostridium hominis</t>
  </si>
  <si>
    <t>Bacteria;Actinomycetota;Actinomycetes;Kineosporiales;Kineosporiaceae;Quadrisphaera;Quadrisphaera sp. RL12-1S;</t>
  </si>
  <si>
    <t>Quadrisphaera sp. RL12-1S</t>
  </si>
  <si>
    <t>Bacteria;Pseudomonadota;Alphaproteobacteria;Sphingomonadales;Sphingomonadaceae;Sphingosinithalassobacter;Sphingosinithalassobacter sp. CS137;</t>
  </si>
  <si>
    <t>Sphingosinithalassobacter</t>
  </si>
  <si>
    <t>Sphingosinithalassobacter sp. CS137</t>
  </si>
  <si>
    <t>Bacteria;Pseudomonadota;Gammaproteobacteria;Pseudomonadales;Pseudomonadaceae;Pseudomonas;Pseudomonas carbonaria;</t>
  </si>
  <si>
    <t>Pseudomonas carbonaria</t>
  </si>
  <si>
    <t>Bacteria;Pseudomonadota;Gammaproteobacteria;Pseudomonadales;Pseudomonadaceae;Pseudomonas;Pseudomonas baltica;</t>
  </si>
  <si>
    <t>Pseudomonas baltica</t>
  </si>
  <si>
    <t>Bacteria;Pseudomonadota;Betaproteobacteria;Burkholderiales;Comamonadaceae;Variovorax;Variovorax sp. PAMC28562;</t>
  </si>
  <si>
    <t>Variovorax sp. PAMC28562</t>
  </si>
  <si>
    <t>Bacteria;Pseudomonadota;Betaproteobacteria;Burkholderiales;Comamonadaceae;Variovorax;Variovorax sp. PAMC26660;</t>
  </si>
  <si>
    <t>Variovorax sp. PAMC26660</t>
  </si>
  <si>
    <t>Bacteria;Pseudomonadota;Betaproteobacteria;Burkholderiales;Oxalobacteraceae;Undibacterium;Undibacterium curvum;</t>
  </si>
  <si>
    <t>Undibacterium</t>
  </si>
  <si>
    <t>Undibacterium curvum</t>
  </si>
  <si>
    <t>Bacteria;Bacillota;Clostridia;Eubacteriales;Clostridiaceae;Clostridium;Clostridium gallinarum;</t>
  </si>
  <si>
    <t>Clostridium gallinarum</t>
  </si>
  <si>
    <t>Bacteria;Bacillota;Clostridia;Eubacteriales;Clostridiaceae;Clostridium;Clostridium faecium;</t>
  </si>
  <si>
    <t>Clostridium faecium</t>
  </si>
  <si>
    <t>Bacteria;Actinomycetota;Actinomycetes;Mycobacteriales;Mycobacteriaceae;Mycolicibacterium;Mycolicibacterium baixiangningiae;</t>
  </si>
  <si>
    <t>Mycolicibacterium baixiangningiae</t>
  </si>
  <si>
    <t>Bacteria;Pseudomonadota;Alphaproteobacteria;Hyphomicrobiales;Rhizobiaceae;Rhizobium;Rhizobium sp. AQ_MP;</t>
  </si>
  <si>
    <t>Rhizobium sp. AQ_MP</t>
  </si>
  <si>
    <t>Bacteria;Pseudomonadota;Gammaproteobacteria;Lysobacterales;Lysobacteraceae;Stenotrophomonas;Stenotrophomonas lacuserhaii;</t>
  </si>
  <si>
    <t>Stenotrophomonas lacuserhaii</t>
  </si>
  <si>
    <t>Bacteria;Actinomycetota;Actinomycetes;Micrococcales;Microbacteriaceae;Protaetiibacter;Protaetiibacter sp. SSC-01;</t>
  </si>
  <si>
    <t>Protaetiibacter sp. SSC-01</t>
  </si>
  <si>
    <t>Bacteria;Pseudomonadota;Alphaproteobacteria;Sphingomonadales;Sphingomonadaceae;Sphingomonas;Sphingomonas aliaeris;</t>
  </si>
  <si>
    <t>Sphingomonas aliaeris</t>
  </si>
  <si>
    <t>Bacteria;Pseudomonadota;Gammaproteobacteria;Pseudomonadales;Pseudomonadaceae;Aquipseudomonas;Aquipseudomonas ullengensis;</t>
  </si>
  <si>
    <t>Aquipseudomonas</t>
  </si>
  <si>
    <t>Aquipseudomonas ullengensis</t>
  </si>
  <si>
    <t>Bacteria;Pseudomonadota;Gammaproteobacteria;Pseudomonadales;Pseudomonadaceae;Aquipseudomonas;Aquipseudomonas guryensis;</t>
  </si>
  <si>
    <t>Aquipseudomonas guryensis</t>
  </si>
  <si>
    <t>Bacteria;Bacillota;Clostridia;Eubacteriales;Clostridiaceae;Clostridium;Clostridium zeae;</t>
  </si>
  <si>
    <t>Clostridium zeae</t>
  </si>
  <si>
    <t>Bacteria;Pseudomonadota;Gammaproteobacteria;Pseudomonadales;Pseudomonadaceae;Pseudomonas;Pseudomonas chaetocerotis;</t>
  </si>
  <si>
    <t>Pseudomonas chaetocerotis</t>
  </si>
  <si>
    <t>Bacteria;Actinomycetota;Actinomycetes;Propionibacteriales;Nocardioidaceae;Nocardioides;Nocardioides sp. OK12;</t>
  </si>
  <si>
    <t>Nocardioides sp. OK12</t>
  </si>
  <si>
    <t>Bacteria;Pseudomonadota;Gammaproteobacteria;Enterobacterales;Enterobacteriaceae;Klebsiella;Klebsiella sp. Kps;</t>
  </si>
  <si>
    <t>Klebsiella</t>
  </si>
  <si>
    <t>Klebsiella sp. Kps</t>
  </si>
  <si>
    <t>Bacteria;Pseudomonadota;Betaproteobacteria;Burkholderiales;Oxalobacteraceae;Rugamonas;Rugamonas apoptosis;</t>
  </si>
  <si>
    <t>Rugamonas apoptosis</t>
  </si>
  <si>
    <t>Bacteria;Pseudomonadota;Alphaproteobacteria;Hyphomicrobiales;Rhizobiaceae;Rhizobium;Rhizobium sp. G21;</t>
  </si>
  <si>
    <t>Rhizobium sp. G21</t>
  </si>
  <si>
    <t>Bacteria;Bacteroidota;Flavobacteriia;Flavobacteriales;Weeksellaceae;Chryseobacterium;Chryseobacterium sp. Marseille-Q3244;</t>
  </si>
  <si>
    <t>Chryseobacterium sp. Marseille-Q3244</t>
  </si>
  <si>
    <t>Bacteria;Bacteroidota;Cytophagia;Cytophagales;Leadbetterellaceae;Emticicia;Emticicia sp. BO119;</t>
  </si>
  <si>
    <t>Emticicia sp. BO119</t>
  </si>
  <si>
    <t>Bacteria;Actinomycetota;Actinomycetes;Propionibacteriales;Nocardioidaceae;Nocardioides;Nocardioides stalactiti;</t>
  </si>
  <si>
    <t>Nocardioides stalactiti</t>
  </si>
  <si>
    <t>Bacteria;Bacillota;Clostridia;Lachnospirales;Lachnospiraceae;Variimorphobacter;Variimorphobacter saccharofermentans;</t>
  </si>
  <si>
    <t>Variimorphobacter</t>
  </si>
  <si>
    <t>Variimorphobacter saccharofermentans</t>
  </si>
  <si>
    <t>Bacteria;Pseudomonadota;Betaproteobacteria;Burkholderiales;Alcaligenaceae;Mesopusillimonas;Mesopusillimonas faecipullorum;</t>
  </si>
  <si>
    <t>Mesopusillimonas</t>
  </si>
  <si>
    <t>Mesopusillimonas faecipullorum</t>
  </si>
  <si>
    <t>Bacteria;Bacteroidota;Flavobacteriia;Flavobacteriales;Weeksellaceae;Chryseobacterium;Chryseobacterium manosquense;</t>
  </si>
  <si>
    <t>Chryseobacterium manosquense</t>
  </si>
  <si>
    <t>Bacteria;Pseudomonadota;Alphaproteobacteria;Caulobacterales;Caulobacteraceae;Brevundimonas;Brevundimonas sp. AJA228-03;</t>
  </si>
  <si>
    <t>Brevundimonas sp. AJA228-03</t>
  </si>
  <si>
    <t>Bacteria;Pseudomonadota;Betaproteobacteria;Burkholderiales;Comamonadaceae;Rhodoferax;Rhodoferax sp. AJA081-3;</t>
  </si>
  <si>
    <t>Rhodoferax sp. AJA081-3</t>
  </si>
  <si>
    <t>Bacteria;Actinomycetota;Acidimicrobiia;Acidimicrobiales;Iamiaceae;Rhabdothermincola;Rhabdothermincola sediminis;</t>
  </si>
  <si>
    <t>Rhabdothermincola sediminis</t>
  </si>
  <si>
    <t>Bacteria;Bacillota;Bacilli;Bacillales;NA;Exiguobacterium;Exiguobacterium sp. s63;</t>
  </si>
  <si>
    <t>Exiguobacterium sp. s63</t>
  </si>
  <si>
    <t>Bacteria;Bacillota;Bacilli;Bacillales;NA;Exiguobacterium;Exiguobacterium sp. s189;</t>
  </si>
  <si>
    <t>Exiguobacterium sp. s189</t>
  </si>
  <si>
    <t>Bacteria;Bacillota;Bacilli;Bacillales;NA;Exiguobacterium;Exiguobacterium sp. s183;</t>
  </si>
  <si>
    <t>Exiguobacterium sp. s183</t>
  </si>
  <si>
    <t>Bacteria;Bacillota;Bacilli;Bacillales;NA;Exiguobacterium;Exiguobacterium qingdaonense;</t>
  </si>
  <si>
    <t>Exiguobacterium qingdaonense</t>
  </si>
  <si>
    <t>Bacteria;Bacillota;Bacilli;Bacillales;NA;Exiguobacterium;Exiguobacterium algae;</t>
  </si>
  <si>
    <t>Exiguobacterium algae</t>
  </si>
  <si>
    <t>Bacteria;Bacillota;Bacilli;Bacillales;NA;Exiguobacterium;Exiguobacterium sp. s127;</t>
  </si>
  <si>
    <t>Exiguobacterium sp. s127</t>
  </si>
  <si>
    <t>Bacteria;Bacillota;Bacilli;Bacillales;NA;Exiguobacterium;Exiguobacterium sp. s80;</t>
  </si>
  <si>
    <t>Exiguobacterium sp. s80</t>
  </si>
  <si>
    <t>Bacteria;Bacillota;Bacilli;Bacillales;NA;Exiguobacterium;Exiguobacterium sp. H66;</t>
  </si>
  <si>
    <t>Exiguobacterium sp. H66</t>
  </si>
  <si>
    <t>Bacteria;Bacillota;Bacilli;Bacillales;NA;Exiguobacterium;Exiguobacterium sp. s193;</t>
  </si>
  <si>
    <t>Exiguobacterium sp. s193</t>
  </si>
  <si>
    <t>Bacteria;Bacillota;Bacilli;Bacillales;NA;Exiguobacterium;Exiguobacterium sp. s192;</t>
  </si>
  <si>
    <t>Exiguobacterium sp. s192</t>
  </si>
  <si>
    <t>Bacteria;Bacillota;Bacilli;Bacillales;NA;Exiguobacterium;Exiguobacterium sp. s168;</t>
  </si>
  <si>
    <t>Exiguobacterium sp. s168</t>
  </si>
  <si>
    <t>Bacteria;Pseudomonadota;Alphaproteobacteria;Sphingomonadales;Sphingomonadaceae;Sphingomonas;Sphingomonas sp. R-74633;</t>
  </si>
  <si>
    <t>Sphingomonas sp. R-74633</t>
  </si>
  <si>
    <t>Bacteria;Bdellovibrionota;Bdellovibrionia;Bdellovibrionales;Pseudobdellovibrionaceae;Bdellovibrio;Bdellovibrio sp. KM01;</t>
  </si>
  <si>
    <t>Bdellovibrio sp. KM01</t>
  </si>
  <si>
    <t>Bacteria;Pseudomonadota;Alphaproteobacteria;Acetobacterales;Roseomonadaceae;Roseomonas;Roseomonas rosulenta;</t>
  </si>
  <si>
    <t>Roseomonas rosulenta</t>
  </si>
  <si>
    <t>Bacteria;Pseudomonadota;Alphaproteobacteria;Acetobacterales;Roseomonadaceae;Roseomonas;Roseomonas rubea;</t>
  </si>
  <si>
    <t>Roseomonas rubea</t>
  </si>
  <si>
    <t>Bacteria;Bacteroidota;Flavobacteriia;Flavobacteriales;Flavobacteriaceae;Flavobacterium;Flavobacterium inviolabile;</t>
  </si>
  <si>
    <t>Flavobacterium inviolabile</t>
  </si>
  <si>
    <t>Bacteria;Verrucomicrobiota;Verrucomicrobiia;Verrucomicrobiales;Verrucomicrobiaceae;Oceaniferula;Oceaniferula marina;</t>
  </si>
  <si>
    <t>Oceaniferula</t>
  </si>
  <si>
    <t>Oceaniferula marina</t>
  </si>
  <si>
    <t>Bacteria;Pseudomonadota;Alphaproteobacteria;Rhodobacterales;Paracoccaceae;Pikeienuella;Pikeienuella piscinae;</t>
  </si>
  <si>
    <t>Pikeienuella</t>
  </si>
  <si>
    <t>Pikeienuella piscinae</t>
  </si>
  <si>
    <t>Bacteria;Pseudomonadota;Alphaproteobacteria;Hyphomicrobiales;Rhizobiaceae;Rhizobium;Rhizobium sp. RM;</t>
  </si>
  <si>
    <t>Rhizobium sp. RM</t>
  </si>
  <si>
    <t>Bacteria;Actinomycetota;Actinomycetes;Kitasatosporales;Streptomycetaceae;Streptomyces;Streptomyces caniscabiei;</t>
  </si>
  <si>
    <t>Streptomyces caniscabiei</t>
  </si>
  <si>
    <t>Bacteria;Actinomycetota;Actinomycetes;Micrococcales;Microbacteriaceae;Microbacterium;Microbacterium sp. UFMG61;</t>
  </si>
  <si>
    <t>Microbacterium sp. UFMG61</t>
  </si>
  <si>
    <t>Bacteria;Bacillota;Bacilli;Bacillales;Bacillaceae;Fictibacillus;Fictibacillus sp. 23RED33;</t>
  </si>
  <si>
    <t>Fictibacillus sp. 23RED33</t>
  </si>
  <si>
    <t>Bacteria;Bacillota;Bacilli;Bacillales;Bacillaceae;Fictibacillus;Fictibacillus sp. 5RED26;</t>
  </si>
  <si>
    <t>Fictibacillus sp. 5RED26</t>
  </si>
  <si>
    <t>Bacteria;Pseudomonadota;Gammaproteobacteria;Pseudomonadales;Pseudomonadaceae;Pseudomonas;Pseudomonas tritici;</t>
  </si>
  <si>
    <t>Pseudomonas tritici</t>
  </si>
  <si>
    <t>Bacteria;Pseudomonadota;Gammaproteobacteria;Pseudomonadales;Pseudomonadaceae;Pseudomonas;Pseudomonas monsensis;</t>
  </si>
  <si>
    <t>Pseudomonas monsensis</t>
  </si>
  <si>
    <t>Bacteria;Pseudomonadota;Gammaproteobacteria;Pseudomonadales;Pseudomonadaceae;Pseudomonas;Pseudomonas urmiensis;</t>
  </si>
  <si>
    <t>Pseudomonas urmiensis</t>
  </si>
  <si>
    <t>Bacteria;Pseudomonadota;Gammaproteobacteria;Pseudomonadales;Pseudomonadaceae;Pseudomonas;Pseudomonas sp. BW16M2;</t>
  </si>
  <si>
    <t>Pseudomonas sp. BW16M2</t>
  </si>
  <si>
    <t>Bacteria;Pseudomonadota;Betaproteobacteria;Burkholderiales;Comamonadaceae;Pseudacidovorax;Pseudacidovorax sp. NFM-22;</t>
  </si>
  <si>
    <t>Pseudacidovorax sp. NFM-22</t>
  </si>
  <si>
    <t>Bacteria;Pseudomonadota;Alphaproteobacteria;Sphingomonadales;Sphingomonadaceae;Sphingopyxis;Sphingopyxis sp. NFH-91;</t>
  </si>
  <si>
    <t>Sphingopyxis sp. NFH-91</t>
  </si>
  <si>
    <t>Bacteria;Pseudomonadota;Alphaproteobacteria;Hyphomicrobiales;Rhizobiaceae;Shinella;Shinella sp. NM-101;</t>
  </si>
  <si>
    <t>Shinella sp. NM-101</t>
  </si>
  <si>
    <t>Bacteria;Pseudomonadota;Betaproteobacteria;Burkholderiales;Comamonadaceae;Hydrogenophaga;Hydrogenophaga sp. NFH-34;</t>
  </si>
  <si>
    <t>Hydrogenophaga sp. NFH-34</t>
  </si>
  <si>
    <t>Bacteria;Pseudomonadota;Betaproteobacteria;Rhodocyclales;Azonexaceae;Azonexus;Azonexus sp. R2A61;</t>
  </si>
  <si>
    <t>Azonexaceae</t>
  </si>
  <si>
    <t>Azonexus</t>
  </si>
  <si>
    <t>Azonexus sp. R2A61</t>
  </si>
  <si>
    <t>Bacteria;Bacillota;Bacilli;Bacillales;Bacillaceae;Bacillus;Bacillus sp. ME5;</t>
  </si>
  <si>
    <t>Bacillus sp. ME5</t>
  </si>
  <si>
    <t>Bacteria;Bacteroidota;Flavobacteriia;Flavobacteriales;Flavobacteriaceae;Flavobacterium;Flavobacterium agri;</t>
  </si>
  <si>
    <t>Flavobacterium agri</t>
  </si>
  <si>
    <t>Bacteria;Pseudomonadota;Betaproteobacteria;Burkholderiales;Comamonadaceae;Comamonas;Comamonas antarctica;</t>
  </si>
  <si>
    <t>Comamonas antarctica</t>
  </si>
  <si>
    <t>Bacteria;Pseudomonadota;Betaproteobacteria;Burkholderiales;Oxalobacteraceae;Rugamonas;Rugamonas aquatica;</t>
  </si>
  <si>
    <t>Rugamonas aquatica</t>
  </si>
  <si>
    <t>Bacteria;Pseudomonadota;Alphaproteobacteria;Hyphomicrobiales;Rhizobiaceae;Ensifer;Ensifer oleiphilus;</t>
  </si>
  <si>
    <t>Ensifer oleiphilus</t>
  </si>
  <si>
    <t>Bacteria;Pseudomonadota;Gammaproteobacteria;Enterobacterales;Enterobacteriaceae;Citrobacter;Citrobacter sp. RHB25-C09;</t>
  </si>
  <si>
    <t>Citrobacter sp. RHB25-C09</t>
  </si>
  <si>
    <t>Bacteria;Actinomycetota;Actinomycetes;Mycobacteriales;Gordoniaceae;Gordonia;Gordonia sp. X0973;</t>
  </si>
  <si>
    <t>Gordonia sp. X0973</t>
  </si>
  <si>
    <t>Bacteria;Pseudomonadota;Betaproteobacteria;Burkholderiales;Comamonadaceae;Rhodoferax;Rhodoferax sp. BAB1;</t>
  </si>
  <si>
    <t>Rhodoferax sp. BAB1</t>
  </si>
  <si>
    <t>Bacteria;Myxococcota;Myxococcia;Myxococcales;Pendulisporaceae;Pendulispora;Pendulispora albinea;</t>
  </si>
  <si>
    <t>Pendulisporaceae</t>
  </si>
  <si>
    <t>Pendulispora</t>
  </si>
  <si>
    <t>Pendulispora albinea</t>
  </si>
  <si>
    <t>Bacteria;Pseudomonadota;Gammaproteobacteria;Enterobacterales;Erwiniaceae;Paramixta;Paramixta manurensis;</t>
  </si>
  <si>
    <t>Paramixta</t>
  </si>
  <si>
    <t>Paramixta manurensis</t>
  </si>
  <si>
    <t>Bacteria;Pseudomonadota;Gammaproteobacteria;Pseudomonadales;Pseudomonadaceae;Pseudomonas;Pseudomonas faucium;</t>
  </si>
  <si>
    <t>Pseudomonas faucium</t>
  </si>
  <si>
    <t>Bacteria;Bacteroidota;Sphingobacteriia;Sphingobacteriales;Sphingobacteriaceae;Mucilaginibacter;Mucilaginibacter mali;</t>
  </si>
  <si>
    <t>Mucilaginibacter mali</t>
  </si>
  <si>
    <t>Bacteria;Actinomycetota;Actinomycetes;Micrococcales;Microbacteriaceae;Herbiconiux;Herbiconiux sp. VKM Ac-2851;</t>
  </si>
  <si>
    <t>Herbiconiux sp. VKM Ac-2851</t>
  </si>
  <si>
    <t>Bacteria;Actinomycetota;Actinomycetes;Propionibacteriales;Nocardioidaceae;Aeromicrobium;Aeromicrobium stalagmiti;</t>
  </si>
  <si>
    <t>Aeromicrobium</t>
  </si>
  <si>
    <t>Aeromicrobium stalagmiti</t>
  </si>
  <si>
    <t>Bacteria;Bacillota;Bacilli;Bacillales;Paenibacillaceae;Brevibacillus;Brevibacillus sp. DP1.3A;</t>
  </si>
  <si>
    <t>Brevibacillus sp. DP1.3A</t>
  </si>
  <si>
    <t>Bacteria;Pseudomonadota;Gammaproteobacteria;Pseudomonadales;Pseudomonadaceae;Permianibacter;Permianibacter fluminis;</t>
  </si>
  <si>
    <t>Permianibacter</t>
  </si>
  <si>
    <t>Permianibacter fluminis</t>
  </si>
  <si>
    <t>Bacteria;Actinomycetota;Actinomycetes;Mycobacteriales;Mycobacteriaceae;Mycobacterium;Mycobacterium ostraviense;</t>
  </si>
  <si>
    <t>Mycobacterium ostraviense</t>
  </si>
  <si>
    <t>Bacteria;Actinomycetota;Actinomycetes;Streptosporangiales;Streptosporangiaceae;Planomonospora;Planomonospora sp. ID67723;</t>
  </si>
  <si>
    <t>Planomonospora</t>
  </si>
  <si>
    <t>Planomonospora sp. ID67723</t>
  </si>
  <si>
    <t>Bacteria;Pseudomonadota;Alphaproteobacteria;Rhodobacterales;Paracoccaceae;Pseudogemmobacter;Pseudogemmobacter hezensis;</t>
  </si>
  <si>
    <t>Pseudogemmobacter</t>
  </si>
  <si>
    <t>Pseudogemmobacter hezensis</t>
  </si>
  <si>
    <t>Bacteria;Actinomycetota;Actinomycetes;Mycobacteriales;Mycobacteriaceae;Mycolicibacterium;Mycolicibacterium vinylchloridicum;</t>
  </si>
  <si>
    <t>Mycolicibacterium vinylchloridicum</t>
  </si>
  <si>
    <t>Bacteria;Actinomycetota;Actinomycetes;Propionibacteriales;Nocardioidaceae;Nocardioides;Nocardioides campestrisoli;</t>
  </si>
  <si>
    <t>Nocardioides campestrisoli</t>
  </si>
  <si>
    <t>Bacteria;Actinomycetota;Actinomycetes;Mycobacteriales;Mycobacteriaceae;Mycolicibacterium;Mycolicibacterium mengxianglii;</t>
  </si>
  <si>
    <t>Mycolicibacterium mengxianglii</t>
  </si>
  <si>
    <t>Bacteria;Bacteroidota;Flavobacteriia;Flavobacteriales;Weeksellaceae;Frigoriflavimonas;Frigoriflavimonas asaccharolytica;</t>
  </si>
  <si>
    <t>Frigoriflavimonas</t>
  </si>
  <si>
    <t>Frigoriflavimonas asaccharolytica</t>
  </si>
  <si>
    <t>Bacteria;Pseudomonadota;Betaproteobacteria;Burkholderiales;Sphaerotilaceae;Sphaerotilus;Sphaerotilus uruguayifluvii;</t>
  </si>
  <si>
    <t>Sphaerotilus uruguayifluvii</t>
  </si>
  <si>
    <t>Bacteria;Pseudomonadota;Alphaproteobacteria;Hyphomicrobiales;Rhizobiaceae;Agrobacterium;Agrobacterium vaccinii;</t>
  </si>
  <si>
    <t>Agrobacterium vaccinii</t>
  </si>
  <si>
    <t>Bacteria;Pseudomonadota;Betaproteobacteria;Rhodocyclales;Zoogloeaceae;Denitromonas;Denitromonas sp.;</t>
  </si>
  <si>
    <t>Denitromonas sp.</t>
  </si>
  <si>
    <t>Bacteria;Pseudomonadota;Alphaproteobacteria;Sphingomonadales;Sphingomonadaceae;Sphingobium;Sphingobium sp. KCTC 72723;</t>
  </si>
  <si>
    <t>Sphingobium sp. KCTC 72723</t>
  </si>
  <si>
    <t>Bacteria;Bacteroidota;Sphingobacteriia;Sphingobacteriales;Sphingobacteriaceae;Mucilaginibacter;Mucilaginibacter humi;</t>
  </si>
  <si>
    <t>Mucilaginibacter humi</t>
  </si>
  <si>
    <t>Bacteria;Bacillota;Clostridia;Eubacteriales;Proteinivoraceae;Alkalicella;Alkalicella caledoniensis;</t>
  </si>
  <si>
    <t>Proteinivoraceae</t>
  </si>
  <si>
    <t>Alkalicella</t>
  </si>
  <si>
    <t>Alkalicella caledoniensis</t>
  </si>
  <si>
    <t>Bacteria;Bacillota;Clostridia;Peptostreptococcales;Natronincolaceae;Alkaliphilus;Alkaliphilus sp. B6464;</t>
  </si>
  <si>
    <t>Alkaliphilus sp. B6464</t>
  </si>
  <si>
    <t>Bacteria;Pseudomonadota;Alphaproteobacteria;Acetobacterales;Roseomonadaceae;Roseicella;Roseicella sp. DB1501;</t>
  </si>
  <si>
    <t>Roseicella sp. DB1501</t>
  </si>
  <si>
    <t>Bacteria;Pseudomonadota;Alphaproteobacteria;Hyphomicrobiales;Methylobacteriaceae;Enterovirga;Enterovirga aerilata;</t>
  </si>
  <si>
    <t>Enterovirga</t>
  </si>
  <si>
    <t>Enterovirga aerilata</t>
  </si>
  <si>
    <t>Bacteria;Bacillota;Bacilli;Bacillales;Bacillaceae;Metabacillus;Metabacillus schmidteae;</t>
  </si>
  <si>
    <t>Metabacillus schmidteae</t>
  </si>
  <si>
    <t>Bacteria;Bacteroidota;Sphingobacteriia;Sphingobacteriales;Sphingobacteriaceae;Pedobacter;Pedobacter ghigonis;</t>
  </si>
  <si>
    <t>Pedobacter ghigonis</t>
  </si>
  <si>
    <t>Bacteria;Bacteroidota;Cytophagia;Cytophagales;Flammeovirgaceae;Marinigracilibium;Marinigracilibium pacificum;</t>
  </si>
  <si>
    <t>Flammeovirgaceae</t>
  </si>
  <si>
    <t>Marinigracilibium</t>
  </si>
  <si>
    <t>Marinigracilibium pacificum</t>
  </si>
  <si>
    <t>Bacteria;Pseudomonadota;Alphaproteobacteria;Rhodospirillales;Rhodospirillaceae;Pacificispira;Pacificispira spongiicola;</t>
  </si>
  <si>
    <t>Rhodospirillaceae</t>
  </si>
  <si>
    <t>Pacificispira</t>
  </si>
  <si>
    <t>Pacificispira spongiicola</t>
  </si>
  <si>
    <t>Bacteria;Pseudomonadota;Gammaproteobacteria;Lysobacterales;Lysobacteraceae;Stenotrophomonas;Stenotrophomonas sp. SAM-B;</t>
  </si>
  <si>
    <t>Stenotrophomonas sp. SAM-B</t>
  </si>
  <si>
    <t>Bacteria;Pseudomonadota;Alphaproteobacteria;Sphingomonadales;Sphingomonadaceae;Novosphingobium;Novosphingobium olei;</t>
  </si>
  <si>
    <t>Novosphingobium olei</t>
  </si>
  <si>
    <t>Bacteria;Pseudomonadota;Alphaproteobacteria;Sphingomonadales;Sphingomonadaceae;Sphingobium;Sphingobium sp. TB-6;</t>
  </si>
  <si>
    <t>Sphingobium sp. TB-6</t>
  </si>
  <si>
    <t>Bacteria;Bacteroidota;Flavobacteriia;Flavobacteriales;Weeksellaceae;Chryseobacterium;Chryseobacterium cheonjiense;</t>
  </si>
  <si>
    <t>Chryseobacterium cheonjiense</t>
  </si>
  <si>
    <t>Bacteria;Pseudomonadota;Alphaproteobacteria;Sphingomonadales;Sphingomonadaceae;Sphingomonas;Sphingomonas sp. G-3-2-10;</t>
  </si>
  <si>
    <t>Sphingomonas sp. G-3-2-10</t>
  </si>
  <si>
    <t>Bacteria;Pseudomonadota;Betaproteobacteria;Burkholderiales;Comamonadaceae;Ramlibacter;Ramlibacter agri;</t>
  </si>
  <si>
    <t>Ramlibacter agri</t>
  </si>
  <si>
    <t>Bacteria;Verrucomicrobiota;Verrucomicrobiia;Verrucomicrobiales;Verrucomicrobiaceae;Luteolibacter;Luteolibacter luteus;</t>
  </si>
  <si>
    <t>Luteolibacter luteus</t>
  </si>
  <si>
    <t>Bacteria;Bacteroidota;Sphingobacteriia;Sphingobacteriales;Sphingobacteriaceae;Mucilaginibacter;Mucilaginibacter robiniae;</t>
  </si>
  <si>
    <t>Mucilaginibacter robiniae</t>
  </si>
  <si>
    <t>Bacteria;Pseudomonadota;Betaproteobacteria;Burkholderiales;Oxalobacteraceae;Duganella;Duganella dendranthematis;</t>
  </si>
  <si>
    <t>Duganella dendranthematis</t>
  </si>
  <si>
    <t>Bacteria;Pseudomonadota;Alphaproteobacteria;Caulobacterales;Caulobacteraceae;Brevundimonas;Brevundimonas sp. P7753;</t>
  </si>
  <si>
    <t>Brevundimonas sp. P7753</t>
  </si>
  <si>
    <t>Bacteria;Pseudomonadota;Alphaproteobacteria;Hyphomicrobiales;Rhizobiaceae;Rhizobium;Rhizobium sp. P38BS-XIX;</t>
  </si>
  <si>
    <t>Rhizobium sp. P38BS-XIX</t>
  </si>
  <si>
    <t>Bacteria;Pseudomonadota;Alphaproteobacteria;Hyphomicrobiales;Rhizobiaceae;Rhizobium;Rhizobium sp. P40RR-XXII;</t>
  </si>
  <si>
    <t>Rhizobium sp. P40RR-XXII</t>
  </si>
  <si>
    <t>Bacteria;Pseudomonadota;Alphaproteobacteria;Sphingomonadales;Sphingomonadaceae;Novosphingobium;Novosphingobium terrae;</t>
  </si>
  <si>
    <t>Novosphingobium terrae</t>
  </si>
  <si>
    <t>Bacteria;Bacillota;Clostridia;Eubacteriales;Clostridiaceae;Clostridium;Clostridium sp. DJ247;</t>
  </si>
  <si>
    <t>Clostridium sp. DJ247</t>
  </si>
  <si>
    <t>Bacteria;Pseudomonadota;Alphaproteobacteria;Sphingomonadales;Sphingomonadaceae;Novosphingobium;Novosphingobium sp. ERN07;</t>
  </si>
  <si>
    <t>Novosphingobium sp. ERN07</t>
  </si>
  <si>
    <t>Bacteria;Pseudomonadota;Alphaproteobacteria;Sphingomonadales;Sphingomonadaceae;Novosphingobium;Novosphingobium sp. ERW19;</t>
  </si>
  <si>
    <t>Novosphingobium sp. ERW19</t>
  </si>
  <si>
    <t>Bacteria;Pseudomonadota;Alphaproteobacteria;Hyphomicrobiales;Rhizobiaceae;Rhizobium;Rhizobium sp. CG5;</t>
  </si>
  <si>
    <t>Rhizobium sp. CG5</t>
  </si>
  <si>
    <t>Bacteria;Pseudomonadota;Gammaproteobacteria;Pseudomonadales;Pseudomonadaceae;Pseudomonas;Pseudomonas tohonis;</t>
  </si>
  <si>
    <t>Pseudomonas tohonis</t>
  </si>
  <si>
    <t>Bacteria;Bacillota;Clostridia;Eubacteriales;Clostridiaceae;Clostridium;Clostridium sp. SM-530-WT-3G;</t>
  </si>
  <si>
    <t>Clostridium sp. SM-530-WT-3G</t>
  </si>
  <si>
    <t>Bacteria;Actinomycetota;Actinomycetes;Mycobacteriales;Gordoniaceae;Gordonia;Gordonia asplenii;</t>
  </si>
  <si>
    <t>Gordonia asplenii</t>
  </si>
  <si>
    <t>Bacteria;Bacillota;Clostridia;Eubacteriales;Clostridiaceae;Clostridium;Clostridium sp. FP2;</t>
  </si>
  <si>
    <t>Clostridium sp. FP2</t>
  </si>
  <si>
    <t>Bacteria;Pseudomonadota;Gammaproteobacteria;Pseudomonadales;Pseudomonadaceae;Pseudomonas;Pseudomonas cremoris;</t>
  </si>
  <si>
    <t>Pseudomonas cremoris</t>
  </si>
  <si>
    <t>Bacteria;Pseudomonadota;Gammaproteobacteria;Lysobacterales;Lysobacteraceae;Xanthomonas;Xanthomonas sp. SI;</t>
  </si>
  <si>
    <t>Xanthomonas sp. SI</t>
  </si>
  <si>
    <t>Bacteria;Pseudomonadota;Gammaproteobacteria;Lysobacterales;Lysobacteraceae;Xanthomonas;Xanthomonas sp. GW;</t>
  </si>
  <si>
    <t>Xanthomonas sp. GW</t>
  </si>
  <si>
    <t>Bacteria;Bacillota;Clostridia;Eubacteriales;Clostridiaceae;Clostridium;Clostridium sp. FP1;</t>
  </si>
  <si>
    <t>Clostridium sp. FP1</t>
  </si>
  <si>
    <t>Bacteria;Bacteroidota;Sphingobacteriia;Sphingobacteriales;Sphingobacteriaceae;Mucilaginibacter;Mucilaginibacter sp. X4EP1;</t>
  </si>
  <si>
    <t>Mucilaginibacter sp. X4EP1</t>
  </si>
  <si>
    <t>Bacteria;Bacteroidota;Sphingobacteriia;Sphingobacteriales;Sphingobacteriaceae;Mucilaginibacter;Mucilaginibacter sp. SP1R1;</t>
  </si>
  <si>
    <t>Mucilaginibacter sp. SP1R1</t>
  </si>
  <si>
    <t>Bacteria;Bacteroidota;Sphingobacteriia;Sphingobacteriales;Sphingobacteriaceae;Mucilaginibacter;Mucilaginibacter sp. FT3.2;</t>
  </si>
  <si>
    <t>Mucilaginibacter sp. FT3.2</t>
  </si>
  <si>
    <t>Bacteria;Bacteroidota;Sphingobacteriia;Sphingobacteriales;Sphingobacteriaceae;Mucilaginibacter;Mucilaginibacter sp. E4BP6;</t>
  </si>
  <si>
    <t>Mucilaginibacter sp. E4BP6</t>
  </si>
  <si>
    <t>Bacteria;Bacteroidota;Sphingobacteriia;Sphingobacteriales;Sphingobacteriaceae;Mucilaginibacter;Mucilaginibacter sp. X5P1;</t>
  </si>
  <si>
    <t>Mucilaginibacter sp. X5P1</t>
  </si>
  <si>
    <t>Bacteria;Pseudomonadota;Gammaproteobacteria;Lysobacterales;Lysobacteraceae;Stenotrophomonas;Stenotrophomonas sp. JAI102;</t>
  </si>
  <si>
    <t>Stenotrophomonas sp. JAI102</t>
  </si>
  <si>
    <t>Bacteria;Actinomycetota;Actinomycetes;Micrococcales;Microbacteriaceae;Leifsonia;Leifsonia sp. AK011;</t>
  </si>
  <si>
    <t>Leifsonia sp. AK011</t>
  </si>
  <si>
    <t>Bacteria;Bacteroidota;Sphingobacteriia;Sphingobacteriales;Sphingobacteriaceae;Pedobacter;Pedobacter sp. AK017;</t>
  </si>
  <si>
    <t>Pedobacter sp. AK017</t>
  </si>
  <si>
    <t>Bacteria;Bacteroidota;Sphingobacteriia;Sphingobacteriales;Sphingobacteriaceae;Mucilaginibacter;Mucilaginibacter sp. AK015;</t>
  </si>
  <si>
    <t>Mucilaginibacter sp. AK015</t>
  </si>
  <si>
    <t>Bacteria;Bacteroidota;Sphingobacteriia;Sphingobacteriales;Sphingobacteriaceae;Pedobacter;Pedobacter sp. AK013;</t>
  </si>
  <si>
    <t>Pedobacter sp. AK013</t>
  </si>
  <si>
    <t>Bacteria;Bacillota;Bacilli;Bacillales;Bacillaceae;Bacillus;Bacillus sp. DNRA2;</t>
  </si>
  <si>
    <t>Bacillus sp. DNRA2</t>
  </si>
  <si>
    <t>Bacteria;Bacillota;Clostridia;Thermosediminibacterales;Tepidanaerobacteraceae;Tepidanaerobacter;Tepidanaerobacter sp. GT38;</t>
  </si>
  <si>
    <t>Thermosediminibacterales</t>
  </si>
  <si>
    <t>Tepidanaerobacteraceae</t>
  </si>
  <si>
    <t>Tepidanaerobacter</t>
  </si>
  <si>
    <t>Tepidanaerobacter sp. GT38</t>
  </si>
  <si>
    <t>Bacteria;Actinomycetota;Acidimicrobiia;Acidimicrobiales;Iamiaceae;Iamia;Iamia sp.;</t>
  </si>
  <si>
    <t>Iamia</t>
  </si>
  <si>
    <t>Iamia sp.</t>
  </si>
  <si>
    <t>Bacteria;Bacteroidota;Flavobacteriia;Flavobacteriales;Flavobacteriaceae;Flavobacterium;Flavobacterium selenitireducens;</t>
  </si>
  <si>
    <t>Flavobacterium selenitireducens</t>
  </si>
  <si>
    <t>Bacteria;Pseudomonadota;Alphaproteobacteria;Rhodobacterales;Paracoccaceae;Pseudooceanicola;Pseudooceanicola sp. HF7;</t>
  </si>
  <si>
    <t>Pseudooceanicola</t>
  </si>
  <si>
    <t>Pseudooceanicola sp. HF7</t>
  </si>
  <si>
    <t>Bacteria;Pseudomonadota;Betaproteobacteria;Burkholderiales;Comamonadaceae;Variovorax;Variovorax sp. dw_308;</t>
  </si>
  <si>
    <t>Variovorax sp. dw_308</t>
  </si>
  <si>
    <t>Bacteria;Pseudomonadota;Alphaproteobacteria;Sphingomonadales;Sphingomonadaceae;Sphingomonas;Sphingomonas sp. dw_22;</t>
  </si>
  <si>
    <t>Sphingomonas sp. dw_22</t>
  </si>
  <si>
    <t>Bacteria;Pseudomonadota;Alphaproteobacteria;Hyphomicrobiales;Aurantimonadaceae;Martelella;Martelella sp. HB161492;</t>
  </si>
  <si>
    <t>Martelella</t>
  </si>
  <si>
    <t>Martelella sp. HB161492</t>
  </si>
  <si>
    <t>Bacteria;Actinomycetota;Actinomycetes;Micrococcales;Microbacteriaceae;Glaciihabitans;Glaciihabitans sp. dw_435;</t>
  </si>
  <si>
    <t>Glaciihabitans sp. dw_435</t>
  </si>
  <si>
    <t>Bacteria;Bacteroidota;Sphingobacteriia;Sphingobacteriales;Sphingobacteriaceae;Mucilaginibacter;Mucilaginibacter sp. dw_454;</t>
  </si>
  <si>
    <t>Mucilaginibacter sp. dw_454</t>
  </si>
  <si>
    <t>Bacteria;Pseudomonadota;Betaproteobacteria;Burkholderiales;Comamonadaceae;Variovorax;Variovorax sp. dw_954;</t>
  </si>
  <si>
    <t>Variovorax sp. dw_954</t>
  </si>
  <si>
    <t>Bacteria;Bacillota;Clostridia;Lachnospirales;Lachnospiraceae;Lacrimispora;Lacrimispora sp.;</t>
  </si>
  <si>
    <t>Lacrimispora sp.</t>
  </si>
  <si>
    <t>Bacteria;Bacillota;Clostridia;Lachnospirales;Lachnospiraceae;Anaerosporobacter;Anaerosporobacter faecicola;</t>
  </si>
  <si>
    <t>Anaerosporobacter</t>
  </si>
  <si>
    <t>Anaerosporobacter faecicola</t>
  </si>
  <si>
    <t>Bacteria;Pseudomonadota;Betaproteobacteria;Burkholderiales;NA;Aquabacterium;Aquabacterium sp. A08;</t>
  </si>
  <si>
    <t>Aquabacterium sp. A08</t>
  </si>
  <si>
    <t>Bacteria;Pseudomonadota;Gammaproteobacteria;Pseudomonadales;Pseudomonadaceae;Pseudomonas;Pseudomonas sp. WS 5011;</t>
  </si>
  <si>
    <t>Pseudomonas sp. WS 5011</t>
  </si>
  <si>
    <t>Bacteria;Pseudomonadota;Alphaproteobacteria;Hyphomicrobiales;Brucellaceae;Ochrobactrum;Ochrobactrum sp. SFR4;</t>
  </si>
  <si>
    <t>Ochrobactrum</t>
  </si>
  <si>
    <t>Ochrobactrum sp. SFR4</t>
  </si>
  <si>
    <t>Bacteria;Pseudomonadota;Alphaproteobacteria;Acetobacterales;Roseomonadaceae;Falsiroseomonas;Falsiroseomonas algicola;</t>
  </si>
  <si>
    <t>Falsiroseomonas algicola</t>
  </si>
  <si>
    <t>Bacteria;Bacillota;Clostridia;Eubacteriales;Clostridiaceae;Clostridium;Clostridium muellerianum;</t>
  </si>
  <si>
    <t>Clostridium muellerianum</t>
  </si>
  <si>
    <t>Bacteria;Pseudomonadota;Alphaproteobacteria;Acetobacterales;Roseomonadaceae;Falsiroseomonas;Falsiroseomonas selenitidurans;</t>
  </si>
  <si>
    <t>Falsiroseomonas selenitidurans</t>
  </si>
  <si>
    <t>Bacteria;Pseudomonadota;Gammaproteobacteria;Pseudomonadales;Pseudomonadaceae;Pseudomonas;Pseudomonas typographi;</t>
  </si>
  <si>
    <t>Pseudomonas typographi</t>
  </si>
  <si>
    <t>Bacteria;Pseudomonadota;Alphaproteobacteria;Hyphomicrobiales;Rhizobiaceae;Shinella;Shinella sp. PSBB067;</t>
  </si>
  <si>
    <t>Shinella sp. PSBB067</t>
  </si>
  <si>
    <t>Bacteria;Actinomycetota;Actinomycetes;Jiangellales;Jiangellaceae;Phytoactinopolyspora;Phytoactinopolyspora limicola;</t>
  </si>
  <si>
    <t>Jiangellales</t>
  </si>
  <si>
    <t>Jiangellaceae</t>
  </si>
  <si>
    <t>Phytoactinopolyspora</t>
  </si>
  <si>
    <t>Phytoactinopolyspora limicola</t>
  </si>
  <si>
    <t>Bacteria;Actinomycetota;Actinomycetes;Motilibacterales;Motilibacteraceae;Motilibacter;Motilibacter deserti;</t>
  </si>
  <si>
    <t>Motilibacterales</t>
  </si>
  <si>
    <t>Motilibacteraceae</t>
  </si>
  <si>
    <t>Motilibacter</t>
  </si>
  <si>
    <t>Motilibacter deserti</t>
  </si>
  <si>
    <t>Bacteria;Pseudomonadota;Betaproteobacteria;Burkholderiales;Sphaerotilaceae;Roseateles;Roseateles sp. DAIF2;</t>
  </si>
  <si>
    <t>Roseateles sp. DAIF2</t>
  </si>
  <si>
    <t>Bacteria;Bacteroidota;Sphingobacteriia;Sphingobacteriales;Sphingobacteriaceae;Pedobacter;Pedobacter sp. HDW13;</t>
  </si>
  <si>
    <t>Pedobacter sp. HDW13</t>
  </si>
  <si>
    <t>Bacteria;Actinomycetota;Actinomycetes;Propionibacteriales;Nocardioidaceae;Nocardioides;Nocardioides sp. HDW12B;</t>
  </si>
  <si>
    <t>Nocardioides sp. HDW12B</t>
  </si>
  <si>
    <t>Bacteria;Actinomycetota;Actinomycetes;Propionibacteriales;Nocardioidaceae;Nocardioides;Nocardioides piscis;</t>
  </si>
  <si>
    <t>Nocardioides piscis</t>
  </si>
  <si>
    <t>Bacteria;Pseudomonadota;Gammaproteobacteria;Lysobacterales;Lysobacteraceae;Lysobacter;Lysobacter sp. HDW10;</t>
  </si>
  <si>
    <t>Lysobacter sp. HDW10</t>
  </si>
  <si>
    <t>Bacteria;Actinomycetota;Actinomycetes;Micrococcales;Microbacteriaceae;Leucobacter;Leucobacter viscericola;</t>
  </si>
  <si>
    <t>Leucobacter viscericola</t>
  </si>
  <si>
    <t>Bacteria;Actinomycetota;Actinomycetes;Micrococcales;Microbacteriaceae;Leucobacter;Leucobacter coleopterorum;</t>
  </si>
  <si>
    <t>Leucobacter coleopterorum</t>
  </si>
  <si>
    <t>Bacteria;Pseudomonadota;Betaproteobacteria;Burkholderiales;Comamonadaceae;Diaphorobacter;Diaphorobacter sp. HDW4A;</t>
  </si>
  <si>
    <t>Diaphorobacter sp. HDW4A</t>
  </si>
  <si>
    <t>Bacteria;Pseudomonadota;Betaproteobacteria;Burkholderiales;Comamonadaceae;Acidovorax;Acidovorax sp. HDW3;</t>
  </si>
  <si>
    <t>Acidovorax sp. HDW3</t>
  </si>
  <si>
    <t>Bacteria;Bacteroidota;Sphingobacteriia;Sphingobacteriales;Sphingobacteriaceae;Mucilaginibacter;Mucilaginibacter inviolabilis;</t>
  </si>
  <si>
    <t>Mucilaginibacter inviolabilis</t>
  </si>
  <si>
    <t>Bacteria;Bacteroidota;Flavobacteriia;Flavobacteriales;Flavobacteriaceae;Psychroflexus;Psychroflexus maritimus;</t>
  </si>
  <si>
    <t>Psychroflexus</t>
  </si>
  <si>
    <t>Psychroflexus maritimus</t>
  </si>
  <si>
    <t>Bacteria;Planctomycetota;Planctomycetia;Isosphaerales;Isosphaeraceae;Aquisphaera;Aquisphaera insulae;</t>
  </si>
  <si>
    <t>Isosphaerales</t>
  </si>
  <si>
    <t>Isosphaeraceae</t>
  </si>
  <si>
    <t>Aquisphaera</t>
  </si>
  <si>
    <t>Aquisphaera insulae</t>
  </si>
  <si>
    <t>Bacteria;Actinomycetota;Actinomycetes;Propionibacteriales;Nocardioidaceae;Nocardioides;Nocardioides convexus;</t>
  </si>
  <si>
    <t>Nocardioides convexus</t>
  </si>
  <si>
    <t>Bacteria;Actinomycetota;Actinomycetes;Propionibacteriales;Nocardioidaceae;Nocardioides;Nocardioides anomalus;</t>
  </si>
  <si>
    <t>Nocardioides anomalus</t>
  </si>
  <si>
    <t>Bacteria;Pseudomonadota;Alphaproteobacteria;Hyphomicrobiales;NA;Nordella;Nordella sp. HKS 07;</t>
  </si>
  <si>
    <t>Nordella</t>
  </si>
  <si>
    <t>Nordella sp. HKS 07</t>
  </si>
  <si>
    <t>Bacteria;Actinomycetota;Actinomycetes;Micrococcales;Microbacteriaceae;Marisediminicola;Marisediminicola senii;</t>
  </si>
  <si>
    <t>Marisediminicola</t>
  </si>
  <si>
    <t>Marisediminicola senii</t>
  </si>
  <si>
    <t>Bacteria;Verrucomicrobiota;Verrucomicrobiia;Verrucomicrobiales;Verrucomicrobiaceae;Roseimicrobium;Roseimicrobium sp. ORNL1;</t>
  </si>
  <si>
    <t>Roseimicrobium</t>
  </si>
  <si>
    <t>Roseimicrobium sp. ORNL1</t>
  </si>
  <si>
    <t>Bacteria;Pseudomonadota;Alphaproteobacteria;Sphingomonadales;Sphingomonadaceae;Rhizorhabdus;Rhizorhabdus phycosphaerae;</t>
  </si>
  <si>
    <t>Rhizorhabdus</t>
  </si>
  <si>
    <t>Rhizorhabdus phycosphaerae</t>
  </si>
  <si>
    <t>Bacteria;Pseudomonadota;Alphaproteobacteria;Rhodobacterales;NA;Rhodobacter;Rhodobacter sp. SGA-6-6;</t>
  </si>
  <si>
    <t>Rhodobacter sp. SGA-6-6</t>
  </si>
  <si>
    <t>Bacteria;Pseudomonadota;Alphaproteobacteria;Rhodobacterales;Paracoccaceae;Tabrizicola;Tabrizicola oligotrophica;</t>
  </si>
  <si>
    <t>Tabrizicola</t>
  </si>
  <si>
    <t>Tabrizicola oligotrophica</t>
  </si>
  <si>
    <t>Bacteria;Pseudomonadota;Gammaproteobacteria;Lysobacterales;Lysobacteraceae;Stenotrophomonas;Stenotrophomonas sp. B1-1;</t>
  </si>
  <si>
    <t>Stenotrophomonas sp. B1-1</t>
  </si>
  <si>
    <t>Bacteria;Bacteroidota;Cytophagia;Cytophagales;Cytophagaceae;Spirosoma;Spirosoma foliorum;</t>
  </si>
  <si>
    <t>Spirosoma foliorum</t>
  </si>
  <si>
    <t>Bacteria;Bacteroidota;Flavobacteriia;Flavobacteriales;Flavobacteriaceae;Flavobacterium;Flavobacterium celericrescens;</t>
  </si>
  <si>
    <t>Flavobacterium celericrescens</t>
  </si>
  <si>
    <t>Bacteria;Pseudomonadota;Gammaproteobacteria;Pseudomonadales;Pseudomonadaceae;Pseudomonas;Pseudomonas sp. OTU750018;</t>
  </si>
  <si>
    <t>Pseudomonas sp. OTU750018</t>
  </si>
  <si>
    <t>Bacteria;Pseudomonadota;Alphaproteobacteria;Sphingomonadales;Sphingomonadaceae;Parasphingorhabdus;Parasphingorhabdus sp.;</t>
  </si>
  <si>
    <t>Parasphingorhabdus</t>
  </si>
  <si>
    <t>Parasphingorhabdus sp.</t>
  </si>
  <si>
    <t>Bacteria;Myxococcota;Myxococcia;Myxococcales;Myxococcaceae;Pyxidicoccus;Pyxidicoccus caerfyrddinensis;</t>
  </si>
  <si>
    <t>Pyxidicoccus caerfyrddinensis</t>
  </si>
  <si>
    <t>Bacteria;Pseudomonadota;Alphaproteobacteria;Rhodobacterales;Paracoccaceae;Pseudotabrizicola;Pseudotabrizicola algicola;</t>
  </si>
  <si>
    <t>Pseudotabrizicola algicola</t>
  </si>
  <si>
    <t>Bacteria;Pseudomonadota;Alphaproteobacteria;Hyphomicrobiales;Xanthobacteraceae;Starkeya;Starkeya sp. ORNL1;</t>
  </si>
  <si>
    <t>Starkeya</t>
  </si>
  <si>
    <t>Starkeya sp. ORNL1</t>
  </si>
  <si>
    <t>Bacteria;Actinomycetota;Actinomycetes;Micrococcales;Microbacteriaceae;Agromyces;Agromyces sp. Marseille-P2726;</t>
  </si>
  <si>
    <t>Agromyces sp. Marseille-P2726</t>
  </si>
  <si>
    <t>Bacteria;Pseudomonadota;Alphaproteobacteria;Caulobacterales;Caulobacteraceae;Caulobacter;Caulobacter soli;</t>
  </si>
  <si>
    <t>Caulobacter soli</t>
  </si>
  <si>
    <t>Bacteria;Actinomycetota;Actinomycetes;Micrococcales;Microbacteriaceae;Pseudolysinimonas;Pseudolysinimonas yzui;</t>
  </si>
  <si>
    <t>Pseudolysinimonas</t>
  </si>
  <si>
    <t>Pseudolysinimonas yzui</t>
  </si>
  <si>
    <t>Bacteria;Actinomycetota;Actinomycetes;Micrococcales;Promicromonosporaceae;Cellulosimicrobium;Cellulosimicrobium arenosum;</t>
  </si>
  <si>
    <t>Cellulosimicrobium arenosum</t>
  </si>
  <si>
    <t>Bacteria;Bacteroidota;Flavobacteriia;Flavobacteriales;Flavobacteriaceae;Flavobacterium;Flavobacterium chungangensis;</t>
  </si>
  <si>
    <t>Flavobacterium chungangensis</t>
  </si>
  <si>
    <t>Bacteria;Actinomycetota;Actinomycetes;Micrococcales;Microbacteriaceae;Paramicrobacterium;Paramicrobacterium fandaimingii;</t>
  </si>
  <si>
    <t>Paramicrobacterium</t>
  </si>
  <si>
    <t>Paramicrobacterium fandaimingii</t>
  </si>
  <si>
    <t>Bacteria;Verrucomicrobiota;Verrucomicrobiia;Verrucomicrobiales;Verrucomicrobiaceae;Sulfuriroseicoccus;Sulfuriroseicoccus oceanibius;</t>
  </si>
  <si>
    <t>Sulfuriroseicoccus</t>
  </si>
  <si>
    <t>Sulfuriroseicoccus oceanibius</t>
  </si>
  <si>
    <t>Bacteria;Pseudomonadota;Betaproteobacteria;Burkholderiales;Alcaligenaceae;Sheuella;Sheuella amnicola;</t>
  </si>
  <si>
    <t>Sheuella</t>
  </si>
  <si>
    <t>Sheuella amnicola</t>
  </si>
  <si>
    <t>Bacteria;Pseudomonadota;Betaproteobacteria;Burkholderiales;Sphaerotilaceae;Ideonella;Ideonella livida;</t>
  </si>
  <si>
    <t>Ideonella livida</t>
  </si>
  <si>
    <t>Bacteria;Pseudomonadota;Betaproteobacteria;Burkholderiales;NA;Tepidicella;Tepidicella baoligensis;</t>
  </si>
  <si>
    <t>Tepidicella</t>
  </si>
  <si>
    <t>Tepidicella baoligensis</t>
  </si>
  <si>
    <t>Bacteria;Cyanobacteriota;Cyanophyceae;Oscillatoriales;Microcoleaceae;Microcoleus;Microcoleus anatoxicus;</t>
  </si>
  <si>
    <t>Microcoleus anatoxicus</t>
  </si>
  <si>
    <t>Bacteria;Bacteroidota;Flavobacteriia;Flavobacteriales;Flavobacteriaceae;Flavobacterium;Flavobacterium bizetiae;</t>
  </si>
  <si>
    <t>Flavobacterium bizetiae</t>
  </si>
  <si>
    <t>Bacteria;Pseudomonadota;Betaproteobacteria;Burkholderiales;Oxalobacteraceae;Duganella;Duganella aceris;</t>
  </si>
  <si>
    <t>Duganella aceris</t>
  </si>
  <si>
    <t>Bacteria;Pseudomonadota;Gammaproteobacteria;Enterobacterales;Yersiniaceae;Rahnella;Rahnella contaminans;</t>
  </si>
  <si>
    <t>Rahnella contaminans</t>
  </si>
  <si>
    <t>Bacteria;Pseudomonadota;Gammaproteobacteria;Enterobacterales;Yersiniaceae;Serratia;Serratia bockelmannii;</t>
  </si>
  <si>
    <t>Serratia bockelmannii</t>
  </si>
  <si>
    <t>Bacteria;Pseudomonadota;Betaproteobacteria;Burkholderiales;Comamonadaceae;Acidovorax;Acidovorax sp. 210-6;</t>
  </si>
  <si>
    <t>Acidovorax sp. 210-6</t>
  </si>
  <si>
    <t>Bacteria;Pseudomonadota;Alphaproteobacteria;Rhodobacterales;Paracoccaceae;Stagnihabitans;Stagnihabitans tardus;</t>
  </si>
  <si>
    <t>Stagnihabitans</t>
  </si>
  <si>
    <t>Stagnihabitans tardus</t>
  </si>
  <si>
    <t>Bacteria;Bacillota;Clostridia;Eubacteriales;Clostridiaceae;Clostridium;Clostridium sp. C2-6-12;</t>
  </si>
  <si>
    <t>Clostridium sp. C2-6-12</t>
  </si>
  <si>
    <t>Bacteria;Bacillota;Clostridia;Eubacteriales;Clostridiaceae;Clostridium;Clostridium sp. C8-1-8;</t>
  </si>
  <si>
    <t>Clostridium sp. C8-1-8</t>
  </si>
  <si>
    <t>Bacteria;Pseudomonadota;Alphaproteobacteria;Hyphomicrobiales;Nitrobacteraceae;Bradyrhizobium;Bradyrhizobium sp. CSA207;</t>
  </si>
  <si>
    <t>Bradyrhizobium sp. CSA207</t>
  </si>
  <si>
    <t>Bacteria;Pseudomonadota;Betaproteobacteria;Burkholderiales;NA;Xylophilus;Xylophilus rhododendri;</t>
  </si>
  <si>
    <t>Xylophilus rhododendri</t>
  </si>
  <si>
    <t>Bacteria;Bacillota;Clostridia;Peptostreptococcales;Anaerovoracaceae;Aminipila;Aminipila terrae;</t>
  </si>
  <si>
    <t>Anaerovoracaceae</t>
  </si>
  <si>
    <t>Aminipila</t>
  </si>
  <si>
    <t>Aminipila terrae</t>
  </si>
  <si>
    <t>Bacteria;Pseudomonadota;Gammaproteobacteria;Enterobacterales;Bruguierivoracaceae;Sodalis;Sodalis ligni;</t>
  </si>
  <si>
    <t>Bruguierivoracaceae</t>
  </si>
  <si>
    <t>Sodalis</t>
  </si>
  <si>
    <t>Sodalis ligni</t>
  </si>
  <si>
    <t>Bacteria;Pseudomonadota;Betaproteobacteria;Burkholderiales;Alcaligenaceae;Pusillimonas;Pusillimonas minor;</t>
  </si>
  <si>
    <t>Pusillimonas</t>
  </si>
  <si>
    <t>Pusillimonas minor</t>
  </si>
  <si>
    <t>Bacteria;Pseudomonadota;Alphaproteobacteria;Hyphomicrobiales;Phyllobacteriaceae;Aliihoeflea;Aliihoeflea sp. 40Bstr573;</t>
  </si>
  <si>
    <t>Aliihoeflea</t>
  </si>
  <si>
    <t>Aliihoeflea sp. 40Bstr573</t>
  </si>
  <si>
    <t>Bacteria;Bacillota;Clostridia;Lachnospirales;Lachnospiraceae;Anaerocolumna;Anaerocolumna sedimenticola;</t>
  </si>
  <si>
    <t>Anaerocolumna sedimenticola</t>
  </si>
  <si>
    <t>Bacteria;Pseudomonadota;Gammaproteobacteria;Steroidobacterales;Steroidobacteraceae;Steroidobacter;Steroidobacter agaridevorans;</t>
  </si>
  <si>
    <t>Steroidobacterales</t>
  </si>
  <si>
    <t>Steroidobacteraceae</t>
  </si>
  <si>
    <t>Steroidobacter</t>
  </si>
  <si>
    <t>Steroidobacter agaridevorans</t>
  </si>
  <si>
    <t>Bacteria;Bacteroidota;Sphingobacteriia;Sphingobacteriales;Sphingobacteriaceae;Hufsiella;Hufsiella arboris;</t>
  </si>
  <si>
    <t>Hufsiella</t>
  </si>
  <si>
    <t>Hufsiella arboris</t>
  </si>
  <si>
    <t>Bacteria;Bacteroidota;Sphingobacteriia;Sphingobacteriales;Sphingobacteriaceae;Hufsiella;Hufsiella ginkgonis;</t>
  </si>
  <si>
    <t>Hufsiella ginkgonis</t>
  </si>
  <si>
    <t>Bacteria;Bacteroidota;Sphingobacteriia;Sphingobacteriales;Sphingobacteriaceae;Mucilaginibacter;Mucilaginibacter agri;</t>
  </si>
  <si>
    <t>Mucilaginibacter agri</t>
  </si>
  <si>
    <t>Bacteria;Cyanobacteriota;Cyanophyceae;Oscillatoriales;Oscillatoriaceae;Oscillatoria;Oscillatoria sp. FACHB-1407;</t>
  </si>
  <si>
    <t>Oscillatoriaceae</t>
  </si>
  <si>
    <t>Oscillatoria</t>
  </si>
  <si>
    <t>Oscillatoria sp. FACHB-1407</t>
  </si>
  <si>
    <t>Bacteria;Cyanobacteriota;Cyanophyceae;Nostocales;Nostocaceae;Nostoc;Nostoc sp. FACHB-110;</t>
  </si>
  <si>
    <t>Nostoc sp. FACHB-110</t>
  </si>
  <si>
    <t>Bacteria;Cyanobacteriota;Cyanophyceae;Oscillatoriales;Microcoleaceae;Microcoleus;Microcoleus sp. FACHB-SPT15;</t>
  </si>
  <si>
    <t>Microcoleus sp. FACHB-SPT15</t>
  </si>
  <si>
    <t>Bacteria;Cyanobacteriota;Cyanophyceae;Leptolyngbyales;Leptolyngbyaceae;Leptolyngbya;Leptolyngbya sp. FACHB-261;</t>
  </si>
  <si>
    <t>Leptolyngbya sp. FACHB-261</t>
  </si>
  <si>
    <t>Bacteria;Pseudomonadota;Gammaproteobacteria;Cellvibrionales;Cellvibrionaceae;Pseudomaricurvus;Pseudomaricurvus sp. HS19;</t>
  </si>
  <si>
    <t>Cellvibrionales</t>
  </si>
  <si>
    <t>Cellvibrionaceae</t>
  </si>
  <si>
    <t>Pseudomaricurvus</t>
  </si>
  <si>
    <t>Pseudomaricurvus sp. HS19</t>
  </si>
  <si>
    <t>Bacteria;Pseudomonadota;Alphaproteobacteria;Sphingomonadales;Sphingomonadaceae;Novosphingobium;Novosphingobium silvae;</t>
  </si>
  <si>
    <t>Novosphingobium silvae</t>
  </si>
  <si>
    <t>Bacteria;Bacteroidota;Flavobacteriia;Flavobacteriales;Flavobacteriaceae;Flavobacterium;Flavobacterium ajazii;</t>
  </si>
  <si>
    <t>Flavobacterium ajazii</t>
  </si>
  <si>
    <t>Bacteria;Bacteroidota;Flavobacteriia;Flavobacteriales;Flavobacteriaceae;Flavobacterium;Flavobacterium sp. HBTb2-11-1;</t>
  </si>
  <si>
    <t>Flavobacterium sp. HBTb2-11-1</t>
  </si>
  <si>
    <t>Bacteria;Pseudomonadota;Betaproteobacteria;Burkholderiales;Comamonadaceae;Delftia;Delftia sp. CH05;</t>
  </si>
  <si>
    <t>Delftia sp. CH05</t>
  </si>
  <si>
    <t>Bacteria;Pseudomonadota;Betaproteobacteria;Burkholderiales;Oxalobacteraceae;Duganella;Duganella flavida;</t>
  </si>
  <si>
    <t>Duganella flavida</t>
  </si>
  <si>
    <t>Bacteria;Pseudomonadota;Betaproteobacteria;Burkholderiales;Oxalobacteraceae;Duganella;Duganella sp. CY15W;</t>
  </si>
  <si>
    <t>Duganella sp. CY15W</t>
  </si>
  <si>
    <t>Bacteria;Pseudomonadota;Betaproteobacteria;Burkholderiales;Oxalobacteraceae;Duganella;Duganella margarita;</t>
  </si>
  <si>
    <t>Duganella margarita</t>
  </si>
  <si>
    <t>Bacteria;Pseudomonadota;Betaproteobacteria;Burkholderiales;Oxalobacteraceae;Duganella;Duganella vulcania;</t>
  </si>
  <si>
    <t>Duganella vulcania</t>
  </si>
  <si>
    <t>Bacteria;Actinomycetota;Actinomycetes;Propionibacteriales;Nocardioidaceae;Nocardioides;Nocardioides flavescens;</t>
  </si>
  <si>
    <t>Nocardioides flavescens</t>
  </si>
  <si>
    <t>Bacteria;Pseudomonadota;Gammaproteobacteria;Lysobacterales;Lysobacteraceae;Stenotrophomonas;Stenotrophomonas sp. 364;</t>
  </si>
  <si>
    <t>Stenotrophomonas sp. 364</t>
  </si>
  <si>
    <t>Bacteria;Pseudomonadota;Betaproteobacteria;Burkholderiales;Burkholderiaceae;Polynucleobacter;Polynucleobacter sp. MWH-CaK5;</t>
  </si>
  <si>
    <t>Polynucleobacter sp. MWH-CaK5</t>
  </si>
  <si>
    <t>Bacteria;Pseudomonadota;Betaproteobacteria;Burkholderiales;Burkholderiaceae;Polynucleobacter;Polynucleobacter sp. AM-26B4;</t>
  </si>
  <si>
    <t>Polynucleobacter sp. AM-26B4</t>
  </si>
  <si>
    <t>Bacteria;Pseudomonadota;Betaproteobacteria;Burkholderiales;Burkholderiaceae;Polynucleobacter;Polynucleobacter sp. AM-7D1;</t>
  </si>
  <si>
    <t>Polynucleobacter sp. AM-7D1</t>
  </si>
  <si>
    <t>Bacteria;Pseudomonadota;Betaproteobacteria;Burkholderiales;Burkholderiaceae;Polynucleobacter;Polynucleobacter sp. 86C-FISCH;</t>
  </si>
  <si>
    <t>Polynucleobacter sp. 86C-FISCH</t>
  </si>
  <si>
    <t>Bacteria;Pseudomonadota;Betaproteobacteria;Burkholderiales;Burkholderiaceae;Polynucleobacter;Polynucleobacter sp. 73C-SIWE;</t>
  </si>
  <si>
    <t>Polynucleobacter sp. 73C-SIWE</t>
  </si>
  <si>
    <t>Bacteria;Pseudomonadota;Betaproteobacteria;Burkholderiales;Burkholderiaceae;Polynucleobacter;Polynucleobacter sp. 71A-WALBACH;</t>
  </si>
  <si>
    <t>Polynucleobacter sp. 71A-WALBACH</t>
  </si>
  <si>
    <t>Bacteria;Pseudomonadota;Betaproteobacteria;Burkholderiales;Burkholderiaceae;Polynucleobacter;Polynucleobacter sp. 30F-ANTBAC;</t>
  </si>
  <si>
    <t>Polynucleobacter sp. 30F-ANTBAC</t>
  </si>
  <si>
    <t>Bacteria;Pseudomonadota;Betaproteobacteria;Burkholderiales;Burkholderiaceae;Polynucleobacter;Polynucleobacter sp. 15G-AUS-farblos;</t>
  </si>
  <si>
    <t>Polynucleobacter sp. 15G-AUS-farblos</t>
  </si>
  <si>
    <t>Bacteria;Pseudomonadota;Alphaproteobacteria;Acetobacterales;Acetobacteraceae;Plastoroseomonas;Plastoroseomonas hellenica;</t>
  </si>
  <si>
    <t>Plastoroseomonas</t>
  </si>
  <si>
    <t>Plastoroseomonas hellenica</t>
  </si>
  <si>
    <t>Bacteria;Actinomycetota;Actinomycetes;Propionibacteriales;Nocardioidaceae;Nocardioides;Nocardioides ochotonae;</t>
  </si>
  <si>
    <t>Nocardioides ochotonae</t>
  </si>
  <si>
    <t>Bacteria;Bacteroidota;Sphingobacteriia;Sphingobacteriales;Sphingobacteriaceae;Mucilaginibacter;Mucilaginibacter lacusdianchii;</t>
  </si>
  <si>
    <t>Mucilaginibacter lacusdianchii</t>
  </si>
  <si>
    <t>Bacteria;Bacillota;Clostridia;Eubacteriales;Clostridiaceae;Anaeromonas;Anaeromonas frigoriresistens;</t>
  </si>
  <si>
    <t>Anaeromonas</t>
  </si>
  <si>
    <t>Anaeromonas frigoriresistens</t>
  </si>
  <si>
    <t>Bacteria;Pseudomonadota;Betaproteobacteria;Burkholderiales;Alcaligenaceae;Zwartia;Zwartia panacis;</t>
  </si>
  <si>
    <t>Zwartia panacis</t>
  </si>
  <si>
    <t>Bacteria;Pseudomonadota;Gammaproteobacteria;Pseudomonadales;Pseudomonadaceae;Pseudomonas;Pseudomonas sp. BC115LW;</t>
  </si>
  <si>
    <t>Pseudomonas sp. BC115LW</t>
  </si>
  <si>
    <t>Bacteria;Bacteroidota;Flavobacteriia;Flavobacteriales;Flavobacteriaceae;Cellulophaga;Cellulophaga sp. BC115SP;</t>
  </si>
  <si>
    <t>Cellulophaga</t>
  </si>
  <si>
    <t>Cellulophaga sp. BC115SP</t>
  </si>
  <si>
    <t>Bacteria;Pseudomonadota;Alphaproteobacteria;Caulobacterales;Caulobacteraceae;Caulobacter;Caulobacter sp. SLTY;</t>
  </si>
  <si>
    <t>Caulobacter sp. SLTY</t>
  </si>
  <si>
    <t>Bacteria;Bacteroidota;Cytophagia;Cytophagales;Leadbetterellaceae;Emticicia;Emticicia sp. CRIBPO;</t>
  </si>
  <si>
    <t>Emticicia sp. CRIBPO</t>
  </si>
  <si>
    <t>Bacteria;Bacillota;Clostridia;Eubacteriales;Clostridiaceae;Anaeromonas;Anaeromonas gelatinilytica;</t>
  </si>
  <si>
    <t>Anaeromonas gelatinilytica</t>
  </si>
  <si>
    <t>Bacteria;Bacteroidota;Cytophagia;Cytophagales;Hymenobacteraceae;Hymenobacter;Hymenobacter ginkgonis;</t>
  </si>
  <si>
    <t>Hymenobacter ginkgonis</t>
  </si>
  <si>
    <t>Bacteria;Pseudomonadota;Alphaproteobacteria;Rickettsiales;Anaplasmataceae;Wolbachia;Wolbachia endosymbiont of Atemnus politus;</t>
  </si>
  <si>
    <t>Rickettsiales</t>
  </si>
  <si>
    <t>Anaplasmataceae</t>
  </si>
  <si>
    <t>Wolbachia</t>
  </si>
  <si>
    <t>Wolbachia endosymbiont of Atemnus politus</t>
  </si>
  <si>
    <t>Bacteria;Pseudomonadota;Alphaproteobacteria;Sphingomonadales;Sphingomonadaceae;Novosphingobium;Novosphingobium aquimarinum;</t>
  </si>
  <si>
    <t>Novosphingobium aquimarinum</t>
  </si>
  <si>
    <t>Bacteria;Bacteroidota;Flavobacteriia;Flavobacteriales;Flavobacteriaceae;Mariniflexile;Mariniflexile maritimum;</t>
  </si>
  <si>
    <t>Mariniflexile</t>
  </si>
  <si>
    <t>Mariniflexile maritimum</t>
  </si>
  <si>
    <t>Bacteria;Pseudomonadota;Alphaproteobacteria;Sphingomonadales;Sphingomonadaceae;Novosphingobium;Novosphingobium sp. TCA1;</t>
  </si>
  <si>
    <t>Novosphingobium sp. TCA1</t>
  </si>
  <si>
    <t>Bacteria;Bacteroidota;Cytophagia;Cytophagales;Cytophagaceae;Spirosoma;Spirosoma arboris;</t>
  </si>
  <si>
    <t>Spirosoma arboris</t>
  </si>
  <si>
    <t>Bacteria;Bacteroidota;Sphingobacteriia;Sphingobacteriales;Sphingobacteriaceae;Mucilaginibacter;Mucilaginibacter ginkgonis;</t>
  </si>
  <si>
    <t>Mucilaginibacter ginkgonis</t>
  </si>
  <si>
    <t>Bacteria;Bacteroidota;Sphingobacteriia;Sphingobacteriales;Sphingobacteriaceae;Mucilaginibacter;Mucilaginibacter arboris;</t>
  </si>
  <si>
    <t>Mucilaginibacter arboris</t>
  </si>
  <si>
    <t>Bacteria;Pseudomonadota;Gammaproteobacteria;Enterobacterales;Erwiniaceae;Erwinia;Erwinia sorbitola;</t>
  </si>
  <si>
    <t>Erwinia sorbitola</t>
  </si>
  <si>
    <t>Bacteria;Pseudomonadota;Alphaproteobacteria;Sphingomonadales;Sphingomonadaceae;Sphingomonas;Sphingomonas profundi;</t>
  </si>
  <si>
    <t>Sphingomonas profundi</t>
  </si>
  <si>
    <t>Bacteria;Pseudomonadota;Alphaproteobacteria;Hyphomicrobiales;Phyllobacteriaceae;Chelativorans;Chelativorans xinjiangense;</t>
  </si>
  <si>
    <t>Chelativorans</t>
  </si>
  <si>
    <t>Chelativorans xinjiangense</t>
  </si>
  <si>
    <t>Bacteria;Pseudomonadota;Alphaproteobacteria;Hyphomicrobiales;Rhizobiaceae;Rhizobium;Rhizobium sp. 18065;</t>
  </si>
  <si>
    <t>Rhizobium sp. 18065</t>
  </si>
  <si>
    <t>Bacteria;Actinomycetota;Actinomycetes;Micrococcales;Microbacteriaceae;Microbacterium;Microbacterium sp. 18062;</t>
  </si>
  <si>
    <t>Microbacterium sp. 18062</t>
  </si>
  <si>
    <t>Bacteria;Pseudomonadota;Alphaproteobacteria;Hyphomicrobiales;Rhizobiaceae;Rhizobium;Rhizobium sp. 18055;</t>
  </si>
  <si>
    <t>Rhizobium sp. 18055</t>
  </si>
  <si>
    <t>Bacteria;Bacillota;Bacilli;Lactobacillales;Enterococcaceae;Enterococcus;Enterococcus sp. CSURQ0835;</t>
  </si>
  <si>
    <t>Enterococcus sp. CSURQ0835</t>
  </si>
  <si>
    <t>Bacteria;Actinomycetota;Actinomycetes;Micrococcales;Microbacteriaceae;Pseudolysinimonas;Pseudolysinimonas sp.;</t>
  </si>
  <si>
    <t>Pseudolysinimonas sp.</t>
  </si>
  <si>
    <t>Bacteria;Bacteroidota;Sphingobacteriia;Sphingobacteriales;Sphingobacteriaceae;Pedobacter;Pedobacter planticolens;</t>
  </si>
  <si>
    <t>Pedobacter planticolens</t>
  </si>
  <si>
    <t>Bacteria;Bacteroidota;Sphingobacteriia;Sphingobacteriales;Sphingobacteriaceae;Pedobacter;Pedobacter gandavensis;</t>
  </si>
  <si>
    <t>Pedobacter gandavensis</t>
  </si>
  <si>
    <t>Bacteria;Pseudomonadota;Betaproteobacteria;Burkholderiales;Comamonadaceae;Pulveribacter;Pulveribacter sp.;</t>
  </si>
  <si>
    <t>Pulveribacter</t>
  </si>
  <si>
    <t>Pulveribacter sp.</t>
  </si>
  <si>
    <t>Bacteria;Pseudomonadota;Alphaproteobacteria;Hyphomicrobiales;Phyllobacteriaceae;Mesorhizobium;Mesorhizobium xinjiangense;</t>
  </si>
  <si>
    <t>Mesorhizobium xinjiangense</t>
  </si>
  <si>
    <t>Bacteria;Bacteroidota;Chitinophagia;Chitinophagales;Chitinophagaceae;Phnomibacter;Phnomibacter ginsenosidimutans;</t>
  </si>
  <si>
    <t>Phnomibacter</t>
  </si>
  <si>
    <t>Phnomibacter ginsenosidimutans</t>
  </si>
  <si>
    <t>Bacteria;Pseudomonadota;Alphaproteobacteria;Sphingomonadales;Sphingomonadaceae;Aquisediminimonas;Aquisediminimonas sediminicola;</t>
  </si>
  <si>
    <t>Aquisediminimonas</t>
  </si>
  <si>
    <t>Aquisediminimonas sediminicola</t>
  </si>
  <si>
    <t>Bacteria;Bacteroidota;Flavobacteriia;Flavobacteriales;Flavobacteriaceae;Flavobacterium;Flavobacterium sp. MC2016-06;</t>
  </si>
  <si>
    <t>Flavobacterium sp. MC2016-06</t>
  </si>
  <si>
    <t>Bacteria;Bacteroidota;Flavobacteriia;Flavobacteriales;Flavobacteriaceae;Flavobacterium;Flavobacterium sp. LC2016-01;</t>
  </si>
  <si>
    <t>Flavobacterium sp. LC2016-01</t>
  </si>
  <si>
    <t>Bacteria;Pseudomonadota;Alphaproteobacteria;Rhodobacterales;Paracoccaceae;Paracoccus;Paracoccus shanxieyensis;</t>
  </si>
  <si>
    <t>Paracoccus shanxieyensis</t>
  </si>
  <si>
    <t>Bacteria;Actinomycetota;Actinomycetes;Mycobacteriales;Mycobacteriaceae;Mycobacterium;Mycobacterium sp. DL592;</t>
  </si>
  <si>
    <t>Mycobacterium sp. DL592</t>
  </si>
  <si>
    <t>Bacteria;Pseudomonadota;Gammaproteobacteria;Enterobacterales;Yersiniaceae;Serratia;Serratia microhaemolytica;</t>
  </si>
  <si>
    <t>Serratia microhaemolytica</t>
  </si>
  <si>
    <t>Bacteria;Bacteroidota;Flavobacteriia;Flavobacteriales;Weeksellaceae;Chryseobacterium;Chryseobacterium fistulae;</t>
  </si>
  <si>
    <t>Chryseobacterium fistulae</t>
  </si>
  <si>
    <t>Bacteria;Bacteroidota;Sphingobacteriia;Sphingobacteriales;Sphingobacteriaceae;Mucilaginibacter;Mucilaginibacter endophyticus;</t>
  </si>
  <si>
    <t>Mucilaginibacter endophyticus</t>
  </si>
  <si>
    <t>Bacteria;Bacillota;Bacilli;Bacillales;Paenibacillaceae;Cohnella;Cohnella candidum;</t>
  </si>
  <si>
    <t>Cohnella candidum</t>
  </si>
  <si>
    <t>Bacteria;Actinomycetota;Actinomycetes;Micrococcales;Promicromonosporaceae;Cellulosimicrobium;Cellulosimicrobium composti;</t>
  </si>
  <si>
    <t>Cellulosimicrobium composti</t>
  </si>
  <si>
    <t>Bacteria;Pseudomonadota;Alphaproteobacteria;Rhodobacterales;Paracoccaceae;Tabrizicola;Tabrizicola thermarum;</t>
  </si>
  <si>
    <t>Tabrizicola thermarum</t>
  </si>
  <si>
    <t>Bacteria;Pseudomonadota;Alphaproteobacteria;Hyphomicrobiales;Phyllobacteriaceae;Phyllobacterium;Phyllobacterium phragmitis;</t>
  </si>
  <si>
    <t>Phyllobacterium</t>
  </si>
  <si>
    <t>Phyllobacterium phragmitis</t>
  </si>
  <si>
    <t>Bacteria;Actinomycetota;Actinomycetes;Micrococcales;Microbacteriaceae;Glaciihabitans;Glaciihabitans arcticus;</t>
  </si>
  <si>
    <t>Glaciihabitans arcticus</t>
  </si>
  <si>
    <t>Bacteria;Bacteroidota;Flavobacteriia;Flavobacteriales;Flavobacteriaceae;Flavobacterium;Flavobacterium sp. LC2016-23;</t>
  </si>
  <si>
    <t>Flavobacterium sp. LC2016-23</t>
  </si>
  <si>
    <t>Bacteria;Pseudomonadota;Gammaproteobacteria;Pseudomonadales;Pseudomonadaceae;Pseudomonas;Pseudomonas juntendi;</t>
  </si>
  <si>
    <t>Pseudomonas juntendi</t>
  </si>
  <si>
    <t>Bacteria;Actinomycetota;Actinomycetes;Micrococcales;Microbacteriaceae;Agromyces;Agromyces kandeliae;</t>
  </si>
  <si>
    <t>Agromyces kandeliae</t>
  </si>
  <si>
    <t>Bacteria;Bacteroidota;Sphingobacteriia;Sphingobacteriales;Sphingobacteriaceae;Pedobacter;Pedobacter puniceum;</t>
  </si>
  <si>
    <t>Pedobacter puniceum</t>
  </si>
  <si>
    <t>Bacteria;Pseudomonadota;Betaproteobacteria;Burkholderiales;Oxalobacteraceae;Duganella;Duganella guangzhouensis;</t>
  </si>
  <si>
    <t>Duganella guangzhouensis</t>
  </si>
  <si>
    <t>Bacteria;Pseudomonadota;Betaproteobacteria;Burkholderiales;Oxalobacteraceae;Duganella;Duganella rivi;</t>
  </si>
  <si>
    <t>Duganella rivi</t>
  </si>
  <si>
    <t>Bacteria;Pseudomonadota;Betaproteobacteria;Burkholderiales;Oxalobacteraceae;Duganella;Duganella aquatilis;</t>
  </si>
  <si>
    <t>Duganella aquatilis</t>
  </si>
  <si>
    <t>Bacteria;Pseudomonadota;Betaproteobacteria;Burkholderiales;Oxalobacteraceae;Duganella;Duganella alba;</t>
  </si>
  <si>
    <t>Duganella alba</t>
  </si>
  <si>
    <t>Bacteria;Pseudomonadota;Alphaproteobacteria;Rhodobacterales;Paracoccaceae;Paracoccus;Paracoccus sp. S-4012;</t>
  </si>
  <si>
    <t>Paracoccus sp. S-4012</t>
  </si>
  <si>
    <t>Bacteria;Bacteroidota;Flavobacteriia;Flavobacteriales;Flavobacteriaceae;Flavobacterium;Flavobacterium sp. SLB02;</t>
  </si>
  <si>
    <t>Flavobacterium sp. SLB02</t>
  </si>
  <si>
    <t>Bacteria;Bacillota;Clostridia;Eubacteriales;Clostridiaceae;Clostridium;Clostridium chrysemydis;</t>
  </si>
  <si>
    <t>Clostridium chrysemydis</t>
  </si>
  <si>
    <t>Bacteria;Actinomycetota;Actinomycetes;Micrococcales;Microbacteriaceae;Microbacterium;Microbacterium sp. SYP-A9085;</t>
  </si>
  <si>
    <t>Microbacterium sp. SYP-A9085</t>
  </si>
  <si>
    <t>Bacteria;Bacteroidota;Chitinophagia;Chitinophagales;Chitinophagaceae;Niastella;Niastella sp. OAS944;</t>
  </si>
  <si>
    <t>Niastella</t>
  </si>
  <si>
    <t>Niastella sp. OAS944</t>
  </si>
  <si>
    <t>Bacteria;Pseudomonadota;Alphaproteobacteria;Hyphomicrobiales;Boseaceae;Bosea;Bosea sp. OAE506;</t>
  </si>
  <si>
    <t>Bosea sp. OAE506</t>
  </si>
  <si>
    <t>Bacteria;Actinomycetota;Actinomycetes;Propionibacteriales;Nocardioidaceae;Nocardioides;Nocardioides marmotae;</t>
  </si>
  <si>
    <t>Nocardioides marmotae</t>
  </si>
  <si>
    <t>Bacteria;Pseudomonadota;Alphaproteobacteria;Hyphomicrobiales;Rhizobiaceae;Rhizobium;Rhizobium sp. OAE497;</t>
  </si>
  <si>
    <t>Rhizobium sp. OAE497</t>
  </si>
  <si>
    <t>Bacteria;Pseudomonadota;Alphaproteobacteria;Caulobacterales;Caulobacteraceae;Brevundimonas;Brevundimonas sp. SPF441;</t>
  </si>
  <si>
    <t>Brevundimonas sp. SPF441</t>
  </si>
  <si>
    <t>Bacteria;Bacillota;Bacilli;Bacillales;Bacillaceae;Virgibacillus;Virgibacillus sp. YIM 98842;</t>
  </si>
  <si>
    <t>Virgibacillus</t>
  </si>
  <si>
    <t>Virgibacillus sp. YIM 98842</t>
  </si>
  <si>
    <t>Bacteria;Bacillota;Bacilli;Bacillales;Bacillaceae;Gracilibacillus;Gracilibacillus sp. YIM 98692;</t>
  </si>
  <si>
    <t>Gracilibacillus</t>
  </si>
  <si>
    <t>Gracilibacillus sp. YIM 98692</t>
  </si>
  <si>
    <t>Bacteria;Actinomycetota;Thermoleophilia;Gaiellales;Gaiellaceae;Gaiella;Gaiella sp.;</t>
  </si>
  <si>
    <t>Gaiellales</t>
  </si>
  <si>
    <t>Gaiellaceae</t>
  </si>
  <si>
    <t>Gaiella</t>
  </si>
  <si>
    <t>Gaiella sp.</t>
  </si>
  <si>
    <t>Bacteria;Pseudomonadota;Alphaproteobacteria;Hyphomicrobiales;Rhizobiaceae;Endobacterium;Endobacterium cereale;</t>
  </si>
  <si>
    <t>Endobacterium</t>
  </si>
  <si>
    <t>Endobacterium cereale</t>
  </si>
  <si>
    <t>Bacteria;Actinomycetota;Actinomycetes;Micrococcales;Microbacteriaceae;Agromyces;Agromyces seonyuensis;</t>
  </si>
  <si>
    <t>Agromyces seonyuensis</t>
  </si>
  <si>
    <t>Bacteria;Bacillota;Clostridia;Eubacteriales;NA;Anaerotalea;Anaerotalea alkaliphila;</t>
  </si>
  <si>
    <t>Anaerotalea</t>
  </si>
  <si>
    <t>Anaerotalea alkaliphila</t>
  </si>
  <si>
    <t>Bacteria;Planctomycetota;Planctomycetia;Pirellulales;Pirellulaceae;Roseimaritima;Roseimaritima sediminicola;</t>
  </si>
  <si>
    <t>Pirellulales</t>
  </si>
  <si>
    <t>Pirellulaceae</t>
  </si>
  <si>
    <t>Roseimaritima</t>
  </si>
  <si>
    <t>Roseimaritima sediminicola</t>
  </si>
  <si>
    <t>Bacteria;Pseudomonadota;Alphaproteobacteria;Rhodobacterales;Paracoccaceae;Fertoeibacter;Fertoeibacter niger;</t>
  </si>
  <si>
    <t>Fertoeibacter</t>
  </si>
  <si>
    <t>Fertoeibacter niger</t>
  </si>
  <si>
    <t>Bacteria;Bacteroidota;Chitinophagia;Chitinophagales;Chitinophagaceae;Limnovirga;Limnovirga soli;</t>
  </si>
  <si>
    <t>Limnovirga</t>
  </si>
  <si>
    <t>Limnovirga soli</t>
  </si>
  <si>
    <t>Bacteria;Pseudomonadota;Gammaproteobacteria;Lysobacterales;Lysobacteraceae;Stenotrophomonas;Stenotrophomonas nematodicola;</t>
  </si>
  <si>
    <t>Stenotrophomonas nematodicola</t>
  </si>
  <si>
    <t>Bacteria;Bacillota;Bacilli;Bacillales;Paenibacillaceae;Paenibacillus;Paenibacillus phytohabitans;</t>
  </si>
  <si>
    <t>Paenibacillus phytohabitans</t>
  </si>
  <si>
    <t>Bacteria;Bacillota;Bacilli;Bacillales;Paenibacillaceae;Paenibacillus;Paenibacillus plantarum;</t>
  </si>
  <si>
    <t>Paenibacillus plantarum</t>
  </si>
  <si>
    <t>Bacteria;Bacteroidota;Flavobacteriia;Flavobacteriales;Flavobacteriaceae;Flagellimonas;Flagellimonas sp. CMM7;</t>
  </si>
  <si>
    <t>Flagellimonas</t>
  </si>
  <si>
    <t>Flagellimonas sp. CMM7</t>
  </si>
  <si>
    <t>Bacteria;Bacteroidota;Sphingobacteriia;Sphingobacteriales;Sphingobacteriaceae;Sphingobacterium;Sphingobacterium sp. xlx-130;</t>
  </si>
  <si>
    <t>Sphingobacterium sp. xlx-130</t>
  </si>
  <si>
    <t>Bacteria;Bacteroidota;Sphingobacteriia;Sphingobacteriales;Sphingobacteriaceae;Sphingobacterium;Sphingobacterium sp. xlx-96;</t>
  </si>
  <si>
    <t>Sphingobacterium sp. xlx-96</t>
  </si>
  <si>
    <t>Bacteria;Pseudomonadota;Alphaproteobacteria;Hyphomicrobiales;Methylocystaceae;Methylocystis;Methylocystis sp. MJC1;</t>
  </si>
  <si>
    <t>Methylocystis</t>
  </si>
  <si>
    <t>Methylocystis sp. MJC1</t>
  </si>
  <si>
    <t>Bacteria;Pseudomonadota;Betaproteobacteria;Burkholderiales;Oxalobacteraceae;Janthinobacterium;Janthinobacterium sp. FT58W;</t>
  </si>
  <si>
    <t>Janthinobacterium sp. FT58W</t>
  </si>
  <si>
    <t>Bacteria;Pseudomonadota;Alphaproteobacteria;Hyphomicrobiales;Phyllobacteriaceae;Mesorhizobium;Mesorhizobium sp. INR15;</t>
  </si>
  <si>
    <t>Mesorhizobium sp. INR15</t>
  </si>
  <si>
    <t>Bacteria;Pseudomonadota;Alphaproteobacteria;Hyphomicrobiales;Rhizobiaceae;Shinella;Shinella lacus;</t>
  </si>
  <si>
    <t>Shinella lacus</t>
  </si>
  <si>
    <t>Bacteria;Pseudomonadota;Gammaproteobacteria;Enterobacterales;Erwiniaceae;Pantoea;Pantoea sp. BAV 3049;</t>
  </si>
  <si>
    <t>Pantoea sp. BAV 3049</t>
  </si>
  <si>
    <t>Bacteria;Bacteroidota;Sphingobacteriia;Sphingobacteriales;Sphingobacteriaceae;Sphingobacterium;Sphingobacterium luzhongxinii;</t>
  </si>
  <si>
    <t>Sphingobacterium luzhongxinii</t>
  </si>
  <si>
    <t>Bacteria;Pseudomonadota;Betaproteobacteria;Burkholderiales;NA;Xylophilus;Xylophilus sp.;</t>
  </si>
  <si>
    <t>Xylophilus sp.</t>
  </si>
  <si>
    <t>Bacteria;Planctomycetota;Planctomycetia;Isosphaerales;Isosphaeraceae;Tautonia;Tautonia marina;</t>
  </si>
  <si>
    <t>Tautonia</t>
  </si>
  <si>
    <t>Tautonia marina</t>
  </si>
  <si>
    <t>Bacteria;Pseudomonadota;Gammaproteobacteria;Pseudomonadales;Pseudomonadaceae;Pseudomonas;Pseudomonas sp. SCB32;</t>
  </si>
  <si>
    <t>Pseudomonas sp. SCB32</t>
  </si>
  <si>
    <t>Bacteria;Cyanobacteriota;Cyanophyceae;Chroococcidiopsidales;Chroococcidiopsidaceae;Chroococcidiopsis;Chroococcidiopsis sp. CCNUC1;</t>
  </si>
  <si>
    <t>Chroococcidiopsidales</t>
  </si>
  <si>
    <t>Chroococcidiopsidaceae</t>
  </si>
  <si>
    <t>Chroococcidiopsis</t>
  </si>
  <si>
    <t>Chroococcidiopsis sp. CCNUC1</t>
  </si>
  <si>
    <t>Bacteria;Pseudomonadota;Gammaproteobacteria;Pseudomonadales;Pseudomonadaceae;Pseudomonas;Pseudomonas sp. 9AZ;</t>
  </si>
  <si>
    <t>Pseudomonas sp. 9AZ</t>
  </si>
  <si>
    <t>Bacteria;Pseudomonadota;Gammaproteobacteria;Pseudomonadales;Pseudomonadaceae;Pseudomonas;Pseudomonas sp. 8AS;</t>
  </si>
  <si>
    <t>Pseudomonas sp. 8AS</t>
  </si>
  <si>
    <t>Bacteria;Pseudomonadota;Alphaproteobacteria;Sphingomonadales;Sphingomonadaceae;Novosphingobium;Novosphingobium sp. 9U;</t>
  </si>
  <si>
    <t>Novosphingobium sp. 9U</t>
  </si>
  <si>
    <t>Bacteria;Pseudomonadota;Betaproteobacteria;Burkholderiales;Oxalobacteraceae;Massilia;Massilia sp. 9I;</t>
  </si>
  <si>
    <t>Massilia sp. 9I</t>
  </si>
  <si>
    <t>Bacteria;Actinomycetota;Actinomycetes;Propionibacteriales;Nocardioidaceae;Aeromicrobium;Aeromicrobium sp. 9AM;</t>
  </si>
  <si>
    <t>Aeromicrobium sp. 9AM</t>
  </si>
  <si>
    <t>Bacteria;Bacillota;Clostridia;Eubacteriales;Clostridiaceae;Inconstantimicrobium;Inconstantimicrobium porci;</t>
  </si>
  <si>
    <t>Inconstantimicrobium</t>
  </si>
  <si>
    <t>Inconstantimicrobium porci</t>
  </si>
  <si>
    <t>Bacteria;Pseudomonadota;Alphaproteobacteria;Rhodobacterales;Paracoccaceae;Gemmobacter;Gemmobacter serpentinus;</t>
  </si>
  <si>
    <t>Gemmobacter serpentinus</t>
  </si>
  <si>
    <t>Bacteria;Pseudomonadota;Betaproteobacteria;Burkholderiales;Alcaligenaceae;Pelistega;Pelistega ratti;</t>
  </si>
  <si>
    <t>Pelistega</t>
  </si>
  <si>
    <t>Pelistega ratti</t>
  </si>
  <si>
    <t>Bacteria;Pseudomonadota;Betaproteobacteria;Burkholderiales;Comamonadaceae;Hydrogenophaga;Hydrogenophaga sp. BPS33;</t>
  </si>
  <si>
    <t>Hydrogenophaga sp. BPS33</t>
  </si>
  <si>
    <t>Bacteria;Pseudomonadota;Alphaproteobacteria;Hyphomicrobiales;Aestuariivirgaceae;Aestuariivirga;Aestuariivirga sp.;</t>
  </si>
  <si>
    <t>Aestuariivirgaceae</t>
  </si>
  <si>
    <t>Aestuariivirga</t>
  </si>
  <si>
    <t>Aestuariivirga sp.</t>
  </si>
  <si>
    <t>Bacteria;Pseudomonadota;Alphaproteobacteria;Hyphomicrobiales;Aestuariivirgaceae;Aestuariivirga;Aestuariivirga litoralis;</t>
  </si>
  <si>
    <t>Aestuariivirga litoralis</t>
  </si>
  <si>
    <t>Bacteria;Actinomycetota;Actinomycetes;Jiangellales;Jiangellaceae;Phytoactinopolyspora;Phytoactinopolyspora mesophila;</t>
  </si>
  <si>
    <t>Phytoactinopolyspora mesophila</t>
  </si>
  <si>
    <t>Bacteria;Pseudomonadota;Alphaproteobacteria;Rhodobacterales;Roseobacteraceae;Roseicyclus;Roseicyclus persicicus;</t>
  </si>
  <si>
    <t>Roseicyclus</t>
  </si>
  <si>
    <t>Roseicyclus persicicus</t>
  </si>
  <si>
    <t>Bacteria;Actinomycetota;Actinomycetes;Micrococcales;Microbacteriaceae;Microbacterium;Microbacterium algeriense;</t>
  </si>
  <si>
    <t>Microbacterium algeriense</t>
  </si>
  <si>
    <t>Bacteria;Pseudomonadota;Gammaproteobacteria;Oceanospirillales;Oceanospirillaceae;Nitrincola;Nitrincola iocasae;</t>
  </si>
  <si>
    <t>Nitrincola</t>
  </si>
  <si>
    <t>Nitrincola iocasae</t>
  </si>
  <si>
    <t>Bacteria;Actinomycetota;Actinomycetes;Micrococcales;Microbacteriaceae;Microbacterium;Microbacterium caowuchunii;</t>
  </si>
  <si>
    <t>Microbacterium caowuchunii</t>
  </si>
  <si>
    <t>Bacteria;Bacteroidota;Flavobacteriia;Flavobacteriales;Flavobacteriaceae;Flavobacterium;Flavobacterium sp. LPB0248;</t>
  </si>
  <si>
    <t>Flavobacterium sp. LPB0248</t>
  </si>
  <si>
    <t>Bacteria;Pseudomonadota;Alphaproteobacteria;Hyphomicrobiales;Rhizobiaceae;Sinorhizobium;Sinorhizobium sp. BG8;</t>
  </si>
  <si>
    <t>Sinorhizobium</t>
  </si>
  <si>
    <t>Sinorhizobium sp. BG8</t>
  </si>
  <si>
    <t>Bacteria;Pseudomonadota;Betaproteobacteria;Burkholderiales;Comamonadaceae;Hydrogenophaga;Hydrogenophaga aromaticivorans;</t>
  </si>
  <si>
    <t>Hydrogenophaga aromaticivorans</t>
  </si>
  <si>
    <t>Bacteria;Pseudomonadota;Gammaproteobacteria;Pseudomonadales;Pseudomonadaceae;Pseudomonas;Pseudomonas sp. L-22-4S-12;</t>
  </si>
  <si>
    <t>Pseudomonas sp. L-22-4S-12</t>
  </si>
  <si>
    <t>Bacteria;Pseudomonadota;Gammaproteobacteria;Pseudomonadales;Pseudomonadaceae;Pseudomonas;Pseudomonas akapageensis;</t>
  </si>
  <si>
    <t>Pseudomonas akapageensis</t>
  </si>
  <si>
    <t>Bacteria;Pseudomonadota;Betaproteobacteria;Ferrovales;Ferrovaceae;Ferrovum;Ferrovum sp.;</t>
  </si>
  <si>
    <t>Ferrovales</t>
  </si>
  <si>
    <t>Ferrovaceae</t>
  </si>
  <si>
    <t>Ferrovum</t>
  </si>
  <si>
    <t>Ferrovum sp.</t>
  </si>
  <si>
    <t>Bacteria;Actinomycetota;Actinomycetes;Micrococcales;Microbacteriaceae;Rathayibacter;Rathayibacter sp. VKM Ac-2760;</t>
  </si>
  <si>
    <t>Rathayibacter sp. VKM Ac-2760</t>
  </si>
  <si>
    <t>Bacteria;Pseudomonadota;Betaproteobacteria;Burkholderiales;Oxalobacteraceae;Massilia;Massilia aquatica;</t>
  </si>
  <si>
    <t>Massilia aquatica</t>
  </si>
  <si>
    <t>Bacteria;Pseudomonadota;Alphaproteobacteria;Hyphomicrobiales;Segnochrobactraceae;Segnochrobactrum;Segnochrobactrum spirostomi;</t>
  </si>
  <si>
    <t>Segnochrobactrum</t>
  </si>
  <si>
    <t>Segnochrobactrum spirostomi</t>
  </si>
  <si>
    <t>Bacteria;Bacillota;Bacilli;Bacillales;Bacillaceae;Bacillus;Bacillus sp. SRB3LM;</t>
  </si>
  <si>
    <t>Bacillus sp. SRB3LM</t>
  </si>
  <si>
    <t>Bacteria;Pseudomonadota;Betaproteobacteria;Burkholderiales;Comamonadaceae;Comamonas;Comamonas sp. Tr-654;</t>
  </si>
  <si>
    <t>Comamonas sp. Tr-654</t>
  </si>
  <si>
    <t>Bacteria;Bacteroidota;Chitinophagia;Chitinophagales;Chitinophagaceae;Taibaiella;Taibaiella lutea;</t>
  </si>
  <si>
    <t>Taibaiella</t>
  </si>
  <si>
    <t>Taibaiella lutea</t>
  </si>
  <si>
    <t>Bacteria;Cyanobacteriota;Cyanophyceae;Oscillatoriales;Oscillatoriaceae;Moorena;Moorena sp. SIO3F7;</t>
  </si>
  <si>
    <t>Moorena</t>
  </si>
  <si>
    <t>Moorena sp. SIO3F7</t>
  </si>
  <si>
    <t>Bacteria;Cyanobacteriota;Cyanophyceae;Oscillatoriales;Oscillatoriaceae;Moorena;Moorena sp. SIO3I6;</t>
  </si>
  <si>
    <t>Moorena sp. SIO3I6</t>
  </si>
  <si>
    <t>Bacteria;Cyanobacteriota;Cyanophyceae;Oscillatoriales;Oscillatoriaceae;Moorena;Moorena sp. SIO3B2;</t>
  </si>
  <si>
    <t>Moorena sp. SIO3B2</t>
  </si>
  <si>
    <t>Bacteria;Cyanobacteriota;Cyanophyceae;Oscillatoriales;Oscillatoriaceae;Moorena;Moorena sp. SIOASIH;</t>
  </si>
  <si>
    <t>Moorena sp. SIOASIH</t>
  </si>
  <si>
    <t>Bacteria;Bacteroidota;Cytophagia;Cytophagales;Spirosomataceae;Larkinella;Larkinella humicola;</t>
  </si>
  <si>
    <t>Larkinella</t>
  </si>
  <si>
    <t>Larkinella humicola</t>
  </si>
  <si>
    <t>Bacteria;Bacteroidota;Chitinophagia;Chitinophagales;Chitinophagaceae;Chitinophaga;Chitinophaga agrisoli;</t>
  </si>
  <si>
    <t>Chitinophaga agrisoli</t>
  </si>
  <si>
    <t>Bacteria;Bacillota;Tissierellia;Tissierellales;Tissierellaceae;Tissierella;Tissierella pigra;</t>
  </si>
  <si>
    <t>Tissierella pigra</t>
  </si>
  <si>
    <t>Bacteria;Pseudomonadota;Alphaproteobacteria;Hyphomicrobiales;Aurantimonadaceae;Antarcticirhabdus;Antarcticirhabdus aurantiaca;</t>
  </si>
  <si>
    <t>Antarcticirhabdus</t>
  </si>
  <si>
    <t>Antarcticirhabdus aurantiaca</t>
  </si>
  <si>
    <t>Bacteria;Bacteroidota;Cytophagia;Cytophagales;Spirosomataceae;Dyadobacter;Dyadobacter sp. 3J3;</t>
  </si>
  <si>
    <t>Dyadobacter sp. 3J3</t>
  </si>
  <si>
    <t>Bacteria;Bacteroidota;Flavobacteriia;Flavobacteriales;Weeksellaceae;Chryseobacterium;Chryseobacterium sp. SN22;</t>
  </si>
  <si>
    <t>Chryseobacterium sp. SN22</t>
  </si>
  <si>
    <t>Bacteria;Pseudomonadota;Alphaproteobacteria;Sphingomonadales;Sphingomonadaceae;Sphingomonas;Sphingomonas montanisoli;</t>
  </si>
  <si>
    <t>Sphingomonas montanisoli</t>
  </si>
  <si>
    <t>Bacteria;Pseudomonadota;Betaproteobacteria;Burkholderiales;Comamonadaceae;Comamonas;Comamonas suwonensis;</t>
  </si>
  <si>
    <t>Comamonas suwonensis</t>
  </si>
  <si>
    <t>Bacteria;Bacillota;Clostridia;Eubacteriales;Clostridiaceae;Clostridium;Clostridium porci;</t>
  </si>
  <si>
    <t>Clostridium porci</t>
  </si>
  <si>
    <t>Bacteria;Bacillota;Clostridia;Eubacteriales;Clostridiaceae;Clostridium;Clostridium sp. WB02_MRS01;</t>
  </si>
  <si>
    <t>Clostridium sp. WB02_MRS01</t>
  </si>
  <si>
    <t>Bacteria;Pseudomonadota;Betaproteobacteria;Burkholderiales;Oxalobacteraceae;Herbaspirillum;Herbaspirillum sp. CAH-3;</t>
  </si>
  <si>
    <t>Herbaspirillum sp. CAH-3</t>
  </si>
  <si>
    <t>Bacteria;Pseudomonadota;Betaproteobacteria;Burkholderiales;Comamonadaceae;Comamonas;Comamonas sp. CAH-2;</t>
  </si>
  <si>
    <t>Comamonas sp. CAH-2</t>
  </si>
  <si>
    <t>Bacteria;Actinomycetota;Actinomycetes;Micrococcales;Microbacteriaceae;Agromyces;Agromyces mariniharenae;</t>
  </si>
  <si>
    <t>Agromyces mariniharenae</t>
  </si>
  <si>
    <t>Bacteria;Pseudomonadota;Alphaproteobacteria;Hyphomicrobiales;Methylobacteriaceae;Methylobacterium;Methylobacterium sp. WL7;</t>
  </si>
  <si>
    <t>Methylobacterium</t>
  </si>
  <si>
    <t>Methylobacterium sp. WL7</t>
  </si>
  <si>
    <t>Bacteria;Pseudomonadota;Alphaproteobacteria;Hyphomicrobiales;Methylobacteriaceae;Methylobacterium;Methylobacterium sp. WL64;</t>
  </si>
  <si>
    <t>Methylobacterium sp. WL64</t>
  </si>
  <si>
    <t>Bacteria;Pseudomonadota;Betaproteobacteria;Burkholderiales;Oxalobacteraceae;Lacisediminimonas;Lacisediminimonas profundi;</t>
  </si>
  <si>
    <t>Lacisediminimonas profundi</t>
  </si>
  <si>
    <t>Bacteria;Pseudomonadota;Betaproteobacteria;Burkholderiales;Burkholderiaceae;Paraburkholderia;Paraburkholderia panacisoli;</t>
  </si>
  <si>
    <t>Paraburkholderia panacisoli</t>
  </si>
  <si>
    <t>Bacteria;Actinomycetota;Actinomycetes;Micrococcales;Microbacteriaceae;Microbacterium;Microbacterium sp. CBA3102;</t>
  </si>
  <si>
    <t>Microbacterium sp. CBA3102</t>
  </si>
  <si>
    <t>Bacteria;Actinomycetota;Actinomycetes;Micrococcales;Microbacteriaceae;Homoserinibacter;Homoserinibacter sp. GY 40078;</t>
  </si>
  <si>
    <t>Homoserinibacter sp. GY 40078</t>
  </si>
  <si>
    <t>Bacteria;Pseudomonadota;Betaproteobacteria;Burkholderiales;Comamonadaceae;Comamonas;Comamonas sp. Z3;</t>
  </si>
  <si>
    <t>Comamonas sp. Z3</t>
  </si>
  <si>
    <t>Bacteria;Pseudomonadota;Betaproteobacteria;Burkholderiales;Comamonadaceae;Comamonas;Comamonas sp. Z1;</t>
  </si>
  <si>
    <t>Comamonas sp. Z1</t>
  </si>
  <si>
    <t>Bacteria;Actinomycetota;Actinomycetes;Streptosporangiales;Streptosporangiaceae;Nonomuraea;Nonomuraea sp. C10;</t>
  </si>
  <si>
    <t>Nonomuraea sp. C10</t>
  </si>
  <si>
    <t>Bacteria;Actinomycetota;Thermoleophilia;Solirubrobacterales;Baekduiaceae;Baekduia;Baekduia sp.;</t>
  </si>
  <si>
    <t>Baekduia</t>
  </si>
  <si>
    <t>Baekduia sp.</t>
  </si>
  <si>
    <t>Bacteria;Pseudomonadota;Gammaproteobacteria;Pseudomonadales;Pseudomonadaceae;Pseudomonas;Pseudomonas haemolytica;</t>
  </si>
  <si>
    <t>Pseudomonas haemolytica</t>
  </si>
  <si>
    <t>Bacteria;Pseudomonadota;Alphaproteobacteria;Hyphomicrobiales;Boseaceae;Bosea;Bosea sp. F3-2;</t>
  </si>
  <si>
    <t>Bosea sp. F3-2</t>
  </si>
  <si>
    <t>Bacteria;Bacillota;Bacilli;Bacillales;Caryophanaceae;Planococcus;Planococcus sp. CPCC 101016;</t>
  </si>
  <si>
    <t>Planococcus sp. CPCC 101016</t>
  </si>
  <si>
    <t>Bacteria;Pseudomonadota;Alphaproteobacteria;Hyphomicrobiales;Reyranellaceae;Reyranella;Reyranella sp. CPCC 100927;</t>
  </si>
  <si>
    <t>Reyranella sp. CPCC 100927</t>
  </si>
  <si>
    <t>Bacteria;Pseudomonadota;Alphaproteobacteria;Rhodobacterales;Paracoccaceae;Paracoccus;Paracoccus aurantiacus;</t>
  </si>
  <si>
    <t>Paracoccus aurantiacus</t>
  </si>
  <si>
    <t>Bacteria;Bacillota;Clostridia;Eubacteriales;Clostridiaceae;Crassaminicella;Crassaminicella thermophila;</t>
  </si>
  <si>
    <t>Crassaminicella thermophila</t>
  </si>
  <si>
    <t>Bacteria;Pseudomonadota;Alphaproteobacteria;Sphingomonadales;Sphingomonadaceae;Sphingomonas;Sphingomonas suaedae;</t>
  </si>
  <si>
    <t>Sphingomonas suaedae</t>
  </si>
  <si>
    <t>Bacteria;Bacteroidota;Sphingobacteriia;Sphingobacteriales;Sphingobacteriaceae;Mucilaginibacter;Mucilaginibacter pallidiroseus;</t>
  </si>
  <si>
    <t>Mucilaginibacter pallidiroseus</t>
  </si>
  <si>
    <t>Bacteria;Actinomycetota;Actinomycetes;Micrococcales;Microbacteriaceae;Humibacter;Humibacter ginsenosidimutans;</t>
  </si>
  <si>
    <t>Humibacter ginsenosidimutans</t>
  </si>
  <si>
    <t>Bacteria;Bacteroidota;Flavobacteriia;Flavobacteriales;Crocinitomicaceae;Fluviicola;Fluviicola chungangensis;</t>
  </si>
  <si>
    <t>Fluviicola</t>
  </si>
  <si>
    <t>Fluviicola chungangensis</t>
  </si>
  <si>
    <t>Bacteria;Bacteroidota;Sphingobacteriia;Sphingobacteriales;Sphingobacteriaceae;Mucilaginibacter;Mucilaginibacter corticis;</t>
  </si>
  <si>
    <t>Mucilaginibacter corticis</t>
  </si>
  <si>
    <t>Bacteria;Pseudomonadota;Gammaproteobacteria;Oceanospirillales;Oceanospirillaceae;Thalassolituus;Thalassolituus sp. C2-1;</t>
  </si>
  <si>
    <t>Thalassolituus</t>
  </si>
  <si>
    <t>Thalassolituus sp. C2-1</t>
  </si>
  <si>
    <t>Bacteria;Bacillota;Bacilli;Bacillales;Caryophanaceae;Sporosarcina;Sporosarcina sp. ANT_H38;</t>
  </si>
  <si>
    <t>Sporosarcina</t>
  </si>
  <si>
    <t>Sporosarcina sp. ANT_H38</t>
  </si>
  <si>
    <t>Bacteria;Pseudomonadota;Betaproteobacteria;Burkholderiales;Comamonadaceae;Caenimonas;Caenimonas sedimenti;</t>
  </si>
  <si>
    <t>Caenimonas</t>
  </si>
  <si>
    <t>Caenimonas sedimenti</t>
  </si>
  <si>
    <t>Bacteria;Actinomycetota;Actinomycetes;Micrococcales;Microbacteriaceae;Glaciihabitans;Glaciihabitans sp. INWT7;</t>
  </si>
  <si>
    <t>Glaciihabitans sp. INWT7</t>
  </si>
  <si>
    <t>Bacteria;Actinomycetota;Actinomycetes;Propionibacteriales;Propionibacteriaceae;Microlunatus;Microlunatus elymi;</t>
  </si>
  <si>
    <t>Microlunatus</t>
  </si>
  <si>
    <t>Microlunatus elymi</t>
  </si>
  <si>
    <t>Bacteria;Pseudomonadota;Alphaproteobacteria;Acetobacterales;Roseomonadaceae;Siccirubricoccus;Siccirubricoccus phaeus;</t>
  </si>
  <si>
    <t>Siccirubricoccus phaeus</t>
  </si>
  <si>
    <t>Bacteria;Pseudomonadota;Alphaproteobacteria;Rhodobacterales;Paracoccaceae;Gemmobacter;Gemmobacter caeruleus;</t>
  </si>
  <si>
    <t>Gemmobacter caeruleus</t>
  </si>
  <si>
    <t>Bacteria;Bacteroidota;Flavobacteriia;Flavobacteriales;Flavobacteriaceae;Flavobacterium;Flavobacterium gawalongense;</t>
  </si>
  <si>
    <t>Flavobacterium gawalongense</t>
  </si>
  <si>
    <t>Bacteria;Pseudomonadota;Gammaproteobacteria;Pseudomonadales;Pseudomonadaceae;Pseudomonas;Pseudomonas mangiferae;</t>
  </si>
  <si>
    <t>Pseudomonas mangiferae</t>
  </si>
  <si>
    <t>Bacteria;Bacillota;Bacilli;Bacillales;Bacillaceae;Mangrovibacillus;Mangrovibacillus cuniculi;</t>
  </si>
  <si>
    <t>Mangrovibacillus</t>
  </si>
  <si>
    <t>Mangrovibacillus cuniculi</t>
  </si>
  <si>
    <t>Bacteria;Bacteroidota;Flavobacteriia;Flavobacteriales;Flavobacteriaceae;Flavobacterium;Flavobacterium zepuense;</t>
  </si>
  <si>
    <t>Flavobacterium zepuense</t>
  </si>
  <si>
    <t>Bacteria;Actinomycetota;Actinomycetes;Cryptosporangiales;Cryptosporangiaceae;Cryptosporangium;Cryptosporangium phraense;</t>
  </si>
  <si>
    <t>Cryptosporangium phraense</t>
  </si>
  <si>
    <t>Bacteria;Pseudomonadota;Alphaproteobacteria;Hyphomicrobiales;Nitrobacteraceae;Tardiphaga;Tardiphaga sp. vice304;</t>
  </si>
  <si>
    <t>Tardiphaga</t>
  </si>
  <si>
    <t>Tardiphaga sp. vice304</t>
  </si>
  <si>
    <t>Bacteria;Pseudomonadota;Betaproteobacteria;Neisseriales;Chromobacteriaceae;Vogesella;Vogesella urethralis;</t>
  </si>
  <si>
    <t>Vogesella urethralis</t>
  </si>
  <si>
    <t>Bacteria;Actinomycetota;Actinomycetes;Micrococcales;Microbacteriaceae;Protaetiibacter;Protaetiibacter larvae;</t>
  </si>
  <si>
    <t>Protaetiibacter larvae</t>
  </si>
  <si>
    <t>Bacteria;Actinomycetota;Actinomycetes;Micrococcales;Microbacteriaceae;Agromyces;Agromyces intestinalis;</t>
  </si>
  <si>
    <t>Agromyces intestinalis</t>
  </si>
  <si>
    <t>Bacteria;Pseudomonadota;Alphaproteobacteria;Sphingomonadales;Sphingomonadaceae;Novosphingobium;Novosphingobium sp. BW1;</t>
  </si>
  <si>
    <t>Novosphingobium sp. BW1</t>
  </si>
  <si>
    <t>Bacteria;Actinomycetota;Actinomycetes;Propionibacteriales;Nocardioidaceae;Nocardioides;Nocardioides sp. JQ2195;</t>
  </si>
  <si>
    <t>Nocardioides sp. JQ2195</t>
  </si>
  <si>
    <t>Bacteria;Actinomycetota;Actinomycetes;Mycobacteriales;Mycobacteriaceae;Mycolicibacterium;Mycolicibacterium sp. 018/SC-01/001;</t>
  </si>
  <si>
    <t>Mycolicibacterium sp. 018/SC-01/001</t>
  </si>
  <si>
    <t>Bacteria;Pseudomonadota;Alphaproteobacteria;Caulobacterales;Caulobacteraceae;Brevundimonas;Brevundimonas sp. M20;</t>
  </si>
  <si>
    <t>Brevundimonas sp. M20</t>
  </si>
  <si>
    <t>Bacteria;Bacillota;Clostridia;Eubacteriales;Oscillospiraceae;Dysosmobacter;uncultured Dysosmobacter sp.;</t>
  </si>
  <si>
    <t>Dysosmobacter</t>
  </si>
  <si>
    <t>uncultured Dysosmobacter sp.</t>
  </si>
  <si>
    <t>Bacteria;Actinomycetota;Actinomycetes;Micrococcales;Cellulomonadaceae;Cellulomonas;Cellulomonas sp. Y8;</t>
  </si>
  <si>
    <t>Cellulomonas sp. Y8</t>
  </si>
  <si>
    <t>Bacteria;Pseudomonadota;Betaproteobacteria;Burkholderiales;Oxalobacteraceae;Glaciimonas;Glaciimonas soli;</t>
  </si>
  <si>
    <t>Glaciimonas soli</t>
  </si>
  <si>
    <t>Bacteria;Pseudomonadota;Betaproteobacteria;Burkholderiales;Comamonadaceae;Extensimonas;Extensimonas perlucida;</t>
  </si>
  <si>
    <t>Extensimonas perlucida</t>
  </si>
  <si>
    <t>Bacteria;Actinomycetota;Actinomycetes;Micrococcales;Microbacteriaceae;Schumannella;Schumannella sp. 10F1B-5-1;</t>
  </si>
  <si>
    <t>Schumannella</t>
  </si>
  <si>
    <t>Schumannella sp. 10F1B-5-1</t>
  </si>
  <si>
    <t>Bacteria;Actinomycetota;Actinomycetes;Micrococcales;Microbacteriaceae;Schumannella;Schumannella soli;</t>
  </si>
  <si>
    <t>Schumannella soli</t>
  </si>
  <si>
    <t>Bacteria;Pseudomonadota;Alphaproteobacteria;Hyphomicrobiales;Rhizobiaceae;Pararhizobium;Pararhizobium mangrovi;</t>
  </si>
  <si>
    <t>Pararhizobium mangrovi</t>
  </si>
  <si>
    <t>Bacteria;Pseudomonadota;Betaproteobacteria;Burkholderiales;Sphaerotilaceae;Azohydromonas;Azohydromonas aeria;</t>
  </si>
  <si>
    <t>Azohydromonas</t>
  </si>
  <si>
    <t>Azohydromonas aeria</t>
  </si>
  <si>
    <t>Bacteria;Pseudomonadota;Alphaproteobacteria;Hyphomicrobiales;Phyllobacteriaceae;Mesorhizobium;Mesorhizobium sp. B2-4-9;</t>
  </si>
  <si>
    <t>Mesorhizobium sp. B2-4-9</t>
  </si>
  <si>
    <t>Bacteria;Pseudomonadota;Alphaproteobacteria;Hyphomicrobiales;Phyllobacteriaceae;Mesorhizobium;Mesorhizobium sp. B2-4-19;</t>
  </si>
  <si>
    <t>Mesorhizobium sp. B2-4-19</t>
  </si>
  <si>
    <t>Bacteria;Pseudomonadota;Gammaproteobacteria;Oceanospirillales;Oceanospirillaceae;Maribrevibacterium;Maribrevibacterium harenarium;</t>
  </si>
  <si>
    <t>Maribrevibacterium</t>
  </si>
  <si>
    <t>Maribrevibacterium harenarium</t>
  </si>
  <si>
    <t>Bacteria;Pseudomonadota;Alphaproteobacteria;Hyphomicrobiales;Rhizobiaceae;Rhizobium;Rhizobium glycinendophyticum;</t>
  </si>
  <si>
    <t>Rhizobium glycinendophyticum</t>
  </si>
  <si>
    <t>Bacteria;Pseudomonadota;Betaproteobacteria;Burkholderiales;NA;Tepidimonas;Tepidimonas alkaliphilus;</t>
  </si>
  <si>
    <t>Tepidimonas</t>
  </si>
  <si>
    <t>Tepidimonas alkaliphilus</t>
  </si>
  <si>
    <t>Bacteria;Pseudomonadota;Alphaproteobacteria;Rhodobacterales;Roseobacteraceae;Roseovarius;Roseovarius sp. THAF27;</t>
  </si>
  <si>
    <t>Roseovarius sp. THAF27</t>
  </si>
  <si>
    <t>Bacteria;Pseudomonadota;Alphaproteobacteria;Hyphomicrobiales;Boseaceae;Bosea;Bosea sp. AK1;</t>
  </si>
  <si>
    <t>Bosea sp. AK1</t>
  </si>
  <si>
    <t>Bacteria;Bacillota;Bacilli;Bacillales;Bacillaceae;Bacillus;Bacillus sp. CD3-5;</t>
  </si>
  <si>
    <t>Bacillus sp. CD3-5</t>
  </si>
  <si>
    <t>Bacteria;Bacteroidota;Sphingobacteriia;Sphingobacteriales;Sphingobacteriaceae;Sphingobacterium;Sphingobacterium sp. JUb56;</t>
  </si>
  <si>
    <t>Sphingobacterium sp. JUb56</t>
  </si>
  <si>
    <t>Bacteria;Pseudomonadota;Gammaproteobacteria;Lysobacterales;Rhodanobacteraceae;Luteibacter;Luteibacter sp. SG786;</t>
  </si>
  <si>
    <t>Luteibacter</t>
  </si>
  <si>
    <t>Luteibacter sp. SG786</t>
  </si>
  <si>
    <t>Bacteria;Pseudomonadota;Betaproteobacteria;Burkholderiales;Comamonadaceae;Variovorax;Variovorax sp. SG517;</t>
  </si>
  <si>
    <t>Variovorax sp. SG517</t>
  </si>
  <si>
    <t>Bacteria;Pseudomonadota;Alphaproteobacteria;Hyphomicrobiales;Rhizobiaceae;Rhizobium;Rhizobium sp. BK313;</t>
  </si>
  <si>
    <t>Rhizobium sp. BK313</t>
  </si>
  <si>
    <t>Bacteria;Pseudomonadota;Betaproteobacteria;Burkholderiales;Oxalobacteraceae;Duganella;Duganella sp. 1224;</t>
  </si>
  <si>
    <t>Duganella sp. 1224</t>
  </si>
  <si>
    <t>Bacteria;Pseudomonadota;Gammaproteobacteria;Lysobacterales;Rhodanobacteraceae;Luteibacter;Luteibacter sp. Sphag1AF;</t>
  </si>
  <si>
    <t>Luteibacter sp. Sphag1AF</t>
  </si>
  <si>
    <t>Bacteria;Pseudomonadota;Betaproteobacteria;Burkholderiales;Comamonadaceae;Variovorax;Variovorax sp. Sphag1AA;</t>
  </si>
  <si>
    <t>Variovorax sp. Sphag1AA</t>
  </si>
  <si>
    <t>Bacteria;Bacteroidota;Sphingobacteriia;Sphingobacteriales;Sphingobacteriaceae;Mucilaginibacter;Mucilaginibacter sp. SG564;</t>
  </si>
  <si>
    <t>Mucilaginibacter sp. SG564</t>
  </si>
  <si>
    <t>Bacteria;Pseudomonadota;Betaproteobacteria;Burkholderiales;Oxalobacteraceae;Duganella;Duganella sp. SG902;</t>
  </si>
  <si>
    <t>Duganella sp. SG902</t>
  </si>
  <si>
    <t>Bacteria;Pseudomonadota;Alphaproteobacteria;Sphingomonadales;Sphingomonadaceae;Novosphingobium;Novosphingobium sp. SG751A;</t>
  </si>
  <si>
    <t>Novosphingobium sp. SG751A</t>
  </si>
  <si>
    <t>Bacteria;Pseudomonadota;Alphaproteobacteria;Sphingomonadales;Sphingomonadaceae;Novosphingobium;Novosphingobium sp. SG707;</t>
  </si>
  <si>
    <t>Novosphingobium sp. SG707</t>
  </si>
  <si>
    <t>Bacteria;Pseudomonadota;Alphaproteobacteria;Hyphomicrobiales;Rhizobiaceae;Rhizobium;Rhizobium sp. BK602;</t>
  </si>
  <si>
    <t>Rhizobium sp. BK602</t>
  </si>
  <si>
    <t>Bacteria;Pseudomonadota;Alphaproteobacteria;Hyphomicrobiales;Rhizobiaceae;Rhizobium;Rhizobium sp. BK529;</t>
  </si>
  <si>
    <t>Rhizobium sp. BK529</t>
  </si>
  <si>
    <t>Bacteria;Pseudomonadota;Betaproteobacteria;Burkholderiales;Comamonadaceae;Variovorax;Variovorax sp. BK613;</t>
  </si>
  <si>
    <t>Variovorax sp. BK613</t>
  </si>
  <si>
    <t>Bacteria;Pseudomonadota;Alphaproteobacteria;Hyphomicrobiales;NA;Vineibacter;Vineibacter terrae;</t>
  </si>
  <si>
    <t>Vineibacter</t>
  </si>
  <si>
    <t>Vineibacter terrae</t>
  </si>
  <si>
    <t>Bacteria;Bacteroidota;Flavobacteriia;Flavobacteriales;Flavobacteriaceae;Antarcticibacterium;Antarcticibacterium arcticum;</t>
  </si>
  <si>
    <t>Antarcticibacterium arcticum</t>
  </si>
  <si>
    <t>Bacteria;Actinomycetota;Actinomycetes;Micrococcales;Microbacteriaceae;Agromyces;Agromyces laixinhei;</t>
  </si>
  <si>
    <t>Agromyces laixinhei</t>
  </si>
  <si>
    <t>Bacteria;Actinomycetota;Actinomycetes;Propionibacteriales;Nocardioidaceae;Mumia;Mumia zhuanghuii;</t>
  </si>
  <si>
    <t>Mumia</t>
  </si>
  <si>
    <t>Mumia zhuanghuii</t>
  </si>
  <si>
    <t>Bacteria;Pseudomonadota;Gammaproteobacteria;Pasteurellales;Pasteurellaceae;Testudinibacter;Testudinibacter sp. TR-2022;</t>
  </si>
  <si>
    <t>Pasteurellales</t>
  </si>
  <si>
    <t>Pasteurellaceae</t>
  </si>
  <si>
    <t>Testudinibacter</t>
  </si>
  <si>
    <t>Testudinibacter sp. TR-2022</t>
  </si>
  <si>
    <t>Bacteria;Actinomycetota;Actinomycetes;Micrococcales;Microbacteriaceae;Agromyces;Agromyces tardus;</t>
  </si>
  <si>
    <t>Agromyces tardus</t>
  </si>
  <si>
    <t>Bacteria;Actinomycetota;Actinomycetes;Micrococcales;Microbacteriaceae;Plantibacter;Plantibacter sp. M259;</t>
  </si>
  <si>
    <t>Plantibacter sp. M259</t>
  </si>
  <si>
    <t>Bacteria;Bacillota;Bacilli;Bacillales;Paenibacillaceae;Paenibacillus;Paenibacillus paridis;</t>
  </si>
  <si>
    <t>Paenibacillus paridis</t>
  </si>
  <si>
    <t>Bacteria;Pseudomonadota;Alphaproteobacteria;Rhodobacterales;NA;Rhodobacter;Rhodobacter kunshanensis;</t>
  </si>
  <si>
    <t>Rhodobacter kunshanensis</t>
  </si>
  <si>
    <t>Bacteria;Pseudomonadota;Alphaproteobacteria;Hyphomicrobiales;Rhizobiaceae;Rhizobium;Rhizobium sp. MHM7A;</t>
  </si>
  <si>
    <t>Rhizobium sp. MHM7A</t>
  </si>
  <si>
    <t>Bacteria;Bacteroidota;Flavobacteriia;Flavobacteriales;Weeksellaceae;Chryseobacterium;Chryseobacterium sp. ON_d1;</t>
  </si>
  <si>
    <t>Chryseobacterium sp. ON_d1</t>
  </si>
  <si>
    <t>Bacteria;Pseudomonadota;Alphaproteobacteria;Caulobacterales;Caulobacteraceae;Brevundimonas;Brevundimonas sp. SGAir0440;</t>
  </si>
  <si>
    <t>Brevundimonas sp. SGAir0440</t>
  </si>
  <si>
    <t>Bacteria;Pseudomonadota;Gammaproteobacteria;Enterobacterales;Enterobacteriaceae;Jejubacter;Jejubacter calystegiae;</t>
  </si>
  <si>
    <t>Jejubacter</t>
  </si>
  <si>
    <t>Jejubacter calystegiae</t>
  </si>
  <si>
    <t>Bacteria;Bacteroidota;Sphingobacteriia;Sphingobacteriales;Sphingobacteriaceae;Pedobacter;Pedobacter sp. KBS0701;</t>
  </si>
  <si>
    <t>Pedobacter sp. KBS0701</t>
  </si>
  <si>
    <t>Bacteria;Pseudomonadota;Betaproteobacteria;Burkholderiales;Burkholderiaceae;Polynucleobacter;Polynucleobacter sp. AP-Capit-er-40B-B4;</t>
  </si>
  <si>
    <t>Polynucleobacter sp. AP-Capit-er-40B-B4</t>
  </si>
  <si>
    <t>Bacteria;Pseudomonadota;Betaproteobacteria;Burkholderiales;Burkholderiaceae;Polynucleobacter;Polynucleobacter sp. JS-Safj-400b-B2;</t>
  </si>
  <si>
    <t>Polynucleobacter sp. JS-Safj-400b-B2</t>
  </si>
  <si>
    <t>Bacteria;Pseudomonadota;Betaproteobacteria;Burkholderiales;Burkholderiaceae;Polynucleobacter;Polynucleobacter sp. Latsch14-2;</t>
  </si>
  <si>
    <t>Polynucleobacter sp. Latsch14-2</t>
  </si>
  <si>
    <t>Bacteria;Pseudomonadota;Betaproteobacteria;Burkholderiales;Burkholderiaceae;Polynucleobacter;Polynucleobacter sp. JS-JIR-II-50;</t>
  </si>
  <si>
    <t>Polynucleobacter sp. JS-JIR-II-50</t>
  </si>
  <si>
    <t>Bacteria;Pseudomonadota;Betaproteobacteria;Burkholderiales;Burkholderiaceae;Polynucleobacter;Polynucleobacter sp. AP-Nino-20-G2;</t>
  </si>
  <si>
    <t>Polynucleobacter sp. AP-Nino-20-G2</t>
  </si>
  <si>
    <t>Bacteria;Verrucomicrobiota;Opitutia;Opitutales;Opitutaceae;Nibricoccus;Nibricoccus aquaticus;</t>
  </si>
  <si>
    <t>Nibricoccus aquaticus</t>
  </si>
  <si>
    <t>Bacteria;Pseudomonadota;Gammaproteobacteria;Enterobacterales;Enterobacteriaceae;Citrobacter;Citrobacter sp. wls714;</t>
  </si>
  <si>
    <t>Citrobacter sp. wls714</t>
  </si>
  <si>
    <t>Bacteria;Pseudomonadota;Betaproteobacteria;Burkholderiales;Comamonadaceae;Rhodoferax;Rhodoferax bucti;</t>
  </si>
  <si>
    <t>Rhodoferax bucti</t>
  </si>
  <si>
    <t>Bacteria;Bacteroidota;Cytophagia;Cytophagales;Spirosomataceae;Dyadobacter;Dyadobacter frigoris;</t>
  </si>
  <si>
    <t>Dyadobacter frigoris</t>
  </si>
  <si>
    <t>Bacteria;Verrucomicrobiota;Verrucomicrobiia;Verrucomicrobiales;Verrucomicrobiaceae;Phragmitibacter;Phragmitibacter flavus;</t>
  </si>
  <si>
    <t>Phragmitibacter</t>
  </si>
  <si>
    <t>Phragmitibacter flavus</t>
  </si>
  <si>
    <t>Bacteria;Pseudomonadota;Betaproteobacteria;Burkholderiales;Comamonadaceae;Rhodoferax;Rhodoferax sp. BLA1;</t>
  </si>
  <si>
    <t>Rhodoferax sp. BLA1</t>
  </si>
  <si>
    <t>Bacteria;Pseudomonadota;Alphaproteobacteria;Caulobacterales;Caulobacteraceae;Caulobacter;Caulobacter sp. SSI4214;</t>
  </si>
  <si>
    <t>Caulobacter sp. SSI4214</t>
  </si>
  <si>
    <t>Bacteria;Cyanobacteriota;Cyanophyceae;Nostocales;Nostocaceae;Nostoc;Nostoc sp. PA-18-2419;</t>
  </si>
  <si>
    <t>Nostoc sp. PA-18-2419</t>
  </si>
  <si>
    <t>Bacteria;Bacillota;Bacilli;Bacillales;Bacillaceae;Pseudalkalibacillus;Pseudalkalibacillus caeni;</t>
  </si>
  <si>
    <t>Pseudalkalibacillus</t>
  </si>
  <si>
    <t>Pseudalkalibacillus caeni</t>
  </si>
  <si>
    <t>Bacteria;Bacillota;Bacilli;Bacillales;Bacillaceae;Aquibacillus;Aquibacillus sediminis;</t>
  </si>
  <si>
    <t>Aquibacillus</t>
  </si>
  <si>
    <t>Aquibacillus sediminis</t>
  </si>
  <si>
    <t>Bacteria;Pseudomonadota;Gammaproteobacteria;Lysobacterales;Lysobacteraceae;Luteimonas;Luteimonas gilva;</t>
  </si>
  <si>
    <t>Luteimonas gilva</t>
  </si>
  <si>
    <t>Bacteria;Pseudomonadota;Alphaproteobacteria;Sphingomonadales;Sphingomonadaceae;Sphingomonas;Sphingomonas baiyangensis;</t>
  </si>
  <si>
    <t>Sphingomonas baiyangensis</t>
  </si>
  <si>
    <t>Bacteria;Bacteroidota;Cytophagia;Cytophagales;Spirosomataceae;Dyadobacter;Dyadobacter bucti;</t>
  </si>
  <si>
    <t>Dyadobacter bucti</t>
  </si>
  <si>
    <t>Bacteria;Pseudomonadota;Alphaproteobacteria;Sphingomonadales;Sphingomonadaceae;Novosphingobium;Novosphingobium sp. EMRT-2;</t>
  </si>
  <si>
    <t>Novosphingobium sp. EMRT-2</t>
  </si>
  <si>
    <t>Bacteria;Bacteroidota;Sphingobacteriia;Sphingobacteriales;Sphingobacteriaceae;Pedobacter;Pedobacter polaris;</t>
  </si>
  <si>
    <t>Pedobacter polaris</t>
  </si>
  <si>
    <t>Bacteria;Bacteroidota;Sphingobacteriia;Sphingobacteriales;Sphingobacteriaceae;Pedobacter;Pedobacter frigoris;</t>
  </si>
  <si>
    <t>Pedobacter frigoris</t>
  </si>
  <si>
    <t>Bacteria;Bacteroidota;Sphingobacteriia;Sphingobacteriales;Sphingobacteriaceae;Pedobacter;Pedobacter cryophilus;</t>
  </si>
  <si>
    <t>Pedobacter cryophilus</t>
  </si>
  <si>
    <t>Bacteria;Bacteroidota;Sphingobacteriia;Sphingobacteriales;Sphingobacteriaceae;Pedobacter;Pedobacter cryotolerans;</t>
  </si>
  <si>
    <t>Pedobacter cryotolerans</t>
  </si>
  <si>
    <t>Bacteria;Bacillota;Clostridia;Eubacteriales;Clostridiaceae;Clostridium;Clostridium sp. HBUAS56017;</t>
  </si>
  <si>
    <t>Clostridium sp. HBUAS56017</t>
  </si>
  <si>
    <t>Bacteria;Thermotogota;Thermotogae;Thermotogales;Fervidobacteriaceae;Thermosipho;Thermosipho ferrireducens;</t>
  </si>
  <si>
    <t>Thermotogota</t>
  </si>
  <si>
    <t>Thermotogae</t>
  </si>
  <si>
    <t>Thermotogales</t>
  </si>
  <si>
    <t>Fervidobacteriaceae</t>
  </si>
  <si>
    <t>Thermosipho</t>
  </si>
  <si>
    <t>Thermosipho ferrireducens</t>
  </si>
  <si>
    <t>Bacteria;Pseudomonadota;Betaproteobacteria;Burkholderiales;Sphaerotilaceae;Methylibium;Methylibium rhizosphaerae;</t>
  </si>
  <si>
    <t>Methylibium</t>
  </si>
  <si>
    <t>Methylibium rhizosphaerae</t>
  </si>
  <si>
    <t>Bacteria;Thermodesulfobacteriota;Desulfobulbia;Desulfobulbales;Desulfocapsaceae;Desulforhopalus;Desulforhopalus sp. IMCC35007;</t>
  </si>
  <si>
    <t>Desulfocapsaceae</t>
  </si>
  <si>
    <t>Desulforhopalus</t>
  </si>
  <si>
    <t>Desulforhopalus sp. IMCC35007</t>
  </si>
  <si>
    <t>Bacteria;Thermodesulfobacteriota;Desulfobulbia;Desulfobulbales;Desulfocapsaceae;Desulfosediminicola;Desulfosediminicola flagellatus;</t>
  </si>
  <si>
    <t>Desulfosediminicola</t>
  </si>
  <si>
    <t>Desulfosediminicola flagellatus</t>
  </si>
  <si>
    <t>Bacteria;Bacillota;Bacilli;Bacillales;Bacillaceae;Metabacillus;Metabacillus sediminilitoris;</t>
  </si>
  <si>
    <t>Metabacillus sediminilitoris</t>
  </si>
  <si>
    <t>Bacteria;Bacteroidota;Sphingobacteriia;Sphingobacteriales;Sphingobacteriaceae;Pedobacter;Pedobacter sp. BS3;</t>
  </si>
  <si>
    <t>Pedobacter sp. BS3</t>
  </si>
  <si>
    <t>Bacteria;Actinomycetota;Actinomycetes;Micrococcales;Microbacteriaceae;Microbacterium;Microbacterium sp. 4R-513;</t>
  </si>
  <si>
    <t>Microbacterium sp. 4R-513</t>
  </si>
  <si>
    <t>Bacteria;Pseudomonadota;Gammaproteobacteria;Pseudomonadales;Pseudomonadaceae;Pseudomonas;Pseudomonas sp. BN606;</t>
  </si>
  <si>
    <t>Pseudomonas sp. BN606</t>
  </si>
  <si>
    <t>Bacteria;Pseudomonadota;Gammaproteobacteria;Pseudomonadales;Pseudomonadaceae;Pseudomonas;Pseudomonas sp. BN515;</t>
  </si>
  <si>
    <t>Pseudomonas sp. BN515</t>
  </si>
  <si>
    <t>Bacteria;Pseudomonadota;Gammaproteobacteria;Pseudomonadales;Pseudomonadaceae;Pseudomonas;Pseudomonas sp. BN417;</t>
  </si>
  <si>
    <t>Pseudomonas sp. BN417</t>
  </si>
  <si>
    <t>Bacteria;Actinomycetota;Actinomycetes;Micrococcales;Micrococcaceae;Citricoccus;Citricoccus sp. SGAir0253;</t>
  </si>
  <si>
    <t>Citricoccus</t>
  </si>
  <si>
    <t>Citricoccus sp. SGAir0253</t>
  </si>
  <si>
    <t>Bacteria;Actinomycetota;Actinomycetes;Micrococcales;Microbacteriaceae;Glaciibacter;Glaciibacter flavus;</t>
  </si>
  <si>
    <t>Glaciibacter</t>
  </si>
  <si>
    <t>Glaciibacter flavus</t>
  </si>
  <si>
    <t>Bacteria;Actinomycetota;Actinomycetes;Micrococcales;Microbacteriaceae;Naasia;Naasia lichenicola;</t>
  </si>
  <si>
    <t>Naasia lichenicola</t>
  </si>
  <si>
    <t>Bacteria;Bacteroidota;Flavobacteriia;Flavobacteriales;Flavobacteriaceae;Flavobacterium;Flavobacterium supellecticarium;</t>
  </si>
  <si>
    <t>Flavobacterium supellecticarium</t>
  </si>
  <si>
    <t>Bacteria;Pseudomonadota;Betaproteobacteria;Burkholderiales;Comamonadaceae;Hydrogenophaga;Hydrogenophaga sp. PAMC20947;</t>
  </si>
  <si>
    <t>Hydrogenophaga sp. PAMC20947</t>
  </si>
  <si>
    <t>Bacteria;Pseudomonadota;Alphaproteobacteria;Caulobacterales;Caulobacteraceae;Asticcacaulis;Asticcacaulis tiandongensis;</t>
  </si>
  <si>
    <t>Asticcacaulis tiandongensis</t>
  </si>
  <si>
    <t>Bacteria;Bacteroidota;Sphingobacteriia;Sphingobacteriales;Sphingobacteriaceae;Pedobacter;Pedobacter helvus;</t>
  </si>
  <si>
    <t>Pedobacter helvus</t>
  </si>
  <si>
    <t>Bacteria;Bacteroidota;Flavobacteriia;Flavobacteriales;Flavobacteriaceae;Flavobacterium;Flavobacterium humi;</t>
  </si>
  <si>
    <t>Flavobacterium humi</t>
  </si>
  <si>
    <t>Bacteria;Pseudomonadota;Alphaproteobacteria;Rhodobacterales;NA;Rhodobacter;Rhodobacter sp. SY28-1;</t>
  </si>
  <si>
    <t>Rhodobacter sp. SY28-1</t>
  </si>
  <si>
    <t>Bacteria;Pseudomonadota;Alphaproteobacteria;Acetobacterales;Roseomonadaceae;Roseomonas;Roseomonas sp. HF4;</t>
  </si>
  <si>
    <t>Roseomonas sp. HF4</t>
  </si>
  <si>
    <t>Bacteria;Pseudomonadota;Alphaproteobacteria;Acetobacterales;Roseomonadaceae;Roseomonas;Roseomonas sp. AR75;</t>
  </si>
  <si>
    <t>Roseomonas sp. AR75</t>
  </si>
  <si>
    <t>Bacteria;Pseudomonadota;Alphaproteobacteria;Hyphomicrobiales;Rhizobiaceae;Rhizobium;Rhizobium sp. FY34;</t>
  </si>
  <si>
    <t>Rhizobium sp. FY34</t>
  </si>
  <si>
    <t>Bacteria;Pseudomonadota;Alphaproteobacteria;Hyphomicrobiales;Rhizobiaceae;Rhizobium;Rhizobium sp. FKL33;</t>
  </si>
  <si>
    <t>Rhizobium sp. FKL33</t>
  </si>
  <si>
    <t>Bacteria;Bacillota;Tissierellia;Tissierellales;Tissierellaceae;Soehngenia;Soehngenia longivitae;</t>
  </si>
  <si>
    <t>Soehngenia</t>
  </si>
  <si>
    <t>Soehngenia longivitae</t>
  </si>
  <si>
    <t>Bacteria;Pseudomonadota;Betaproteobacteria;Burkholderiales;Oxalobacteraceae;Duganella;Duganella callida;</t>
  </si>
  <si>
    <t>Duganella callida</t>
  </si>
  <si>
    <t>Bacteria;Pseudomonadota;Alphaproteobacteria;Hyphomicrobiales;Phyllobacteriaceae;Nitratireductor;Nitratireductor sp. XY-223;</t>
  </si>
  <si>
    <t>Nitratireductor</t>
  </si>
  <si>
    <t>Nitratireductor sp. XY-223</t>
  </si>
  <si>
    <t>Bacteria;Pseudomonadota;Alphaproteobacteria;Hyphomicrobiales;Nitrobacteraceae;Bradyrhizobium;Bradyrhizobium frederickii;</t>
  </si>
  <si>
    <t>Bradyrhizobium frederickii</t>
  </si>
  <si>
    <t>Bacteria;Pseudomonadota;Gammaproteobacteria;Aeromonadales;Aeromonadaceae;Aeromonas;Aeromonas sp. 2692-1;</t>
  </si>
  <si>
    <t>Aeromonas sp. 2692-1</t>
  </si>
  <si>
    <t>Bacteria;Pseudomonadota;Gammaproteobacteria;Aeromonadales;Aeromonadaceae;Aeromonas;Aeromonas sp. 1805;</t>
  </si>
  <si>
    <t>Aeromonas sp. 1805</t>
  </si>
  <si>
    <t>Bacteria;Bacillota;Clostridia;Eubacteriales;Desulfitobacteriaceae;Desulfosporosinus;Desulfosporosinus sp. Sb-LF;</t>
  </si>
  <si>
    <t>Desulfosporosinus sp. Sb-LF</t>
  </si>
  <si>
    <t>Bacteria;Actinomycetota;Actinomycetes;Micrococcales;Microbacteriaceae;Microbacterium;Microbacterium sp. dk485;</t>
  </si>
  <si>
    <t>Microbacterium sp. dk485</t>
  </si>
  <si>
    <t>Bacteria;Pseudomonadota;Betaproteobacteria;Nitrosomonadales;Gallionellaceae;Candidatus Nitrotoga;Candidatus Nitrotoga sp. AM1P;</t>
  </si>
  <si>
    <t>Candidatus Nitrotoga sp. AM1P</t>
  </si>
  <si>
    <t>Bacteria;Rhodothermota;Rhodothermia;Rhodothermales;Rhodothermaceae;Rhodocaloribacter;Rhodocaloribacter litoris;</t>
  </si>
  <si>
    <t>Rhodothermota</t>
  </si>
  <si>
    <t>Rhodothermia</t>
  </si>
  <si>
    <t>Rhodothermales</t>
  </si>
  <si>
    <t>Rhodothermaceae</t>
  </si>
  <si>
    <t>Rhodocaloribacter</t>
  </si>
  <si>
    <t>Rhodocaloribacter litoris</t>
  </si>
  <si>
    <t>Bacteria;Actinomycetota;Actinomycetes;Propionibacteriales;Nocardioidaceae;Nocardioides;Nocardioides cynanchi;</t>
  </si>
  <si>
    <t>Nocardioides cynanchi</t>
  </si>
  <si>
    <t>Bacteria;Pseudomonadota;Alphaproteobacteria;Hyphomicrobiales;Aurantimonadaceae;Jiella;Jiella endophytica;</t>
  </si>
  <si>
    <t>Jiella endophytica</t>
  </si>
  <si>
    <t>Bacteria;Pseudomonadota;Alphaproteobacteria;Hyphomicrobiales;Rhizobiaceae;Rhizobium;Rhizobium deserti;</t>
  </si>
  <si>
    <t>Rhizobium deserti</t>
  </si>
  <si>
    <t>Bacteria;Pseudomonadota;Alphaproteobacteria;Rhodobacterales;Roseobacteraceae;Palleronia;Palleronia sediminis;</t>
  </si>
  <si>
    <t>Palleronia</t>
  </si>
  <si>
    <t>Palleronia sediminis</t>
  </si>
  <si>
    <t>Bacteria;Pseudomonadota;Alphaproteobacteria;Acetobacterales;Acetobacteraceae;Pseudoroseomonas;Pseudoroseomonas coralli;</t>
  </si>
  <si>
    <t>Pseudoroseomonas</t>
  </si>
  <si>
    <t>Pseudoroseomonas coralli</t>
  </si>
  <si>
    <t>Bacteria;Pseudomonadota;Alphaproteobacteria;Caulobacterales;Caulobacteraceae;Caulobacter;Caulobacter sp. RHG1;</t>
  </si>
  <si>
    <t>Caulobacter sp. RHG1</t>
  </si>
  <si>
    <t>Bacteria;Bacillota;Bacilli;Bacillales;Paenibacillaceae;Paenibacillus;Paenibacillus luteus;</t>
  </si>
  <si>
    <t>Paenibacillus luteus</t>
  </si>
  <si>
    <t>Bacteria;Pseudomonadota;Gammaproteobacteria;Lysobacterales;Lysobacteraceae;Lysobacter;Lysobacter sp. N42;</t>
  </si>
  <si>
    <t>Lysobacter sp. N42</t>
  </si>
  <si>
    <t>Bacteria;Bacteroidota;Flavobacteriia;Flavobacteriales;Flavobacteriaceae;Flavobacterium;Flavobacterium ranwuense;</t>
  </si>
  <si>
    <t>Flavobacterium ranwuense</t>
  </si>
  <si>
    <t>Bacteria;Bacteroidota;Cytophagia;Cytophagales;Spirosomataceae;Dyadobacter;Dyadobacter psychrotolerans;</t>
  </si>
  <si>
    <t>Dyadobacter psychrotolerans</t>
  </si>
  <si>
    <t>Bacteria;Bacteroidota;Sphingobacteriia;Sphingobacteriales;Sphingobacteriaceae;Pedobacter;Pedobacter psychrodurus;</t>
  </si>
  <si>
    <t>Pedobacter psychrodurus</t>
  </si>
  <si>
    <t>Bacteria;Bacteroidota;Sphingobacteriia;Sphingobacteriales;Sphingobacteriaceae;Pedobacter;Pedobacter frigidisoli;</t>
  </si>
  <si>
    <t>Pedobacter frigidisoli</t>
  </si>
  <si>
    <t>Bacteria;Bacteroidota;Sphingobacteriia;Sphingobacteriales;Sphingobacteriaceae;Pedobacter;Pedobacter psychroterrae;</t>
  </si>
  <si>
    <t>Pedobacter psychroterrae</t>
  </si>
  <si>
    <t>Bacteria;Bacteroidota;Sphingobacteriia;Sphingobacteriales;Sphingobacteriaceae;Pedobacter;Pedobacter frigiditerrae;</t>
  </si>
  <si>
    <t>Pedobacter frigiditerrae</t>
  </si>
  <si>
    <t>Bacteria;Pseudomonadota;Betaproteobacteria;Burkholderiales;Comamonadaceae;Ramlibacter;Ramlibacter humi;</t>
  </si>
  <si>
    <t>Ramlibacter humi</t>
  </si>
  <si>
    <t>Bacteria;Pseudomonadota;Gammaproteobacteria;Oceanospirillales;Oceanospirillaceae;Marinomonas;Marinomonas sp. KMM3893;</t>
  </si>
  <si>
    <t>Marinomonas</t>
  </si>
  <si>
    <t>Marinomonas sp. KMM3893</t>
  </si>
  <si>
    <t>Bacteria;Pseudomonadota;Alphaproteobacteria;Rhodobacterales;Paracoccaceae;Falsirhodobacter;Falsirhodobacter xinxiangensis;</t>
  </si>
  <si>
    <t>Falsirhodobacter</t>
  </si>
  <si>
    <t>Falsirhodobacter xinxiangensis</t>
  </si>
  <si>
    <t>Bacteria;Actinomycetota;Actinomycetes;Micrococcales;Microbacteriaceae;Agromyces;Agromyces sp. H66;</t>
  </si>
  <si>
    <t>Agromyces sp. H66</t>
  </si>
  <si>
    <t>Bacteria;Pseudomonadota;Alphaproteobacteria;Sphingomonadales;Sphingomonadaceae;Sphingomonas;Sphingomonas solaris;</t>
  </si>
  <si>
    <t>Sphingomonas solaris</t>
  </si>
  <si>
    <t>Bacteria;Bacillota;Clostridia;Peptostreptococcales;Peptostreptococcaceae;Tepidibacter;Tepidibacter sp.;</t>
  </si>
  <si>
    <t>Tepidibacter sp.</t>
  </si>
  <si>
    <t>Bacteria;Pseudomonadota;Alphaproteobacteria;Hyphomicrobiales;Stappiaceae;Roseibium;Roseibium sp. RKSG952;</t>
  </si>
  <si>
    <t>Roseibium sp. RKSG952</t>
  </si>
  <si>
    <t>Bacteria;Pseudomonadota;Alphaproteobacteria;Hyphomicrobiales;Xanthobacteraceae;Xanthobacter;Xanthobacter dioxanivorans;</t>
  </si>
  <si>
    <t>Xanthobacter dioxanivorans</t>
  </si>
  <si>
    <t>Bacteria;Actinomycetota;Actinomycetes;Micrococcales;Microbacteriaceae;Planctomonas;Planctomonas psychrotolerans;</t>
  </si>
  <si>
    <t>Planctomonas</t>
  </si>
  <si>
    <t>Planctomonas psychrotolerans</t>
  </si>
  <si>
    <t>Bacteria;Pseudomonadota;Betaproteobacteria;Burkholderiales;NA;Aquabacterium;Aquabacterium lacunae;</t>
  </si>
  <si>
    <t>Aquabacterium lacunae</t>
  </si>
  <si>
    <t>Bacteria;Bacillota;Clostridia;Moorellales;Zhaonellaceae;Zhaonella;Zhaonella formicivorans;</t>
  </si>
  <si>
    <t>Moorellales</t>
  </si>
  <si>
    <t>Zhaonellaceae</t>
  </si>
  <si>
    <t>Zhaonella</t>
  </si>
  <si>
    <t>Zhaonella formicivorans</t>
  </si>
  <si>
    <t>Bacteria;Pseudomonadota;Alphaproteobacteria;Hyphomicrobiales;Methylopilaceae;Hansschlegelia;Hansschlegelia quercus;</t>
  </si>
  <si>
    <t>Methylopilaceae</t>
  </si>
  <si>
    <t>Hansschlegelia</t>
  </si>
  <si>
    <t>Hansschlegelia quercus</t>
  </si>
  <si>
    <t>Bacteria;Pseudomonadota;Alphaproteobacteria;Hyphomicrobiales;Rhizobiaceae;Agrobacterium;Agrobacterium cavarae;</t>
  </si>
  <si>
    <t>Agrobacterium cavarae</t>
  </si>
  <si>
    <t>Bacteria;Planctomycetota;Planctomycetia;Pirellulales;Pirellulaceae;Lignipirellula;Lignipirellula cremea;</t>
  </si>
  <si>
    <t>Lignipirellula</t>
  </si>
  <si>
    <t>Lignipirellula cremea</t>
  </si>
  <si>
    <t>Bacteria;Planctomycetota;Planctomycetia;Pirellulales;Lacipirellulaceae;Bythopirellula;Bythopirellula polymerisocia;</t>
  </si>
  <si>
    <t>Lacipirellulaceae</t>
  </si>
  <si>
    <t>Bythopirellula</t>
  </si>
  <si>
    <t>Bythopirellula polymerisocia</t>
  </si>
  <si>
    <t>Bacteria;Planctomycetota;Planctomycetia;Pirellulales;Lacipirellulaceae;Pseudobythopirellula;Pseudobythopirellula maris;</t>
  </si>
  <si>
    <t>Pseudobythopirellula</t>
  </si>
  <si>
    <t>Pseudobythopirellula maris</t>
  </si>
  <si>
    <t>Bacteria;Planctomycetota;Planctomycetia;Pirellulales;Pirellulaceae;Stieleria;Stieleria neptunia;</t>
  </si>
  <si>
    <t>Stieleria</t>
  </si>
  <si>
    <t>Stieleria neptunia</t>
  </si>
  <si>
    <t>Bacteria;Planctomycetota;Planctomycetia;Pirellulales;Lacipirellulaceae;Aeoliella;Aeoliella mucimassa;</t>
  </si>
  <si>
    <t>Aeoliella</t>
  </si>
  <si>
    <t>Aeoliella mucimassa</t>
  </si>
  <si>
    <t>Bacteria;Pseudomonadota;Alphaproteobacteria;Acetobacterales;Roseomonadaceae;Roseicella;Roseicella aquatilis;</t>
  </si>
  <si>
    <t>Roseicella aquatilis</t>
  </si>
  <si>
    <t>Bacteria;Pseudomonadota;Betaproteobacteria;Burkholderiales;Comamonadaceae;Rhodoferax;Rhodoferax aquaticus;</t>
  </si>
  <si>
    <t>Rhodoferax aquaticus</t>
  </si>
  <si>
    <t>Bacteria;Pseudomonadota;Alphaproteobacteria;Hyphomicrobiales;Rhizobiaceae;Shinella;Shinella sp. JR1-6;</t>
  </si>
  <si>
    <t>Shinella sp. JR1-6</t>
  </si>
  <si>
    <t>Bacteria;Bacteroidota;Cytophagia;Cytophagales;Cytophagaceae;Spirosoma;Spirosoma sp. KCTC 42546;</t>
  </si>
  <si>
    <t>Spirosoma sp. KCTC 42546</t>
  </si>
  <si>
    <t>Bacteria;Pseudomonadota;Betaproteobacteria;Burkholderiales;Comamonadaceae;Acidovorax;Acidovorax sp. JMULE5;</t>
  </si>
  <si>
    <t>Acidovorax sp. JMULE5</t>
  </si>
  <si>
    <t>Bacteria;Actinomycetota;Actinomycetes;Mycobacteriales;Mycobacteriaceae;Mycolicibacterium;Mycolicibacterium sp. CH28;</t>
  </si>
  <si>
    <t>Mycolicibacterium sp. CH28</t>
  </si>
  <si>
    <t>Bacteria;Actinomycetota;Actinomycetes;Propionibacteriales;Kribbellaceae;Kribbella;Kribbella caucasensis;</t>
  </si>
  <si>
    <t>Kribbellaceae</t>
  </si>
  <si>
    <t>Kribbella</t>
  </si>
  <si>
    <t>Kribbella caucasensis</t>
  </si>
  <si>
    <t>Bacteria;Actinomycetota;Actinomycetes;Propionibacteriales;Kribbellaceae;Kribbella;Kribbella voronezhensis;</t>
  </si>
  <si>
    <t>Kribbella voronezhensis</t>
  </si>
  <si>
    <t>Bacteria;Pseudomonadota;Alphaproteobacteria;Hyphomicrobiales;Boseaceae;Bosea;Bosea sp. BK604;</t>
  </si>
  <si>
    <t>Bosea sp. BK604</t>
  </si>
  <si>
    <t>Bacteria;Pseudomonadota;Alphaproteobacteria;Hyphomicrobiales;Rhizobiaceae;Rhizobium;Rhizobium sp. BK376;</t>
  </si>
  <si>
    <t>Rhizobium sp. BK376</t>
  </si>
  <si>
    <t>Bacteria;Bacillota;Bacilli;Bacillales;Paenibacillaceae;Paenibacillus;Paenibacillus sp. BK033;</t>
  </si>
  <si>
    <t>Paenibacillus sp. BK033</t>
  </si>
  <si>
    <t>Bacteria;Pseudomonadota;Alphaproteobacteria;Hyphomicrobiales;Rhizobiaceae;Rhizobium;Rhizobium sp. BK251;</t>
  </si>
  <si>
    <t>Rhizobium sp. BK251</t>
  </si>
  <si>
    <t>Bacteria;Actinomycetota;Actinomycetes;Micrococcales;Microbacteriaceae;Microbacterium;Microbacterium sp. BK668;</t>
  </si>
  <si>
    <t>Microbacterium sp. BK668</t>
  </si>
  <si>
    <t>Bacteria;Pseudomonadota;Alphaproteobacteria;Caulobacterales;Caulobacteraceae;Caulobacter;Caulobacter sp. BK020;</t>
  </si>
  <si>
    <t>Caulobacter sp. BK020</t>
  </si>
  <si>
    <t>Bacteria;Bacteroidota;Flavobacteriia;Flavobacteriales;Flavobacteriaceae;Flavobacterium;Flavobacterium sp. 245;</t>
  </si>
  <si>
    <t>Flavobacterium sp. 245</t>
  </si>
  <si>
    <t>Bacteria;Bacteroidota;Flavobacteriia;Flavobacteriales;Flavobacteriaceae;Flavobacterium;Flavobacterium sp. P3160;</t>
  </si>
  <si>
    <t>Flavobacterium sp. P3160</t>
  </si>
  <si>
    <t>Bacteria;Pseudomonadota;Gammaproteobacteria;Enterobacterales;Enterobacteriaceae;Enterobacter;Enterobacter cloacae complex sp. 2DZ2F2B;</t>
  </si>
  <si>
    <t>Enterobacter cloacae complex sp. 2DZ2F2B</t>
  </si>
  <si>
    <t>Bacteria;Pseudomonadota;Betaproteobacteria;Burkholderiales;Alcaligenaceae;Achromobacter;Achromobacter aestuarii;</t>
  </si>
  <si>
    <t>Achromobacter aestuarii</t>
  </si>
  <si>
    <t>Bacteria;Pseudomonadota;Alphaproteobacteria;Sphingomonadales;Sphingosinicellaceae;Polymorphobacter;Polymorphobacter arshaanensis;</t>
  </si>
  <si>
    <t>Polymorphobacter</t>
  </si>
  <si>
    <t>Polymorphobacter arshaanensis</t>
  </si>
  <si>
    <t>Bacteria;Bacillota;Bacilli;Bacillales;NA;Exiguobacterium;Exiguobacterium sp. SH0S2;</t>
  </si>
  <si>
    <t>Exiguobacterium sp. SH0S2</t>
  </si>
  <si>
    <t>Bacteria;Pseudomonadota;Alphaproteobacteria;Sphingomonadales;Sphingomonadaceae;Sphingorhabdus;Sphingorhabdus profundilacus;</t>
  </si>
  <si>
    <t>Sphingorhabdus</t>
  </si>
  <si>
    <t>Sphingorhabdus profundilacus</t>
  </si>
  <si>
    <t>Bacteria;Actinomycetota;Actinomycetes;Micrococcales;Promicromonosporaceae;Xylanimonas;Xylanimonas protaetiae;</t>
  </si>
  <si>
    <t>Xylanimonas</t>
  </si>
  <si>
    <t>Xylanimonas protaetiae</t>
  </si>
  <si>
    <t>Bacteria;Pseudomonadota;Alphaproteobacteria;Rhodobacterales;Paracoccaceae;Paracoccus;Paracoccus luteus;</t>
  </si>
  <si>
    <t>Paracoccus luteus</t>
  </si>
  <si>
    <t>Bacteria;Bacteroidota;Flavobacteriia;Flavobacteriales;Flavobacteriaceae;Polaribacter;Polaribacter sp. IC073;</t>
  </si>
  <si>
    <t>Polaribacter</t>
  </si>
  <si>
    <t>Polaribacter sp. IC073</t>
  </si>
  <si>
    <t>Bacteria;Actinomycetota;Actinomycetes;Propionibacteriales;Nocardioidaceae;Nocardioides;Nocardioides sp. 1609;</t>
  </si>
  <si>
    <t>Nocardioides sp. 1609</t>
  </si>
  <si>
    <t>Bacteria;Bacillota;Bacilli;Bacillales;Paenibacillaceae;Chengkuizengella;Chengkuizengella marina;</t>
  </si>
  <si>
    <t>Chengkuizengella</t>
  </si>
  <si>
    <t>Chengkuizengella marina</t>
  </si>
  <si>
    <t>Bacteria;Bacillota;Clostridia;Eubacteriales;Clostridiaceae;Clostridium;Clostridium sp. JN-9;</t>
  </si>
  <si>
    <t>Clostridium sp. JN-9</t>
  </si>
  <si>
    <t>Bacteria;Pseudomonadota;Alphaproteobacteria;Hyphomicrobiales;Rhizobiaceae;Neorhizobium;Neorhizobium lilium;</t>
  </si>
  <si>
    <t>Neorhizobium lilium</t>
  </si>
  <si>
    <t>Bacteria;Pseudomonadota;Gammaproteobacteria;Pseudomonadales;Pseudomonadaceae;Ectopseudomonas;Ectopseudomonas khazarica;</t>
  </si>
  <si>
    <t>Ectopseudomonas</t>
  </si>
  <si>
    <t>Ectopseudomonas khazarica</t>
  </si>
  <si>
    <t>Bacteria;Bacteroidota;Flavobacteriia;Flavobacteriales;Flavobacteriaceae;Flavobacterium;Flavobacterium cerinum;</t>
  </si>
  <si>
    <t>Flavobacterium cerinum</t>
  </si>
  <si>
    <t>Bacteria;Actinomycetota;Actinomycetes;Micrococcales;Intrasporangiaceae;Phycicoccus;Phycicoccus flavus;</t>
  </si>
  <si>
    <t>Phycicoccus</t>
  </si>
  <si>
    <t>Phycicoccus flavus</t>
  </si>
  <si>
    <t>Bacteria;Bacteroidota;Chitinophagia;Chitinophagales;Chitinophagaceae;Flaviaesturariibacter;Flaviaesturariibacter flavus;</t>
  </si>
  <si>
    <t>Flaviaesturariibacter</t>
  </si>
  <si>
    <t>Flaviaesturariibacter flavus</t>
  </si>
  <si>
    <t>Bacteria;Bacteroidota;Chitinophagia;Chitinophagales;Chitinophagaceae;Pseudocnuella;Pseudocnuella soli;</t>
  </si>
  <si>
    <t>Pseudocnuella</t>
  </si>
  <si>
    <t>Pseudocnuella soli</t>
  </si>
  <si>
    <t>Bacteria;Actinomycetota;Actinomycetes;Mycobacteriales;Nocardiaceae;Rhodococcus;Rhodococcus sp. Q;</t>
  </si>
  <si>
    <t>Rhodococcus sp. Q</t>
  </si>
  <si>
    <t>Bacteria;Bacillota;Bacilli;Bacillales;Bacillaceae;Bacillus;Bacillus sp. E(2018);</t>
  </si>
  <si>
    <t>Bacillus sp. E(2018)</t>
  </si>
  <si>
    <t>Bacteria;Pseudomonadota;Gammaproteobacteria;Pseudomonadales;Pseudomonadaceae;Pseudomonas;Pseudomonas sp. D(2018);</t>
  </si>
  <si>
    <t>Pseudomonas sp. D(2018)</t>
  </si>
  <si>
    <t>Bacteria;Actinomycetota;Actinomycetes;Micrococcales;Microbacteriaceae;Microbacterium;Microbacterium sp. 2FI;</t>
  </si>
  <si>
    <t>Microbacterium sp. 2FI</t>
  </si>
  <si>
    <t>Bacteria;Pseudomonadota;Gammaproteobacteria;Pseudomonadales;Pseudomonadaceae;Pseudomonas;Pseudomonas sp. 2FG;</t>
  </si>
  <si>
    <t>Pseudomonas sp. 2FG</t>
  </si>
  <si>
    <t>Bacteria;Pseudomonadota;Betaproteobacteria;Burkholderiales;Comamonadaceae;Ramlibacter;Ramlibacter sp. 2FC;</t>
  </si>
  <si>
    <t>Ramlibacter sp. 2FC</t>
  </si>
  <si>
    <t>Bacteria;Pseudomonadota;Betaproteobacteria;Burkholderiales;Comamonadaceae;Hydrogenophaga;Hydrogenophaga sp. 2FB;</t>
  </si>
  <si>
    <t>Hydrogenophaga sp. 2FB</t>
  </si>
  <si>
    <t>Bacteria;Pseudomonadota;Alphaproteobacteria;Rhodospirillales;Rhodospirillaceae;Telmatospirillum;Telmatospirillum sp. J64-1;</t>
  </si>
  <si>
    <t>Telmatospirillum</t>
  </si>
  <si>
    <t>Telmatospirillum sp. J64-1</t>
  </si>
  <si>
    <t>Bacteria;Bacillota;Bacilli;Bacillales;Bacillaceae;Niallia;Niallia taxi;</t>
  </si>
  <si>
    <t>Niallia taxi</t>
  </si>
  <si>
    <t>Bacteria;Pseudomonadota;Gammaproteobacteria;Chromatiales;Chromatiaceae;Rheinheimera;Rheinheimera sp. YQF-1;</t>
  </si>
  <si>
    <t>Rheinheimera sp. YQF-1</t>
  </si>
  <si>
    <t>Bacteria;Bacillota;Bacilli;Bacillales;Bacillaceae;Bacillus;Bacillus sp. BD59S;</t>
  </si>
  <si>
    <t>Bacillus sp. BD59S</t>
  </si>
  <si>
    <t>Bacteria;Bdellovibrionota;Oligoflexia;Silvanigrellales;Silvanigrellaceae;Silvanigrella;Silvanigrella paludirubra;</t>
  </si>
  <si>
    <t>Oligoflexia</t>
  </si>
  <si>
    <t>Silvanigrellales</t>
  </si>
  <si>
    <t>Silvanigrellaceae</t>
  </si>
  <si>
    <t>Silvanigrella</t>
  </si>
  <si>
    <t>Silvanigrella paludirubra</t>
  </si>
  <si>
    <t>Bacteria;Actinomycetota;Actinomycetes;Micrococcales;Microbacteriaceae;Aquiluna;Aquiluna borgnonia;</t>
  </si>
  <si>
    <t>Aquiluna borgnonia</t>
  </si>
  <si>
    <t>Bacteria;Actinomycetota;Actinomycetes;Micrococcales;Microbacteriaceae;Labedella;Labedella phragmitis;</t>
  </si>
  <si>
    <t>Labedella</t>
  </si>
  <si>
    <t>Labedella phragmitis</t>
  </si>
  <si>
    <t>Bacteria;Actinomycetota;Actinomycetes;Micrococcales;Microbacteriaceae;Agromyces;Agromyces sp. LHK192;</t>
  </si>
  <si>
    <t>Agromyces sp. LHK192</t>
  </si>
  <si>
    <t>Bacteria;Pseudomonadota;Alphaproteobacteria;Geminicoccales;Geminicoccaceae;Geminicoccus;Geminicoccus harenae;</t>
  </si>
  <si>
    <t>Geminicoccales</t>
  </si>
  <si>
    <t>Geminicoccaceae</t>
  </si>
  <si>
    <t>Geminicoccus</t>
  </si>
  <si>
    <t>Geminicoccus harenae</t>
  </si>
  <si>
    <t>Bacteria;Pseudomonadota;Gammaproteobacteria;Chromatiales;Chromatiaceae;Rheinheimera;Rheinheimera mangrovi;</t>
  </si>
  <si>
    <t>Rheinheimera mangrovi</t>
  </si>
  <si>
    <t>Bacteria;Pseudomonadota;Betaproteobacteria;Burkholderiales;Alcaligenaceae;Candidimonas;Candidimonas sp. SYP-B2681;</t>
  </si>
  <si>
    <t>Candidimonas</t>
  </si>
  <si>
    <t>Candidimonas sp. SYP-B2681</t>
  </si>
  <si>
    <t>Bacteria;Bacteroidota;Flavobacteriia;Flavobacteriales;Crocinitomicaceae;Lishizhenia;Lishizhenia sp.;</t>
  </si>
  <si>
    <t>Lishizhenia</t>
  </si>
  <si>
    <t>Lishizhenia sp.</t>
  </si>
  <si>
    <t>Bacteria;Pseudomonadota;Betaproteobacteria;Neisseriales;Chitinibacteraceae;Andreprevotia;Andreprevotia sp. IGB-42;</t>
  </si>
  <si>
    <t>Andreprevotia</t>
  </si>
  <si>
    <t>Andreprevotia sp. IGB-42</t>
  </si>
  <si>
    <t>Bacteria;Pseudomonadota;Gammaproteobacteria;Pseudomonadales;Pseudomonadaceae;Pseudomonas;Pseudomonas sp. JDS28PS106;</t>
  </si>
  <si>
    <t>Pseudomonas sp. JDS28PS106</t>
  </si>
  <si>
    <t>Bacteria;Pseudomonadota;Betaproteobacteria;Burkholderiales;Sphaerotilaceae;Piscinibacter;Piscinibacter terrae;</t>
  </si>
  <si>
    <t>Piscinibacter terrae</t>
  </si>
  <si>
    <t>Bacteria;Bacteroidota;Flavobacteriia;Flavobacteriales;Flavobacteriaceae;Nonlabens;Nonlabens ponticola;</t>
  </si>
  <si>
    <t>Nonlabens</t>
  </si>
  <si>
    <t>Nonlabens ponticola</t>
  </si>
  <si>
    <t>Bacteria;Pseudomonadota;Betaproteobacteria;Nitrosomonadales;Sterolibacteriaceae;Sulfuricystis;Sulfuricystis thermophila;</t>
  </si>
  <si>
    <t>Sulfuricystis</t>
  </si>
  <si>
    <t>Sulfuricystis thermophila</t>
  </si>
  <si>
    <t>Bacteria;Bacillota;Bacilli;Bacillales;Paenibacillaceae;Brevibacillus;Brevibacillus marinus;</t>
  </si>
  <si>
    <t>Brevibacillus marinus</t>
  </si>
  <si>
    <t>Bacteria;Pseudomonadota;Alphaproteobacteria;Hyphomicrobiales;Phyllobacteriaceae;Mesorhizobium;Mesorhizobium sp. M2C.T.Ca.TU.002.02.1.1;</t>
  </si>
  <si>
    <t>Mesorhizobium sp. M2C.T.Ca.TU.002.02.1.1</t>
  </si>
  <si>
    <t>Bacteria;Pseudomonadota;Alphaproteobacteria;Hyphomicrobiales;Phyllobacteriaceae;Mesorhizobium;Mesorhizobium sp. M4B.F.Ca.ET.019.03.1.1;</t>
  </si>
  <si>
    <t>Mesorhizobium sp. M4B.F.Ca.ET.019.03.1.1</t>
  </si>
  <si>
    <t>Bacteria;Pseudomonadota;Alphaproteobacteria;Acetobacterales;Roseomonadaceae;Roseococcus;Roseococcus sp. SYP-B2431;</t>
  </si>
  <si>
    <t>Roseococcus sp. SYP-B2431</t>
  </si>
  <si>
    <t>Bacteria;Bacillota;Clostridia;Caldicoprobacterales;Xylanivirgaceae;Xylanivirga;Xylanivirga thermophila;</t>
  </si>
  <si>
    <t>Caldicoprobacterales</t>
  </si>
  <si>
    <t>Xylanivirgaceae</t>
  </si>
  <si>
    <t>Xylanivirga</t>
  </si>
  <si>
    <t>Xylanivirga thermophila</t>
  </si>
  <si>
    <t>Bacteria;Bacteroidota;Bacteroidia;Bacteroidales;Dysgonomonadaceae;Seramator;Seramator thermalis;</t>
  </si>
  <si>
    <t>Seramator</t>
  </si>
  <si>
    <t>Seramator thermalis</t>
  </si>
  <si>
    <t>Bacteria;Bacillota;Bacilli;Bacillales;Paenibacillaceae;Paenibacillus;Paenibacillus zeisoli;</t>
  </si>
  <si>
    <t>Paenibacillus zeisoli</t>
  </si>
  <si>
    <t>Bacteria;Pseudomonadota;Betaproteobacteria;Burkholderiales;Comamonadaceae;Variovorax;Variovorax beijingensis;</t>
  </si>
  <si>
    <t>Variovorax beijingensis</t>
  </si>
  <si>
    <t>Bacteria;Pseudomonadota;Betaproteobacteria;Burkholderiales;Comamonadaceae;Variovorax;Variovorax sp. MHTC-1;</t>
  </si>
  <si>
    <t>Variovorax sp. MHTC-1</t>
  </si>
  <si>
    <t>Bacteria;Pseudomonadota;Betaproteobacteria;Burkholderiales;Comamonadaceae;Variovorax;Variovorax sp. DXTD-1;</t>
  </si>
  <si>
    <t>Variovorax sp. DXTD-1</t>
  </si>
  <si>
    <t>Bacteria;Bacillota;Bacilli;Bacillales;Paenibacillaceae;Paenibacillus;Paenibacillus albus;</t>
  </si>
  <si>
    <t>Paenibacillus albus</t>
  </si>
  <si>
    <t>Bacteria;Pseudomonadota;Alphaproteobacteria;Hyphomicrobiales;Aurantimonadaceae;Aureimonas;Aureimonas psammosilenae;</t>
  </si>
  <si>
    <t>Aureimonas psammosilenae</t>
  </si>
  <si>
    <t>Bacteria;Pseudomonadota;Alphaproteobacteria;Rhodobacterales;Paracoccaceae;Tabrizicola;Tabrizicola piscis;</t>
  </si>
  <si>
    <t>Tabrizicola piscis</t>
  </si>
  <si>
    <t>Bacteria;Bdellovibrionota;Oligoflexia;Silvanigrellales;Silvanigrellaceae;Fluviispira;Fluviispira sanaruensis;</t>
  </si>
  <si>
    <t>Fluviispira</t>
  </si>
  <si>
    <t>Fluviispira sanaruensis</t>
  </si>
  <si>
    <t>Bacteria;Bacteroidota;Flavobacteriia;Flavobacteriales;Flavobacteriaceae;Flavobacterium;Flavobacterium zhairuonense;</t>
  </si>
  <si>
    <t>Flavobacterium zhairuonense</t>
  </si>
  <si>
    <t>Bacteria;Actinomycetota;Actinomycetes;Glycomycetales;Glycomycetaceae;Glycomyces;Glycomyces terrestris;</t>
  </si>
  <si>
    <t>Glycomycetales</t>
  </si>
  <si>
    <t>Glycomycetaceae</t>
  </si>
  <si>
    <t>Glycomyces</t>
  </si>
  <si>
    <t>Glycomyces terrestris</t>
  </si>
  <si>
    <t>Bacteria;Pseudomonadota;Betaproteobacteria;Burkholderiales;NA;Aquabacterium;Aquabacterium soli;</t>
  </si>
  <si>
    <t>Aquabacterium soli</t>
  </si>
  <si>
    <t>Bacteria;Actinomycetota;Actinomycetes;Micrococcales;Microbacteriaceae;Microbacterium;Microbacterium sp. CPCC 204701;</t>
  </si>
  <si>
    <t>Microbacterium sp. CPCC 204701</t>
  </si>
  <si>
    <t>Bacteria;Pseudomonadota;Alphaproteobacteria;Rhodobacterales;Paracoccaceae;Solirhodobacter;Solirhodobacter olei;</t>
  </si>
  <si>
    <t>Solirhodobacter</t>
  </si>
  <si>
    <t>Solirhodobacter olei</t>
  </si>
  <si>
    <t>Bacteria;Pseudomonadota;Alphaproteobacteria;Caulobacterales;Caulobacteraceae;Caulobacter;Caulobacter sp. 602-1;</t>
  </si>
  <si>
    <t>Caulobacter sp. 602-1</t>
  </si>
  <si>
    <t>Bacteria;Bacteroidota;Sphingobacteriia;Sphingobacteriales;Sphingobacteriaceae;Mucilaginibacter;Mucilaginibacter terrigena;</t>
  </si>
  <si>
    <t>Mucilaginibacter terrigena</t>
  </si>
  <si>
    <t>Bacteria;Bacteroidota;Cytophagia;Cytophagales;Leadbetterellaceae;Emticicia;Emticicia agri;</t>
  </si>
  <si>
    <t>Emticicia agri</t>
  </si>
  <si>
    <t>Bacteria;Bacteroidota;Flavobacteriia;Flavobacteriales;Weeksellaceae;Empedobacter;Empedobacter tilapiae;</t>
  </si>
  <si>
    <t>Empedobacter</t>
  </si>
  <si>
    <t>Empedobacter tilapiae</t>
  </si>
  <si>
    <t>Bacteria;Actinomycetota;Actinomycetes;Micrococcales;Microbacteriaceae;Leucobacter;Leucobacter sp. OH1287;</t>
  </si>
  <si>
    <t>Leucobacter sp. OH1287</t>
  </si>
  <si>
    <t>Bacteria;Fusobacteriota;Fusobacteriia;Fusobacteriales;Leptotrichiaceae;Leptotrichia;Leptotrichia sp. OH3620_COT-345;</t>
  </si>
  <si>
    <t>Leptotrichiaceae</t>
  </si>
  <si>
    <t>Leptotrichia</t>
  </si>
  <si>
    <t>Leptotrichia sp. OH3620_COT-345</t>
  </si>
  <si>
    <t>Bacteria;Bacillota;Bacilli;Bacillales;Paenibacillaceae;Paenibacillus;Paenibacillus oralis;</t>
  </si>
  <si>
    <t>Paenibacillus oralis</t>
  </si>
  <si>
    <t>Bacteria;Pseudomonadota;Gammaproteobacteria;Enterobacterales;Enterobacteriaceae;Klebsiella;Klebsiella africana;</t>
  </si>
  <si>
    <t>Klebsiella africana</t>
  </si>
  <si>
    <t>Bacteria;Bacteroidota;Sphingobacteriia;Sphingobacteriales;Sphingobacteriaceae;Pedobacter;Pedobacter nototheniae;</t>
  </si>
  <si>
    <t>Pedobacter nototheniae</t>
  </si>
  <si>
    <t>Bacteria;Bacteroidota;Flavobacteriia;Flavobacteriales;Flavobacteriaceae;Flavobacterium;Flavobacterium macacae;</t>
  </si>
  <si>
    <t>Flavobacterium macacae</t>
  </si>
  <si>
    <t>Bacteria;Bacillota;Clostridia;Eubacteriales;Oscillospiraceae;Ruminiclostridium;Ruminiclostridium herbifermentans;</t>
  </si>
  <si>
    <t>Ruminiclostridium</t>
  </si>
  <si>
    <t>Ruminiclostridium herbifermentans</t>
  </si>
  <si>
    <t>Bacteria;Actinomycetota;Actinomycetes;Micrococcales;Microbacteriaceae;Gulosibacter;Gulosibacter macacae;</t>
  </si>
  <si>
    <t>Gulosibacter</t>
  </si>
  <si>
    <t>Gulosibacter macacae</t>
  </si>
  <si>
    <t>Bacteria;Bacteroidota;Flavobacteriia;Flavobacteriales;Flavobacteriaceae;Flavobacterium;Flavobacterium ustbae;</t>
  </si>
  <si>
    <t>Flavobacterium ustbae</t>
  </si>
  <si>
    <t>Bacteria;Pseudomonadota;Alphaproteobacteria;Rhodobacterales;Paracoccaceae;Falsigemmobacter;Falsigemmobacter faecalis;</t>
  </si>
  <si>
    <t>Falsigemmobacter</t>
  </si>
  <si>
    <t>Falsigemmobacter faecalis</t>
  </si>
  <si>
    <t>Bacteria;Bacteroidota;Chitinophagia;Chitinophagales;Chitinophagaceae;Chitinophaga;Chitinophaga lutea;</t>
  </si>
  <si>
    <t>Chitinophaga lutea</t>
  </si>
  <si>
    <t>Bacteria;Bacteroidota;Cytophagia;Cytophagales;Leadbetterellaceae;Lacihabitans;Lacihabitans sp. LS3-19;</t>
  </si>
  <si>
    <t>Lacihabitans</t>
  </si>
  <si>
    <t>Lacihabitans sp. LS3-19</t>
  </si>
  <si>
    <t>Bacteria;Bacteroidota;Chitinophagia;Chitinophagales;Chitinophagaceae;Ferruginibacter;Ferruginibacter sp. HRS2-29;</t>
  </si>
  <si>
    <t>Ferruginibacter sp. HRS2-29</t>
  </si>
  <si>
    <t>Bacteria;Bacteroidota;Cytophagia;Cytophagales;Leadbetterellaceae;Lacihabitans;Lacihabitans sp. CS3-21;</t>
  </si>
  <si>
    <t>Lacihabitans sp. CS3-21</t>
  </si>
  <si>
    <t>Bacteria;Bacteroidota;Cytophagia;Cytophagales;Leadbetterellaceae;Lacihabitans;Lacihabitans sp. CCS-44;</t>
  </si>
  <si>
    <t>Lacihabitans sp. CCS-44</t>
  </si>
  <si>
    <t>Bacteria;Bacillota;Clostridia;Eubacteriales;Oscillospiraceae;Acetivibrio;Acetivibrio mesophilus;</t>
  </si>
  <si>
    <t>Acetivibrio</t>
  </si>
  <si>
    <t>Acetivibrio mesophilus</t>
  </si>
  <si>
    <t>Bacteria;Bacteroidota;Flavobacteriia;Flavobacteriales;Weeksellaceae;Chryseobacterium;Chryseobacterium sp. G0162;</t>
  </si>
  <si>
    <t>Chryseobacterium sp. G0162</t>
  </si>
  <si>
    <t>Bacteria;Actinomycetota;Actinomycetes;Micrococcales;Microbacteriaceae;Microbacterium;Microbacterium sulfonylureivorans;</t>
  </si>
  <si>
    <t>Microbacterium sulfonylureivorans</t>
  </si>
  <si>
    <t>Bacteria;Pseudomonadota;Alphaproteobacteria;Rhodobacterales;Paracoccaceae;Pseudotabrizicola;Pseudotabrizicola sediminis;</t>
  </si>
  <si>
    <t>Pseudotabrizicola sediminis</t>
  </si>
  <si>
    <t>Bacteria;Actinomycetota;Actinomycetes;Propionibacteriales;Nocardioidaceae;Nocardioides;Nocardioides sp. WS12;</t>
  </si>
  <si>
    <t>Nocardioides sp. WS12</t>
  </si>
  <si>
    <t>Bacteria;Actinomycetota;Actinomycetes;Micrococcales;Microbacteriaceae;Frondihabitans;Frondihabitans sp. PhB188;</t>
  </si>
  <si>
    <t>Frondihabitans</t>
  </si>
  <si>
    <t>Frondihabitans sp. PhB188</t>
  </si>
  <si>
    <t>Bacteria;Actinomycetota;Actinomycetes;Micrococcales;Microbacteriaceae;Frigoribacterium;Frigoribacterium sp. PhB160;</t>
  </si>
  <si>
    <t>Frigoribacterium sp. PhB160</t>
  </si>
  <si>
    <t>Bacteria;Pseudomonadota;Gammaproteobacteria;Pseudomonadales;Pseudomonadaceae;Pseudomonas;Pseudomonas sp. LP_7_YM;</t>
  </si>
  <si>
    <t>Pseudomonas sp. LP_7_YM</t>
  </si>
  <si>
    <t>Bacteria;Pseudomonadota;Betaproteobacteria;Burkholderiales;Comamonadaceae;Comamonas;Comamonas sp. BIGb0124;</t>
  </si>
  <si>
    <t>Comamonas sp. BIGb0124</t>
  </si>
  <si>
    <t>Bacteria;Pseudomonadota;Gammaproteobacteria;Enterobacterales;Erwiniaceae;Erwinia;Erwinia sp. JUb26;</t>
  </si>
  <si>
    <t>Erwinia sp. JUb26</t>
  </si>
  <si>
    <t>Bacteria;Pseudomonadota;Betaproteobacteria;Burkholderiales;Comamonadaceae;Comamonas;Comamonas sp. JUb58;</t>
  </si>
  <si>
    <t>Comamonas sp. JUb58</t>
  </si>
  <si>
    <t>Bacteria;Pseudomonadota;Alphaproteobacteria;Sphingomonadales;Sphingomonadaceae;Novosphingobium;Novosphingobium sp. PhB57;</t>
  </si>
  <si>
    <t>Novosphingobium sp. PhB57</t>
  </si>
  <si>
    <t>Bacteria;Pseudomonadota;Alphaproteobacteria;Sphingomonadales;Sphingomonadaceae;Novosphingobium;Novosphingobium sp. PhB55;</t>
  </si>
  <si>
    <t>Novosphingobium sp. PhB55</t>
  </si>
  <si>
    <t>Bacteria;Pseudomonadota;Alphaproteobacteria;Sphingomonadales;Sphingomonadaceae;Novosphingobium;Novosphingobium sp. PhB165;</t>
  </si>
  <si>
    <t>Novosphingobium sp. PhB165</t>
  </si>
  <si>
    <t>Bacteria;Pseudomonadota;Alphaproteobacteria;Rhodobacterales;Paracoccaceae;Pseudogemmobacter;Pseudogemmobacter humi;</t>
  </si>
  <si>
    <t>Pseudogemmobacter humi</t>
  </si>
  <si>
    <t>Bacteria;Actinomycetota;Actinomycetes;Micrococcales;Microbacteriaceae;Microbacterium;Microbacterium sp. 10M-3C3;</t>
  </si>
  <si>
    <t>Microbacterium sp. 10M-3C3</t>
  </si>
  <si>
    <t>Bacteria;Bacillota;Clostridia;Eubacteriales;Clostridiaceae;Clostridium;Clostridium sp. JN-1;</t>
  </si>
  <si>
    <t>Clostridium sp. JN-1</t>
  </si>
  <si>
    <t>Bacteria;Pseudomonadota;Gammaproteobacteria;Pseudomonadales;Pseudomonadaceae;Stutzerimonas;Stutzerimonas nitrititolerans;</t>
  </si>
  <si>
    <t>Stutzerimonas nitrititolerans</t>
  </si>
  <si>
    <t>Bacteria;Bacteroidota;Sphingobacteriia;Sphingobacteriales;Sphingobacteriaceae;Pedobacter;Pedobacter sp. G11;</t>
  </si>
  <si>
    <t>Pedobacter sp. G11</t>
  </si>
  <si>
    <t>Bacteria;Bacteroidota;Sphingobacteriia;Sphingobacteriales;Sphingobacteriaceae;Mucilaginibacter;Mucilaginibacter terrenus;</t>
  </si>
  <si>
    <t>Mucilaginibacter terrenus</t>
  </si>
  <si>
    <t>Bacteria;Pseudomonadota;Gammaproteobacteria;Lysobacterales;Lysobacteraceae;Stenotrophomonas;Stenotrophomonas sp. 278;</t>
  </si>
  <si>
    <t>Stenotrophomonas sp. 278</t>
  </si>
  <si>
    <t>Bacteria;Pseudomonadota;Gammaproteobacteria;Pseudomonadales;Pseudomonadaceae;Pseudomonas;Pseudomonas sp. v388;</t>
  </si>
  <si>
    <t>Pseudomonas sp. v388</t>
  </si>
  <si>
    <t>Bacteria;Pseudomonadota;Betaproteobacteria;Burkholderiales;Comamonadaceae;Acidovorax;Acidovorax sp. 1608163;</t>
  </si>
  <si>
    <t>Acidovorax sp. 1608163</t>
  </si>
  <si>
    <t>Bacteria;Pseudomonadota;Alphaproteobacteria;Acetobacterales;Acetobacteraceae;Pseudoroseomonas;Pseudoroseomonas wenyumeiae;</t>
  </si>
  <si>
    <t>Pseudoroseomonas wenyumeiae</t>
  </si>
  <si>
    <t>Bacteria;Pseudomonadota;Betaproteobacteria;Burkholderiales;Alcaligenaceae;Pigmentiphaga;Pigmentiphaga humi;</t>
  </si>
  <si>
    <t>Pigmentiphaga</t>
  </si>
  <si>
    <t>Pigmentiphaga humi</t>
  </si>
  <si>
    <t>Bacteria;Pseudomonadota;Gammaproteobacteria;Enterobacterales;Yersiniaceae;Serratia;Serratia sp. 3ACOL1;</t>
  </si>
  <si>
    <t>Serratia sp. 3ACOL1</t>
  </si>
  <si>
    <t>Bacteria;Pseudomonadota;Gammaproteobacteria;Pseudomonadales;Pseudomonadaceae;Pseudomonas;Pseudomonas leptonychotis;</t>
  </si>
  <si>
    <t>Pseudomonas leptonychotis</t>
  </si>
  <si>
    <t>Bacteria;Bacillota;Bacilli;Bacillales;Paenibacillaceae;Cohnella;Cohnella endophytica;</t>
  </si>
  <si>
    <t>Cohnella endophytica</t>
  </si>
  <si>
    <t>Bacteria;Actinomycetota;Actinomycetes;Micrococcales;Microbacteriaceae;Protaetiibacter;Protaetiibacter intestinalis;</t>
  </si>
  <si>
    <t>Protaetiibacter intestinalis</t>
  </si>
  <si>
    <t>Bacteria;Actinomycetota;Actinomycetes;Micrococcales;Microbacteriaceae;Gryllotalpicola;Gryllotalpicola protaetiae;</t>
  </si>
  <si>
    <t>Gryllotalpicola</t>
  </si>
  <si>
    <t>Gryllotalpicola protaetiae</t>
  </si>
  <si>
    <t>Bacteria;Actinomycetota;Actinomycetes;Mycobacteriales;Mycobacteriaceae;Mycolicibacterium;Mycolicibacterium stellerae;</t>
  </si>
  <si>
    <t>Mycolicibacterium stellerae</t>
  </si>
  <si>
    <t>Bacteria;Bacteroidota;Chitinophagia;Chitinophagales;Chitinophagaceae;Arachidicoccus;Arachidicoccus soli;</t>
  </si>
  <si>
    <t>Arachidicoccus</t>
  </si>
  <si>
    <t>Arachidicoccus soli</t>
  </si>
  <si>
    <t>Bacteria;Actinomycetota;Actinomycetes;Mycobacteriales;Mycobacteriaceae;Mycobacterium;Mycobacterium attenuatum;</t>
  </si>
  <si>
    <t>Mycobacterium attenuatum</t>
  </si>
  <si>
    <t>Bacteria;Actinomycetota;Actinomycetes;Mycobacteriales;Mycobacteriaceae;Mycobacterium;Mycobacterium innocens;</t>
  </si>
  <si>
    <t>Mycobacterium innocens</t>
  </si>
  <si>
    <t>Bacteria;Pseudomonadota;Gammaproteobacteria;Enterobacterales;Yersiniaceae;Yersinia;Yersinia hibernica;</t>
  </si>
  <si>
    <t>Yersinia hibernica</t>
  </si>
  <si>
    <t>Bacteria;Actinomycetota;Actinomycetes;Motilibacterales;Vallicoccaceae;Vallicoccus;Vallicoccus soli;</t>
  </si>
  <si>
    <t>Vallicoccaceae</t>
  </si>
  <si>
    <t>Vallicoccus</t>
  </si>
  <si>
    <t>Vallicoccus soli</t>
  </si>
  <si>
    <t>Bacteria;Bacillota;Bacilli;Bacillales;Bacillaceae;Bacillus;Bacillus clarus;</t>
  </si>
  <si>
    <t>Bacillus clarus</t>
  </si>
  <si>
    <t>Bacteria;Pseudomonadota;Alphaproteobacteria;Sphingomonadales;Erythrobacteraceae;Tsuneonella;Tsuneonella amylolytica;</t>
  </si>
  <si>
    <t>Tsuneonella</t>
  </si>
  <si>
    <t>Tsuneonella amylolytica</t>
  </si>
  <si>
    <t>Bacteria;Bacteroidota;Cytophagia;Cytophagales;Fulvivirgaceae;Chryseolinea;Chryseolinea soli;</t>
  </si>
  <si>
    <t>Fulvivirgaceae</t>
  </si>
  <si>
    <t>Chryseolinea</t>
  </si>
  <si>
    <t>Chryseolinea soli</t>
  </si>
  <si>
    <t>Bacteria;Bacillota;Clostridia;Eubacteriales;Clostridiaceae;Clostridium;Clostridium manihotivorum;</t>
  </si>
  <si>
    <t>Clostridium manihotivorum</t>
  </si>
  <si>
    <t>Bacteria;Pseudomonadota;Gammaproteobacteria;Pseudomonadales;Pseudomonadaceae;Pseudomonas;Pseudomonas cavernae;</t>
  </si>
  <si>
    <t>Pseudomonas cavernae</t>
  </si>
  <si>
    <t>Bacteria;Pseudomonadota;Gammaproteobacteria;Pseudomonadales;Pseudomonadaceae;Pseudomonas;Pseudomonas cavernicola;</t>
  </si>
  <si>
    <t>Pseudomonas cavernicola</t>
  </si>
  <si>
    <t>Bacteria;Pseudomonadota;Betaproteobacteria;Burkholderiales;Oxalobacteraceae;Massilia;Massilia cavernae;</t>
  </si>
  <si>
    <t>Massilia cavernae</t>
  </si>
  <si>
    <t>Bacteria;Pseudomonadota;Alphaproteobacteria;Sphingomonadales;Sphingomonadaceae;Sphingomonas;Sphingomonas cavernae;</t>
  </si>
  <si>
    <t>Sphingomonas cavernae</t>
  </si>
  <si>
    <t>Bacteria;Pseudomonadota;Alphaproteobacteria;Acetobacterales;Acetobacteraceae;Oleomonas;Oleomonas cavernae;</t>
  </si>
  <si>
    <t>Oleomonas</t>
  </si>
  <si>
    <t>Oleomonas cavernae</t>
  </si>
  <si>
    <t>Bacteria;Actinomycetota;Actinomycetes;Mycobacteriales;Mycobacteriaceae;Mycolicibacterium;Mycolicibacterium sp.;</t>
  </si>
  <si>
    <t>Mycolicibacterium sp.</t>
  </si>
  <si>
    <t>Bacteria;Pseudomonadota;Alphaproteobacteria;Hyphomicrobiales;Aurantimonadaceae;Aureimonas;Aureimonas flava;</t>
  </si>
  <si>
    <t>Aureimonas flava</t>
  </si>
  <si>
    <t>Bacteria;Bacillota;Clostridia;Lachnospirales;Lachnospiraceae;Parablautia;Parablautia intestinalis;</t>
  </si>
  <si>
    <t>Parablautia</t>
  </si>
  <si>
    <t>Parablautia intestinalis</t>
  </si>
  <si>
    <t>Bacteria;Myxococcota;Myxococcia;Myxococcales;Myxococcaceae;Corallococcus;Corallococcus exercitus;</t>
  </si>
  <si>
    <t>Corallococcus</t>
  </si>
  <si>
    <t>Corallococcus exercitus</t>
  </si>
  <si>
    <t>Bacteria;Pseudomonadota;Betaproteobacteria;Burkholderiales;Sphaerotilaceae;Caldimonas;Caldimonas tepidiphila;</t>
  </si>
  <si>
    <t>Caldimonas tepidiphila</t>
  </si>
  <si>
    <t>Bacteria;Pseudomonadota;Alphaproteobacteria;Sphingomonadales;Sphingomonadaceae;Sphingomonas;Sphingomonas edaphi;</t>
  </si>
  <si>
    <t>Sphingomonas edaphi</t>
  </si>
  <si>
    <t>Bacteria;Pseudomonadota;Betaproteobacteria;Burkholderiales;Comamonadaceae;Simplicispira;Simplicispira hankyongi;</t>
  </si>
  <si>
    <t>Simplicispira hankyongi</t>
  </si>
  <si>
    <t>Bacteria;Bacillota;Bacilli;Bacillales;NA;Exiguobacterium;Exiguobacterium sp. RIT452;</t>
  </si>
  <si>
    <t>Exiguobacterium sp. RIT452</t>
  </si>
  <si>
    <t>Bacteria;Pseudomonadota;Betaproteobacteria;Burkholderiales;Sphaerotilaceae;Pseudaquabacterium;Pseudaquabacterium pictum;</t>
  </si>
  <si>
    <t>Pseudaquabacterium pictum</t>
  </si>
  <si>
    <t>Bacteria;Pseudomonadota;Gammaproteobacteria;NA;Candidatus Competibacteraceae;Plasticicumulans;Plasticicumulans sp.;</t>
  </si>
  <si>
    <t>Candidatus Competibacteraceae</t>
  </si>
  <si>
    <t>Plasticicumulans</t>
  </si>
  <si>
    <t>Plasticicumulans sp.</t>
  </si>
  <si>
    <t>Bacteria;Pseudomonadota;Alphaproteobacteria;Rhodobacterales;NA;Sinirhodobacter;Sinirhodobacter populi;</t>
  </si>
  <si>
    <t>Sinirhodobacter</t>
  </si>
  <si>
    <t>Sinirhodobacter populi</t>
  </si>
  <si>
    <t>Bacteria;Actinomycetota;Actinomycetes;Micrococcales;Microbacteriaceae;Amnibacterium;Amnibacterium setariae;</t>
  </si>
  <si>
    <t>Amnibacterium setariae</t>
  </si>
  <si>
    <t>Bacteria;Pseudomonadota;Gammaproteobacteria;Oceanospirillales;Halomonadaceae;Halomonas;Halomonas sp. JS92-SW72;</t>
  </si>
  <si>
    <t>Halomonas sp. JS92-SW72</t>
  </si>
  <si>
    <t>Bacteria;Pseudomonadota;Alphaproteobacteria;Rhodobacterales;Paracoccaceae;Gemmobacter;Gemmobacter lutimaris;</t>
  </si>
  <si>
    <t>Gemmobacter lutimaris</t>
  </si>
  <si>
    <t>Bacteria;Bacteroidota;Sphingobacteriia;Sphingobacteriales;Sphingobacteriaceae;Mucilaginibacter;Mucilaginibacter gilvus;</t>
  </si>
  <si>
    <t>Mucilaginibacter gilvus</t>
  </si>
  <si>
    <t>Bacteria;Pseudomonadota;Alphaproteobacteria;Sphingomonadales;Sphingomonadaceae;Sphingomonas;Sphingomonas gilva;</t>
  </si>
  <si>
    <t>Sphingomonas gilva</t>
  </si>
  <si>
    <t>Bacteria;Actinomycetota;Actinomycetes;Micrococcales;Microbacteriaceae;Microbacterium;Microbacterium sp. K24;</t>
  </si>
  <si>
    <t>Microbacterium sp. K24</t>
  </si>
  <si>
    <t>Bacteria;Actinomycetota;Actinomycetes;Micrococcales;Microbacteriaceae;Microbacterium;Microbacterium sp. K27;</t>
  </si>
  <si>
    <t>Microbacterium sp. K27</t>
  </si>
  <si>
    <t>Bacteria;Pseudomonadota;Alphaproteobacteria;Rhodobacterales;Paracoccaceae;Pseudotabrizicola;Pseudotabrizicola alkalilacus;</t>
  </si>
  <si>
    <t>Pseudotabrizicola alkalilacus</t>
  </si>
  <si>
    <t>Bacteria;Bacteroidota;Flavobacteriia;Flavobacteriales;Weeksellaceae;Chryseobacterium;Chryseobacterium nematophagum;</t>
  </si>
  <si>
    <t>Chryseobacterium nematophagum</t>
  </si>
  <si>
    <t>Bacteria;Actinomycetota;Actinomycetes;Micrococcales;Microbacteriaceae;Leucobacter;Leucobacter sp. wl10;</t>
  </si>
  <si>
    <t>Leucobacter sp. wl10</t>
  </si>
  <si>
    <t>Bacteria;Cyanobacteriota;Cyanophyceae;Nostocales;Scytonemataceae;Scytonema;Scytonema sp. UIC 10036;</t>
  </si>
  <si>
    <t>Scytonema sp. UIC 10036</t>
  </si>
  <si>
    <t>Bacteria;Bacillota;Bacilli;Bacillales;Bacillaceae;Peribacillus;Peribacillus glennii;</t>
  </si>
  <si>
    <t>Peribacillus glennii</t>
  </si>
  <si>
    <t>Bacteria;Pseudomonadota;Alphaproteobacteria;Hyphomicrobiales;Rhizobiaceae;Shinella;Shinella sp. WSJ-2;</t>
  </si>
  <si>
    <t>Shinella sp. WSJ-2</t>
  </si>
  <si>
    <t>Bacteria;Bacteroidota;Sphingobacteriia;Sphingobacteriales;Sphingobacteriaceae;Mucilaginibacter;Mucilaginibacter conchicola;</t>
  </si>
  <si>
    <t>Mucilaginibacter conchicola</t>
  </si>
  <si>
    <t>Bacteria;Bacillota;Clostridia;Eubacteriales;Oscillospiraceae;Faecalibacterium;Faecalibacterium sp. AM43-5AT;</t>
  </si>
  <si>
    <t>Faecalibacterium</t>
  </si>
  <si>
    <t>Faecalibacterium sp. AM43-5AT</t>
  </si>
  <si>
    <t>Bacteria;Actinomycetota;Actinomycetes;Micrococcales;Microbacteriaceae;Microbacterium;Microbacterium bovistercoris;</t>
  </si>
  <si>
    <t>Microbacterium bovistercoris</t>
  </si>
  <si>
    <t>Bacteria;Bacillota;Bacilli;Bacillales;Bacillaceae;Bacillus;Bacillus sp. AW;</t>
  </si>
  <si>
    <t>Bacillus sp. AW</t>
  </si>
  <si>
    <t>Bacteria;Bacillota;Bacilli;Bacillales;Bacillaceae;Bacillus;Bacillus sp. LB(2018);</t>
  </si>
  <si>
    <t>Bacillus sp. LB(2018)</t>
  </si>
  <si>
    <t>Bacteria;Bacillota;Bacilli;Bacillales;Bacillaceae;Bacillus;Bacillus sp. dmp10;</t>
  </si>
  <si>
    <t>Bacillus sp. dmp10</t>
  </si>
  <si>
    <t>Bacteria;Bacillota;Bacilli;Bacillales;Bacillaceae;Bacillus;Bacillus sp. OE;</t>
  </si>
  <si>
    <t>Bacillus sp. OE</t>
  </si>
  <si>
    <t>Bacteria;Pseudomonadota;Gammaproteobacteria;Lysobacterales;Lysobacteraceae;Lysobacter;Lysobacter silvisoli;</t>
  </si>
  <si>
    <t>Lysobacter silvisoli</t>
  </si>
  <si>
    <t>Bacteria;Bacillota;Clostridia;Lachnospirales;Lachnospiraceae;Roseburia;Roseburia sp. AM59-24XD;</t>
  </si>
  <si>
    <t>Roseburia</t>
  </si>
  <si>
    <t>Roseburia sp. AM59-24XD</t>
  </si>
  <si>
    <t>Bacteria;Bacillota;Bacilli;Bacillales;Paenibacillaceae;Paenibacillus;Paenibacillus paeoniae;</t>
  </si>
  <si>
    <t>Paenibacillus paeoniae</t>
  </si>
  <si>
    <t>Bacteria;Pseudomonadota;Alphaproteobacteria;Hyphomicrobiales;Rhizobiaceae;Agrobacterium;Agrobacterium sp. ICMP 6402;</t>
  </si>
  <si>
    <t>Agrobacterium sp. ICMP 6402</t>
  </si>
  <si>
    <t>Bacteria;Bacillota;Bacilli;Bacillales;NA;Exiguobacterium;Exiguobacterium sp. AM39-5BH;</t>
  </si>
  <si>
    <t>Exiguobacterium sp. AM39-5BH</t>
  </si>
  <si>
    <t>Bacteria;Bacillota;Clostridia;Eubacteriales;Clostridiaceae;Clostridium;Clostridium sp. AM58-1XD;</t>
  </si>
  <si>
    <t>Clostridium sp. AM58-1XD</t>
  </si>
  <si>
    <t>Bacteria;Pseudomonadota;Betaproteobacteria;Burkholderiales;Burkholderiaceae;Trinickia;Trinickia diaoshuihuensis;</t>
  </si>
  <si>
    <t>Trinickia diaoshuihuensis</t>
  </si>
  <si>
    <t>Bacteria;Bacillota;Clostridia;Lachnospirales;Lachnospiraceae;Lachnotalea;Lachnotalea sp. AF33-28;</t>
  </si>
  <si>
    <t>Lachnotalea</t>
  </si>
  <si>
    <t>Lachnotalea sp. AF33-28</t>
  </si>
  <si>
    <t>Bacteria;Pseudomonadota;Betaproteobacteria;Neisseriales;Neisseriaceae;Crenobacter;Crenobacter cavernae;</t>
  </si>
  <si>
    <t>Crenobacter</t>
  </si>
  <si>
    <t>Crenobacter cavernae</t>
  </si>
  <si>
    <t>Bacteria;Pseudomonadota;Gammaproteobacteria;Cellvibrionales;Cellvibrionaceae;Saccharophagus;Saccharophagus sp. K07;</t>
  </si>
  <si>
    <t>Saccharophagus</t>
  </si>
  <si>
    <t>Saccharophagus sp. K07</t>
  </si>
  <si>
    <t>Bacteria;Bacteroidota;Chitinophagia;Chitinophagales;Chitinophagaceae;Chitinophaga;Chitinophaga silvatica;</t>
  </si>
  <si>
    <t>Chitinophaga silvatica</t>
  </si>
  <si>
    <t>Bacteria;Bacteroidota;Sphingobacteriia;Sphingobacteriales;Sphingobacteriaceae;Pedobacter;Pedobacter chinensis;</t>
  </si>
  <si>
    <t>Pedobacter chinensis</t>
  </si>
  <si>
    <t>Bacteria;Pseudomonadota;Betaproteobacteria;Burkholderiales;Comamonadaceae;Polaromonas;Polaromonas sp. SP1;</t>
  </si>
  <si>
    <t>Polaromonas sp. SP1</t>
  </si>
  <si>
    <t>Bacteria;Pseudomonadota;Alphaproteobacteria;Hyphomicrobiales;Rhizobiaceae;Neorhizobium;Neorhizobium sp. P12A;</t>
  </si>
  <si>
    <t>Neorhizobium sp. P12A</t>
  </si>
  <si>
    <t>Bacteria;Bacteroidota;Cytophagia;Cytophagales;Spirosomataceae;Runella;Runella sp. SP2;</t>
  </si>
  <si>
    <t>Runella sp. SP2</t>
  </si>
  <si>
    <t>Bacteria;Pseudomonadota;Alphaproteobacteria;Hyphomicrobiales;NA;Flaviflagellibacter;Flaviflagellibacter deserti;</t>
  </si>
  <si>
    <t>Flaviflagellibacter</t>
  </si>
  <si>
    <t>Flaviflagellibacter deserti</t>
  </si>
  <si>
    <t>Bacteria;Pseudomonadota;Gammaproteobacteria;Thiotrichales;Piscirickettsiaceae;Thiomicrorhabdus;Thiomicrorhabdus indica;</t>
  </si>
  <si>
    <t>Thiotrichales</t>
  </si>
  <si>
    <t>Piscirickettsiaceae</t>
  </si>
  <si>
    <t>Thiomicrorhabdus</t>
  </si>
  <si>
    <t>Thiomicrorhabdus indica</t>
  </si>
  <si>
    <t>Bacteria;Actinomycetota;Actinomycetes;Mycobacteriales;Mycobacteriaceae;Mycolicibacterium;Mycolicibacterium sp. GF69;</t>
  </si>
  <si>
    <t>Mycolicibacterium sp. GF69</t>
  </si>
  <si>
    <t>Bacteria;Pseudomonadota;Gammaproteobacteria;Enterobacterales;Enterobacteriaceae;Edaphovirga;Edaphovirga cremea;</t>
  </si>
  <si>
    <t>Edaphovirga</t>
  </si>
  <si>
    <t>Edaphovirga cremea</t>
  </si>
  <si>
    <t>Bacteria;Bacteroidota;Flavobacteriia;Flavobacteriales;Flavobacteriaceae;Flavobacterium;Flavobacterium petrolei;</t>
  </si>
  <si>
    <t>Flavobacterium petrolei</t>
  </si>
  <si>
    <t>Bacteria;Bacteroidota;Sphingobacteriia;Sphingobacteriales;Sphingobacteriaceae;Pedobacter;Pedobacter miscanthi;</t>
  </si>
  <si>
    <t>Pedobacter miscanthi</t>
  </si>
  <si>
    <t>Bacteria;Acidobacteriota;Terriglobia;Terriglobales;Acidobacteriaceae;Edaphobacter;Edaphobacter bradus;</t>
  </si>
  <si>
    <t>Edaphobacter bradus</t>
  </si>
  <si>
    <t>Bacteria;Bacteroidota;Flavobacteriia;Flavobacteriales;Weeksellaceae;Chryseobacterium;Chryseobacterium pennae;</t>
  </si>
  <si>
    <t>Chryseobacterium pennae</t>
  </si>
  <si>
    <t>Bacteria;Pseudomonadota;Alphaproteobacteria;Rhodobacterales;Paracoccaceae;Pseudogemmobacter;Pseudogemmobacter bohemicus;</t>
  </si>
  <si>
    <t>Pseudogemmobacter bohemicus</t>
  </si>
  <si>
    <t>Bacteria;Pseudomonadota;Alphaproteobacteria;Hyphomicrobiales;Rhizobiaceae;Shinella;Shinella pollutisoli;</t>
  </si>
  <si>
    <t>Shinella pollutisoli</t>
  </si>
  <si>
    <t>Bacteria;Bacteroidota;Flavobacteriia;Flavobacteriales;Flavobacteriaceae;Flavobacterium;Flavobacterium fluviale;</t>
  </si>
  <si>
    <t>Flavobacterium fluviale</t>
  </si>
  <si>
    <t>Bacteria;Bacillota;Bacilli;Bacillales;Bacillaceae;Bacillus;Bacillus sp. PF5;</t>
  </si>
  <si>
    <t>Bacillus sp. PF5</t>
  </si>
  <si>
    <t>Bacteria;Pseudomonadota;Alphaproteobacteria;Hyphomicrobiales;Devosiaceae;Pelagibacterium;Pelagibacterium sediminicola;</t>
  </si>
  <si>
    <t>Pelagibacterium</t>
  </si>
  <si>
    <t>Pelagibacterium sediminicola</t>
  </si>
  <si>
    <t>Bacteria;Bdellovibrionota;Bacteriovoracia;Bacteriovoracales;Halobacteriovoraceae;Halobacteriovorax;Halobacteriovorax sp. HLS;</t>
  </si>
  <si>
    <t>Halobacteriovoraceae</t>
  </si>
  <si>
    <t>Halobacteriovorax</t>
  </si>
  <si>
    <t>Halobacteriovorax sp. HLS</t>
  </si>
  <si>
    <t>Bacteria;Bacteroidota;Sphingobacteriia;Sphingobacteriales;Sphingobacteriaceae;Pedobacter;Pedobacter chitinilyticus;</t>
  </si>
  <si>
    <t>Pedobacter chitinilyticus</t>
  </si>
  <si>
    <t>Bacteria;Bacteroidota;Flavobacteriia;Flavobacteriales;Flavobacteriaceae;Flavobacterium;Flavobacterium tibetense;</t>
  </si>
  <si>
    <t>Flavobacterium tibetense</t>
  </si>
  <si>
    <t>Bacteria;Actinomycetota;Actinomycetes;Streptosporangiales;Thermomonosporaceae;Actinomadura;Actinomadura craniellae;</t>
  </si>
  <si>
    <t>Thermomonosporaceae</t>
  </si>
  <si>
    <t>Actinomadura</t>
  </si>
  <si>
    <t>Actinomadura craniellae</t>
  </si>
  <si>
    <t>Bacteria;Campylobacterota;Epsilonproteobacteria;Campylobacterales;Hydrogenimonadaceae;Hydrogenimonas;Hydrogenimonas sp.;</t>
  </si>
  <si>
    <t>Hydrogenimonadaceae</t>
  </si>
  <si>
    <t>Hydrogenimonas</t>
  </si>
  <si>
    <t>Hydrogenimonas sp.</t>
  </si>
  <si>
    <t>Bacteria;Bdellovibrionota;Bdellovibrionia;Bdellovibrionales;Pseudobdellovibrionaceae;Bdellovibrio;Bdellovibrio sp. ZAP7;</t>
  </si>
  <si>
    <t>Bdellovibrio sp. ZAP7</t>
  </si>
  <si>
    <t>Bacteria;Pseudomonadota;Alphaproteobacteria;Acetobacterales;Roseomonadaceae;Roseicella;Roseicella frigidaeris;</t>
  </si>
  <si>
    <t>Roseicella frigidaeris</t>
  </si>
  <si>
    <t>Bacteria;Bdellovibrionota;Bdellovibrionia;Bdellovibrionales;Pseudobdellovibrionaceae;Bdellovibrio;Bdellovibrio sp. NC01;</t>
  </si>
  <si>
    <t>Bdellovibrio sp. NC01</t>
  </si>
  <si>
    <t>Bacteria;Bacteroidota;Flavobacteriia;Flavobacteriales;Flavobacteriaceae;Sinomicrobium;Sinomicrobium sp. N-1-3-6;</t>
  </si>
  <si>
    <t>Sinomicrobium</t>
  </si>
  <si>
    <t>Sinomicrobium sp. N-1-3-6</t>
  </si>
  <si>
    <t>Bacteria;Actinomycetota;Actinomycetes;Kitasatosporales;Streptomycetaceae;Streptacidiphilus;Streptacidiphilus pinicola;</t>
  </si>
  <si>
    <t>Streptacidiphilus</t>
  </si>
  <si>
    <t>Streptacidiphilus pinicola</t>
  </si>
  <si>
    <t>Bacteria;Pseudomonadota;Betaproteobacteria;Burkholderiales;Comamonadaceae;Acidovorax;Acidovorax sp. ST3;</t>
  </si>
  <si>
    <t>Acidovorax sp. ST3</t>
  </si>
  <si>
    <t>Bacteria;Armatimonadota;Armatimonadia;Capsulimonadales;Capsulimonadaceae;Capsulimonas;Capsulimonas corticalis;</t>
  </si>
  <si>
    <t>Armatimonadota</t>
  </si>
  <si>
    <t>Armatimonadia</t>
  </si>
  <si>
    <t>Capsulimonadales</t>
  </si>
  <si>
    <t>Capsulimonadaceae</t>
  </si>
  <si>
    <t>Capsulimonas</t>
  </si>
  <si>
    <t>Capsulimonas corticalis</t>
  </si>
  <si>
    <t>Bacteria;Bacillota;Bacilli;Bacillales;Bacillaceae;Bacillus;Bacillus sp. SH5-2;</t>
  </si>
  <si>
    <t>Bacillus sp. SH5-2</t>
  </si>
  <si>
    <t>Bacteria;Bacillota;Bacilli;Bacillales;Bacillaceae;Bacillus;Bacillus sp. JAS24-2;</t>
  </si>
  <si>
    <t>Bacillus sp. JAS24-2</t>
  </si>
  <si>
    <t>Bacteria;Bacillota;Bacilli;Bacillales;Bacillaceae;Bacillus;Bacillus sp. SH8-8;</t>
  </si>
  <si>
    <t>Bacillus sp. SH8-8</t>
  </si>
  <si>
    <t>Bacteria;Bacillota;Bacilli;Bacillales;Bacillaceae;Bacillus;Bacillus sp. TE8-1;</t>
  </si>
  <si>
    <t>Bacillus sp. TE8-1</t>
  </si>
  <si>
    <t>Bacteria;Bacillota;Bacilli;Bacillales;Bacillaceae;Bacillus;Bacillus sp. AR8-1;</t>
  </si>
  <si>
    <t>Bacillus sp. AR8-1</t>
  </si>
  <si>
    <t>Bacteria;Bacillota;Bacilli;Bacillales;Bacillaceae;Bacillus;Bacillus sp. BB51/4;</t>
  </si>
  <si>
    <t>Bacillus sp. BB51/4</t>
  </si>
  <si>
    <t>Bacteria;Bacillota;Bacilli;Bacillales;Bacillaceae;Bacillus;Bacillus sp. SH7-1;</t>
  </si>
  <si>
    <t>Bacillus sp. SH7-1</t>
  </si>
  <si>
    <t>Bacteria;Bacillota;Bacilli;Bacillales;Bacillaceae;Bacillus;Bacillus sp. AR2-1;</t>
  </si>
  <si>
    <t>Bacillus sp. AR2-1</t>
  </si>
  <si>
    <t>Bacteria;Bacillota;Bacilli;Bacillales;Bacillaceae;Mesobacillus;Mesobacillus harenae;</t>
  </si>
  <si>
    <t>Mesobacillus</t>
  </si>
  <si>
    <t>Mesobacillus harenae</t>
  </si>
  <si>
    <t>Bacteria;Pseudomonadota;Gammaproteobacteria;Pseudomonadales;Pseudomonadaceae;Pseudomonas;Pseudomonas sichuanensis;</t>
  </si>
  <si>
    <t>Pseudomonas sichuanensis</t>
  </si>
  <si>
    <t>Bacteria;Pseudomonadota;Betaproteobacteria;Burkholderiales;Comamonadaceae;Simplicispira;Simplicispira lacusdiani;</t>
  </si>
  <si>
    <t>Simplicispira lacusdiani</t>
  </si>
  <si>
    <t>Bacteria;Bacillota;Clostridia;Eubacteriales;Clostridiaceae;Clostridium;Clostridium sp. AWRP;</t>
  </si>
  <si>
    <t>Clostridium sp. AWRP</t>
  </si>
  <si>
    <t>Bacteria;Pseudomonadota;Betaproteobacteria;Rhodocyclales;Rhodocyclaceae;Propionivibrio;Propionivibrio sp.;</t>
  </si>
  <si>
    <t>Propionivibrio</t>
  </si>
  <si>
    <t>Propionivibrio sp.</t>
  </si>
  <si>
    <t>Bacteria;Pseudomonadota;Alphaproteobacteria;Rhodobacterales;Paracoccaceae;Yoonia;Yoonia sp.;</t>
  </si>
  <si>
    <t>Yoonia</t>
  </si>
  <si>
    <t>Yoonia sp.</t>
  </si>
  <si>
    <t>Bacteria;Actinomycetota;Actinomycetes;Micrococcales;Microbacteriaceae;Homoserinimonas;Homoserinimonas sp. OAct 916;</t>
  </si>
  <si>
    <t>Homoserinimonas</t>
  </si>
  <si>
    <t>Homoserinimonas sp. OAct 916</t>
  </si>
  <si>
    <t>Bacteria;Bacteroidota;Flavobacteriia;Flavobacteriales;Flavobacteriaceae;Flavobacterium;Flavobacterium hydrophilum;</t>
  </si>
  <si>
    <t>Flavobacterium hydrophilum</t>
  </si>
  <si>
    <t>Bacteria;Pseudomonadota;Gammaproteobacteria;Pseudomonadales;Pseudomonadaceae;Stutzerimonas;Stutzerimonas kirkiae;</t>
  </si>
  <si>
    <t>Stutzerimonas kirkiae</t>
  </si>
  <si>
    <t>Bacteria;Bacillota;Bacilli;Bacillales;Paenibacillaceae;Paenibacillus;Paenibacillus flagellatus;</t>
  </si>
  <si>
    <t>Paenibacillus flagellatus</t>
  </si>
  <si>
    <t>Bacteria;Bacteroidota;Flavobacteriia;Flavobacteriales;Flavobacteriaceae;Flavobacterium;Flavobacterium sharifuzzamanii;</t>
  </si>
  <si>
    <t>Flavobacterium sharifuzzamanii</t>
  </si>
  <si>
    <t>Bacteria;Pseudomonadota;Gammaproteobacteria;Vibrionales;Vibrionaceae;Photobacterium;Photobacterium andalusiense;</t>
  </si>
  <si>
    <t>Vibrionales</t>
  </si>
  <si>
    <t>Vibrionaceae</t>
  </si>
  <si>
    <t>Photobacterium</t>
  </si>
  <si>
    <t>Photobacterium andalusiense</t>
  </si>
  <si>
    <t>Bacteria;Pseudomonadota;Gammaproteobacteria;Enterobacterales;Pectobacteriaceae;Pectobacterium;Pectobacterium aquaticum;</t>
  </si>
  <si>
    <t>Pectobacterium</t>
  </si>
  <si>
    <t>Pectobacterium aquaticum</t>
  </si>
  <si>
    <t>Bacteria;Pseudomonadota;Alphaproteobacteria;Hyphomicrobiales;Rhizobiaceae;Ensifer;Ensifer sp. M14;</t>
  </si>
  <si>
    <t>Ensifer sp. M14</t>
  </si>
  <si>
    <t>Bacteria;Bacteroidota;Sphingobacteriia;Sphingobacteriales;Sphingobacteriaceae;Pedobacter;Pedobacter paludis;</t>
  </si>
  <si>
    <t>Pedobacter paludis</t>
  </si>
  <si>
    <t>Bacteria;Actinomycetota;Actinomycetes;Propionibacteriales;Nocardioidaceae;Nocardioides;Nocardioides silvaticus;</t>
  </si>
  <si>
    <t>Nocardioides silvaticus</t>
  </si>
  <si>
    <t>Bacteria;Bacteroidota;Sphingobacteriia;Sphingobacteriales;Sphingobacteriaceae;Mucilaginibacter;Mucilaginibacter hurinus;</t>
  </si>
  <si>
    <t>Mucilaginibacter hurinus</t>
  </si>
  <si>
    <t>Bacteria;Bacteroidota;Sphingobacteriia;Sphingobacteriales;Sphingobacteriaceae;Pedobacter;Pedobacter schmidteae;</t>
  </si>
  <si>
    <t>Pedobacter schmidteae</t>
  </si>
  <si>
    <t>Bacteria;Pseudomonadota;Alphaproteobacteria;Hyphomicrobiales;Devosiaceae;Pelagibacterium;Pelagibacterium montanilacus;</t>
  </si>
  <si>
    <t>Pelagibacterium montanilacus</t>
  </si>
  <si>
    <t>Bacteria;Bacillota;Bacilli;Bacillales;Bacillaceae;Bacillus;Bacillus sp. CGMCC 1.16541;</t>
  </si>
  <si>
    <t>Bacillus sp. CGMCC 1.16541</t>
  </si>
  <si>
    <t>Bacteria;Pseudomonadota;Alphaproteobacteria;Acetobacterales;Elioraeaceae;Elioraea;Elioraea thermophila;</t>
  </si>
  <si>
    <t>Elioraeaceae</t>
  </si>
  <si>
    <t>Elioraea</t>
  </si>
  <si>
    <t>Elioraea thermophila</t>
  </si>
  <si>
    <t>Bacteria;Pseudomonadota;Alphaproteobacteria;Acetobacterales;Elioraeaceae;Elioraea;Elioraea sp.;</t>
  </si>
  <si>
    <t>Elioraea sp.</t>
  </si>
  <si>
    <t>Bacteria;Pseudomonadota;Betaproteobacteria;Burkholderiales;Comamonadaceae;Rhodoferax;Rhodoferax lacus;</t>
  </si>
  <si>
    <t>Rhodoferax lacus</t>
  </si>
  <si>
    <t>Bacteria;Pseudomonadota;Alphaproteobacteria;Hyphomicrobiales;Amorphaceae;Acuticoccus;Acuticoccus sediminis;</t>
  </si>
  <si>
    <t>Amorphaceae</t>
  </si>
  <si>
    <t>Acuticoccus</t>
  </si>
  <si>
    <t>Acuticoccus sediminis</t>
  </si>
  <si>
    <t>Bacteria;Bacillota;Bacilli;Bacillales;NA;Exiguobacterium;Exiguobacterium flavidum;</t>
  </si>
  <si>
    <t>Exiguobacterium flavidum</t>
  </si>
  <si>
    <t>Bacteria;Pseudomonadota;Betaproteobacteria;Burkholderiales;Burkholderiaceae;Burkholderia;Burkholderia sp. Bp9142;</t>
  </si>
  <si>
    <t>Burkholderia sp. Bp9142</t>
  </si>
  <si>
    <t>Bacteria;Pseudomonadota;Alphaproteobacteria;Acetobacterales;Roseomonadaceae;Falsiroseomonas;Falsiroseomonas bella;</t>
  </si>
  <si>
    <t>Falsiroseomonas bella</t>
  </si>
  <si>
    <t>Bacteria;Bacteroidota;Flavobacteriia;Flavobacteriales;Flavobacteriaceae;Flavobacterium;Flavobacterium sp. AG291;</t>
  </si>
  <si>
    <t>Flavobacterium sp. AG291</t>
  </si>
  <si>
    <t>Bacteria;Pseudomonadota;Betaproteobacteria;Burkholderiales;Comamonadaceae;Comamonas;Comamonas sp. AG1104;</t>
  </si>
  <si>
    <t>Comamonas sp. AG1104</t>
  </si>
  <si>
    <t>Bacteria;Pseudomonadota;Alphaproteobacteria;Hyphomicrobiales;Xanthobacteraceae;Azorhizobium;Azorhizobium sp. AG788;</t>
  </si>
  <si>
    <t>Azorhizobium</t>
  </si>
  <si>
    <t>Azorhizobium sp. AG788</t>
  </si>
  <si>
    <t>Bacteria;Bacteroidota;Flavobacteriia;Flavobacteriales;Flavobacteriaceae;Flavobacterium;Flavobacterium crocinum;</t>
  </si>
  <si>
    <t>Flavobacterium crocinum</t>
  </si>
  <si>
    <t>Bacteria;Bacteroidota;Cytophagia;Cytophagales;Cytophagaceae;Spirosoma;Spirosoma telluris;</t>
  </si>
  <si>
    <t>Spirosoma telluris</t>
  </si>
  <si>
    <t>Bacteria;Pseudomonadota;Alphaproteobacteria;Hyphomicrobiales;Rhizobiaceae;Metarhizobium;Metarhizobium album;</t>
  </si>
  <si>
    <t>Metarhizobium</t>
  </si>
  <si>
    <t>Metarhizobium album</t>
  </si>
  <si>
    <t>Bacteria;Pseudomonadota;Betaproteobacteria;Nitrosomonadales;Gallionellaceae;Candidatus Nitrotoga;Candidatus Nitrotoga fabula;</t>
  </si>
  <si>
    <t>Candidatus Nitrotoga fabula</t>
  </si>
  <si>
    <t>Bacteria;Actinomycetota;Actinomycetes;Micrococcales;Microbacteriaceae;Curtobacterium;Curtobacterium sp. MCLR17_058;</t>
  </si>
  <si>
    <t>Curtobacterium sp. MCLR17_058</t>
  </si>
  <si>
    <t>Bacteria;Bacteroidota;Flavobacteriia;Flavobacteriales;Flavobacteriaceae;Flavobacterium;Flavobacterium album;</t>
  </si>
  <si>
    <t>Flavobacterium album</t>
  </si>
  <si>
    <t>Bacteria;Bacteroidota;Sphingobacteriia;Sphingobacteriales;Sphingobacteriaceae;Pararcticibacter;Pararcticibacter amylolyticus;</t>
  </si>
  <si>
    <t>Pararcticibacter</t>
  </si>
  <si>
    <t>Pararcticibacter amylolyticus</t>
  </si>
  <si>
    <t>Bacteria;Actinomycetota;Actinomycetes;Micrococcales;Cellulomonadaceae;Cellulomonas;Cellulomonas sp. WB94;</t>
  </si>
  <si>
    <t>Cellulomonas sp. WB94</t>
  </si>
  <si>
    <t>Bacteria;Actinomycetota;Actinomycetes;Micrococcales;Microbacteriaceae;Amnibacterium;Amnibacterium flavum;</t>
  </si>
  <si>
    <t>Amnibacterium flavum</t>
  </si>
  <si>
    <t>Bacteria;Pseudomonadota;Alphaproteobacteria;Caulobacterales;Caulobacteraceae;Caulobacter;Caulobacter endophyticus;</t>
  </si>
  <si>
    <t>Caulobacter endophyticus</t>
  </si>
  <si>
    <t>Bacteria;Pseudomonadota;Gammaproteobacteria;Enterobacterales;Budviciaceae;Limnobaculum;Limnobaculum parvum;</t>
  </si>
  <si>
    <t>Budviciaceae</t>
  </si>
  <si>
    <t>Limnobaculum</t>
  </si>
  <si>
    <t>Limnobaculum parvum</t>
  </si>
  <si>
    <t>Bacteria;Pseudomonadota;Alphaproteobacteria;Hyphomicrobiales;Ancalomicrobiaceae;Pinisolibacter;Pinisolibacter sp.;</t>
  </si>
  <si>
    <t>Pinisolibacter sp.</t>
  </si>
  <si>
    <t>Bacteria;Pseudomonadota;Alphaproteobacteria;Hyphomicrobiales;Rhizobiaceae;Rhizobium;Rhizobium terrae;</t>
  </si>
  <si>
    <t>Rhizobium terrae</t>
  </si>
  <si>
    <t>Bacteria;Bacillota;Bacilli;Bacillales;Bacillaceae;Pueribacillus;Pueribacillus theae;</t>
  </si>
  <si>
    <t>Pueribacillus theae</t>
  </si>
  <si>
    <t>Bacteria;Bacteroidota;Sphingobacteriia;Sphingobacteriales;Sphingobacteriaceae;Sphingobacterium;Sphingobacterium corticibacter;</t>
  </si>
  <si>
    <t>Sphingobacterium corticibacter</t>
  </si>
  <si>
    <t>Bacteria;Actinomycetota;Actinomycetes;Geodermatophilales;Geodermatophilaceae;Blastococcus;Blastococcus litoris;</t>
  </si>
  <si>
    <t>Geodermatophilales</t>
  </si>
  <si>
    <t>Geodermatophilaceae</t>
  </si>
  <si>
    <t>Blastococcus</t>
  </si>
  <si>
    <t>Blastococcus litoris</t>
  </si>
  <si>
    <t>Bacteria;Bacillota;Bacilli;Bacillales;Bacillaceae;Peribacillus;Peribacillus acanthi;</t>
  </si>
  <si>
    <t>Peribacillus acanthi</t>
  </si>
  <si>
    <t>Bacteria;Pseudomonadota;Gammaproteobacteria;Lysobacterales;Lysobacteraceae;Stenotrophomonas;Stenotrophomonas sp. SPM;</t>
  </si>
  <si>
    <t>Stenotrophomonas sp. SPM</t>
  </si>
  <si>
    <t>Bacteria;Pseudomonadota;Gammaproteobacteria;Pseudomonadales;Pseudomonadaceae;Pseudomonas;Pseudomonas sp. SDI;</t>
  </si>
  <si>
    <t>Pseudomonas sp. SDI</t>
  </si>
  <si>
    <t>Bacteria;Pseudomonadota;Gammaproteobacteria;Pseudomonadales;Pseudomonadaceae;Pseudomonas;Pseudomonas sp. NDM;</t>
  </si>
  <si>
    <t>Pseudomonas sp. NDM</t>
  </si>
  <si>
    <t>Bacteria;Bacteroidota;Flavobacteriia;Flavobacteriales;Flavobacteriaceae;Flavobacterium;Flavobacterium sp. HTF;</t>
  </si>
  <si>
    <t>Flavobacterium sp. HTF</t>
  </si>
  <si>
    <t>Bacteria;Pseudomonadota;Alphaproteobacteria;Caulobacterales;Caulobacteraceae;Phenylobacterium;Phenylobacterium soli;</t>
  </si>
  <si>
    <t>Phenylobacterium soli</t>
  </si>
  <si>
    <t>Bacteria;Pseudomonadota;Alphaproteobacteria;Rhodobacterales;Paracoccaceae;Gemmobacter;Gemmobacter aquarius;</t>
  </si>
  <si>
    <t>Gemmobacter aquarius</t>
  </si>
  <si>
    <t>Bacteria;Bacillota;Bacilli;Bacillales;Paenibacillaceae;Paenibacillus;Paenibacillus cremeus;</t>
  </si>
  <si>
    <t>Paenibacillus cremeus</t>
  </si>
  <si>
    <t>Bacteria;Bacillota;Clostridia;Peptostreptococcales;Peptostreptococcaceae;Romboutsia;Romboutsia sp. Marseille-P6047;</t>
  </si>
  <si>
    <t>Romboutsia sp. Marseille-P6047</t>
  </si>
  <si>
    <t>Bacteria;Pseudomonadota;Gammaproteobacteria;Pseudomonadales;Pseudomonadaceae;Pseudomonas;Pseudomonas mangrovi;</t>
  </si>
  <si>
    <t>Pseudomonas mangrovi</t>
  </si>
  <si>
    <t>Bacteria;Pseudomonadota;Gammaproteobacteria;Oceanospirillales;Saccharospirillaceae;Saccharospirillum;Saccharospirillum mangrovi;</t>
  </si>
  <si>
    <t>Saccharospirillaceae</t>
  </si>
  <si>
    <t>Saccharospirillum</t>
  </si>
  <si>
    <t>Saccharospirillum mangrovi</t>
  </si>
  <si>
    <t>Bacteria;Pseudomonadota;Alphaproteobacteria;Kordiimonadales;Kordiimonadaceae;Kordiimonas;Kordiimonas pumila;</t>
  </si>
  <si>
    <t>Kordiimonadales</t>
  </si>
  <si>
    <t>Kordiimonadaceae</t>
  </si>
  <si>
    <t>Kordiimonas</t>
  </si>
  <si>
    <t>Kordiimonas pumila</t>
  </si>
  <si>
    <t>Bacteria;Actinomycetota;Actinomycetes;Mycobacteriales;Nocardiaceae;Rhodococcus;Rhodococcus olei;</t>
  </si>
  <si>
    <t>Rhodococcus olei</t>
  </si>
  <si>
    <t>Bacteria;Pseudomonadota;Betaproteobacteria;Burkholderiales;Comamonadaceae;Acidovorax;Acidovorax sp. FJL06;</t>
  </si>
  <si>
    <t>Acidovorax sp. FJL06</t>
  </si>
  <si>
    <t>Bacteria;Bacteroidota;Sphingobacteriia;Sphingobacteriales;Sphingobacteriaceae;Pedobacter;Pedobacter sp. KBW01;</t>
  </si>
  <si>
    <t>Pedobacter sp. KBW01</t>
  </si>
  <si>
    <t>Bacteria;Pseudomonadota;Betaproteobacteria;Burkholderiales;Oxalobacteraceae;Herminiimonas;Herminiimonas sp. KBW02;</t>
  </si>
  <si>
    <t>Herminiimonas</t>
  </si>
  <si>
    <t>Herminiimonas sp. KBW02</t>
  </si>
  <si>
    <t>Bacteria;Pseudomonadota;Betaproteobacteria;Burkholderiales;Sphaerotilaceae;Roseateles;Paucibacter sp. KBW04;</t>
  </si>
  <si>
    <t>Paucibacter sp. KBW04</t>
  </si>
  <si>
    <t>Bacteria;Bacteroidota;Sphingobacteriia;Sphingobacteriales;Sphingobacteriaceae;Pedobacter;Pedobacter sp. KBW06;</t>
  </si>
  <si>
    <t>Pedobacter sp. KBW06</t>
  </si>
  <si>
    <t>Bacteria;Pseudomonadota;Betaproteobacteria;Burkholderiales;Comamonadaceae;Variovorax;Variovorax sp. KBW07;</t>
  </si>
  <si>
    <t>Variovorax sp. KBW07</t>
  </si>
  <si>
    <t>Bacteria;Bacteroidota;Chitinophagia;Chitinophagales;Chitinophagaceae;Taibaiella;Taibaiella sp. KBW10;</t>
  </si>
  <si>
    <t>Taibaiella sp. KBW10</t>
  </si>
  <si>
    <t>Bacteria;Pseudomonadota;Gammaproteobacteria;Lysobacterales;Lysobacteraceae;Pseudoxanthomonas;Pseudoxanthomonas composti;</t>
  </si>
  <si>
    <t>Pseudoxanthomonas composti</t>
  </si>
  <si>
    <t>Bacteria;Pseudomonadota;Gammaproteobacteria;Lysobacterales;Rhodanobacteraceae;Rudaea;Rudaea sp.;</t>
  </si>
  <si>
    <t>Rudaea</t>
  </si>
  <si>
    <t>Rudaea sp.</t>
  </si>
  <si>
    <t>Bacteria;Pseudomonadota;Gammaproteobacteria;Pseudomonadales;Pseudomonadaceae;Pseudomonas;Pseudomonas sp. GV071;</t>
  </si>
  <si>
    <t>Pseudomonas sp. GV071</t>
  </si>
  <si>
    <t>Bacteria;Actinomycetota;Actinomycetes;Micrococcales;Promicromonosporaceae;Promicromonospora;Promicromonospora sp. AC04;</t>
  </si>
  <si>
    <t>Promicromonospora</t>
  </si>
  <si>
    <t>Promicromonospora sp. AC04</t>
  </si>
  <si>
    <t>Bacteria;Pseudomonadota;Alphaproteobacteria;Sphingomonadales;Sphingomonadaceae;Sphingomonas;Sphingomonas sp. PP-F2F-G114-C0414;</t>
  </si>
  <si>
    <t>Sphingomonas sp. PP-F2F-G114-C0414</t>
  </si>
  <si>
    <t>Bacteria;Pseudomonadota;Alphaproteobacteria;Hyphomicrobiales;Rhizobiaceae;Rhizobium;Rhizobium sp. PP-F2F-G48;</t>
  </si>
  <si>
    <t>Rhizobium sp. PP-F2F-G48</t>
  </si>
  <si>
    <t>Bacteria;Pseudomonadota;Alphaproteobacteria;Hyphomicrobiales;Boseaceae;Bosea;Bosea sp. 124;</t>
  </si>
  <si>
    <t>Bosea sp. 124</t>
  </si>
  <si>
    <t>Bacteria;Pseudomonadota;Betaproteobacteria;Burkholderiales;Comamonadaceae;Acidovorax;Acidovorax sp. 107;</t>
  </si>
  <si>
    <t>Acidovorax sp. 107</t>
  </si>
  <si>
    <t>Bacteria;Pseudomonadota;Betaproteobacteria;Burkholderiales;Comamonadaceae;Acidovorax;Acidovorax sp. 106;</t>
  </si>
  <si>
    <t>Acidovorax sp. 106</t>
  </si>
  <si>
    <t>Bacteria;Pseudomonadota;Betaproteobacteria;Burkholderiales;Comamonadaceae;Acidovorax;Acidovorax sp. 100;</t>
  </si>
  <si>
    <t>Acidovorax sp. 100</t>
  </si>
  <si>
    <t>Bacteria;Pseudomonadota;Betaproteobacteria;Burkholderiales;Comamonadaceae;Acidovorax;Acidovorax sp. 99;</t>
  </si>
  <si>
    <t>Acidovorax sp. 99</t>
  </si>
  <si>
    <t>Bacteria;Pseudomonadota;Betaproteobacteria;Burkholderiales;Comamonadaceae;Acidovorax;Acidovorax sp. 94;</t>
  </si>
  <si>
    <t>Acidovorax sp. 94</t>
  </si>
  <si>
    <t>Bacteria;Pseudomonadota;Betaproteobacteria;Burkholderiales;Comamonadaceae;Acidovorax;Acidovorax sp. 93;</t>
  </si>
  <si>
    <t>Acidovorax sp. 93</t>
  </si>
  <si>
    <t>Bacteria;Bacteroidota;Flavobacteriia;Flavobacteriales;Flavobacteriaceae;Flavobacterium;Flavobacterium sp. 123;</t>
  </si>
  <si>
    <t>Flavobacterium sp. 123</t>
  </si>
  <si>
    <t>Bacteria;Bacteroidota;Flavobacteriia;Flavobacteriales;Flavobacteriaceae;Flavobacterium;Flavobacterium sp. 120;</t>
  </si>
  <si>
    <t>Flavobacterium sp. 120</t>
  </si>
  <si>
    <t>Bacteria;Bacteroidota;Chitinophagia;Chitinophagales;Chitinophagaceae;Chitinophaga;Chitinophaga sp. S165;</t>
  </si>
  <si>
    <t>Chitinophaga sp. S165</t>
  </si>
  <si>
    <t>Bacteria;Bacteroidota;Flavobacteriia;Flavobacteriales;Flavobacteriaceae;Flavobacterium;Flavobacterium psychroterrae;</t>
  </si>
  <si>
    <t>Flavobacterium psychroterrae</t>
  </si>
  <si>
    <t>Bacteria;Bacteroidota;Flavobacteriia;Flavobacteriales;Flavobacteriaceae;Flavobacterium;Flavobacterium artemisiae;</t>
  </si>
  <si>
    <t>Flavobacterium artemisiae</t>
  </si>
  <si>
    <t>Bacteria;Bacillota;Bacilli;Lactobacillales;Carnobacteriaceae;Carnobacterium;Carnobacterium antarcticum;</t>
  </si>
  <si>
    <t>Carnobacterium</t>
  </si>
  <si>
    <t>Carnobacterium antarcticum</t>
  </si>
  <si>
    <t>Bacteria;Bacteroidota;Sphingobacteriia;Sphingobacteriales;Sphingobacteriaceae;Pedobacter;Pedobacter yulinensis;</t>
  </si>
  <si>
    <t>Pedobacter yulinensis</t>
  </si>
  <si>
    <t>Bacteria;Bacillota;Bacilli;Bacillales;Paenibacillaceae;Brevibacillus;Brevibacillus porteri;</t>
  </si>
  <si>
    <t>Brevibacillus porteri</t>
  </si>
  <si>
    <t>Bacteria;Pseudomonadota;Alphaproteobacteria;Hyphomicrobiales;Phyllobacteriaceae;Mesorhizobium;Mesorhizobium ephedrae;</t>
  </si>
  <si>
    <t>Mesorhizobium ephedrae</t>
  </si>
  <si>
    <t>Bacteria;Pseudomonadota;Betaproteobacteria;Burkholderiales;Comamonadaceae;Pulveribacter;Pulveribacter suum;</t>
  </si>
  <si>
    <t>Pulveribacter suum</t>
  </si>
  <si>
    <t>Bacteria;Bacillota;Bacilli;Bacillales;Bacillaceae;Lysinibacillus;Lysinibacillus capsici;</t>
  </si>
  <si>
    <t>Lysinibacillus capsici</t>
  </si>
  <si>
    <t>Bacteria;Pseudomonadota;Alphaproteobacteria;Hyphomicrobiales;Alsobacteraceae;Alsobacter;Alsobacter soli;</t>
  </si>
  <si>
    <t>Alsobacter soli</t>
  </si>
  <si>
    <t>Bacteria;Pseudomonadota;Betaproteobacteria;Burkholderiales;Comamonadaceae;Simplicispira;Simplicispira suum;</t>
  </si>
  <si>
    <t>Simplicispira suum</t>
  </si>
  <si>
    <t>Bacteria;Pseudomonadota;Betaproteobacteria;Burkholderiales;Comamonadaceae;Ottowia;Ottowia oryzae;</t>
  </si>
  <si>
    <t>Ottowia oryzae</t>
  </si>
  <si>
    <t>Bacteria;Actinomycetota;Actinomycetes;Micrococcales;Microbacteriaceae;Amnibacterium;Amnibacterium endophyticum;</t>
  </si>
  <si>
    <t>Amnibacterium endophyticum</t>
  </si>
  <si>
    <t>Bacteria;Pseudomonadota;Alphaproteobacteria;Rhodobacterales;Roseobacteraceae;Phaeobacter;Phaeobacter sp. SYSU ZJ3003;</t>
  </si>
  <si>
    <t>Phaeobacter</t>
  </si>
  <si>
    <t>Phaeobacter sp. SYSU ZJ3003</t>
  </si>
  <si>
    <t>Bacteria;Pseudomonadota;Alphaproteobacteria;Hyphomicrobiales;Methylobacteriaceae;Microvirga;Microvirga tunisiensis;</t>
  </si>
  <si>
    <t>Microvirga tunisiensis</t>
  </si>
  <si>
    <t>Bacteria;Cyanobacteriota;Cyanophyceae;Chroococcales;Entophysalidaceae;Chlorogloea;Chlorogloea sp. CCALA 695;</t>
  </si>
  <si>
    <t>Entophysalidaceae</t>
  </si>
  <si>
    <t>Chlorogloea</t>
  </si>
  <si>
    <t>Chlorogloea sp. CCALA 695</t>
  </si>
  <si>
    <t>Bacteria;Cyanobacteriota;Cyanophyceae;Pleurocapsales;Hyellaceae;Pleurocapsa;Pleurocapsa sp. CCALA 161;</t>
  </si>
  <si>
    <t>Pleurocapsa</t>
  </si>
  <si>
    <t>Pleurocapsa sp. CCALA 161</t>
  </si>
  <si>
    <t>Bacteria;Bacteroidota;Sphingobacteriia;Sphingobacteriales;Sphingobacteriaceae;Paradesertivirga;Paradesertivirga mongoliensis;</t>
  </si>
  <si>
    <t>Paradesertivirga</t>
  </si>
  <si>
    <t>Paradesertivirga mongoliensis</t>
  </si>
  <si>
    <t>Bacteria;Bacteroidota;Flavobacteriia;Flavobacteriales;Crocinitomicaceae;Brumimicrobium;Brumimicrobium oceani;</t>
  </si>
  <si>
    <t>Brumimicrobium</t>
  </si>
  <si>
    <t>Brumimicrobium oceani</t>
  </si>
  <si>
    <t>Bacteria;Pseudomonadota;Alphaproteobacteria;Caulobacterales;Caulobacteraceae;Caulobacter;Caulobacter sp. CCUG 60055;</t>
  </si>
  <si>
    <t>Caulobacter sp. CCUG 60055</t>
  </si>
  <si>
    <t>Bacteria;Actinomycetota;Actinomycetes;Mycobacteriales;Mycobacteriaceae;Mycobacterium;Mycobacterium sp. ITM-2016-00317;</t>
  </si>
  <si>
    <t>Mycobacterium sp. ITM-2016-00317</t>
  </si>
  <si>
    <t>Bacteria;Pseudomonadota;Gammaproteobacteria;Pasteurellales;Pasteurellaceae;Glaesserella;Glaesserella sp.;</t>
  </si>
  <si>
    <t>Glaesserella</t>
  </si>
  <si>
    <t>Glaesserella sp.</t>
  </si>
  <si>
    <t>Bacteria;Pseudomonadota;Gammaproteobacteria;Moraxellales;Moraxellaceae;Amnimonas;Amnimonas aquatica;</t>
  </si>
  <si>
    <t>Amnimonas</t>
  </si>
  <si>
    <t>Amnimonas aquatica</t>
  </si>
  <si>
    <t>Bacteria;Pseudomonadota;Betaproteobacteria;Burkholderiales;Comamonadaceae;Limnohabitans;Limnohabitans sp. TS-CS-82;</t>
  </si>
  <si>
    <t>Limnohabitans sp. TS-CS-82</t>
  </si>
  <si>
    <t>Bacteria;Pseudomonadota;Betaproteobacteria;Burkholderiales;Sphaerotilaceae;Sphaerotilus;Sphaerotilus sp.;</t>
  </si>
  <si>
    <t>Sphaerotilus sp.</t>
  </si>
  <si>
    <t>Bacteria;Pseudomonadota;Alphaproteobacteria;Hyphomicrobiales;Rhizobiaceae;Neorhizobium;Neorhizobium sp. T6_25;</t>
  </si>
  <si>
    <t>Neorhizobium sp. T6_25</t>
  </si>
  <si>
    <t>Bacteria;Pseudomonadota;Alphaproteobacteria;Hyphomicrobiales;Rhizobiaceae;Neorhizobium;Neorhizobium tomejilense;</t>
  </si>
  <si>
    <t>Neorhizobium tomejilense</t>
  </si>
  <si>
    <t>Bacteria;Actinomycetota;Actinomycetes;Micrococcales;Bogoriellaceae;Georgenia;Georgenia deserti;</t>
  </si>
  <si>
    <t>Bogoriellaceae</t>
  </si>
  <si>
    <t>Georgenia</t>
  </si>
  <si>
    <t>Georgenia deserti</t>
  </si>
  <si>
    <t>Bacteria;Bacteroidota;Bacteroidia;Bacteroidales;Tannerellaceae;Parabacteroides;Parabacteroides pacaensis;</t>
  </si>
  <si>
    <t>Tannerellaceae</t>
  </si>
  <si>
    <t>Parabacteroides</t>
  </si>
  <si>
    <t>Parabacteroides pacaensis</t>
  </si>
  <si>
    <t>Bacteria;Pseudomonadota;Alphaproteobacteria;Hyphomicrobiales;Kaistiaceae;Kaistia;Kaistia algarum;</t>
  </si>
  <si>
    <t>Kaistia algarum</t>
  </si>
  <si>
    <t>Bacteria;Pseudomonadota;Gammaproteobacteria;Pseudomonadales;Pseudomonadaceae;Pseudomonas;Pseudomonas sp. S5D5;</t>
  </si>
  <si>
    <t>Pseudomonas sp. S5D5</t>
  </si>
  <si>
    <t>Bacteria;Bacteroidota;Flavobacteriia;Flavobacteriales;Flavobacteriaceae;Flavobacterium;Flavobacterium hungaricum;</t>
  </si>
  <si>
    <t>Flavobacterium hungaricum</t>
  </si>
  <si>
    <t>Bacteria;Pseudomonadota;Betaproteobacteria;Burkholderiales;Burkholderiaceae;Polynucleobacter;Polynucleobacter sp. JS-Fieb-80-E5;</t>
  </si>
  <si>
    <t>Polynucleobacter sp. JS-Fieb-80-E5</t>
  </si>
  <si>
    <t>Bacteria;Pseudomonadota;Betaproteobacteria;Burkholderiales;Burkholderiaceae;Polynucleobacter;Polynucleobacter corsicus;</t>
  </si>
  <si>
    <t>Polynucleobacter corsicus</t>
  </si>
  <si>
    <t>Bacteria;Pseudomonadota;Betaproteobacteria;Burkholderiales;Burkholderiaceae;Polynucleobacter;Polynucleobacter sp. AP-Kolm-20A-A1;</t>
  </si>
  <si>
    <t>Polynucleobacter sp. AP-Kolm-20A-A1</t>
  </si>
  <si>
    <t>Bacteria;Pseudomonadota;Gammaproteobacteria;Pseudomonadales;Pseudomonadaceae;Pseudomonas;Pseudomonas sp. FEMGT703P;</t>
  </si>
  <si>
    <t>Pseudomonas sp. FEMGT703P</t>
  </si>
  <si>
    <t>Bacteria;Bacillota;Bacilli;Bacillales;Bacillaceae;Bacillus;Bacillus sp. DU-106;</t>
  </si>
  <si>
    <t>Bacillus sp. DU-106</t>
  </si>
  <si>
    <t>Bacteria;Bacillota;Clostridia;Eubacteriales;Clostridiaceae;Clostridium;Clostridium cagae;</t>
  </si>
  <si>
    <t>Clostridium cagae</t>
  </si>
  <si>
    <t>Bacteria;Actinomycetota;Actinomycetes;Micrococcales;Microbacteriaceae;Agromyces;Agromyces badenianii;</t>
  </si>
  <si>
    <t>Agromyces badenianii</t>
  </si>
  <si>
    <t>Bacteria;Actinomycetota;Actinomycetes;Micrococcales;Microbacteriaceae;Subtercola;Subtercola sp. Z020;</t>
  </si>
  <si>
    <t>Subtercola sp. Z020</t>
  </si>
  <si>
    <t>Bacteria;Actinomycetota;Actinomycetes;Micrococcales;Microbacteriaceae;Pseudoclavibacter;Pseudoclavibacter sp. RFBG4;</t>
  </si>
  <si>
    <t>Pseudoclavibacter</t>
  </si>
  <si>
    <t>Pseudoclavibacter sp. RFBG4</t>
  </si>
  <si>
    <t>Bacteria;Bacteroidota;Flavobacteriia;Flavobacteriales;Flavobacteriaceae;Flavobacterium;Flavobacterium alvei;</t>
  </si>
  <si>
    <t>Flavobacterium alvei</t>
  </si>
  <si>
    <t>Bacteria;Bacillota;Bacilli;Bacillales;Paenibacillaceae;Paenibacillus;Paenibacillus faecalis;</t>
  </si>
  <si>
    <t>Paenibacillus faecalis</t>
  </si>
  <si>
    <t>Bacteria;Bacillota;Clostridia;Eubacteriales;NA;Proteiniborus;Proteiniborus sp.;</t>
  </si>
  <si>
    <t>Proteiniborus</t>
  </si>
  <si>
    <t>Proteiniborus sp.</t>
  </si>
  <si>
    <t>Bacteria;Bacillota;Clostridia;Eubacteriales;Clostridiaceae;Clostridium;Clostridium sp. Cult1;</t>
  </si>
  <si>
    <t>Clostridium sp. Cult1</t>
  </si>
  <si>
    <t>Bacteria;Bacillota;Clostridia;Lachnospirales;Vallitaleaceae;Vallitalea;Vallitalea okinawensis;</t>
  </si>
  <si>
    <t>Vallitalea okinawensis</t>
  </si>
  <si>
    <t>Bacteria;Bacillota;Negativicutes;Selenomonadales;Sporomusaceae;Sporomusa;Sporomusa sp.;</t>
  </si>
  <si>
    <t>Sporomusa</t>
  </si>
  <si>
    <t>Sporomusa sp.</t>
  </si>
  <si>
    <t>Bacteria;Bacteroidota;Chitinophagia;Chitinophagales;Chitinophagaceae;Flavipsychrobacter;Flavipsychrobacter stenotrophus;</t>
  </si>
  <si>
    <t>Flavipsychrobacter</t>
  </si>
  <si>
    <t>Flavipsychrobacter stenotrophus</t>
  </si>
  <si>
    <t>Bacteria;Pseudomonadota;Alphaproteobacteria;Sphingomonadales;Sphingomonadaceae;Sphingobium;Sphingobium sp. SCG-1;</t>
  </si>
  <si>
    <t>Sphingobium sp. SCG-1</t>
  </si>
  <si>
    <t>Bacteria;Bacteroidota;Cytophagia;Cytophagales;Hymenobacteraceae;Adhaeribacter;Adhaeribacter arboris;</t>
  </si>
  <si>
    <t>Adhaeribacter arboris</t>
  </si>
  <si>
    <t>Bacteria;Pseudomonadota;Gammaproteobacteria;Lysobacterales;Lysobacteraceae;Stenotrophomonas;Stenotrophomonas sp. SAU14A_NAIMI4_5;</t>
  </si>
  <si>
    <t>Stenotrophomonas sp. SAU14A_NAIMI4_5</t>
  </si>
  <si>
    <t>Bacteria;Pseudomonadota;Gammaproteobacteria;Lysobacterales;Lysobacteraceae;Stenotrophomonas;Stenotrophomonas sp. ZAC14A_NAIMI4_1;</t>
  </si>
  <si>
    <t>Stenotrophomonas sp. ZAC14A_NAIMI4_1</t>
  </si>
  <si>
    <t>Bacteria;Pseudomonadota;Gammaproteobacteria;Lysobacterales;Lysobacteraceae;Stenotrophomonas;Stenotrophomonas sp. SAU14A_NAIMI4_8;</t>
  </si>
  <si>
    <t>Stenotrophomonas sp. SAU14A_NAIMI4_8</t>
  </si>
  <si>
    <t>Bacteria;Pseudomonadota;Gammaproteobacteria;Enterobacterales;Enterobacteriaceae;Enterobacter;Enterobacter sichuanensis;</t>
  </si>
  <si>
    <t>Enterobacter sichuanensis</t>
  </si>
  <si>
    <t>Bacteria;Pseudomonadota;Betaproteobacteria;Burkholderiales;Sphaerotilaceae;Roseateles;Kinneretia aquatilis;</t>
  </si>
  <si>
    <t>Kinneretia aquatilis</t>
  </si>
  <si>
    <t>Bacteria;Pseudomonadota;Betaproteobacteria;Burkholderiales;Comamonadaceae;Malikia;Malikia sp.;</t>
  </si>
  <si>
    <t>Malikia</t>
  </si>
  <si>
    <t>Malikia sp.</t>
  </si>
  <si>
    <t>Bacteria;Pseudomonadota;Gammaproteobacteria;Pseudomonadales;Pseudomonadaceae;Pseudomonas;Pseudomonas sp. GW456-12-10-14-LB2;</t>
  </si>
  <si>
    <t>Pseudomonas sp. GW456-12-10-14-LB2</t>
  </si>
  <si>
    <t>Bacteria;Bacillota;Clostridia;Eubacteriales;Clostridiaceae;Clostridium;Clostridium fermenticellae;</t>
  </si>
  <si>
    <t>Clostridium fermenticellae</t>
  </si>
  <si>
    <t>Bacteria;Pseudomonadota;Betaproteobacteria;Burkholderiales;Sphaerotilaceae;Methylibium;Methylibium sp.;</t>
  </si>
  <si>
    <t>Methylibium sp.</t>
  </si>
  <si>
    <t>Bacteria;Pseudomonadota;Gammaproteobacteria;Enterobacterales;Enterobacteriaceae;Lelliottia;Lelliottia sp. AC1;</t>
  </si>
  <si>
    <t>Lelliottia sp. AC1</t>
  </si>
  <si>
    <t>Bacteria;Pseudomonadota;Alphaproteobacteria;Sphingomonadales;Sphingomonadaceae;Novosphingobium;Novosphingobium sp. TH158;</t>
  </si>
  <si>
    <t>Novosphingobium sp. TH158</t>
  </si>
  <si>
    <t>Bacteria;Pseudomonadota;Alphaproteobacteria;Rhodobacterales;Paracoccaceae;Tabrizicola;Tabrizicola sp. TH137;</t>
  </si>
  <si>
    <t>Tabrizicola sp. TH137</t>
  </si>
  <si>
    <t>Bacteria;Pseudomonadota;Alphaproteobacteria;Hyphomicrobiales;Rhizobiaceae;Rhizobium;Rhizobium sp. TH135;</t>
  </si>
  <si>
    <t>Rhizobium sp. TH135</t>
  </si>
  <si>
    <t>Bacteria;Pseudomonadota;Gammaproteobacteria;Lysobacterales;Lysobacteraceae;Stenotrophomonas;Stenotrophomonas sp. VV52;</t>
  </si>
  <si>
    <t>Stenotrophomonas sp. VV52</t>
  </si>
  <si>
    <t>Bacteria;Pseudomonadota;Betaproteobacteria;Burkholderiales;Comamonadaceae;Variovorax;Variovorax sp. RO1;</t>
  </si>
  <si>
    <t>Variovorax sp. RO1</t>
  </si>
  <si>
    <t>Bacteria;Pseudomonadota;Alphaproteobacteria;Holosporales;Holosporaceae;Candidatus Cytomitobacter;Candidatus Cytomitobacter primus;</t>
  </si>
  <si>
    <t>Holosporales</t>
  </si>
  <si>
    <t>Holosporaceae</t>
  </si>
  <si>
    <t>Candidatus Cytomitobacter</t>
  </si>
  <si>
    <t>Candidatus Cytomitobacter primus</t>
  </si>
  <si>
    <t>Bacteria;Pseudomonadota;Betaproteobacteria;Burkholderiales;Comamonadaceae;Hylemonella;Hylemonella sp.;</t>
  </si>
  <si>
    <t>Hylemonella</t>
  </si>
  <si>
    <t>Hylemonella sp.</t>
  </si>
  <si>
    <t>Bacteria;Rhodothermota;Rhodothermia;Rhodothermales;Salinibacteraceae;Salinibacter;Salinibacter sp.;</t>
  </si>
  <si>
    <t>Salinibacteraceae</t>
  </si>
  <si>
    <t>Salinibacter</t>
  </si>
  <si>
    <t>Salinibacter sp.</t>
  </si>
  <si>
    <t>Bacteria;Pseudomonadota;Alphaproteobacteria;Hyphomicrobiales;Boseaceae;Bosea;Bosea sp. FBZP-16;</t>
  </si>
  <si>
    <t>Bosea sp. FBZP-16</t>
  </si>
  <si>
    <t>Bacteria;Bacillota;Clostridia;Peptostreptococcales;Anaerovoracaceae;Aminipila;Aminipila sp.;</t>
  </si>
  <si>
    <t>Aminipila sp.</t>
  </si>
  <si>
    <t>Bacteria;Pseudomonadota;Gammaproteobacteria;Enterobacterales;Yersiniaceae;Chimaeribacter;Chimaeribacter californicus;</t>
  </si>
  <si>
    <t>Chimaeribacter</t>
  </si>
  <si>
    <t>Chimaeribacter californicus</t>
  </si>
  <si>
    <t>Bacteria;Pseudomonadota;Gammaproteobacteria;Aeromonadales;Aeromonadaceae;Oceanimonas;Oceanimonas marisflavi;</t>
  </si>
  <si>
    <t>Oceanimonas</t>
  </si>
  <si>
    <t>Oceanimonas marisflavi</t>
  </si>
  <si>
    <t>Bacteria;Pseudomonadota;Betaproteobacteria;Neisseriales;Chromobacteriaceae;Chromobacterium;Chromobacterium sp. ATCC 53434;</t>
  </si>
  <si>
    <t>Chromobacterium</t>
  </si>
  <si>
    <t>Chromobacterium sp. ATCC 53434</t>
  </si>
  <si>
    <t>Bacteria;Bacteroidota;Flavobacteriia;Flavobacteriales;Crocinitomicaceae;Brumimicrobium;Brumimicrobium salinarum;</t>
  </si>
  <si>
    <t>Brumimicrobium salinarum</t>
  </si>
  <si>
    <t>Bacteria;Pseudomonadota;Gammaproteobacteria;Enterobacterales;Enterobacteriaceae;Klebsiella;Klebsiella grimontii;</t>
  </si>
  <si>
    <t>Klebsiella grimontii</t>
  </si>
  <si>
    <t>Bacteria;Bacteroidota;Flavobacteriia;Flavobacteriales;Flavobacteriaceae;Nonlabens;Nonlabens sp. MB-3u-79;</t>
  </si>
  <si>
    <t>Nonlabens sp. MB-3u-79</t>
  </si>
  <si>
    <t>Bacteria;Bacillota;Bacilli;Bacillales;Bacillaceae;Bacillus;Bacillus sp. BA3;</t>
  </si>
  <si>
    <t>Bacillus sp. BA3</t>
  </si>
  <si>
    <t>Bacteria;Pseudomonadota;Betaproteobacteria;Burkholderiales;Comamonadaceae;Acidovorax;Acidovorax sp. HMWF029;</t>
  </si>
  <si>
    <t>Acidovorax sp. HMWF029</t>
  </si>
  <si>
    <t>Bacteria;Bacteroidota;Sphingobacteriia;Sphingobacteriales;Sphingobacteriaceae;Pedobacter;Pedobacter sp. HMWF019;</t>
  </si>
  <si>
    <t>Pedobacter sp. HMWF019</t>
  </si>
  <si>
    <t>Bacteria;Pseudomonadota;Betaproteobacteria;Burkholderiales;Comamonadaceae;Acidovorax;Acidovorax sp. HMWF018;</t>
  </si>
  <si>
    <t>Acidovorax sp. HMWF018</t>
  </si>
  <si>
    <t>Bacteria;Pseudomonadota;Gammaproteobacteria;Aeromonadales;Aeromonadaceae;Aeromonas;Aeromonas sp. HMWF016;</t>
  </si>
  <si>
    <t>Aeromonas sp. HMWF016</t>
  </si>
  <si>
    <t>Bacteria;Pseudomonadota;Gammaproteobacteria;Aeromonadales;Aeromonadaceae;Aeromonas;Aeromonas sp. HMWF015;</t>
  </si>
  <si>
    <t>Aeromonas sp. HMWF015</t>
  </si>
  <si>
    <t>Bacteria;Pseudomonadota;Gammaproteobacteria;Lysobacterales;Lysobacteraceae;Stenotrophomonas;Stenotrophomonas sp. HMWF003;</t>
  </si>
  <si>
    <t>Stenotrophomonas sp. HMWF003</t>
  </si>
  <si>
    <t>Bacteria;Pseudomonadota;Alphaproteobacteria;Rhodobacterales;Paracoccaceae;Meridianimarinicoccus;Meridianimarinicoccus zhengii;</t>
  </si>
  <si>
    <t>Meridianimarinicoccus</t>
  </si>
  <si>
    <t>Meridianimarinicoccus zhengii</t>
  </si>
  <si>
    <t>Bacteria;Bacillota;Bacilli;Bacillales;Bacillaceae;Bacillus;Bacillus sp. SN10;</t>
  </si>
  <si>
    <t>Bacillus sp. SN10</t>
  </si>
  <si>
    <t>Bacteria;Bacteroidota;Cytophagia;Cytophagales;Cyclobacteriaceae;Algoriphagus;Algoriphagus lacus;</t>
  </si>
  <si>
    <t>Algoriphagus lacus</t>
  </si>
  <si>
    <t>Bacteria;Pseudomonadota;Gammaproteobacteria;Enterobacterales;Enterobacteriaceae;Pseudescherichia;Pseudescherichia sp.;</t>
  </si>
  <si>
    <t>Pseudescherichia</t>
  </si>
  <si>
    <t>Pseudescherichia sp.</t>
  </si>
  <si>
    <t>Bacteria;Pseudomonadota;Gammaproteobacteria;Enterobacterales;Enterobacteriaceae;Klebsiella;Klebsiella sp. A-Nf5;</t>
  </si>
  <si>
    <t>Klebsiella sp. A-Nf5</t>
  </si>
  <si>
    <t>Bacteria;Bacteroidota;Chitinophagia;Chitinophagales;Chitinophagaceae;Nemorincola;Nemorincola caseinilytica;</t>
  </si>
  <si>
    <t>Nemorincola</t>
  </si>
  <si>
    <t>Nemorincola caseinilytica</t>
  </si>
  <si>
    <t>Bacteria;Bacillota;Bacilli;Bacillales;Bacillaceae;Bacillus;Bacillus sp. T33-2;</t>
  </si>
  <si>
    <t>Bacillus sp. T33-2</t>
  </si>
  <si>
    <t>Bacteria;Pseudomonadota;Betaproteobacteria;NA;NA;Candidatus Accumulibacter;Accumulibacter sp.;</t>
  </si>
  <si>
    <t>Accumulibacter sp.</t>
  </si>
  <si>
    <t>Bacteria;Bacillota;Bacilli;Bacillales;NA;Exiguobacterium;Exiguobacterium sp. N4-1P;</t>
  </si>
  <si>
    <t>Exiguobacterium sp. N4-1P</t>
  </si>
  <si>
    <t>Bacteria;Bacteroidota;Chitinophagia;Chitinophagales;Chitinophagaceae;Rurimicrobium;Rurimicrobium arvi;</t>
  </si>
  <si>
    <t>Rurimicrobium</t>
  </si>
  <si>
    <t>Rurimicrobium arvi</t>
  </si>
  <si>
    <t>Bacteria;Pseudomonadota;Betaproteobacteria;Burkholderiales;Burkholderiaceae;Polynucleobacter;Polynucleobacter victoriensis;</t>
  </si>
  <si>
    <t>Polynucleobacter victoriensis</t>
  </si>
  <si>
    <t>Bacteria;Bacillota;Clostridia;Lachnospirales;Lachnospiraceae;Roseburia;Roseburia sp.;</t>
  </si>
  <si>
    <t>Roseburia sp.</t>
  </si>
  <si>
    <t>Bacteria;Bacillota;Negativicutes;Acidaminococcales;Acidaminococcaceae;Phascolarctobacterium;Phascolarctobacterium sp.;</t>
  </si>
  <si>
    <t>Acidaminococcales</t>
  </si>
  <si>
    <t>Acidaminococcaceae</t>
  </si>
  <si>
    <t>Phascolarctobacterium</t>
  </si>
  <si>
    <t>Phascolarctobacterium sp.</t>
  </si>
  <si>
    <t>Bacteria;Bacillota;Clostridia;Eubacteriales;NA;Gemmiger;Gemmiger sp.;</t>
  </si>
  <si>
    <t>Gemmiger</t>
  </si>
  <si>
    <t>Gemmiger sp.</t>
  </si>
  <si>
    <t>Bacteria;Pseudomonadota;Alphaproteobacteria;Caulobacterales;Caulobacteraceae;Caulobacter;Caulobacter sp. X;</t>
  </si>
  <si>
    <t>Caulobacter sp. X</t>
  </si>
  <si>
    <t>Bacteria;Pseudomonadota;Alphaproteobacteria;Caulobacterales;Caulobacteraceae;Caulobacter;Caulobacter sp. BP25;</t>
  </si>
  <si>
    <t>Caulobacter sp. BP25</t>
  </si>
  <si>
    <t>Bacteria;Pseudomonadota;Alphaproteobacteria;Caulobacterales;Caulobacteraceae;Caulobacter;Caulobacter sp. B11;</t>
  </si>
  <si>
    <t>Caulobacter sp. B11</t>
  </si>
  <si>
    <t>Bacteria;Actinomycetota;Actinomycetes;Mycobacteriales;Mycobacteriaceae;Mycobacterium;Mycobacterium neumannii;</t>
  </si>
  <si>
    <t>Mycobacterium neumannii</t>
  </si>
  <si>
    <t>Bacteria;Actinomycetota;Actinomycetes;Mycobacteriales;Mycobacteriaceae;Mycobacterium;Mycobacterium lehmannii;</t>
  </si>
  <si>
    <t>Mycobacterium lehmannii</t>
  </si>
  <si>
    <t>Bacteria;Actinomycetota;Actinomycetes;Micrococcales;Microbacteriaceae;Cryobacterium;Cryobacterium sp. N22;</t>
  </si>
  <si>
    <t>Cryobacterium sp. N22</t>
  </si>
  <si>
    <t>Bacteria;Pseudomonadota;Alphaproteobacteria;Rhodospirillales;Thalassospiraceae;Thalassospira;Thalassospira marina;</t>
  </si>
  <si>
    <t>Thalassospiraceae</t>
  </si>
  <si>
    <t>Thalassospira</t>
  </si>
  <si>
    <t>Thalassospira marina</t>
  </si>
  <si>
    <t>Bacteria;Pseudomonadota;Gammaproteobacteria;Lysobacterales;Lysobacteraceae;Stenotrophomonas;Stenotrophomonas indicatrix;</t>
  </si>
  <si>
    <t>Stenotrophomonas indicatrix</t>
  </si>
  <si>
    <t>Bacteria;Pseudomonadota;Gammaproteobacteria;Lysobacterales;Lysobacteraceae;Stenotrophomonas;Stenotrophomonas lactitubi;</t>
  </si>
  <si>
    <t>Stenotrophomonas lactitubi</t>
  </si>
  <si>
    <t>Bacteria;Pseudomonadota;Alphaproteobacteria;Rhodobacterales;Paracoccaceae;Gemmobacter;Gemmobacter straminiformis;</t>
  </si>
  <si>
    <t>Gemmobacter straminiformis</t>
  </si>
  <si>
    <t>Bacteria;Bacteroidota;Flavobacteriia;Flavobacteriales;Flavobacteriaceae;Flavobacterium;Flavobacterium limi;</t>
  </si>
  <si>
    <t>Flavobacterium limi</t>
  </si>
  <si>
    <t>Bacteria;Bacteroidota;Chitinophagia;Chitinophagales;Chitinophagaceae;Puia;Puia sp.;</t>
  </si>
  <si>
    <t>Puia</t>
  </si>
  <si>
    <t>Puia sp.</t>
  </si>
  <si>
    <t>Bacteria;Bacteroidota;Sphingobacteriia;Sphingobacteriales;Sphingobacteriaceae;Sphingobacterium;Sphingobacterium tabacisoli;</t>
  </si>
  <si>
    <t>Sphingobacterium tabacisoli</t>
  </si>
  <si>
    <t>Bacteria;Pseudomonadota;Alphaproteobacteria;Rhodobacterales;Roseobacteraceae;Roseovarius;Roseovarius nitratireducens;</t>
  </si>
  <si>
    <t>Roseovarius nitratireducens</t>
  </si>
  <si>
    <t>Bacteria;Pseudomonadota;Gammaproteobacteria;Enterobacterales;Pectobacteriaceae;Pectobacterium;Pectobacterium polaris;</t>
  </si>
  <si>
    <t>Pectobacterium polaris</t>
  </si>
  <si>
    <t>Bacteria;Bacillota;Tissierellia;Tissierellales;Peptoniphilaceae;Miniphocaeibacter;Miniphocaeibacter massiliensis;</t>
  </si>
  <si>
    <t>Miniphocaeibacter</t>
  </si>
  <si>
    <t>Miniphocaeibacter massiliensis</t>
  </si>
  <si>
    <t>Bacteria;Bacillota;Clostridia;Lachnospirales;Lachnospiraceae;Anaerocolumna;Anaerocolumna sp.;</t>
  </si>
  <si>
    <t>Anaerocolumna sp.</t>
  </si>
  <si>
    <t>Bacteria;Pseudomonadota;Alphaproteobacteria;Hyphomicrobiales;Rhizobiaceae;Rhizobium;Rhizobium tumorigenes;</t>
  </si>
  <si>
    <t>Rhizobium tumorigenes</t>
  </si>
  <si>
    <t>Bacteria;Pseudomonadota;Alphaproteobacteria;Hyphomicrobiales;Rhizobiaceae;Gellertiella;uncultured Gellertiella sp.;</t>
  </si>
  <si>
    <t>Gellertiella</t>
  </si>
  <si>
    <t>uncultured Gellertiella sp.</t>
  </si>
  <si>
    <t>Bacteria;Bacillota;Clostridia;Eubacteriales;Clostridiaceae;Clostridium;Clostridium rectalis;</t>
  </si>
  <si>
    <t>Clostridium rectalis</t>
  </si>
  <si>
    <t>Bacteria;Bacillota;Bacilli;Bacillales;Bacillaceae;Bacillus;Bacillus fungorum;</t>
  </si>
  <si>
    <t>Bacillus fungorum</t>
  </si>
  <si>
    <t>Bacteria;Actinomycetota;Actinomycetes;Mycobacteriales;Mycobacteriaceae;Mycobacterium;Mycobacterium sp. shizuoka-1;</t>
  </si>
  <si>
    <t>Mycobacterium sp. shizuoka-1</t>
  </si>
  <si>
    <t>Bacteria;Bacillota;Clostridia;Eubacteriales;Clostridiales Family XVII. Incertae Sedis;Sulfobacillus;Sulfobacillus sp. hq2;</t>
  </si>
  <si>
    <t>Clostridiales Family XVII. Incertae Sedis</t>
  </si>
  <si>
    <t>Sulfobacillus</t>
  </si>
  <si>
    <t>Sulfobacillus sp. hq2</t>
  </si>
  <si>
    <t>Bacteria;Bacteroidota;Flavobacteriia;Flavobacteriales;Weeksellaceae;Kaistella;Kaistella flava (ex Peng et al. 2021);</t>
  </si>
  <si>
    <t>Kaistella flava (ex Peng et al. 2021)</t>
  </si>
  <si>
    <t>Bacteria;Actinomycetota;Actinomycetes;Propionibacteriales;Propionibacteriaceae;Propioniciclava;Propioniciclava sp.;</t>
  </si>
  <si>
    <t>Propioniciclava sp.</t>
  </si>
  <si>
    <t>Bacteria;Pseudomonadota;Alphaproteobacteria;Sphingomonadales;Sphingomonadaceae;Sphingobium;Sphingobium aquiterrae;</t>
  </si>
  <si>
    <t>Sphingobium aquiterrae</t>
  </si>
  <si>
    <t>Bacteria;Pseudomonadota;Alphaproteobacteria;Hyphomicrobiales;Rhizobiaceae;Pararhizobium;Pararhizobium haloflavum;</t>
  </si>
  <si>
    <t>Pararhizobium haloflavum</t>
  </si>
  <si>
    <t>Bacteria;Bacillota;Bacilli;Bacillales;Bacillaceae;Niallia;Niallia endozanthoxylica;</t>
  </si>
  <si>
    <t>Niallia endozanthoxylica</t>
  </si>
  <si>
    <t>Bacteria;Pseudomonadota;Alphaproteobacteria;Caulobacterales;Caulobacteraceae;Caulobacter;Caulobacter hibisci;</t>
  </si>
  <si>
    <t>Caulobacter hibisci</t>
  </si>
  <si>
    <t>Bacteria;Pseudomonadota;Alphaproteobacteria;Hyphomicrobiales;Rhizobiaceae;Sinorhizobium;Sinorhizobium sp. BJ1;</t>
  </si>
  <si>
    <t>Sinorhizobium sp. BJ1</t>
  </si>
  <si>
    <t>Bacteria;Pseudomonadota;Alphaproteobacteria;Hyphomicrobiales;Reyranellaceae;Reyranella;Reyranella aquatilis;</t>
  </si>
  <si>
    <t>Reyranella aquatilis</t>
  </si>
  <si>
    <t>Bacteria;Pseudomonadota;Betaproteobacteria;Burkholderiales;Comamonadaceae;Delftia;Delftia sp. 60;</t>
  </si>
  <si>
    <t>Delftia sp. 60</t>
  </si>
  <si>
    <t>Bacteria;Bacteroidota;Flavobacteriia;Flavobacteriales;Weeksellaceae;Chryseobacterium;Chryseobacterium sp. 7;</t>
  </si>
  <si>
    <t>Chryseobacterium sp. 7</t>
  </si>
  <si>
    <t>Bacteria;Pseudomonadota;Betaproteobacteria;Burkholderiales;Comamonadaceae;Acidovorax;Acidovorax sp. 56;</t>
  </si>
  <si>
    <t>Acidovorax sp. 56</t>
  </si>
  <si>
    <t>Bacteria;Pseudomonadota;Betaproteobacteria;Burkholderiales;Comamonadaceae;Acidovorax;Acidovorax sp. 62;</t>
  </si>
  <si>
    <t>Acidovorax sp. 62</t>
  </si>
  <si>
    <t>Bacteria;Pseudomonadota;Betaproteobacteria;Burkholderiales;Comamonadaceae;Acidovorax;Acidovorax sp. 69;</t>
  </si>
  <si>
    <t>Acidovorax sp. 69</t>
  </si>
  <si>
    <t>Bacteria;Pseudomonadota;Betaproteobacteria;Burkholderiales;Comamonadaceae;Comamonas;Comamonas sp. 26;</t>
  </si>
  <si>
    <t>Comamonas sp. 26</t>
  </si>
  <si>
    <t>Bacteria;Bacteroidota;Flavobacteriia;Flavobacteriales;Flavobacteriaceae;Flavobacterium;Flavobacterium sp. 5;</t>
  </si>
  <si>
    <t>Flavobacterium sp. 5</t>
  </si>
  <si>
    <t>Bacteria;Bacteroidota;Flavobacteriia;Flavobacteriales;Flavobacteriaceae;Zobellia;Zobellia sp. OII3;</t>
  </si>
  <si>
    <t>Zobellia</t>
  </si>
  <si>
    <t>Zobellia sp. OII3</t>
  </si>
  <si>
    <t>Bacteria;Pseudomonadota;Gammaproteobacteria;Enterobacterales;Yersiniaceae;Serratia;Serratia oryzae;</t>
  </si>
  <si>
    <t>Serratia oryzae</t>
  </si>
  <si>
    <t>Bacteria;Bacillota;Clostridia;Lachnospirales;Lachnospiraceae;Niameybacter;uncultured Niameybacter sp.;</t>
  </si>
  <si>
    <t>Niameybacter</t>
  </si>
  <si>
    <t>uncultured Niameybacter sp.</t>
  </si>
  <si>
    <t>Bacteria;Bacillota;Clostridia;Lachnospirales;Lachnospiraceae;Niameybacter;Niameybacter sp.;</t>
  </si>
  <si>
    <t>Niameybacter sp.</t>
  </si>
  <si>
    <t>Bacteria;Bacillota;Bacilli;Bacillales;Bacillaceae;Bacillus;Bacillus sp. AFS059628;</t>
  </si>
  <si>
    <t>Bacillus sp. AFS059628</t>
  </si>
  <si>
    <t>Bacteria;Pseudomonadota;Gammaproteobacteria;Nevskiales;Nevskiaceae;Hydrocarboniphaga;Hydrocarboniphaga sp.;</t>
  </si>
  <si>
    <t>Nevskiales</t>
  </si>
  <si>
    <t>Nevskiaceae</t>
  </si>
  <si>
    <t>Hydrocarboniphaga</t>
  </si>
  <si>
    <t>Hydrocarboniphaga sp.</t>
  </si>
  <si>
    <t>Bacteria;Pseudomonadota;Gammaproteobacteria;Oceanospirillales;Oceanospirillaceae;Thalassolituus;Thalassolituus sp.;</t>
  </si>
  <si>
    <t>Thalassolituus sp.</t>
  </si>
  <si>
    <t>Bacteria;Pseudomonadota;Betaproteobacteria;Burkholderiales;Burkholderiaceae;Polynucleobacter;Polynucleobacter sp.;</t>
  </si>
  <si>
    <t>Polynucleobacter sp.</t>
  </si>
  <si>
    <t>Bacteria;Pseudomonadota;Alphaproteobacteria;Hyphomicrobiales;Phyllobacteriaceae;Mesorhizobium;Mesorhizobium sp. WSM4312;</t>
  </si>
  <si>
    <t>Mesorhizobium sp. WSM4312</t>
  </si>
  <si>
    <t>Bacteria;Pseudomonadota;Betaproteobacteria;Burkholderiales;Comamonadaceae;Vandammella;Vandammella animalimorsus;</t>
  </si>
  <si>
    <t>Vandammella</t>
  </si>
  <si>
    <t>Vandammella animalimorsus</t>
  </si>
  <si>
    <t>Bacteria;Bacillota;Clostridia;Lachnospirales;Lachnospiraceae;Lachnoclostridium;Lachnoclostridium sp.;</t>
  </si>
  <si>
    <t>Lachnoclostridium</t>
  </si>
  <si>
    <t>Lachnoclostridium sp.</t>
  </si>
  <si>
    <t>Bacteria;Pseudomonadota;Alphaproteobacteria;Rhodospirillales;Zavarziniaceae;Zavarzinia;Zavarzinia sp.;</t>
  </si>
  <si>
    <t>Zavarziniaceae</t>
  </si>
  <si>
    <t>Zavarzinia</t>
  </si>
  <si>
    <t>Zavarzinia sp.</t>
  </si>
  <si>
    <t>Bacteria;Bacteroidota;Cytophagia;Cytophagales;Leadbetterellaceae;Emticicia;Emticicia soli;</t>
  </si>
  <si>
    <t>Emticicia soli</t>
  </si>
  <si>
    <t>Bacteria;Thermodesulfobacteriota;Desulfobacteria;Desulfobacterales;Desulfosarcinaceae;Desulfosarcina;Desulfosarcina sp.;</t>
  </si>
  <si>
    <t>Desulfobacteria</t>
  </si>
  <si>
    <t>Desulfobacterales</t>
  </si>
  <si>
    <t>Desulfosarcinaceae</t>
  </si>
  <si>
    <t>Desulfosarcina</t>
  </si>
  <si>
    <t>Desulfosarcina sp.</t>
  </si>
  <si>
    <t>Bacteria;Bacteroidota;Sphingobacteriia;Sphingobacteriales;Sphingobacteriaceae;Mucilaginibacter;Mucilaginibacter rubeus;</t>
  </si>
  <si>
    <t>Mucilaginibacter rubeus</t>
  </si>
  <si>
    <t>Bacteria;Pseudomonadota;Alphaproteobacteria;Hyphomicrobiales;Aurantimonadaceae;Aureimonas;Aureimonas endophytica;</t>
  </si>
  <si>
    <t>Aureimonas endophytica</t>
  </si>
  <si>
    <t>Bacteria;Bacteroidota;Flavobacteriia;Flavobacteriales;Flavobacteriaceae;Flavobacterium;Flavobacterium foetidum;</t>
  </si>
  <si>
    <t>Flavobacterium foetidum</t>
  </si>
  <si>
    <t>Bacteria;Actinomycetota;Actinomycetes;Geodermatophilales;Geodermatophilaceae;Petropleomorpha;Petropleomorpha daqingensis;</t>
  </si>
  <si>
    <t>Petropleomorpha</t>
  </si>
  <si>
    <t>Petropleomorpha daqingensis</t>
  </si>
  <si>
    <t>Bacteria;Pseudomonadota;Alphaproteobacteria;Hyphomicrobiales;Methylobacteriaceae;Enterovirga;Enterovirga sp.;</t>
  </si>
  <si>
    <t>Enterovirga sp.</t>
  </si>
  <si>
    <t>Bacteria;Pseudomonadota;Betaproteobacteria;Burkholderiales;Burkholderiaceae;Paraburkholderia;Paraburkholderia aromaticivorans;</t>
  </si>
  <si>
    <t>Paraburkholderia aromaticivorans</t>
  </si>
  <si>
    <t>Bacteria;Bacillota;Bacilli;Bacillales;Bacillaceae;Bacillus;Bacillus paramycoides;</t>
  </si>
  <si>
    <t>Bacillus paramycoides</t>
  </si>
  <si>
    <t>Bacteria;Bacillota;Bacilli;Bacillales;Bacillaceae;Bacillus;Bacillus nitratireducens;</t>
  </si>
  <si>
    <t>Bacillus nitratireducens</t>
  </si>
  <si>
    <t>Bacteria;Bacillota;Bacilli;Bacillales;Bacillaceae;Bacillus;Bacillus luti;</t>
  </si>
  <si>
    <t>Bacillus luti</t>
  </si>
  <si>
    <t>Bacteria;Bacillota;Bacilli;Bacillales;Bacillaceae;Bacillus;Bacillus mobilis;</t>
  </si>
  <si>
    <t>Bacillus mobilis</t>
  </si>
  <si>
    <t>Bacteria;Bacillota;Bacilli;Bacillales;Bacillaceae;Bacillus;Bacillus albus;</t>
  </si>
  <si>
    <t>Bacillus albus</t>
  </si>
  <si>
    <t>Bacteria;Bacillota;Bacilli;Bacillales;Bacillaceae;Bacillus;Bacillus tropicus;</t>
  </si>
  <si>
    <t>Bacillus tropicus</t>
  </si>
  <si>
    <t>Bacteria;Bacillota;Bacilli;Bacillales;Bacillaceae;Bacillus;Bacillus pacificus;</t>
  </si>
  <si>
    <t>Bacillus pacificus</t>
  </si>
  <si>
    <t>Bacteria;Bacillota;Bacilli;Bacillales;Bacillaceae;Bacillus;Bacillus paranthracis;</t>
  </si>
  <si>
    <t>Bacillus paranthracis</t>
  </si>
  <si>
    <t>Bacteria;Pseudomonadota;Betaproteobacteria;Burkholderiales;Oxalobacteraceae;Herbaspirillum;Herbaspirillum sp. meg3;</t>
  </si>
  <si>
    <t>Herbaspirillum sp. meg3</t>
  </si>
  <si>
    <t>Bacteria;Pseudomonadota;Alphaproteobacteria;Sphingomonadales;Sphingomonadaceae;Novosphingobium;Novosphingobium sp. 9;</t>
  </si>
  <si>
    <t>Novosphingobium sp. 9</t>
  </si>
  <si>
    <t>Bacteria;Pseudomonadota;Alphaproteobacteria;Rhodobacterales;Paracoccaceae;Planktomarina;Planktomarina sp.;</t>
  </si>
  <si>
    <t>Planktomarina</t>
  </si>
  <si>
    <t>Planktomarina sp.</t>
  </si>
  <si>
    <t>Bacteria;Pseudomonadota;Alphaproteobacteria;Hyphomicrobiales;Parvibaculaceae;Parvibaculum;Parvibaculum sp.;</t>
  </si>
  <si>
    <t>Parvibaculaceae</t>
  </si>
  <si>
    <t>Parvibaculum</t>
  </si>
  <si>
    <t>Parvibaculum sp.</t>
  </si>
  <si>
    <t>Bacteria;Bacteroidota;Chitinophagia;Chitinophagales;Chitinophagaceae;Dinghuibacter;Dinghuibacter sp.;</t>
  </si>
  <si>
    <t>Dinghuibacter</t>
  </si>
  <si>
    <t>Dinghuibacter sp.</t>
  </si>
  <si>
    <t>Bacteria;Actinomycetota;Actinomycetes;Mycobacteriales;Mycobacteriaceae;Mycolicibacterium;Mycolicibacterium sp. P1-18;</t>
  </si>
  <si>
    <t>Mycolicibacterium sp. P1-18</t>
  </si>
  <si>
    <t>Bacteria;Pseudomonadota;Alphaproteobacteria;Hyphomicrobiales;Nitrobacteraceae;Tardiphaga;Tardiphaga sp. P9-11;</t>
  </si>
  <si>
    <t>Tardiphaga sp. P9-11</t>
  </si>
  <si>
    <t>Bacteria;Pseudomonadota;Betaproteobacteria;Burkholderiales;Comamonadaceae;Rhodoferax;Rhodoferax sp. TH121;</t>
  </si>
  <si>
    <t>Rhodoferax sp. TH121</t>
  </si>
  <si>
    <t>Bacteria;Pseudomonadota;Alphaproteobacteria;Rhodospirillales;Thalassobaculaceae;Thalassobaculum;Thalassobaculum sp.;</t>
  </si>
  <si>
    <t>Thalassobaculaceae</t>
  </si>
  <si>
    <t>Thalassobaculum</t>
  </si>
  <si>
    <t>Thalassobaculum sp.</t>
  </si>
  <si>
    <t>Bacteria;Bacillota;Clostridia;Peptostreptococcales;Peptostreptococcaceae;Romboutsia;Romboutsia weinsteinii;</t>
  </si>
  <si>
    <t>Romboutsia weinsteinii</t>
  </si>
  <si>
    <t>Bacteria;Bacillota;Clostridia;Peptostreptococcales;Peptostreptococcaceae;Romboutsia;Romboutsia maritimum;</t>
  </si>
  <si>
    <t>Romboutsia maritimum</t>
  </si>
  <si>
    <t>Bacteria;Pseudomonadota;Alphaproteobacteria;Hyphomicrobiales;Boseaceae;Bosea;Bosea sp. ANAM02;</t>
  </si>
  <si>
    <t>Bosea sp. ANAM02</t>
  </si>
  <si>
    <t>Bacteria;Bacillota;Clostridia;Eubacteriales;Desulfitobacteriaceae;Desulfosporosinus;Desulfosporosinus fructosivorans;</t>
  </si>
  <si>
    <t>Desulfosporosinus fructosivorans</t>
  </si>
  <si>
    <t>Bacteria;Bacillota;Clostridia;Peptostreptococcales;Thermotaleaceae;Marinisporobacter;Marinisporobacter balticus;</t>
  </si>
  <si>
    <t>Thermotaleaceae</t>
  </si>
  <si>
    <t>Marinisporobacter</t>
  </si>
  <si>
    <t>Marinisporobacter balticus</t>
  </si>
  <si>
    <t>Bacteria;Pseudomonadota;Alphaproteobacteria;Sphingomonadales;Sphingomonadaceae;Novosphingobium;Novosphingobium sp. PASSN1;</t>
  </si>
  <si>
    <t>Novosphingobium sp. PASSN1</t>
  </si>
  <si>
    <t>Bacteria;Pseudomonadota;Alphaproteobacteria;Hyphomicrobiales;Boseaceae;Bosea;Bosea sp. AS-1;</t>
  </si>
  <si>
    <t>Bosea sp. AS-1</t>
  </si>
  <si>
    <t>Bacteria;Bacteroidota;Flavobacteriia;Flavobacteriales;Weeksellaceae;Chryseobacterium;Chryseobacterium sp. T16E-39;</t>
  </si>
  <si>
    <t>Chryseobacterium sp. T16E-39</t>
  </si>
  <si>
    <t>Bacteria;Pseudomonadota;Betaproteobacteria;Burkholderiales;Oxalobacteraceae;Herbaspirillum;Herbaspirillum robiniae;</t>
  </si>
  <si>
    <t>Herbaspirillum robiniae</t>
  </si>
  <si>
    <t>Bacteria;Bacillota;Bacilli;Bacillales;Bacillaceae;Bacillus;Bacillus sp. K2I17;</t>
  </si>
  <si>
    <t>Bacillus sp. K2I17</t>
  </si>
  <si>
    <t>Bacteria;Bacillota;Bacilli;Bacillales;Bacillaceae;Bacillus;Bacillus xiapuensis;</t>
  </si>
  <si>
    <t>Bacillus xiapuensis</t>
  </si>
  <si>
    <t>Bacteria;Pseudomonadota;Alphaproteobacteria;Acetobacterales;Roseomonadaceae;Siccirubricoccus;Siccirubricoccus deserti;</t>
  </si>
  <si>
    <t>Siccirubricoccus deserti</t>
  </si>
  <si>
    <t>Bacteria;Pseudomonadota;Betaproteobacteria;Burkholderiales;Oxalobacteraceae;Janthinobacterium;Janthinobacterium sp. PC23-8;</t>
  </si>
  <si>
    <t>Janthinobacterium sp. PC23-8</t>
  </si>
  <si>
    <t>Bacteria;Pseudomonadota;Alphaproteobacteria;Sphingomonadales;Sphingomonadaceae;Sphingopyxis;Sphingopyxis sp. GW247-27LB;</t>
  </si>
  <si>
    <t>Sphingopyxis sp. GW247-27LB</t>
  </si>
  <si>
    <t>Bacteria;Pseudomonadota;Alphaproteobacteria;Sphingomonadales;Erythrobacteraceae;Erythrobacter;Erythrobacter sp. KY5;</t>
  </si>
  <si>
    <t>Erythrobacter sp. KY5</t>
  </si>
  <si>
    <t>Bacteria;Pseudomonadota;Gammaproteobacteria;Pseudomonadales;Pseudomonadaceae;Pseudomonas;Pseudomonas laurylsulfatiphila;</t>
  </si>
  <si>
    <t>Pseudomonas laurylsulfatiphila</t>
  </si>
  <si>
    <t>Bacteria;Pseudomonadota;Alphaproteobacteria;Caulobacterales;Caulobacteraceae;Caulobacter;Caulobacter rhizosphaerae;</t>
  </si>
  <si>
    <t>Caulobacter rhizosphaerae</t>
  </si>
  <si>
    <t>Bacteria;Pseudomonadota;Gammaproteobacteria;Pseudomonadales;Pseudomonadaceae;Pseudomonas;Pseudomonas sp. Irchel 3F3;</t>
  </si>
  <si>
    <t>Pseudomonas sp. Irchel 3F3</t>
  </si>
  <si>
    <t>Bacteria;Pseudomonadota;Betaproteobacteria;Burkholderiales;Alcaligenaceae;Pigmentiphaga;Pigmentiphaga sp. NML080357;</t>
  </si>
  <si>
    <t>Pigmentiphaga sp. NML080357</t>
  </si>
  <si>
    <t>Bacteria;Bacillota;Bacilli;Lactobacillales;Lactobacillaceae;Apilactobacillus;Apilactobacillus timberlakei;</t>
  </si>
  <si>
    <t>Lactobacillaceae</t>
  </si>
  <si>
    <t>Apilactobacillus</t>
  </si>
  <si>
    <t>Apilactobacillus timberlakei</t>
  </si>
  <si>
    <t>Bacteria;Pseudomonadota;Alphaproteobacteria;Sphingomonadales;Sphingomonadaceae;Sphingobium;Sphingobium algorifonticola;</t>
  </si>
  <si>
    <t>Sphingobium algorifonticola</t>
  </si>
  <si>
    <t>Bacteria;Pseudomonadota;Alphaproteobacteria;Rhodobacterales;Paracoccaceae;Paracoccus;Paracoccus litorisediminis;</t>
  </si>
  <si>
    <t>Paracoccus litorisediminis</t>
  </si>
  <si>
    <t>Bacteria;Pseudomonadota;Betaproteobacteria;Burkholderiales;Comamonadaceae;Tibeticola;Tibeticola sp.;</t>
  </si>
  <si>
    <t>Tibeticola</t>
  </si>
  <si>
    <t>Tibeticola sp.</t>
  </si>
  <si>
    <t>Bacteria;Bacillota;Clostridia;Lachnospirales;Lachnospiraceae;Faecalimonas;uncultured Faecalimonas sp.;</t>
  </si>
  <si>
    <t>Faecalimonas</t>
  </si>
  <si>
    <t>uncultured Faecalimonas sp.</t>
  </si>
  <si>
    <t>Bacteria;Pseudomonadota;Alphaproteobacteria;Rhodobacterales;Paracoccaceae;Tabrizicola;Tabrizicola sp.;</t>
  </si>
  <si>
    <t>Tabrizicola sp.</t>
  </si>
  <si>
    <t>Bacteria;Bacteroidota;Sphingobacteriia;Sphingobacteriales;Sphingobacteriaceae;Mucilaginibacter;Mucilaginibacter galii;</t>
  </si>
  <si>
    <t>Mucilaginibacter galii</t>
  </si>
  <si>
    <t>Bacteria;Pseudomonadota;Betaproteobacteria;Burkholderiales;Comamonadaceae;Acidovorax;Acidovorax kalamii;</t>
  </si>
  <si>
    <t>Acidovorax kalamii</t>
  </si>
  <si>
    <t>Bacteria;Bacillota;Clostridia;Eubacteriales;Clostridiaceae;Clostridium;Clostridium sp. BSD9I1;</t>
  </si>
  <si>
    <t>Clostridium sp. BSD9I1</t>
  </si>
  <si>
    <t>Bacteria;Pseudomonadota;Gammaproteobacteria;Moraxellales;Moraxellaceae;Fluviicoccus;Fluviicoccus sp.;</t>
  </si>
  <si>
    <t>Fluviicoccus</t>
  </si>
  <si>
    <t>Fluviicoccus sp.</t>
  </si>
  <si>
    <t>Bacteria;Pseudomonadota;Betaproteobacteria;Burkholderiales;Burkholderiaceae;Limnobacter;Limnobacter sp.;</t>
  </si>
  <si>
    <t>Limnobacter</t>
  </si>
  <si>
    <t>Limnobacter sp.</t>
  </si>
  <si>
    <t>Bacteria;Pseudomonadota;Betaproteobacteria;Burkholderiales;NA;Tepidimonas;Tepidimonas sp.;</t>
  </si>
  <si>
    <t>Tepidimonas sp.</t>
  </si>
  <si>
    <t>Bacteria;Pseudomonadota;Betaproteobacteria;Burkholderiales;Comamonadaceae;Pseudorhodoferax;Pseudorhodoferax sp.;</t>
  </si>
  <si>
    <t>Pseudorhodoferax</t>
  </si>
  <si>
    <t>Pseudorhodoferax sp.</t>
  </si>
  <si>
    <t>Bacteria;Actinomycetota;Actinomycetes;Micrococcales;Microbacteriaceae;Aurantimicrobium;Aurantimicrobium photophilum;</t>
  </si>
  <si>
    <t>Aurantimicrobium</t>
  </si>
  <si>
    <t>Aurantimicrobium photophilum</t>
  </si>
  <si>
    <t>Bacteria;Pseudomonadota;Gammaproteobacteria;Pseudomonadales;Pseudomonadaceae;Pseudomonas;Pseudomonas sp. PE-S1G-1;</t>
  </si>
  <si>
    <t>Pseudomonas sp. PE-S1G-1</t>
  </si>
  <si>
    <t>Bacteria;Pseudomonadota;Gammaproteobacteria;Pseudomonadales;Pseudomonadaceae;Azotobacter;Azotobacter bryophylli;</t>
  </si>
  <si>
    <t>Azotobacter</t>
  </si>
  <si>
    <t>Azotobacter bryophylli</t>
  </si>
  <si>
    <t>Bacteria;Pseudomonadota;Alphaproteobacteria;Sphingomonadales;Sphingomonadaceae;Sphingomonas;Sphingomonas sp. ABOLG;</t>
  </si>
  <si>
    <t>Sphingomonas sp. ABOLG</t>
  </si>
  <si>
    <t>Bacteria;Pseudomonadota;Alphaproteobacteria;Rhodobacterales;NA;Rhodobacter;Rhodobacter ruber;</t>
  </si>
  <si>
    <t>Rhodobacter ruber</t>
  </si>
  <si>
    <t>Bacteria;Pseudomonadota;Gammaproteobacteria;Pseudomonadales;Pseudomonadaceae;Pseudomonas;Pseudomonas sp. HAR-UPW-AIA-41;</t>
  </si>
  <si>
    <t>Pseudomonas sp. HAR-UPW-AIA-41</t>
  </si>
  <si>
    <t>Bacteria;Pseudomonadota;Betaproteobacteria;Burkholderiales;Comamonadaceae;Hydrogenophaga;Hydrogenophaga sp. IBVHS2;</t>
  </si>
  <si>
    <t>Hydrogenophaga sp. IBVHS2</t>
  </si>
  <si>
    <t>Bacteria;Pseudomonadota;Betaproteobacteria;Burkholderiales;Comamonadaceae;Hydrogenophaga;Hydrogenophaga sp. IBVHS1;</t>
  </si>
  <si>
    <t>Hydrogenophaga sp. IBVHS1</t>
  </si>
  <si>
    <t>Bacteria;Pseudomonadota;Gammaproteobacteria;Aeromonadales;Aeromonadaceae;Aeromonas;Aeromonas sp. A35_P;</t>
  </si>
  <si>
    <t>Aeromonas sp. A35_P</t>
  </si>
  <si>
    <t>Bacteria;Pseudomonadota;Alphaproteobacteria;Sphingomonadales;Sphingomonadaceae;Sphingobium;Sphingobium sp. LB126;</t>
  </si>
  <si>
    <t>Sphingobium sp. LB126</t>
  </si>
  <si>
    <t>Bacteria;Bacillota;Bacilli;Bacillales;Bacillaceae;Bacillus;Bacillus sp. P14.5;</t>
  </si>
  <si>
    <t>Bacillus sp. P14.5</t>
  </si>
  <si>
    <t>Bacteria;Cyanobacteriota;Cyanophyceae;Spirulinales;Lusitaniellaceae;Lusitaniella;Lusitaniella coriacea;</t>
  </si>
  <si>
    <t>Spirulinales</t>
  </si>
  <si>
    <t>Lusitaniellaceae</t>
  </si>
  <si>
    <t>Lusitaniella</t>
  </si>
  <si>
    <t>Lusitaniella coriacea</t>
  </si>
  <si>
    <t>Bacteria;Bacillota;Erysipelotrichia;Erysipelotrichales;Coprobacillaceae;Faecalibacillus;Faecalibacillus intestinalis;</t>
  </si>
  <si>
    <t>Coprobacillaceae</t>
  </si>
  <si>
    <t>Faecalibacillus</t>
  </si>
  <si>
    <t>Faecalibacillus intestinalis</t>
  </si>
  <si>
    <t>Bacteria;Pseudomonadota;Gammaproteobacteria;Oceanospirillales;Oceanospirillaceae;Marinospirillum;Marinospirillum perlucidum;</t>
  </si>
  <si>
    <t>Marinospirillum</t>
  </si>
  <si>
    <t>Marinospirillum perlucidum</t>
  </si>
  <si>
    <t>Bacteria;Actinomycetota;Actinomycetes;Jiangellales;Jiangellaceae;Phytoactinopolyspora;Phytoactinopolyspora halotolerans;</t>
  </si>
  <si>
    <t>Phytoactinopolyspora halotolerans</t>
  </si>
  <si>
    <t>Bacteria;Actinomycetota;Actinomycetes;Jiangellales;Jiangellaceae;Phytoactinopolyspora;Phytoactinopolyspora halophila;</t>
  </si>
  <si>
    <t>Phytoactinopolyspora halophila</t>
  </si>
  <si>
    <t>Bacteria;Pseudomonadota;Alphaproteobacteria;Rhodospirillales;Azospirillaceae;Niveispirillum;Niveispirillum lacus;</t>
  </si>
  <si>
    <t>Niveispirillum</t>
  </si>
  <si>
    <t>Niveispirillum lacus</t>
  </si>
  <si>
    <t>Bacteria;Bacteroidota;Flavobacteriia;Flavobacteriales;Flavobacteriaceae;Flavobacterium;Flavobacterium sp. MDT1-60;</t>
  </si>
  <si>
    <t>Flavobacterium sp. MDT1-60</t>
  </si>
  <si>
    <t>Bacteria;Pseudomonadota;Alphaproteobacteria;Sphingomonadales;Sphingomonadaceae;Sphingomonas;Sphingomonas crocodyli;</t>
  </si>
  <si>
    <t>Sphingomonas crocodyli</t>
  </si>
  <si>
    <t>Bacteria;Pseudomonadota;Alphaproteobacteria;Acetobacterales;Roseomonadaceae;Rhodovarius;Rhodovarius crocodyli;</t>
  </si>
  <si>
    <t>Rhodovarius crocodyli</t>
  </si>
  <si>
    <t>Bacteria;Bacteroidota;Chitinophagia;Chitinophagales;Chitinophagaceae;Sediminibacterium;Sediminibacterium roseum;</t>
  </si>
  <si>
    <t>Sediminibacterium</t>
  </si>
  <si>
    <t>Sediminibacterium roseum</t>
  </si>
  <si>
    <t>Bacteria;Actinomycetota;Actinomycetes;Micrococcales;Microbacteriaceae;Leifsonia;Leifsonia sp. NCR5;</t>
  </si>
  <si>
    <t>Leifsonia sp. NCR5</t>
  </si>
  <si>
    <t>Bacteria;Pseudomonadota;Betaproteobacteria;Burkholderiales;Comamonadaceae;Limnohabitans;Limnohabitans sp. 2KL-51;</t>
  </si>
  <si>
    <t>Limnohabitans sp. 2KL-51</t>
  </si>
  <si>
    <t>Bacteria;Pseudomonadota;Betaproteobacteria;Burkholderiales;Comamonadaceae;Limnohabitans;Limnohabitans sp. Bal53;</t>
  </si>
  <si>
    <t>Limnohabitans sp. Bal53</t>
  </si>
  <si>
    <t>Bacteria;Pseudomonadota;Betaproteobacteria;Burkholderiales;Comamonadaceae;Limnohabitans;Limnohabitans sp. Jir72;</t>
  </si>
  <si>
    <t>Limnohabitans sp. Jir72</t>
  </si>
  <si>
    <t>Bacteria;Pseudomonadota;Betaproteobacteria;Burkholderiales;Alcaligenaceae;Pigmentiphaga;Pigmentiphaga sp.;</t>
  </si>
  <si>
    <t>Pigmentiphaga sp.</t>
  </si>
  <si>
    <t>Bacteria;Pseudomonadota;Alphaproteobacteria;Rhodospirillales;Dongiaceae;Dongia;Dongia sp.;</t>
  </si>
  <si>
    <t>Dongia sp.</t>
  </si>
  <si>
    <t>Bacteria;Bacteroidota;Flavobacteriia;Flavobacteriales;Flavobacteriaceae;Flavobacterium;Flavobacterium sp. ACN2;</t>
  </si>
  <si>
    <t>Flavobacterium sp. ACN2</t>
  </si>
  <si>
    <t>Bacteria;Balneolota;Balneolia;Balneolales;Balneolaceae;Gracilimonas;Gracilimonas sp.;</t>
  </si>
  <si>
    <t>Balneolota</t>
  </si>
  <si>
    <t>Balneolia</t>
  </si>
  <si>
    <t>Balneolales</t>
  </si>
  <si>
    <t>Balneolaceae</t>
  </si>
  <si>
    <t>Gracilimonas</t>
  </si>
  <si>
    <t>Gracilimonas sp.</t>
  </si>
  <si>
    <t>Bacteria;Pseudomonadota;Alphaproteobacteria;Hyphomicrobiales;Rhizobiaceae;Agrobacterium;Agrobacterium rosae;</t>
  </si>
  <si>
    <t>Agrobacterium rosae</t>
  </si>
  <si>
    <t>Bacteria;Pseudomonadota;Gammaproteobacteria;Enterobacterales;Enterobacteriaceae;Phytobacter;Phytobacter ursingii;</t>
  </si>
  <si>
    <t>Phytobacter ursingii</t>
  </si>
  <si>
    <t>Bacteria;Pseudomonadota;Alphaproteobacteria;Hyphomicrobiales;Boseaceae;Bosea;Bosea sp. Tri-44;</t>
  </si>
  <si>
    <t>Bosea sp. Tri-44</t>
  </si>
  <si>
    <t>Bacteria;Pseudomonadota;Betaproteobacteria;Burkholderiales;Sphaerotilaceae;Roseateles;Roseateles sp.;</t>
  </si>
  <si>
    <t>Roseateles sp.</t>
  </si>
  <si>
    <t>Bacteria;Pseudomonadota;Betaproteobacteria;Burkholderiales;Burkholderiaceae;Polynucleobacter;Polynucleobacter sp. 39-46-10;</t>
  </si>
  <si>
    <t>Polynucleobacter sp. 39-46-10</t>
  </si>
  <si>
    <t>Bacteria;Pseudomonadota;Alphaproteobacteria;Sphingomonadales;Sphingomonadaceae;Novosphingobium;Novosphingobium sp. 17-62-19;</t>
  </si>
  <si>
    <t>Novosphingobium sp. 17-62-19</t>
  </si>
  <si>
    <t>Bacteria;Bacillota;Clostridia;Eubacteriales;Clostridiaceae;Clostridium;Clostridium sp. 001;</t>
  </si>
  <si>
    <t>Clostridium sp. 001</t>
  </si>
  <si>
    <t>Bacteria;Bacillota;Clostridia;Eubacteriales;Desulfitobacteriaceae;Desulfosporosinus;Desulfosporosinus sp. FKA;</t>
  </si>
  <si>
    <t>Desulfosporosinus sp. FKA</t>
  </si>
  <si>
    <t>Bacteria;Campylobacterota;Epsilonproteobacteria;Campylobacterales;Sulfurovaceae;Sulfurovum;Sulfurovum sp.;</t>
  </si>
  <si>
    <t>Sulfurovaceae</t>
  </si>
  <si>
    <t>Sulfurovum</t>
  </si>
  <si>
    <t>Sulfurovum sp.</t>
  </si>
  <si>
    <t>Bacteria;Actinomycetota;Actinomycetes;Micrococcales;Microbacteriaceae;Rhodoluna;Rhodoluna sp.;</t>
  </si>
  <si>
    <t>Rhodoluna</t>
  </si>
  <si>
    <t>Rhodoluna sp.</t>
  </si>
  <si>
    <t>Bacteria;Pseudomonadota;Alphaproteobacteria;Sphingomonadales;Sphingomonadaceae;Rhizorhabdus;Rhizorhabdus sp.;</t>
  </si>
  <si>
    <t>Rhizorhabdus sp.</t>
  </si>
  <si>
    <t>Bacteria;Bacillota;Clostridia;Eubacteriales;Oscillospiraceae;Pseudobacteroides;Pseudobacteroides sp.;</t>
  </si>
  <si>
    <t>Pseudobacteroides</t>
  </si>
  <si>
    <t>Pseudobacteroides sp.</t>
  </si>
  <si>
    <t>Bacteria;Bacteroidota;Chitinophagia;Chitinophagales;Chitinophagaceae;Thermoflavifilum;Thermoflavifilum sp.;</t>
  </si>
  <si>
    <t>Thermoflavifilum</t>
  </si>
  <si>
    <t>Thermoflavifilum sp.</t>
  </si>
  <si>
    <t>Bacteria;Pseudomonadota;Alphaproteobacteria;Hyphomicrobiales;Rhizobiaceae;Shinella;Shinella sumterensis;</t>
  </si>
  <si>
    <t>Shinella sumterensis</t>
  </si>
  <si>
    <t>Bacteria;Actinomycetota;Acidimicrobiia;Acidimicrobiales;Ilumatobacteraceae;Ilumatobacter;Ilumatobacter sp.;</t>
  </si>
  <si>
    <t>Ilumatobacteraceae</t>
  </si>
  <si>
    <t>Ilumatobacter</t>
  </si>
  <si>
    <t>Ilumatobacter sp.</t>
  </si>
  <si>
    <t>Bacteria;Pseudomonadota;Alphaproteobacteria;Hyphomicrobiales;Phreatobacteraceae;Phreatobacter;Phreatobacter sp.;</t>
  </si>
  <si>
    <t>Phreatobacter sp.</t>
  </si>
  <si>
    <t>Bacteria;Bacillota;Clostridia;Eubacteriales;Acutalibacteraceae;Anaeromassilibacillus;Anaeromassilibacillus sp. An200;</t>
  </si>
  <si>
    <t>Anaeromassilibacillus</t>
  </si>
  <si>
    <t>Anaeromassilibacillus sp. An200</t>
  </si>
  <si>
    <t>Bacteria;Bacillota;Clostridia;Eubacteriales;Eubacteriaceae;Eubacterium;Eubacterium sp. An11;</t>
  </si>
  <si>
    <t>Eubacterium sp. An11</t>
  </si>
  <si>
    <t>Bacteria;Verrucomicrobiota;Verrucomicrobiia;Verrucomicrobiales;Verrucomicrobiaceae;Prosthecobacter;Prosthecobacter sp.;</t>
  </si>
  <si>
    <t>Prosthecobacter</t>
  </si>
  <si>
    <t>Prosthecobacter sp.</t>
  </si>
  <si>
    <t>Bacteria;Pseudomonadota;Gammaproteobacteria;Cellvibrionales;Cellvibrionaceae;Cellvibrio;Cellvibrio sp.;</t>
  </si>
  <si>
    <t>Cellvibrio</t>
  </si>
  <si>
    <t>Cellvibrio sp.</t>
  </si>
  <si>
    <t>Bacteria;Bacillota;Clostridia;Peptostreptococcales;Peptostreptococcaceae;Terrisporobacter;Terrisporobacter sp.;</t>
  </si>
  <si>
    <t>Terrisporobacter</t>
  </si>
  <si>
    <t>Terrisporobacter sp.</t>
  </si>
  <si>
    <t>Bacteria;Bacillota;Clostridia;Peptostreptococcales;Peptostreptococcaceae;Intestinibacter;Intestinibacter sp.;</t>
  </si>
  <si>
    <t>Intestinibacter</t>
  </si>
  <si>
    <t>Intestinibacter sp.</t>
  </si>
  <si>
    <t>Bacteria;Bacillota;Clostridia;Peptostreptococcales;Peptostreptococcaceae;Romboutsia;Romboutsia sp.;</t>
  </si>
  <si>
    <t>Romboutsia sp.</t>
  </si>
  <si>
    <t>Bacteria;Pseudomonadota;Betaproteobacteria;Burkholderiales;Saeziaceae;Saezia;Saezia sanguinis;</t>
  </si>
  <si>
    <t>Saeziaceae</t>
  </si>
  <si>
    <t>Saezia</t>
  </si>
  <si>
    <t>Saezia sanguinis</t>
  </si>
  <si>
    <t>Bacteria;Bacillota;Clostridia;Eubacteriales;Clostridiaceae;Hathewaya;Hathewaya massiliensis;</t>
  </si>
  <si>
    <t>Hathewaya</t>
  </si>
  <si>
    <t>Hathewaya massiliensis</t>
  </si>
  <si>
    <t>Bacteria;Pseudomonadota;Alphaproteobacteria;Geminicoccales;Geminicoccaceae;Arboricoccus;Arboricoccus pini;</t>
  </si>
  <si>
    <t>Arboricoccus</t>
  </si>
  <si>
    <t>Arboricoccus pini</t>
  </si>
  <si>
    <t>Bacteria;Pseudomonadota;Gammaproteobacteria;Steroidobacterales;Steroidobacteraceae;Povalibacter;Povalibacter sp.;</t>
  </si>
  <si>
    <t>Povalibacter</t>
  </si>
  <si>
    <t>Povalibacter sp.</t>
  </si>
  <si>
    <t>Bacteria;Pseudomonadota;Alphaproteobacteria;Hyphomicrobiales;Rhodoblastaceae;Rhodoblastus;Rhodoblastus sp.;</t>
  </si>
  <si>
    <t>Rhodoblastus sp.</t>
  </si>
  <si>
    <t>Bacteria;Verrucomicrobiota;Verrucomicrobiia;Verrucomicrobiales;Verrucomicrobiaceae;Luteolibacter;Luteolibacter sp.;</t>
  </si>
  <si>
    <t>Luteolibacter sp.</t>
  </si>
  <si>
    <t>Bacteria;Pseudomonadota;Betaproteobacteria;Burkholderiales;Comamonadaceae;Acidovorax;Acidovorax sp. SRB_24;</t>
  </si>
  <si>
    <t>Acidovorax sp. SRB_24</t>
  </si>
  <si>
    <t>Bacteria;Pseudomonadota;Alphaproteobacteria;Sphingomonadales;Sphingomonadaceae;Novosphingobium;Novosphingobium sp. PC22D;</t>
  </si>
  <si>
    <t>Novosphingobium sp. PC22D</t>
  </si>
  <si>
    <t>Bacteria;Bacillota;Clostridia;Eubacteriales;Clostridiaceae;Clostridium;Clostridium tepidum;</t>
  </si>
  <si>
    <t>Clostridium tepidum</t>
  </si>
  <si>
    <t>Bacteria;Pseudomonadota;Betaproteobacteria;Burkholderiales;Sphaerotilaceae;Ideonella;Ideonella sp. A 288;</t>
  </si>
  <si>
    <t>Ideonella sp. A 288</t>
  </si>
  <si>
    <t>Bacteria;Actinomycetota;Actinomycetes;Kineosporiales;Kineosporiaceae;Kineosporia;Kineosporia sp. A_224;</t>
  </si>
  <si>
    <t>Kineosporia</t>
  </si>
  <si>
    <t>Kineosporia sp. A_224</t>
  </si>
  <si>
    <t>Bacteria;Actinomycetota;Actinomycetes;Mycobacteriales;Mycobacteriaceae;Mycobacterium;Mycobacterium sp. AT1;</t>
  </si>
  <si>
    <t>Mycobacterium sp. AT1</t>
  </si>
  <si>
    <t>Bacteria;Bacteroidota;Bacteroidia;Marinilabiliales;Prolixibacteraceae;Mangrovibacterium;Mangrovibacterium sp.;</t>
  </si>
  <si>
    <t>Prolixibacteraceae</t>
  </si>
  <si>
    <t>Mangrovibacterium</t>
  </si>
  <si>
    <t>Mangrovibacterium sp.</t>
  </si>
  <si>
    <t>Bacteria;Bacteroidota;Cytophagia;Cytophagales;Spirosomataceae;Runella;Runella sp.;</t>
  </si>
  <si>
    <t>Runella sp.</t>
  </si>
  <si>
    <t>Bacteria;Actinomycetota;Actinomycetes;Geodermatophilales;Geodermatophilaceae;Klenkia;Klenkia marina;</t>
  </si>
  <si>
    <t>Klenkia</t>
  </si>
  <si>
    <t>Klenkia marina</t>
  </si>
  <si>
    <t>Bacteria;Bacillota;Negativicutes;Selenomonadales;Sporomusaceae;Anaerospora;Anaerospora sp.;</t>
  </si>
  <si>
    <t>Anaerospora</t>
  </si>
  <si>
    <t>Anaerospora sp.</t>
  </si>
  <si>
    <t>Bacteria;Abditibacteriota;Abditibacteriia;Abditibacteriales;Abditibacteriaceae;Abditibacterium;Abditibacterium utsteinense;</t>
  </si>
  <si>
    <t>Abditibacteriota</t>
  </si>
  <si>
    <t>Abditibacteriia</t>
  </si>
  <si>
    <t>Abditibacteriales</t>
  </si>
  <si>
    <t>Abditibacteriaceae</t>
  </si>
  <si>
    <t>Abditibacterium</t>
  </si>
  <si>
    <t>Abditibacterium utsteinense</t>
  </si>
  <si>
    <t>Bacteria;Bacillota;Clostridia;Eubacteriales;Clostridiaceae;Clostridium;Clostridium merdae;</t>
  </si>
  <si>
    <t>Clostridium merdae</t>
  </si>
  <si>
    <t>Bacteria;Bacillota;Negativicutes;Veillonellales;Veillonellaceae;Dialister;Dialister sp.;</t>
  </si>
  <si>
    <t>Veillonellales</t>
  </si>
  <si>
    <t>Veillonellaceae</t>
  </si>
  <si>
    <t>Dialister</t>
  </si>
  <si>
    <t>Dialister sp.</t>
  </si>
  <si>
    <t>Bacteria;Actinomycetota;Actinomycetes;Propionibacteriales;Nocardioidaceae;Propionicimonas;Propionicimonas sp.;</t>
  </si>
  <si>
    <t>Propionicimonas sp.</t>
  </si>
  <si>
    <t>Bacteria;Pseudomonadota;Alphaproteobacteria;Sphingomonadales;Sphingomonadaceae;Novosphingobium;Novosphingobium endophyticum;</t>
  </si>
  <si>
    <t>Novosphingobium endophyticum</t>
  </si>
  <si>
    <t>Bacteria;Bacteroidota;Sphingobacteriia;Sphingobacteriales;Sphingobacteriaceae;Mucilaginibacter;Mucilaginibacter terrae;</t>
  </si>
  <si>
    <t>Mucilaginibacter terrae</t>
  </si>
  <si>
    <t>Bacteria;Bacteroidota;Bacteroidia;Marinilabiliales;Prolixibacteraceae;Mariniphaga;Mariniphaga sp.;</t>
  </si>
  <si>
    <t>Mariniphaga</t>
  </si>
  <si>
    <t>Mariniphaga sp.</t>
  </si>
  <si>
    <t>Bacteria;Cyanobacteriota;Cyanophyceae;Nostocales;Calotrichaceae;Calothrix;Calothrix sp. NIES-2098;</t>
  </si>
  <si>
    <t>Calothrix sp. NIES-2098</t>
  </si>
  <si>
    <t>Bacteria;Pseudomonadota;Alphaproteobacteria;Hyphomicrobiales;Phreatobacteraceae;Candidatus Raskinella;Candidatus Raskinella chloraquaticus;</t>
  </si>
  <si>
    <t>Candidatus Raskinella</t>
  </si>
  <si>
    <t>Candidatus Raskinella chloraquaticus</t>
  </si>
  <si>
    <t>Bacteria;Bacteroidota;Sphingobacteriia;Sphingobacteriales;Sphingobacteriaceae;Sphingobacterium;Sphingobacterium sp. UBA6320;</t>
  </si>
  <si>
    <t>Sphingobacterium sp. UBA6320</t>
  </si>
  <si>
    <t>Bacteria;Bacteroidota;Sphingobacteriia;Sphingobacteriales;Sphingobacteriaceae;Sphingobacterium;Sphingobacterium sp. UBA5996;</t>
  </si>
  <si>
    <t>Sphingobacterium sp. UBA5996</t>
  </si>
  <si>
    <t>Bacteria;Bacteroidota;Sphingobacteriia;Sphingobacteriales;Sphingobacteriaceae;Sphingobacterium;Sphingobacterium sp. UBA2074;</t>
  </si>
  <si>
    <t>Sphingobacterium sp. UBA2074</t>
  </si>
  <si>
    <t>Bacteria;Pseudomonadota;Gammaproteobacteria;Pseudomonadales;Pseudomonadaceae;Pseudomonas;Pseudomonas sp. UBA6562;</t>
  </si>
  <si>
    <t>Pseudomonas sp. UBA6562</t>
  </si>
  <si>
    <t>Bacteria;Pseudomonadota;Gammaproteobacteria;Pseudomonadales;Pseudomonadaceae;Pseudomonas;Pseudomonas sp. UBA2684;</t>
  </si>
  <si>
    <t>Pseudomonas sp. UBA2684</t>
  </si>
  <si>
    <t>Bacteria;Pseudomonadota;Betaproteobacteria;Burkholderiales;Comamonadaceae;Polaromonas;Polaromonas sp. UBA4122;</t>
  </si>
  <si>
    <t>Polaromonas sp. UBA4122</t>
  </si>
  <si>
    <t>Bacteria;Bacteroidota;Sphingobacteriia;Sphingobacteriales;Sphingobacteriaceae;Pedobacter;Pedobacter sp. UBA5917;</t>
  </si>
  <si>
    <t>Pedobacter sp. UBA5917</t>
  </si>
  <si>
    <t>Bacteria;Bacteroidota;Sphingobacteriia;Sphingobacteriales;Sphingobacteriaceae;Pedobacter;Pedobacter sp. UBA4863;</t>
  </si>
  <si>
    <t>Pedobacter sp. UBA4863</t>
  </si>
  <si>
    <t>Bacteria;Actinomycetota;Actinomycetes;Micrococcales;Microbacteriaceae;Microbacterium;Microbacterium sp. UBA3394;</t>
  </si>
  <si>
    <t>Microbacterium sp. UBA3394</t>
  </si>
  <si>
    <t>Bacteria;Bacteroidota;Flavobacteriia;Flavobacteriales;Flavobacteriaceae;Flavobacterium;Flavobacterium sp. UBA7680;</t>
  </si>
  <si>
    <t>Flavobacterium sp. UBA7680</t>
  </si>
  <si>
    <t>Bacteria;Bacteroidota;Flavobacteriia;Flavobacteriales;Flavobacteriaceae;Flavobacterium;Flavobacterium sp. UBA6195;</t>
  </si>
  <si>
    <t>Flavobacterium sp. UBA6195</t>
  </si>
  <si>
    <t>Bacteria;Bacteroidota;Flavobacteriia;Flavobacteriales;Flavobacteriaceae;Flavobacterium;Flavobacterium sp. UBA4854;</t>
  </si>
  <si>
    <t>Flavobacterium sp. UBA4854</t>
  </si>
  <si>
    <t>Bacteria;Bacteroidota;Flavobacteriia;Flavobacteriales;Flavobacteriaceae;Flavobacterium;Flavobacterium sp. UBA4197;</t>
  </si>
  <si>
    <t>Flavobacterium sp. UBA4197</t>
  </si>
  <si>
    <t>Bacteria;Bacillota;Bacilli;Bacillales;NA;Exiguobacterium;Exiguobacterium sp. UBA5002;</t>
  </si>
  <si>
    <t>Exiguobacterium sp. UBA5002</t>
  </si>
  <si>
    <t>Bacteria;Pseudomonadota;Betaproteobacteria;Burkholderiales;Burkholderiaceae;Cupriavidus;Cupriavidus sp. UBA2534;</t>
  </si>
  <si>
    <t>Cupriavidus sp. UBA2534</t>
  </si>
  <si>
    <t>Bacteria;Pseudomonadota;Betaproteobacteria;Burkholderiales;Comamonadaceae;Comamonas;Comamonas sp. UBA7528;</t>
  </si>
  <si>
    <t>Comamonas sp. UBA7528</t>
  </si>
  <si>
    <t>Bacteria;Bacillota;Clostridia;Eubacteriales;Clostridiaceae;Clostridium;Clostridium sp. UBA7791;</t>
  </si>
  <si>
    <t>Clostridium sp. UBA7791</t>
  </si>
  <si>
    <t>Bacteria;Bacillota;Clostridia;Eubacteriales;Clostridiaceae;Clostridium;Clostridium sp. UBA7503;</t>
  </si>
  <si>
    <t>Clostridium sp. UBA7503</t>
  </si>
  <si>
    <t>Bacteria;Bacillota;Clostridia;Eubacteriales;Clostridiaceae;Clostridium;Clostridium sp. UBA6640;</t>
  </si>
  <si>
    <t>Clostridium sp. UBA6640</t>
  </si>
  <si>
    <t>Bacteria;Bacillota;Clostridia;Eubacteriales;Clostridiaceae;Clostridium;Clostridium sp. UBA5988;</t>
  </si>
  <si>
    <t>Clostridium sp. UBA5988</t>
  </si>
  <si>
    <t>Bacteria;Bacillota;Clostridia;Eubacteriales;Clostridiaceae;Clostridium;Clostridium sp. UBA5712;</t>
  </si>
  <si>
    <t>Clostridium sp. UBA5712</t>
  </si>
  <si>
    <t>Bacteria;Bacillota;Clostridia;Eubacteriales;Clostridiaceae;Clostridium;Clostridium sp. UBA5119;</t>
  </si>
  <si>
    <t>Clostridium sp. UBA5119</t>
  </si>
  <si>
    <t>Bacteria;Bacillota;Clostridia;Eubacteriales;Clostridiaceae;Clostridium;Clostridium sp. UBA4548;</t>
  </si>
  <si>
    <t>Clostridium sp. UBA4548</t>
  </si>
  <si>
    <t>Bacteria;Bacillota;Clostridia;Eubacteriales;Clostridiaceae;Clostridium;Clostridium sp. UBA4395;</t>
  </si>
  <si>
    <t>Clostridium sp. UBA4395</t>
  </si>
  <si>
    <t>Bacteria;Bacillota;Clostridia;Eubacteriales;Clostridiaceae;Clostridium;Clostridium sp. UBA3061;</t>
  </si>
  <si>
    <t>Clostridium sp. UBA3061</t>
  </si>
  <si>
    <t>Bacteria;Bacillota;Clostridia;Eubacteriales;Clostridiaceae;Clostridium;Clostridium sp. UBA2485;</t>
  </si>
  <si>
    <t>Clostridium sp. UBA2485</t>
  </si>
  <si>
    <t>Bacteria;Bacillota;Clostridia;Eubacteriales;Clostridiaceae;Clostridium;Clostridium sp. UBA1652;</t>
  </si>
  <si>
    <t>Clostridium sp. UBA1652</t>
  </si>
  <si>
    <t>Bacteria;Bacillota;Clostridia;Eubacteriales;Clostridiaceae;Clostridium;Clostridium sp. UBA1353;</t>
  </si>
  <si>
    <t>Clostridium sp. UBA1353</t>
  </si>
  <si>
    <t>Bacteria;Pseudomonadota;Alphaproteobacteria;Caulobacterales;Caulobacteraceae;Brevundimonas;Brevundimonas sp. UBA7534;</t>
  </si>
  <si>
    <t>Brevundimonas sp. UBA7534</t>
  </si>
  <si>
    <t>Bacteria;Pseudomonadota;Alphaproteobacteria;Caulobacterales;Caulobacteraceae;Brevundimonas;Brevundimonas sp. UBA5936;</t>
  </si>
  <si>
    <t>Brevundimonas sp. UBA5936</t>
  </si>
  <si>
    <t>Bacteria;Pseudomonadota;Alphaproteobacteria;Caulobacterales;Caulobacteraceae;Brevundimonas;Brevundimonas sp. UBA2416;</t>
  </si>
  <si>
    <t>Brevundimonas sp. UBA2416</t>
  </si>
  <si>
    <t>Bacteria;Pseudomonadota;Betaproteobacteria;Burkholderiales;NA;Aquabacterium;Aquabacterium sp. UBA2148;</t>
  </si>
  <si>
    <t>Aquabacterium sp. UBA2148</t>
  </si>
  <si>
    <t>Bacteria;Pseudomonadota;Betaproteobacteria;Burkholderiales;Comamonadaceae;Hydrogenophaga;Hydrogenophaga sp. A37;</t>
  </si>
  <si>
    <t>Hydrogenophaga sp. A37</t>
  </si>
  <si>
    <t>Bacteria;Pseudomonadota;Betaproteobacteria;Burkholderiales;Comamonadaceae;Acidovorax;Acidovorax sp. NB1;</t>
  </si>
  <si>
    <t>Acidovorax sp. NB1</t>
  </si>
  <si>
    <t>Bacteria;Pseudomonadota;Betaproteobacteria;Burkholderiales;Alcaligenaceae;Pigmentiphaga;Pigmentiphaga aceris;</t>
  </si>
  <si>
    <t>Pigmentiphaga aceris</t>
  </si>
  <si>
    <t>Bacteria;Pseudomonadota;Alphaproteobacteria;Hyphomicrobiales;Phreatobacteraceae;Phreatobacter;Phreatobacter stygius;</t>
  </si>
  <si>
    <t>Phreatobacter stygius</t>
  </si>
  <si>
    <t>Bacteria;Pseudomonadota;Betaproteobacteria;Burkholderiales;Burkholderiaceae;Paraburkholderia;Paraburkholderia sp. BL21I4N1;</t>
  </si>
  <si>
    <t>Paraburkholderia sp. BL21I4N1</t>
  </si>
  <si>
    <t>Bacteria;Pseudomonadota;Alphaproteobacteria;Sphingomonadales;Sphingomonadaceae;Novosphingobium;Novosphingobium sp. B1;</t>
  </si>
  <si>
    <t>Novosphingobium sp. B1</t>
  </si>
  <si>
    <t>Bacteria;Pseudomonadota;Alphaproteobacteria;Caulobacterales;Caulobacteraceae;Brevundimonas;Brevundimonas sp. LM2;</t>
  </si>
  <si>
    <t>Brevundimonas sp. LM2</t>
  </si>
  <si>
    <t>Bacteria;Bacteroidota;Flavobacteriia;Flavobacteriales;Weeksellaceae;Soonwooa;Soonwooa sp.;</t>
  </si>
  <si>
    <t>Soonwooa</t>
  </si>
  <si>
    <t>Soonwooa sp.</t>
  </si>
  <si>
    <t>Bacteria;Bacteroidota;Sphingobacteriia;Sphingobacteriales;Sphingobacteriaceae;Pseudopedobacter;Pseudopedobacter sp.;</t>
  </si>
  <si>
    <t>Pseudopedobacter</t>
  </si>
  <si>
    <t>Pseudopedobacter sp.</t>
  </si>
  <si>
    <t>Bacteria;Actinomycetota;Actinomycetes;Mycobacteriales;Mycobacteriaceae;Mycobacterium;Mycobacterium sp. MS1601;</t>
  </si>
  <si>
    <t>Mycobacterium sp. MS1601</t>
  </si>
  <si>
    <t>Bacteria;Pseudomonadota;Betaproteobacteria;Neisseriales;Chitinibacteraceae;Chitinimonas;Chitinimonas sp.;</t>
  </si>
  <si>
    <t>Chitinimonas sp.</t>
  </si>
  <si>
    <t>Bacteria;Pseudomonadota;Betaproteobacteria;Burkholderiales;Comamonadaceae;Pseudacidovorax;Pseudacidovorax sp.;</t>
  </si>
  <si>
    <t>Pseudacidovorax sp.</t>
  </si>
  <si>
    <t>Bacteria;Pseudomonadota;Betaproteobacteria;Burkholderiales;Comamonadaceae;Diaphorobacter;Diaphorobacter sp.;</t>
  </si>
  <si>
    <t>Diaphorobacter sp.</t>
  </si>
  <si>
    <t>Bacteria;Actinomycetota;Actinomycetes;Micrococcales;Microbacteriaceae;Gryllotalpicola;Gryllotalpicola sp.;</t>
  </si>
  <si>
    <t>Gryllotalpicola sp.</t>
  </si>
  <si>
    <t>Bacteria;Bacteroidota;Sphingobacteriia;Sphingobacteriales;Sphingobacteriaceae;Mucilaginibacter;Mucilaginibacter limnophilus;</t>
  </si>
  <si>
    <t>Mucilaginibacter limnophilus</t>
  </si>
  <si>
    <t>Bacteria;Pseudomonadota;Gammaproteobacteria;Cellvibrionales;Halieaceae;Haliea;Haliea sp.;</t>
  </si>
  <si>
    <t>Halieaceae</t>
  </si>
  <si>
    <t>Haliea</t>
  </si>
  <si>
    <t>Haliea sp.</t>
  </si>
  <si>
    <t>Bacteria;Pseudomonadota;Alphaproteobacteria;Rhodospirillales;Rhodospirillaceae;Inquilinus;Inquilinus sp.;</t>
  </si>
  <si>
    <t>Inquilinus</t>
  </si>
  <si>
    <t>Inquilinus sp.</t>
  </si>
  <si>
    <t>Bacteria;Actinomycetota;Actinomycetes;Micrococcales;Microbacteriaceae;Aurantimicrobium;Aurantimicrobium sp.;</t>
  </si>
  <si>
    <t>Aurantimicrobium sp.</t>
  </si>
  <si>
    <t>Bacteria;Actinomycetota;Actinomycetes;Micrococcales;Microbacteriaceae;Leucobacter;Leucobacter musarum;</t>
  </si>
  <si>
    <t>Leucobacter musarum</t>
  </si>
  <si>
    <t>Bacteria;Planctomycetota;Planctomycetia;Pirellulales;Pirellulaceae;Roseimaritima;Roseimaritima multifibrata;</t>
  </si>
  <si>
    <t>Roseimaritima multifibrata</t>
  </si>
  <si>
    <t>Bacteria;Bacillota;Negativicutes;Selenomonadales;Sporomusaceae;Methylomusa;Methylomusa anaerophila;</t>
  </si>
  <si>
    <t>Methylomusa</t>
  </si>
  <si>
    <t>Methylomusa anaerophila</t>
  </si>
  <si>
    <t>Bacteria;Pseudomonadota;Betaproteobacteria;Burkholderiales;Sphaerotilaceae;Ideonella;Ideonella sp.;</t>
  </si>
  <si>
    <t>Ideonella sp.</t>
  </si>
  <si>
    <t>Bacteria;Pseudomonadota;Alphaproteobacteria;Hyphomicrobiales;Reyranellaceae;Reyranella;Reyranella sp.;</t>
  </si>
  <si>
    <t>Reyranella sp.</t>
  </si>
  <si>
    <t>Bacteria;Pseudomonadota;Gammaproteobacteria;Lysobacterales;Lysobacteraceae;Silanimonas;Silanimonas sp.;</t>
  </si>
  <si>
    <t>Silanimonas</t>
  </si>
  <si>
    <t>Silanimonas sp.</t>
  </si>
  <si>
    <t>Bacteria;Bacillota;Clostridia;Peptostreptococcales;Thermotaleaceae;Anaeromicrobium;Anaeromicrobium sp.;</t>
  </si>
  <si>
    <t>Anaeromicrobium</t>
  </si>
  <si>
    <t>Anaeromicrobium sp.</t>
  </si>
  <si>
    <t>Bacteria;Pseudomonadota;Gammaproteobacteria;Pseudomonadales;Marinobacteraceae;Marinobacter;Marinobacter orientalis;</t>
  </si>
  <si>
    <t>Marinobacter orientalis</t>
  </si>
  <si>
    <t>Bacteria;Bacillota;Bacilli;Bacillales;Bacillaceae;Bacillus;Bacillus sp. MRMR6;</t>
  </si>
  <si>
    <t>Bacillus sp. MRMR6</t>
  </si>
  <si>
    <t>Bacteria;Pseudomonadota;Gammaproteobacteria;Lysobacterales;Rhodanobacteraceae;Dyella;Dyella choica;</t>
  </si>
  <si>
    <t>Dyella choica</t>
  </si>
  <si>
    <t>Bacteria;Pseudomonadota;Betaproteobacteria;Burkholderiales;Burkholderiaceae;Burkholderia;Burkholderia sp. SRS-W-2-2016;</t>
  </si>
  <si>
    <t>Burkholderia sp. SRS-W-2-2016</t>
  </si>
  <si>
    <t>Bacteria;Bacteroidota;Sphingobacteriia;Sphingobacteriales;Sphingobacteriaceae;Pedobacter;Pedobacter kyonggii;</t>
  </si>
  <si>
    <t>Pedobacter kyonggii</t>
  </si>
  <si>
    <t>Bacteria;Pseudomonadota;Betaproteobacteria;Burkholderiales;Comamonadaceae;Paenacidovorax;Paenacidovorax monticola;</t>
  </si>
  <si>
    <t>Paenacidovorax</t>
  </si>
  <si>
    <t>Paenacidovorax monticola</t>
  </si>
  <si>
    <t>Bacteria;Bacillota;Bacilli;Bacillales;Paenibacillaceae;Paenibacillus;Paenibacillus sp. FSL R7-0333;</t>
  </si>
  <si>
    <t>Paenibacillus sp. FSL R7-0333</t>
  </si>
  <si>
    <t>Bacteria;Pseudomonadota;Alphaproteobacteria;Hyphomicrobiales;Nitrobacteraceae;Tardiphaga;Tardiphaga sp.;</t>
  </si>
  <si>
    <t>Tardiphaga sp.</t>
  </si>
  <si>
    <t>Bacteria;Actinomycetota;Actinomycetes;Micrococcales;Microbacteriaceae;Cryobacterium;Cryobacterium sp.;</t>
  </si>
  <si>
    <t>Cryobacterium sp.</t>
  </si>
  <si>
    <t>Bacteria;Pseudomonadota;Betaproteobacteria;Burkholderiales;Oxalobacteraceae;Herminiimonas;Herminiimonas sp.;</t>
  </si>
  <si>
    <t>Herminiimonas sp.</t>
  </si>
  <si>
    <t>Bacteria;Pseudomonadota;Betaproteobacteria;Burkholderiales;Oxalobacteraceae;Noviherbaspirillum;Noviherbaspirillum sp.;</t>
  </si>
  <si>
    <t>Noviherbaspirillum</t>
  </si>
  <si>
    <t>Noviherbaspirillum sp.</t>
  </si>
  <si>
    <t>Bacteria;Pseudomonadota;Betaproteobacteria;Burkholderiales;Oxalobacteraceae;Rugamonas;Rugamonas sp.;</t>
  </si>
  <si>
    <t>Rugamonas sp.</t>
  </si>
  <si>
    <t>Bacteria;Pseudomonadota;Betaproteobacteria;Burkholderiales;Comamonadaceae;Acidovorax;Acidovorax lacteus;</t>
  </si>
  <si>
    <t>Acidovorax lacteus</t>
  </si>
  <si>
    <t>Bacteria;Bacillota;Bacilli;Bacillales;Sporolactobacillaceae;Sporolactobacillus;Sporolactobacillus shoreicorticis;</t>
  </si>
  <si>
    <t>Sporolactobacillaceae</t>
  </si>
  <si>
    <t>Sporolactobacillus</t>
  </si>
  <si>
    <t>Sporolactobacillus shoreicorticis</t>
  </si>
  <si>
    <t>Bacteria;Actinomycetota;Actinomycetes;Propionibacteriales;Nocardioidaceae;Nocardioides;Nocardioides cavernae;</t>
  </si>
  <si>
    <t>Nocardioides cavernae</t>
  </si>
  <si>
    <t>Bacteria;Actinomycetota;Actinomycetes;Catenulisporales;Actinospicaceae;Actinocrinis;Actinocrinis sp.;</t>
  </si>
  <si>
    <t>Catenulisporales</t>
  </si>
  <si>
    <t>Actinospicaceae</t>
  </si>
  <si>
    <t>Actinocrinis</t>
  </si>
  <si>
    <t>Actinocrinis sp.</t>
  </si>
  <si>
    <t>Bacteria;Bacteroidota;Flavobacteriia;Flavobacteriales;Flavobacteriaceae;Flavobacterium;Flavobacterium sp. ACN6;</t>
  </si>
  <si>
    <t>Flavobacterium sp. ACN6</t>
  </si>
  <si>
    <t>Bacteria;Bacillota;Bacilli;Bacillales;Paenibacillaceae;Paenibacillus;Paenibacillus sp. FSL H8-0548;</t>
  </si>
  <si>
    <t>Paenibacillus sp. FSL H8-0548</t>
  </si>
  <si>
    <t>Bacteria;Pseudomonadota;Betaproteobacteria;Burkholderiales;Comamonadaceae;Delftia;Delftia sp. HK171;</t>
  </si>
  <si>
    <t>Delftia sp. HK171</t>
  </si>
  <si>
    <t>Bacteria;Pseudomonadota;Alphaproteobacteria;Sphingomonadales;Sphingomonadaceae;Sphingomonas;Sphingomonas sp. TZW2008;</t>
  </si>
  <si>
    <t>Sphingomonas sp. TZW2008</t>
  </si>
  <si>
    <t>Bacteria;Pseudomonadota;Betaproteobacteria;Burkholderiales;Comamonadaceae;Ramlibacter;Ramlibacter sp.;</t>
  </si>
  <si>
    <t>Ramlibacter sp.</t>
  </si>
  <si>
    <t>Bacteria;Pseudomonadota;Alphaproteobacteria;Rhodobacterales;Paracoccaceae;Defluviimonas;Defluviimonas sp.;</t>
  </si>
  <si>
    <t>Defluviimonas</t>
  </si>
  <si>
    <t>Defluviimonas sp.</t>
  </si>
  <si>
    <t>Bacteria;Bacillota;Bacilli;Bacillales;Bacillaceae;Virgibacillus;Virgibacillus dakarensis;</t>
  </si>
  <si>
    <t>Virgibacillus dakarensis</t>
  </si>
  <si>
    <t>Bacteria;Bacteroidota;Chitinophagia;Chitinophagales;Chitinophagaceae;Sediminibacterium;Sediminibacterium sp.;</t>
  </si>
  <si>
    <t>Sediminibacterium sp.</t>
  </si>
  <si>
    <t>Bacteria;Bacteroidota;Flavobacteriia;Flavobacteriales;Crocinitomicaceae;Fluviicola;Fluviicola sp.;</t>
  </si>
  <si>
    <t>Fluviicola sp.</t>
  </si>
  <si>
    <t>Bacteria;Pseudomonadota;Alphaproteobacteria;Rhodospirillales;Azospirillaceae;Niveispirillum;Niveispirillum sp.;</t>
  </si>
  <si>
    <t>Niveispirillum sp.</t>
  </si>
  <si>
    <t>Bacteria;Pseudomonadota;Alphaproteobacteria;Rhodospirillales;Rhodospirillaceae;Ferrovibrio;Ferrovibrio sp.;</t>
  </si>
  <si>
    <t>Ferrovibrio</t>
  </si>
  <si>
    <t>Ferrovibrio sp.</t>
  </si>
  <si>
    <t>Bacteria;Pseudomonadota;Betaproteobacteria;Burkholderiales;Alcaligenaceae;Paracandidimonas;Paracandidimonas soli;</t>
  </si>
  <si>
    <t>Paracandidimonas</t>
  </si>
  <si>
    <t>Paracandidimonas soli</t>
  </si>
  <si>
    <t>Bacteria;Actinomycetota;Actinomycetes;Micrococcales;Microbacteriaceae;Microbacterium;Microbacterium sp. 1.5R;</t>
  </si>
  <si>
    <t>Microbacterium sp. 1.5R</t>
  </si>
  <si>
    <t>Bacteria;Pseudomonadota;Alphaproteobacteria;Sphingomonadales;Sphingosinicellaceae;Sandarakinorhabdus;Sandarakinorhabdus sp.;</t>
  </si>
  <si>
    <t>Sandarakinorhabdus</t>
  </si>
  <si>
    <t>Sandarakinorhabdus sp.</t>
  </si>
  <si>
    <t>Bacteria;Bacteroidota;Chitinophagia;Chitinophagales;Chitinophagaceae;Lacibacter;Lacibacter sp.;</t>
  </si>
  <si>
    <t>Lacibacter</t>
  </si>
  <si>
    <t>Lacibacter sp.</t>
  </si>
  <si>
    <t>Bacteria;Actinomycetota;Actinomycetes;Micrococcales;Microbacteriaceae;Salinibacterium;Salinibacterium sp.;</t>
  </si>
  <si>
    <t>Salinibacterium sp.</t>
  </si>
  <si>
    <t>Bacteria;Pseudomonadota;Betaproteobacteria;Burkholderiales;Comamonadaceae;Variovorax;Variovorax sp. E3;</t>
  </si>
  <si>
    <t>Variovorax sp. E3</t>
  </si>
  <si>
    <t>Bacteria;Pseudomonadota;Betaproteobacteria;Burkholderiales;Oxalobacteraceae;Undibacterium;Undibacterium sp.;</t>
  </si>
  <si>
    <t>Undibacterium sp.</t>
  </si>
  <si>
    <t>Bacteria;Pseudomonadota;Alphaproteobacteria;Caulobacterales;Caulobacteraceae;Phenylobacterium;Phenylobacterium deserti;</t>
  </si>
  <si>
    <t>Phenylobacterium deserti</t>
  </si>
  <si>
    <t>Bacteria;Bacillota;Bacilli;Bacillales;NA;Exiguobacterium;Exiguobacterium sp. KRL4;</t>
  </si>
  <si>
    <t>Exiguobacterium sp. KRL4</t>
  </si>
  <si>
    <t>Bacteria;Bacteroidota;Cytophagia;Cytophagales;Spirosomataceae;Dyadobacter;Dyadobacter sp.;</t>
  </si>
  <si>
    <t>Dyadobacter sp.</t>
  </si>
  <si>
    <t>Bacteria;Pseudomonadota;Alphaproteobacteria;Rhodospirillales;Dongiaceae;Aliidongia;Aliidongia sp.;</t>
  </si>
  <si>
    <t>Aliidongia</t>
  </si>
  <si>
    <t>Aliidongia sp.</t>
  </si>
  <si>
    <t>Bacteria;Bacteroidota;Chitinophagia;Chitinophagales;Chitinophagaceae;Flavihumibacter;Flavihumibacter sp.;</t>
  </si>
  <si>
    <t>Flavihumibacter sp.</t>
  </si>
  <si>
    <t>Bacteria;Actinomycetota;Actinomycetes;Micrococcales;Microbacteriaceae;Microcella;Microcella sp.;</t>
  </si>
  <si>
    <t>Microcella sp.</t>
  </si>
  <si>
    <t>Bacteria;Pseudomonadota;Alphaproteobacteria;Sphingomonadales;Sphingomonadaceae;Sphingobium;Sphingobium sp.;</t>
  </si>
  <si>
    <t>Sphingobium sp.</t>
  </si>
  <si>
    <t>Bacteria;Actinomycetota;Thermoleophilia;Solirubrobacterales;Patulibacteraceae;Patulibacter;Patulibacter sp.;</t>
  </si>
  <si>
    <t>Patulibacter sp.</t>
  </si>
  <si>
    <t>Bacteria;Actinomycetota;Actinomycetes;Propionibacteriales;Propionibacteriaceae;Cutibacterium;Cutibacterium sp.;</t>
  </si>
  <si>
    <t>Cutibacterium</t>
  </si>
  <si>
    <t>Cutibacterium sp.</t>
  </si>
  <si>
    <t>Bacteria;Bacillota;Bacilli;Bacillales;Bacillaceae;Bacillus;Bacillus alkalicellulosilyticus;</t>
  </si>
  <si>
    <t>Bacillus alkalicellulosilyticus</t>
  </si>
  <si>
    <t>Bacteria;Pseudomonadota;Alphaproteobacteria;Hyphomicrobiales;Rhizobiaceae;Ensifer;Ensifer sp. 1H6;</t>
  </si>
  <si>
    <t>Ensifer sp. 1H6</t>
  </si>
  <si>
    <t>Bacteria;Pseudomonadota;Betaproteobacteria;Rhodocyclales;Rhodocyclaceae;Oryzomicrobium;Oryzomicrobium sp.;</t>
  </si>
  <si>
    <t>Oryzomicrobium</t>
  </si>
  <si>
    <t>Oryzomicrobium sp.</t>
  </si>
  <si>
    <t>Bacteria;Pseudomonadota;Alphaproteobacteria;Hyphomicrobiales;Methylocystaceae;Methylocystis;Methylocystis sp.;</t>
  </si>
  <si>
    <t>Methylocystis sp.</t>
  </si>
  <si>
    <t>Bacteria;Actinomycetota;Actinomycetes;Micrococcales;Cellulomonadaceae;Cellulomonas;Cellulomonas citrea;</t>
  </si>
  <si>
    <t>Cellulomonas citrea</t>
  </si>
  <si>
    <t>Bacteria;Planctomycetota;Planctomycetia;Gemmatales;Gemmataceae;Fimbriiglobus;Fimbriiglobus ruber;</t>
  </si>
  <si>
    <t>Gemmatales</t>
  </si>
  <si>
    <t>Gemmataceae</t>
  </si>
  <si>
    <t>Fimbriiglobus</t>
  </si>
  <si>
    <t>Fimbriiglobus ruber</t>
  </si>
  <si>
    <t>Bacteria;Pseudomonadota;Alphaproteobacteria;Sphingomonadales;Sphingomonadaceae;Novosphingobium;Novosphingobium umbonatum;</t>
  </si>
  <si>
    <t>Novosphingobium umbonatum</t>
  </si>
  <si>
    <t>Bacteria;Pseudomonadota;Alphaproteobacteria;Sphingomonadales;Sphingomonadaceae;Novosphingobium;Novosphingobium ovatum;</t>
  </si>
  <si>
    <t>Novosphingobium ovatum</t>
  </si>
  <si>
    <t>Bacteria;Bacteroidota;Flavobacteriia;Flavobacteriales;Flavobacteriaceae;Tenacibaculum;Tenacibaculum agarivorans;</t>
  </si>
  <si>
    <t>Tenacibaculum agarivorans</t>
  </si>
  <si>
    <t>Bacteria;Bacteroidota;Sphingobacteriia;Sphingobacteriales;Sphingobacteriaceae;Pedobacter;Pedobacter petrophilus;</t>
  </si>
  <si>
    <t>Pedobacter petrophilus</t>
  </si>
  <si>
    <t>Bacteria;Bacteroidota;Sphingobacteriia;Sphingobacteriales;Sphingobacteriaceae;Pedobacter;Pedobacter mendelii;</t>
  </si>
  <si>
    <t>Pedobacter mendelii</t>
  </si>
  <si>
    <t>Bacteria;Bacteroidota;Sphingobacteriia;Sphingobacteriales;Sphingobacteriaceae;Pedobacter;Pedobacter lithocola;</t>
  </si>
  <si>
    <t>Pedobacter lithocola</t>
  </si>
  <si>
    <t>Bacteria;Bacteroidota;Sphingobacteriia;Sphingobacteriales;Sphingobacteriaceae;Pedobacter;Pedobacter jamesrossensis;</t>
  </si>
  <si>
    <t>Pedobacter jamesrossensis</t>
  </si>
  <si>
    <t>Bacteria;Bacteroidota;Cytophagia;Cytophagales;Hymenobacteraceae;Hymenobacter;Hymenobacter glacialis;</t>
  </si>
  <si>
    <t>Hymenobacter glacialis</t>
  </si>
  <si>
    <t>Bacteria;Pseudomonadota;Alphaproteobacteria;Sphingomonadales;Sphingomonadaceae;Sphingopyxis;Sphingopyxis sp.;</t>
  </si>
  <si>
    <t>Sphingopyxis sp.</t>
  </si>
  <si>
    <t>Bacteria;Pseudomonadota;Betaproteobacteria;Burkholderiales;Comamonadaceae;Limnohabitans;Limnohabitans sp.;</t>
  </si>
  <si>
    <t>Limnohabitans sp.</t>
  </si>
  <si>
    <t>Bacteria;Pseudomonadota;Gammaproteobacteria;Aeromonadales;Aeromonadaceae;Aeromonas;Aeromonas sp. RU39B;</t>
  </si>
  <si>
    <t>Aeromonas sp. RU39B</t>
  </si>
  <si>
    <t>Bacteria;Pseudomonadota;Alphaproteobacteria;Hyphomicrobiales;Rhizobiaceae;Rhizobium;Rhizobium sp. RU36D;</t>
  </si>
  <si>
    <t>Rhizobium sp. RU36D</t>
  </si>
  <si>
    <t>Bacteria;Pseudomonadota;Alphaproteobacteria;Hyphomicrobiales;Boseaceae;Bosea;Bosea sp. TND4EK4;</t>
  </si>
  <si>
    <t>Bosea sp. TND4EK4</t>
  </si>
  <si>
    <t>Bacteria;Pseudomonadota;Betaproteobacteria;Burkholderiales;Comamonadaceae;Pseudacidovorax;Pseudacidovorax sp. RU35E;</t>
  </si>
  <si>
    <t>Pseudacidovorax sp. RU35E</t>
  </si>
  <si>
    <t>Bacteria;Actinomycetota;Actinomycetes;Micrococcales;Microbacteriaceae;Microbacterium;Microbacterium sp. RURRCA19A;</t>
  </si>
  <si>
    <t>Microbacterium sp. RURRCA19A</t>
  </si>
  <si>
    <t>Bacteria;Actinomycetota;Actinomycetes;Micrococcales;Microbacteriaceae;Microbacterium;Microbacterium sp. RU33B;</t>
  </si>
  <si>
    <t>Microbacterium sp. RU33B</t>
  </si>
  <si>
    <t>Bacteria;Pseudomonadota;Betaproteobacteria;Rhodocyclales;Zoogloeaceae;Thauera;Thauera sp.;</t>
  </si>
  <si>
    <t>Thauera sp.</t>
  </si>
  <si>
    <t>Bacteria;Actinomycetota;Actinomycetes;Micrococcales;Ornithinimicrobiaceae;Ornithinimicrobium;Ornithinimicrobium sp. CNJ-824;</t>
  </si>
  <si>
    <t>Ornithinimicrobium sp. CNJ-824</t>
  </si>
  <si>
    <t>Bacteria;Pseudomonadota;Gammaproteobacteria;Cellvibrionales;Spongiibacteraceae;Oceanicoccus;Oceanicoccus sp. KOV_DT_Chl;</t>
  </si>
  <si>
    <t>Spongiibacteraceae</t>
  </si>
  <si>
    <t>Oceanicoccus</t>
  </si>
  <si>
    <t>Oceanicoccus sp. KOV_DT_Chl</t>
  </si>
  <si>
    <t>Bacteria;Pseudomonadota;Betaproteobacteria;Burkholderiales;Comamonadaceae;Hydrogenophaga;Hydrogenophaga sp.;</t>
  </si>
  <si>
    <t>Hydrogenophaga sp.</t>
  </si>
  <si>
    <t>Bacteria;Pseudomonadota;Betaproteobacteria;Neisseriales;Chromobacteriaceae;Vogesella;Vogesella sp.;</t>
  </si>
  <si>
    <t>Vogesella sp.</t>
  </si>
  <si>
    <t>Bacteria;Pseudomonadota;Betaproteobacteria;Burkholderiales;Sphaerotilaceae;Piscinibacter;Piscinibacter sp.;</t>
  </si>
  <si>
    <t>Piscinibacter sp.</t>
  </si>
  <si>
    <t>Bacteria;Pseudomonadota;Alphaproteobacteria;Sphingomonadales;Sphingomonadaceae;Sphingorhabdus;Sphingorhabdus sp.;</t>
  </si>
  <si>
    <t>Sphingorhabdus sp.</t>
  </si>
  <si>
    <t>Bacteria;Bacteroidota;Cytophagia;Cytophagales;Hymenobacteraceae;Hymenobacter;Hymenobacter sp.;</t>
  </si>
  <si>
    <t>Hymenobacter sp.</t>
  </si>
  <si>
    <t>Bacteria;Pseudomonadota;Alphaproteobacteria;Rhodobacterales;Paracoccaceae;Gemmobacter;Gemmobacter sp.;</t>
  </si>
  <si>
    <t>Gemmobacter sp.</t>
  </si>
  <si>
    <t>Bacteria;Pseudomonadota;Betaproteobacteria;Burkholderiales;Comamonadaceae;Ottowia;Ottowia sp.;</t>
  </si>
  <si>
    <t>Ottowia sp.</t>
  </si>
  <si>
    <t>Bacteria;Actinomycetota;Actinomycetes;Micrococcales;Microbacteriaceae;Curtobacterium;Curtobacterium sp. MMLR14_010;</t>
  </si>
  <si>
    <t>Curtobacterium sp. MMLR14_010</t>
  </si>
  <si>
    <t>Bacteria;Actinomycetota;Actinomycetes;Micrococcales;Microbacteriaceae;Curtobacterium;Curtobacterium sp. MCBA15_001;</t>
  </si>
  <si>
    <t>Curtobacterium sp. MCBA15_001</t>
  </si>
  <si>
    <t>Archaea;Methanobacteriota;Halobacteria;Halobacteriales;Haladaptataceae;Haladaptatus;Haladaptatus sp. W1;</t>
  </si>
  <si>
    <t>Halobacteria</t>
  </si>
  <si>
    <t>Halobacteriales</t>
  </si>
  <si>
    <t>Haladaptataceae</t>
  </si>
  <si>
    <t>Haladaptatus</t>
  </si>
  <si>
    <t>Haladaptatus sp. W1</t>
  </si>
  <si>
    <t>Bacteria;Actinomycetota;Actinomycetes;Micrococcales;Microbacteriaceae;Cryobacterium;Cryobacterium sp. SO2;</t>
  </si>
  <si>
    <t>Cryobacterium sp. SO2</t>
  </si>
  <si>
    <t>Bacteria;Bacteroidota;Bacteroidia;Bacteroidales;Bacteroidaceae;Bacteroides;Bacteroides sp. 41_26;</t>
  </si>
  <si>
    <t>Bacteroidaceae</t>
  </si>
  <si>
    <t>Bacteroides</t>
  </si>
  <si>
    <t>Bacteroides sp. 41_26</t>
  </si>
  <si>
    <t>Bacteria;Fibrobacterota;Fibrobacteria;Fibrobacterales;Fibrobacteraceae;Fibrobacter;Fibrobacter sp. UWB7;</t>
  </si>
  <si>
    <t>Fibrobacterota</t>
  </si>
  <si>
    <t>Fibrobacteria</t>
  </si>
  <si>
    <t>Fibrobacterales</t>
  </si>
  <si>
    <t>Fibrobacteraceae</t>
  </si>
  <si>
    <t>Fibrobacter</t>
  </si>
  <si>
    <t>Fibrobacter sp. UWB7</t>
  </si>
  <si>
    <t>Bacteria;Pseudomonadota;Alphaproteobacteria;Sphingomonadales;Sphingomonadaceae;Sphingomonas;Sphingomonas sp. 66-10;</t>
  </si>
  <si>
    <t>Sphingomonas sp. 66-10</t>
  </si>
  <si>
    <t>Bacteria;Pseudomonadota;Alphaproteobacteria;Sphingomonadales;Sphingomonadaceae;Sphingomonas;Sphingomonas bacterium;</t>
  </si>
  <si>
    <t>Sphingomonas bacterium</t>
  </si>
  <si>
    <t>Bacteria;Bacteroidota;Cytophagia;Cytophagales;Spirosomataceae;Dyadobacter;Dyadobacter sp. 50-39;</t>
  </si>
  <si>
    <t>Dyadobacter sp. 50-39</t>
  </si>
  <si>
    <t>Bacteria;Pseudomonadota;Alphaproteobacteria;Hyphomicrobiales;Devosiaceae;Devosia;Devosia sp. 66-22;</t>
  </si>
  <si>
    <t>Devosia sp. 66-22</t>
  </si>
  <si>
    <t>Bacteria;Pseudomonadota;Alphaproteobacteria;Hyphomicrobiales;NA;Enhydrobacter;Enhydrobacter sp.;</t>
  </si>
  <si>
    <t>Enhydrobacter</t>
  </si>
  <si>
    <t>Enhydrobacter sp.</t>
  </si>
  <si>
    <t>Bacteria;Bacillota;Clostridia;Lachnospirales;Cellulosilyticaceae;Cellulosilyticum;Cellulosilyticum sp. I15G10I2;</t>
  </si>
  <si>
    <t>Cellulosilyticaceae</t>
  </si>
  <si>
    <t>Cellulosilyticum</t>
  </si>
  <si>
    <t>Cellulosilyticum sp. I15G10I2</t>
  </si>
  <si>
    <t>Bacteria;Bacillota;Tissierellia;Tissierellales;Sporanaerobacteraceae;Sporanaerobacter;Sporanaerobacter sp. PP17-6a;</t>
  </si>
  <si>
    <t>Sporanaerobacteraceae</t>
  </si>
  <si>
    <t>Sporanaerobacter</t>
  </si>
  <si>
    <t>Sporanaerobacter sp. PP17-6a</t>
  </si>
  <si>
    <t>Bacteria;Pseudomonadota;Betaproteobacteria;Burkholderiales;Oxalobacteraceae;Herbaspirillum;Herbaspirillum sp.;</t>
  </si>
  <si>
    <t>Herbaspirillum sp.</t>
  </si>
  <si>
    <t>Bacteria;Bacillota;Bacilli;Bacillales;Bacillaceae;Bacillus;Bacillus wiedmannii;</t>
  </si>
  <si>
    <t>Bacillus wiedmannii</t>
  </si>
  <si>
    <t>Bacteria;Bacillota;Clostridia;Eubacteriales;NA;Proteiniborus;Proteiniborus sp. DW1;</t>
  </si>
  <si>
    <t>Proteiniborus sp. DW1</t>
  </si>
  <si>
    <t>Bacteria;Pseudomonadota;Betaproteobacteria;Burkholderiales;Alcaligenaceae;Parvibium;Parvibium lacunae;</t>
  </si>
  <si>
    <t>Parvibium</t>
  </si>
  <si>
    <t>Parvibium lacunae</t>
  </si>
  <si>
    <t>Bacteria;Pseudomonadota;Alphaproteobacteria;Sphingomonadales;Sphingomonadaceae;Sphingomonas;Sphingomonas turrisvirgatae;</t>
  </si>
  <si>
    <t>Sphingomonas turrisvirgatae</t>
  </si>
  <si>
    <t>Bacteria;Bacillota;Clostridia;Eubacteriales;Desulfitobacteriaceae;Desulfosporosinus;Desulfosporosinus metallidurans;</t>
  </si>
  <si>
    <t>Desulfosporosinus metallidurans</t>
  </si>
  <si>
    <t>Bacteria;Pseudomonadota;Alphaproteobacteria;Sphingomonadales;Sphingomonadaceae;Sphingobium;Sphingobium naphthae;</t>
  </si>
  <si>
    <t>Sphingobium naphthae</t>
  </si>
  <si>
    <t>Bacteria;Pseudomonadota;Betaproteobacteria;Burkholderiales;Oxalobacteraceae;Massilia;Massilia agri;</t>
  </si>
  <si>
    <t>Massilia agri</t>
  </si>
  <si>
    <t>Bacteria;Bacteroidota;Flavobacteriia;Flavobacteriales;Flavobacteriaceae;Flavobacterium;Flavobacterium olei;</t>
  </si>
  <si>
    <t>Flavobacterium olei</t>
  </si>
  <si>
    <t>Bacteria;Pseudomonadota;Betaproteobacteria;Burkholderiales;Comamonadaceae;Delftia;Delftia sp.;</t>
  </si>
  <si>
    <t>Delftia sp.</t>
  </si>
  <si>
    <t>Bacteria;Pseudomonadota;Gammaproteobacteria;Lysobacterales;Lysobacteraceae;Xanthomonas;Xanthomonas cannabis;</t>
  </si>
  <si>
    <t>Xanthomonas cannabis</t>
  </si>
  <si>
    <t>Bacteria;Bacteroidota;Chitinophagia;Chitinophagales;Chitinophagaceae;Pseudoflavitalea;Pseudoflavitalea rhizosphaerae;</t>
  </si>
  <si>
    <t>Pseudoflavitalea</t>
  </si>
  <si>
    <t>Pseudoflavitalea rhizosphaerae</t>
  </si>
  <si>
    <t>Bacteria;Pseudomonadota;Betaproteobacteria;Burkholderiales;Comamonadaceae;Variovorax;Variovorax sp. YR266;</t>
  </si>
  <si>
    <t>Variovorax sp. YR266</t>
  </si>
  <si>
    <t>Bacteria;Pseudomonadota;Betaproteobacteria;Burkholderiales;Comamonadaceae;Variovorax;Variovorax sp. YR634;</t>
  </si>
  <si>
    <t>Variovorax sp. YR634</t>
  </si>
  <si>
    <t>Bacteria;Pseudomonadota;Betaproteobacteria;Burkholderiales;Comamonadaceae;Variovorax;Variovorax sp. YR752;</t>
  </si>
  <si>
    <t>Variovorax sp. YR752</t>
  </si>
  <si>
    <t>Bacteria;Pseudomonadota;Alphaproteobacteria;Sphingomonadales;Sphingomonadaceae;Sphingobium;Sphingobium sp. AP50;</t>
  </si>
  <si>
    <t>Sphingobium sp. AP50</t>
  </si>
  <si>
    <t>Bacteria;Pseudomonadota;Betaproteobacteria;Burkholderiales;Oxalobacteraceae;Duganella;Duganella sp. CF458;</t>
  </si>
  <si>
    <t>Duganella sp. CF458</t>
  </si>
  <si>
    <t>Bacteria;Bacteroidota;Chitinophagia;Chitinophagales;Chitinophagaceae;Chitinophaga;Chitinophaga sp. CF118;</t>
  </si>
  <si>
    <t>Chitinophaga sp. CF118</t>
  </si>
  <si>
    <t>Bacteria;Pseudomonadota;Alphaproteobacteria;Sphingomonadales;Sphingomonadaceae;Sphingobium;Sphingobium sp. YR768;</t>
  </si>
  <si>
    <t>Sphingobium sp. YR768</t>
  </si>
  <si>
    <t>Bacteria;Pseudomonadota;Alphaproteobacteria;Sphingomonadales;Sphingomonadaceae;Novosphingobium;Novosphingobium sp. CF614;</t>
  </si>
  <si>
    <t>Novosphingobium sp. CF614</t>
  </si>
  <si>
    <t>Bacteria;Pseudomonadota;Betaproteobacteria;Burkholderiales;Burkholderiaceae;Pandoraea;Pandoraea sp.;</t>
  </si>
  <si>
    <t>Pandoraea</t>
  </si>
  <si>
    <t>Pandoraea sp.</t>
  </si>
  <si>
    <t>Bacteria;Bacillota;Bacilli;Bacillales;Bacillaceae;Tepidibacillus;Tepidibacillus sp. HK-1;</t>
  </si>
  <si>
    <t>Tepidibacillus</t>
  </si>
  <si>
    <t>Tepidibacillus sp. HK-1</t>
  </si>
  <si>
    <t>Bacteria;Pseudomonadota;Betaproteobacteria;Burkholderiales;Comamonadaceae;Variovorax;Variovorax sp. YR216;</t>
  </si>
  <si>
    <t>Variovorax sp. YR216</t>
  </si>
  <si>
    <t>Bacteria;Pseudomonadota;Betaproteobacteria;Burkholderiales;Comamonadaceae;Variovorax;Variovorax sp. PDC80;</t>
  </si>
  <si>
    <t>Variovorax sp. PDC80</t>
  </si>
  <si>
    <t>Bacteria;Pseudomonadota;Betaproteobacteria;Burkholderiales;Comamonadaceae;Variovorax;Variovorax sp. OV329;</t>
  </si>
  <si>
    <t>Variovorax sp. OV329</t>
  </si>
  <si>
    <t>Bacteria;Pseudomonadota;Betaproteobacteria;Burkholderiales;Comamonadaceae;Variovorax;Variovorax sp. CF079;</t>
  </si>
  <si>
    <t>Variovorax sp. CF079</t>
  </si>
  <si>
    <t>Bacteria;Planctomycetota;Planctomycetia;Isosphaerales;Isosphaeraceae;Singulisphaera;Singulisphaera sp. GP187;</t>
  </si>
  <si>
    <t>Singulisphaera</t>
  </si>
  <si>
    <t>Singulisphaera sp. GP187</t>
  </si>
  <si>
    <t>Bacteria;Pseudomonadota;Betaproteobacteria;Burkholderiales;Comamonadaceae;Ramlibacter;Ramlibacter sp. WS9;</t>
  </si>
  <si>
    <t>Ramlibacter sp. WS9</t>
  </si>
  <si>
    <t>Bacteria;Pseudomonadota;Alphaproteobacteria;Hyphomicrobiales;Methylobacteriaceae;Microvirga;Microvirga ossetica;</t>
  </si>
  <si>
    <t>Microvirga ossetica</t>
  </si>
  <si>
    <t>Bacteria;Bacteroidota;Sphingobacteriia;Sphingobacteriales;Sphingobacteriaceae;Mucilaginibacter;Mucilaginibacter sp.;</t>
  </si>
  <si>
    <t>Mucilaginibacter sp.</t>
  </si>
  <si>
    <t>Bacteria;Pseudomonadota;Betaproteobacteria;Burkholderiales;Oxalobacteraceae;Massilia;Massilia sp.;</t>
  </si>
  <si>
    <t>Massilia sp.</t>
  </si>
  <si>
    <t>Bacteria;Pseudomonadota;Betaproteobacteria;Burkholderiales;Comamonadaceae;Hydrogenophaga;Hydrogenophaga sp. H7;</t>
  </si>
  <si>
    <t>Hydrogenophaga sp. H7</t>
  </si>
  <si>
    <t>Bacteria;Bacillota;Clostridia;Eubacteriales;Clostridiaceae;Clostridium;Clostridium sp. USBA 49;</t>
  </si>
  <si>
    <t>Clostridium sp. USBA 49</t>
  </si>
  <si>
    <t>Bacteria;Bacteroidota;Sphingobacteriia;Sphingobacteriales;Sphingobacteriaceae;Mucilaginibacter;Mucilaginibacter sp. OK268;</t>
  </si>
  <si>
    <t>Mucilaginibacter sp. OK268</t>
  </si>
  <si>
    <t>Bacteria;Pseudomonadota;Gammaproteobacteria;Lysobacterales;Lysobacteraceae;Pseudoxanthomonas;Pseudoxanthomonas sp. GM95;</t>
  </si>
  <si>
    <t>Pseudoxanthomonas sp. GM95</t>
  </si>
  <si>
    <t>Bacteria;Actinomycetota;Actinomycetes;Micrococcales;Microbacteriaceae;Agromyces;Agromyces sp. CF514;</t>
  </si>
  <si>
    <t>Agromyces sp. CF514</t>
  </si>
  <si>
    <t>Bacteria;Pseudomonadota;Betaproteobacteria;Burkholderiales;Oxalobacteraceae;Pseudoduganella;Pseudoduganella sp.;</t>
  </si>
  <si>
    <t>Pseudoduganella sp.</t>
  </si>
  <si>
    <t>Bacteria;Pseudomonadota;Alphaproteobacteria;Sphingomonadales;Sphingomonadaceae;Novosphingobium;Novosphingobium sp.;</t>
  </si>
  <si>
    <t>Novosphingobium sp.</t>
  </si>
  <si>
    <t>Bacteria;Pseudomonadota;Betaproteobacteria;Burkholderiales;Comamonadaceae;Xenophilus;Xenophilus sp.;</t>
  </si>
  <si>
    <t>Xenophilus sp.</t>
  </si>
  <si>
    <t>Bacteria;Bacillota;Bacilli;Bacillales;Paenibacillaceae;Paenibacillus;Paenibacillus tritici;</t>
  </si>
  <si>
    <t>Paenibacillus tritici</t>
  </si>
  <si>
    <t>Bacteria;Pseudomonadota;Alphaproteobacteria;Hyphomicrobiales;Methylobacteriaceae;Microvirga;Microvirga sp.;</t>
  </si>
  <si>
    <t>Microvirga sp.</t>
  </si>
  <si>
    <t>Bacteria;Pseudomonadota;Betaproteobacteria;Rhodocyclales;Azonexaceae;Azonexus;Azonexus sp.;</t>
  </si>
  <si>
    <t>Azonexus sp.</t>
  </si>
  <si>
    <t>Bacteria;Pseudomonadota;Alphaproteobacteria;Caulobacterales;Caulobacteraceae;Asticcacaulis;Asticcacaulis sp.;</t>
  </si>
  <si>
    <t>Asticcacaulis sp.</t>
  </si>
  <si>
    <t>Bacteria;Pseudomonadota;Alphaproteobacteria;Rhodobacterales;Paracoccaceae;Ascidiaceihabitans;Ascidiaceihabitans sp.;</t>
  </si>
  <si>
    <t>Ascidiaceihabitans</t>
  </si>
  <si>
    <t>Ascidiaceihabitans sp.</t>
  </si>
  <si>
    <t>Bacteria;Armatimonadota;Armatimonadia;Armatimonadales;Armatimonadaceae;Armatimonas;Armatimonas sp.;</t>
  </si>
  <si>
    <t>Armatimonadales</t>
  </si>
  <si>
    <t>Armatimonadaceae</t>
  </si>
  <si>
    <t>Armatimonas</t>
  </si>
  <si>
    <t>Armatimonas sp.</t>
  </si>
  <si>
    <t>Bacteria;Pseudomonadota;Gammaproteobacteria;Lysobacterales;Lysobacteraceae;Arenimonas;Arenimonas sp.;</t>
  </si>
  <si>
    <t>Arenimonas sp.</t>
  </si>
  <si>
    <t>Bacteria;Myxococcota;Myxococcia;Myxococcales;Archangiaceae;Archangium;Archangium sp.;</t>
  </si>
  <si>
    <t>Archangiaceae</t>
  </si>
  <si>
    <t>Archangium</t>
  </si>
  <si>
    <t>Archangium sp.</t>
  </si>
  <si>
    <t>Bacteria;Pseudomonadota;Betaproteobacteria;Neisseriales;Chromobacteriaceae;Aquitalea;Aquitalea sp.;</t>
  </si>
  <si>
    <t>Aquitalea</t>
  </si>
  <si>
    <t>Aquitalea sp.</t>
  </si>
  <si>
    <t>Bacteria;Pseudomonadota;Gammaproteobacteria;Lysobacterales;Rhodanobacteraceae;Aquimonas;Aquimonas sp.;</t>
  </si>
  <si>
    <t>Aquimonas</t>
  </si>
  <si>
    <t>Aquimonas sp.</t>
  </si>
  <si>
    <t>Bacteria;Pseudomonadota;Betaproteobacteria;Burkholderiales;NA;Aquabacterium;Aquabacterium sp.;</t>
  </si>
  <si>
    <t>Aquabacterium sp.</t>
  </si>
  <si>
    <t>Bacteria;Bacillota;Negativicutes;Selenomonadales;Selenomonadaceae;Anaerovibrio;Anaerovibrio sp.;</t>
  </si>
  <si>
    <t>Selenomonadaceae</t>
  </si>
  <si>
    <t>Anaerovibrio</t>
  </si>
  <si>
    <t>Anaerovibrio sp.</t>
  </si>
  <si>
    <t>Bacteria;Bacillota;Clostridia;Lachnospirales;Lachnospiraceae;Anaerosporobacter;Anaerosporobacter sp.;</t>
  </si>
  <si>
    <t>Anaerosporobacter sp.</t>
  </si>
  <si>
    <t>Bacteria;Bacillota;Clostridia;Peptostreptococcales;Thermotaleaceae;Anaerosolibacter;Anaerosolibacter sp.;</t>
  </si>
  <si>
    <t>Anaerosolibacter</t>
  </si>
  <si>
    <t>Anaerosolibacter sp.</t>
  </si>
  <si>
    <t>Bacteria;Actinomycetota;Actinomycetes;Micrococcales;Microbacteriaceae;Amnibacterium;Amnibacterium sp.;</t>
  </si>
  <si>
    <t>Amnibacterium sp.</t>
  </si>
  <si>
    <t>Bacteria;Pseudomonadota;Alphaproteobacteria;Rhodobacterales;Paracoccaceae;Amaricoccus;Amaricoccus sp.;</t>
  </si>
  <si>
    <t>Amaricoccus</t>
  </si>
  <si>
    <t>Amaricoccus sp.</t>
  </si>
  <si>
    <t>Bacteria;Bacteroidota;Cytophagia;Cytophagales;Cyclobacteriaceae;Algoriphagus;Algoriphagus sp.;</t>
  </si>
  <si>
    <t>Algoriphagus sp.</t>
  </si>
  <si>
    <t>Bacteria;Pseudomonadota;Alphaproteobacteria;Rhodobacterales;Paracoccaceae;Albidovulum;Albidovulum sp.;</t>
  </si>
  <si>
    <t>Albidovulum</t>
  </si>
  <si>
    <t>Albidovulum sp.</t>
  </si>
  <si>
    <t>Bacteria;Actinomycetota;Actinomycetes;Micrococcales;Microbacteriaceae;Agreia;Agreia sp.;</t>
  </si>
  <si>
    <t>Agreia</t>
  </si>
  <si>
    <t>Agreia sp.</t>
  </si>
  <si>
    <t>Bacteria;Actinomycetota;Actinomycetes;Pseudonocardiales;Pseudonocardiaceae;Actinophytocola;Actinophytocola sp.;</t>
  </si>
  <si>
    <t>Actinophytocola</t>
  </si>
  <si>
    <t>Actinophytocola sp.</t>
  </si>
  <si>
    <t>Bacteria;Pseudomonadota;Alphaproteobacteria;Rhodobacterales;Roseobacteraceae;Actibacterium;Actibacterium sp.;</t>
  </si>
  <si>
    <t>Actibacterium sp.</t>
  </si>
  <si>
    <t>Bacteria;Pseudomonadota;Betaproteobacteria;Burkholderiales;Comamonadaceae;Acidovorax;Acidovorax sp.;</t>
  </si>
  <si>
    <t>Acidovorax sp.</t>
  </si>
  <si>
    <t>Bacteria;Bacillota;Clostridia;Peptostreptococcales;Acidaminobacteraceae;Acidaminobacter;Acidaminobacter sp.;</t>
  </si>
  <si>
    <t>Acidaminobacteraceae</t>
  </si>
  <si>
    <t>Acidaminobacter</t>
  </si>
  <si>
    <t>Acidaminobacter sp.</t>
  </si>
  <si>
    <t>Bacteria;Bacillota;Clostridia;Eubacteriales;Oscillospiraceae;Acetivibrio;Acetivibrio sp.;</t>
  </si>
  <si>
    <t>Acetivibrio sp.</t>
  </si>
  <si>
    <t>Bacteria;Pseudomonadota;Alphaproteobacteria;Hyphomicrobiales;Rhizobiaceae;Ensifer;Ensifer sp.;</t>
  </si>
  <si>
    <t>Ensifer sp.</t>
  </si>
  <si>
    <t>Bacteria;Pseudomonadota;Alphaproteobacteria;Hyphomicrobiales;Boseaceae;Bosea;Bosea psychrotolerans;</t>
  </si>
  <si>
    <t>Bosea psychrotolerans</t>
  </si>
  <si>
    <t>Bacteria;Bacillota;Clostridia;Eubacteriales;Clostridiaceae;Caloramator;Caloramator sp.;</t>
  </si>
  <si>
    <t>Caloramator</t>
  </si>
  <si>
    <t>Caloramator sp.</t>
  </si>
  <si>
    <t>Bacteria;Actinomycetota;Actinomycetes;Micrococcales;Microbacteriaceae;Herbiconiux;Herbiconiux sp.;</t>
  </si>
  <si>
    <t>Herbiconiux sp.</t>
  </si>
  <si>
    <t>Bacteria;Pseudomonadota;Alphaproteobacteria;Caulobacterales;Caulobacteraceae;Brevundimonas;Brevundimonas sp.;</t>
  </si>
  <si>
    <t>Brevundimonas sp.</t>
  </si>
  <si>
    <t>Bacteria;Pseudomonadota;Alphaproteobacteria;Hyphomicrobiales;Phyllobacteriaceae;Mesorhizobium;Mesorhizobium sp.;</t>
  </si>
  <si>
    <t>Mesorhizobium sp.</t>
  </si>
  <si>
    <t>Bacteria;Actinomycetota;Actinomycetes;Propionibacteriales;Nocardioidaceae;Aeromicrobium;Aeromicrobium sp.;</t>
  </si>
  <si>
    <t>Aeromicrobium sp.</t>
  </si>
  <si>
    <t>Bacteria;Pseudomonadota;Alphaproteobacteria;Caulobacterales;Caulobacteraceae;Phenylobacterium;Phenylobacterium sp.;</t>
  </si>
  <si>
    <t>Phenylobacterium sp.</t>
  </si>
  <si>
    <t>Bacteria;Pseudomonadota;Alphaproteobacteria;Hyphomicrobiales;Boseaceae;Bosea;Bosea sp. (in: a-proteobacteria);</t>
  </si>
  <si>
    <t>Bosea sp. (in: a-proteobacteria)</t>
  </si>
  <si>
    <t>Bacteria;Pseudomonadota;Gammaproteobacteria;Lysobacterales;Lysobacteraceae;Pseudoxanthomonas;Pseudoxanthomonas sp.;</t>
  </si>
  <si>
    <t>Pseudoxanthomonas sp.</t>
  </si>
  <si>
    <t>Bacteria;Pseudomonadota;Alphaproteobacteria;Hyphomicrobiales;Devosiaceae;Devosia;Devosia sp.;</t>
  </si>
  <si>
    <t>Devosia sp.</t>
  </si>
  <si>
    <t>Bacteria;Bacteroidota;Flavobacteriia;Flavobacteriales;Weeksellaceae;Chryseobacterium;Chryseobacterium sp.;</t>
  </si>
  <si>
    <t>Chryseobacterium sp.</t>
  </si>
  <si>
    <t>Bacteria;Actinomycetota;Actinomycetes;Micrococcales;Microbacteriaceae;Plantibacter;Plantibacter sp.;</t>
  </si>
  <si>
    <t>Plantibacter sp.</t>
  </si>
  <si>
    <t>Bacteria;Pseudomonadota;Betaproteobacteria;Burkholderiales;Comamonadaceae;Variovorax;Variovorax sp.;</t>
  </si>
  <si>
    <t>Variovorax sp.</t>
  </si>
  <si>
    <t>Bacteria;Bacillota;Clostridia;Eubacteriales;Clostridiaceae;Mordavella;Mordavella massiliensis;</t>
  </si>
  <si>
    <t>Mordavella</t>
  </si>
  <si>
    <t>Mordavella massiliensis</t>
  </si>
  <si>
    <t>Bacteria;Bacillota;Tissierellia;Tissierellales;Sporanaerobacteraceae;Anaerosalibacter;Anaerosalibacter sp. Marseille-P3206;</t>
  </si>
  <si>
    <t>Anaerosalibacter</t>
  </si>
  <si>
    <t>Anaerosalibacter sp. Marseille-P3206</t>
  </si>
  <si>
    <t>Bacteria;Bacillota;Bacilli;Bacillales;Paenibacillaceae;Paenibacillus;Paenibacillus bouchesdurhonensis;</t>
  </si>
  <si>
    <t>Paenibacillus bouchesdurhonensis</t>
  </si>
  <si>
    <t>Bacteria;Pseudomonadota;Alphaproteobacteria;Hyphomicrobiales;Rhizobiaceae;Shinella;Shinella sp.;</t>
  </si>
  <si>
    <t>Shinella sp.</t>
  </si>
  <si>
    <t>Bacteria;Pseudomonadota;Betaproteobacteria;Burkholderiales;Comamonadaceae;Polaromonas;Polaromonas sp.;</t>
  </si>
  <si>
    <t>Polaromonas sp.</t>
  </si>
  <si>
    <t>Bacteria;Pseudomonadota;Gammaproteobacteria;Lysobacterales;Rhodanobacteraceae;Dyella;Dyella sp.;</t>
  </si>
  <si>
    <t>Dyella sp.</t>
  </si>
  <si>
    <t>Bacteria;Pseudomonadota;Gammaproteobacteria;Pseudomonadales;Pseudomonadaceae;Pseudomonas;Pseudomonas aylmerensis;</t>
  </si>
  <si>
    <t>Pseudomonas aylmerensis</t>
  </si>
  <si>
    <t>Bacteria;Pseudomonadota;Gammaproteobacteria;Chromatiales;Chromatiaceae;Rheinheimera;Rheinheimera sp.;</t>
  </si>
  <si>
    <t>Rheinheimera sp.</t>
  </si>
  <si>
    <t>Bacteria;Bacteroidota;Chitinophagia;Chitinophagales;Chitinophagaceae;Chitinophaga;Chitinophaga sp.;</t>
  </si>
  <si>
    <t>Chitinophaga sp.</t>
  </si>
  <si>
    <t>Bacteria;Actinomycetota;Actinomycetes;Micrococcales;Intrasporangiaceae;Humibacillus;Humibacillus sp. DSM 29435;</t>
  </si>
  <si>
    <t>Humibacillus</t>
  </si>
  <si>
    <t>Humibacillus sp. DSM 29435</t>
  </si>
  <si>
    <t>Bacteria;Bacillota;Bacilli;Bacillales;Bacillaceae;Bacillus;Bacillus sp. B25(2016b);</t>
  </si>
  <si>
    <t>Bacillus sp. B25(2016b)</t>
  </si>
  <si>
    <t>Bacteria;Actinomycetota;Actinomycetes;Propionibacteriales;Nocardioidaceae;Nocardioides;Nocardioides phosphati;</t>
  </si>
  <si>
    <t>Nocardioides phosphati</t>
  </si>
  <si>
    <t>Bacteria;Bacillota;Bacilli;Bacillales;Bacillaceae;Bacillus;Bacillus sp. NH11B;</t>
  </si>
  <si>
    <t>Bacillus sp. NH11B</t>
  </si>
  <si>
    <t>Bacteria;Pseudomonadota;Betaproteobacteria;Burkholderiales;Sphaerotilaceae;Rubrivivax;Rubrivivax rivuli;</t>
  </si>
  <si>
    <t>Rubrivivax rivuli</t>
  </si>
  <si>
    <t>Bacteria;Pseudomonadota;Betaproteobacteria;Burkholderiales;Comamonadaceae;Variovorax;Variovorax sp. UMC13;</t>
  </si>
  <si>
    <t>Variovorax sp. UMC13</t>
  </si>
  <si>
    <t>Bacteria;Pseudomonadota;Betaproteobacteria;Burkholderiales;Comamonadaceae;Delftia;Delftia sp. UME58;</t>
  </si>
  <si>
    <t>Delftia sp. UME58</t>
  </si>
  <si>
    <t>Bacteria;Pseudomonadota;Betaproteobacteria;Burkholderiales;Burkholderiaceae;Cupriavidus;Cupriavidus sp. UME77;</t>
  </si>
  <si>
    <t>Cupriavidus sp. UME77</t>
  </si>
  <si>
    <t>Bacteria;Pseudomonadota;Alphaproteobacteria;Rhodospirillales;Thalassobaculaceae;Nisaea;Nisaea acidiphila;</t>
  </si>
  <si>
    <t>Nisaea</t>
  </si>
  <si>
    <t>Nisaea acidiphila</t>
  </si>
  <si>
    <t>Bacteria;Pseudomonadota;Gammaproteobacteria;Moraxellales;Moraxellaceae;Acinetobacter;Acinetobacter sp. YK3;</t>
  </si>
  <si>
    <t>Acinetobacter sp. YK3</t>
  </si>
  <si>
    <t>Bacteria;Verrucomicrobiota;Verrucomicrobiia;Verrucomicrobiales;Verrucomicrobiaceae;Luteolibacter;Luteolibacter flavescens;</t>
  </si>
  <si>
    <t>Luteolibacter flavescens</t>
  </si>
  <si>
    <t>Bacteria;Pseudomonadota;Gammaproteobacteria;Pseudomonadales;Pseudomonadaceae;Pseudomonas;Pseudomonas sp. TCU-HL1;</t>
  </si>
  <si>
    <t>Pseudomonas sp. TCU-HL1</t>
  </si>
  <si>
    <t>Bacteria;Pseudomonadota;Betaproteobacteria;Burkholderiales;Burkholderiaceae;Polynucleobacter;Polynucleobacter sp. MWH-Jannik1A5;</t>
  </si>
  <si>
    <t>Polynucleobacter sp. MWH-Jannik1A5</t>
  </si>
  <si>
    <t>Bacteria;Pseudomonadota;Betaproteobacteria;Burkholderiales;Burkholderiaceae;Polynucleobacter;Polynucleobacter sp. MWH-Braz-FAM2G;</t>
  </si>
  <si>
    <t>Polynucleobacter sp. MWH-Braz-FAM2G</t>
  </si>
  <si>
    <t>Bacteria;Pseudomonadota;Betaproteobacteria;Burkholderiales;Burkholderiaceae;Polynucleobacter;Polynucleobacter sp. MWH-Aus1W21;</t>
  </si>
  <si>
    <t>Polynucleobacter sp. MWH-Aus1W21</t>
  </si>
  <si>
    <t>Bacteria;Pseudomonadota;Betaproteobacteria;Burkholderiales;Sphaerotilaceae;Roseateles;Pelomonas sp. KK5;</t>
  </si>
  <si>
    <t>Pelomonas sp. KK5</t>
  </si>
  <si>
    <t>Bacteria;Pseudomonadota;Betaproteobacteria;Burkholderiales;Comamonadaceae;Variovorax;Variovorax sp. KK3;</t>
  </si>
  <si>
    <t>Variovorax sp. KK3</t>
  </si>
  <si>
    <t>Bacteria;Bacteroidota;Sphingobacteriia;Sphingobacteriales;Sphingobacteriaceae;Mucilaginibacter;Mucilaginibacter antarcticus;</t>
  </si>
  <si>
    <t>Mucilaginibacter antarcticus</t>
  </si>
  <si>
    <t>Bacteria;Pseudomonadota;Betaproteobacteria;Burkholderiales;Burkholderiaceae;Polynucleobacter;Polynucleobacter parvulilacunae;</t>
  </si>
  <si>
    <t>Polynucleobacter parvulilacunae</t>
  </si>
  <si>
    <t>Bacteria;Pseudomonadota;Betaproteobacteria;Burkholderiales;Burkholderiaceae;Polynucleobacter;Polynucleobacter sp. MWH-UH25E;</t>
  </si>
  <si>
    <t>Polynucleobacter sp. MWH-UH25E</t>
  </si>
  <si>
    <t>Bacteria;Pseudomonadota;Betaproteobacteria;Burkholderiales;Burkholderiaceae;Polynucleobacter;Polynucleobacter sp. AM-25C3;</t>
  </si>
  <si>
    <t>Polynucleobacter sp. AM-25C3</t>
  </si>
  <si>
    <t>Bacteria;Actinomycetota;Actinomycetes;Micrococcales;Microbacteriaceae;Aquiluna;Candidatus Aquiluna sp. UB-MaderosW2red;</t>
  </si>
  <si>
    <t>Candidatus Aquiluna sp. UB-MaderosW2red</t>
  </si>
  <si>
    <t>Bacteria;Pseudomonadota;Gammaproteobacteria;Enterobacterales;Enterobacteriaceae;Phytobacter;Phytobacter palmae;</t>
  </si>
  <si>
    <t>Phytobacter palmae</t>
  </si>
  <si>
    <t>Bacteria;Pseudomonadota;Betaproteobacteria;Burkholderiales;Comamonadaceae;Variovorax;Variovorax sp. OK605;</t>
  </si>
  <si>
    <t>Variovorax sp. OK605</t>
  </si>
  <si>
    <t>Bacteria;Pseudomonadota;Alphaproteobacteria;Hyphomicrobiales;Nitrobacteraceae;Tardiphaga;Tardiphaga sp. OK245;</t>
  </si>
  <si>
    <t>Tardiphaga sp. OK245</t>
  </si>
  <si>
    <t>Bacteria;Pseudomonadota;Gammaproteobacteria;Lysobacterales;Lysobacteraceae;Pseudoxanthomonas;Pseudoxanthomonas sp. CF125;</t>
  </si>
  <si>
    <t>Pseudoxanthomonas sp. CF125</t>
  </si>
  <si>
    <t>Bacteria;Pseudomonadota;Betaproteobacteria;Burkholderiales;Comamonadaceae;Polaromonas;Polaromonas sp. YR568;</t>
  </si>
  <si>
    <t>Polaromonas sp. YR568</t>
  </si>
  <si>
    <t>Bacteria;Bacteroidota;Sphingobacteriia;Sphingobacteriales;Sphingobacteriaceae;Mucilaginibacter;Mucilaginibacter sp. OK098;</t>
  </si>
  <si>
    <t>Mucilaginibacter sp. OK098</t>
  </si>
  <si>
    <t>Bacteria;Pseudomonadota;Alphaproteobacteria;Hyphomicrobiales;Boseaceae;Bosea;Bosea sp. OK403;</t>
  </si>
  <si>
    <t>Bosea sp. OK403</t>
  </si>
  <si>
    <t>Bacteria;Pseudomonadota;Betaproteobacteria;Burkholderiales;Comamonadaceae;Rhodoferax;Rhodoferax sp. OV413;</t>
  </si>
  <si>
    <t>Rhodoferax sp. OV413</t>
  </si>
  <si>
    <t>Bacteria;Pseudomonadota;Alphaproteobacteria;Acetobacterales;Roseomonadaceae;Roseomonas;Roseomonas nepalensis;</t>
  </si>
  <si>
    <t>Roseomonas nepalensis</t>
  </si>
  <si>
    <t>Bacteria;Pseudomonadota;Gammaproteobacteria;Pseudomonadales;Perlucidibacaceae;Perlucidibaca;Perlucidibaca aquatica;</t>
  </si>
  <si>
    <t>Perlucidibacaceae</t>
  </si>
  <si>
    <t>Perlucidibaca</t>
  </si>
  <si>
    <t>Perlucidibaca aquatica</t>
  </si>
  <si>
    <t>Bacteria;Bacillota;Clostridia;Eubacteriales;Beduinellaceae;Beduinella;Beduinella massiliensis;</t>
  </si>
  <si>
    <t>Beduinellaceae</t>
  </si>
  <si>
    <t>Beduinella</t>
  </si>
  <si>
    <t>Beduinella massiliensis</t>
  </si>
  <si>
    <t>Bacteria;Bacteroidota;Flavobacteriia;Flavobacteriales;Flavobacteriaceae;Flavobacterium;Flavobacterium solisilvae;</t>
  </si>
  <si>
    <t>Flavobacterium solisilvae</t>
  </si>
  <si>
    <t>Bacteria;Bacteroidota;Cytophagia;Cytophagales;Cyclobacteriaceae;Algoriphagus;Algoriphagus aestuariicola;</t>
  </si>
  <si>
    <t>Algoriphagus aestuariicola</t>
  </si>
  <si>
    <t>Bacteria;Pseudomonadota;Betaproteobacteria;Burkholderiales;Comamonadaceae;Variovorax;Variovorax sp. JS1663;</t>
  </si>
  <si>
    <t>Variovorax sp. JS1663</t>
  </si>
  <si>
    <t>Bacteria;Pseudomonadota;Alphaproteobacteria;Hyphomicrobiales;Rhizobiaceae;Rhizobium;Rhizobium rhizophilum;</t>
  </si>
  <si>
    <t>Rhizobium rhizophilum</t>
  </si>
  <si>
    <t>Bacteria;Bacillota;Bacilli;Bacillales;Paenibacillaceae;Paenibacillus;Paenibacillus apii;</t>
  </si>
  <si>
    <t>Paenibacillus apii</t>
  </si>
  <si>
    <t>Bacteria;Pseudomonadota;Alphaproteobacteria;Sphingomonadales;Sphingomonadaceae;Novosphingobium;Novosphingobium guangzhouense;</t>
  </si>
  <si>
    <t>Novosphingobium guangzhouense</t>
  </si>
  <si>
    <t>Bacteria;Pseudomonadota;Alphaproteobacteria;Sphingomonadales;Sphingomonadaceae;Rhizorhabdus;Rhizorhabdus dicambivorans;</t>
  </si>
  <si>
    <t>Rhizorhabdus dicambivorans</t>
  </si>
  <si>
    <t>Bacteria;Pseudomonadota;Alphaproteobacteria;Sphingomonadales;Sphingomonadaceae;Sphingomonas;Sphingomonas colocasiae;</t>
  </si>
  <si>
    <t>Sphingomonas colocasiae</t>
  </si>
  <si>
    <t>Bacteria;Pseudomonadota;Alphaproteobacteria;Hyphomicrobiales;Rhizobiaceae;Allorhizobium;Allorhizobium terrae;</t>
  </si>
  <si>
    <t>Allorhizobium</t>
  </si>
  <si>
    <t>Allorhizobium terrae</t>
  </si>
  <si>
    <t>Bacteria;Pseudomonadota;Gammaproteobacteria;Moraxellales;Moraxellaceae;Acinetobacter;Acinetobacter sp. Ac_3412;</t>
  </si>
  <si>
    <t>Acinetobacter sp. Ac_3412</t>
  </si>
  <si>
    <t>Bacteria;Pseudomonadota;Alphaproteobacteria;Hyphomicrobiales;Rhizobiaceae;Rhizobium;Rhizobium sp. LCM 4573;</t>
  </si>
  <si>
    <t>Rhizobium sp. LCM 4573</t>
  </si>
  <si>
    <t>Bacteria;Deinococcota;Deinococci;Deinococcales;Deinococcaceae;Deinococcus;Deinococcus persicinus;</t>
  </si>
  <si>
    <t>Deinococcus persicinus</t>
  </si>
  <si>
    <t>Bacteria;Pseudomonadota;Gammaproteobacteria;Chromatiales;Chromatiaceae;Thiodictyon;uncultured Thiodictyon sp.;</t>
  </si>
  <si>
    <t>Thiodictyon</t>
  </si>
  <si>
    <t>uncultured Thiodictyon sp.</t>
  </si>
  <si>
    <t>Bacteria;Pseudomonadota;Betaproteobacteria;Burkholderiales;Comamonadaceae;Curvibacter;Curvibacter sp. AEP1-3;</t>
  </si>
  <si>
    <t>Curvibacter sp. AEP1-3</t>
  </si>
  <si>
    <t>Bacteria;Bacillota;Clostridia;Eubacteriales;Desulfitobacteriaceae;Dehalobacter;Dehalobacter sp. MCB1;</t>
  </si>
  <si>
    <t>Dehalobacter sp. MCB1</t>
  </si>
  <si>
    <t>Bacteria;Thermodesulfobacteriota;Desulfovibrionia;Desulfovibrionales;Desulfovibrionaceae;Desulfovibrio;Desulfovibrio sp. DV;</t>
  </si>
  <si>
    <t>Desulfovibrio</t>
  </si>
  <si>
    <t>Desulfovibrio sp. DV</t>
  </si>
  <si>
    <t>Bacteria;Pseudomonadota;Gammaproteobacteria;Lysobacterales;Lysobacteraceae;Xanthomonas;Xanthomonas nasturtii;</t>
  </si>
  <si>
    <t>Xanthomonas nasturtii</t>
  </si>
  <si>
    <t>Bacteria;Pseudomonadota;Alphaproteobacteria;Sphingomonadales;Sphingomonadaceae;Sphingomonas;Sphingomonas prati;</t>
  </si>
  <si>
    <t>Sphingomonas prati</t>
  </si>
  <si>
    <t>Bacteria;Bacteroidota;Sphingobacteriia;Sphingobacteriales;Sphingobacteriaceae;Pedobacter;Pedobacter psychrotolerans;</t>
  </si>
  <si>
    <t>Pedobacter psychrotolerans</t>
  </si>
  <si>
    <t>Bacteria;Pseudomonadota;Betaproteobacteria;Burkholderiales;Comamonadaceae;Macromonas;Macromonas nakdongensis;</t>
  </si>
  <si>
    <t>Macromonas</t>
  </si>
  <si>
    <t>Macromonas nakdongensis</t>
  </si>
  <si>
    <t>Bacteria;Pseudomonadota;Betaproteobacteria;Burkholderiales;Comamonadaceae;Rhodoferax;Rhodoferax koreense;</t>
  </si>
  <si>
    <t>Rhodoferax koreense</t>
  </si>
  <si>
    <t>Bacteria;Pseudomonadota;Alphaproteobacteria;Hyphomicrobiales;Boseaceae;Bosea;Bosea sp. RAC05;</t>
  </si>
  <si>
    <t>Bosea sp. RAC05</t>
  </si>
  <si>
    <t>Bacteria;Pseudomonadota;Betaproteobacteria;Burkholderiales;Comamonadaceae;Hydrogenophaga;Hydrogenophaga sp. RAC07;</t>
  </si>
  <si>
    <t>Hydrogenophaga sp. RAC07</t>
  </si>
  <si>
    <t>Bacteria;Pseudomonadota;Betaproteobacteria;Burkholderiales;Comamonadaceae;Acidovorax;Acidovorax sp. RAC01;</t>
  </si>
  <si>
    <t>Acidovorax sp. RAC01</t>
  </si>
  <si>
    <t>Bacteria;Pseudomonadota;Gammaproteobacteria;Enterobacterales;Yersiniaceae;Serratia;Serratia sp. 14-2641;</t>
  </si>
  <si>
    <t>Serratia sp. 14-2641</t>
  </si>
  <si>
    <t>Bacteria;Bacillota;Clostridia;Eubacteriales;Clostridiaceae;Candidatus Arthromitus;Candidatus Arthromitus sp. SFB-turkey;</t>
  </si>
  <si>
    <t>Candidatus Arthromitus</t>
  </si>
  <si>
    <t>Candidatus Arthromitus sp. SFB-turkey</t>
  </si>
  <si>
    <t>Bacteria;Pseudomonadota;Gammaproteobacteria;Moraxellales;Moraxellaceae;Acinetobacter;Acinetobacter portensis;</t>
  </si>
  <si>
    <t>Acinetobacter portensis</t>
  </si>
  <si>
    <t>Bacteria;Verrucomicrobiota;Opitutia;Opitutales;Opitutaceae;Lacunisphaera;Lacunisphaera limnophila;</t>
  </si>
  <si>
    <t>Lacunisphaera</t>
  </si>
  <si>
    <t>Lacunisphaera limnophila</t>
  </si>
  <si>
    <t>Bacteria;Actinomycetota;Actinomycetes;Sporichthyales;Sporichthyaceae;Longivirga;Longivirga aurantiaca;</t>
  </si>
  <si>
    <t>Sporichthyales</t>
  </si>
  <si>
    <t>Sporichthyaceae</t>
  </si>
  <si>
    <t>Longivirga</t>
  </si>
  <si>
    <t>Longivirga aurantiaca</t>
  </si>
  <si>
    <t>Bacteria;Bacillota;Bacilli;Bacillales;Paenibacillaceae;Paenibacillus;Paenibacillus sinopodophylli;</t>
  </si>
  <si>
    <t>Paenibacillus sinopodophylli</t>
  </si>
  <si>
    <t>Bacteria;Actinomycetota;Actinomycetes;Micrococcales;Micrococcaceae;Enteractinococcus;Enteractinococcus helveticum;</t>
  </si>
  <si>
    <t>Enteractinococcus</t>
  </si>
  <si>
    <t>Enteractinococcus helveticum</t>
  </si>
  <si>
    <t>Bacteria;Pseudomonadota;Betaproteobacteria;Burkholderiales;Comamonadaceae;Variovorax;Variovorax rhizosphaerae;</t>
  </si>
  <si>
    <t>Variovorax rhizosphaerae</t>
  </si>
  <si>
    <t>Bacteria;Pseudomonadota;Betaproteobacteria;Burkholderiales;Comamonadaceae;Variovorax;Variovorax robiniae;</t>
  </si>
  <si>
    <t>Variovorax robiniae</t>
  </si>
  <si>
    <t>Bacteria;Pseudomonadota;Betaproteobacteria;Burkholderiales;Comamonadaceae;Variovorax;Variovorax ureilyticus;</t>
  </si>
  <si>
    <t>Variovorax ureilyticus</t>
  </si>
  <si>
    <t>Bacteria;Pseudomonadota;Betaproteobacteria;Burkholderiales;Comamonadaceae;Limnohabitans;Limnohabitans sp. JirII-29;</t>
  </si>
  <si>
    <t>Limnohabitans sp. JirII-29</t>
  </si>
  <si>
    <t>Bacteria;Actinomycetota;Actinomycetes;Propionibacteriales;Nocardioidaceae;Nocardioides;Nocardioides taihuensis;</t>
  </si>
  <si>
    <t>Nocardioides taihuensis</t>
  </si>
  <si>
    <t>Bacteria;Pseudomonadota;Betaproteobacteria;Burkholderiales;Burkholderiaceae;Polynucleobacter;Polynucleobacter duraquae;</t>
  </si>
  <si>
    <t>Polynucleobacter duraquae</t>
  </si>
  <si>
    <t>Bacteria;Bacteroidota;Flavobacteriia;Flavobacteriales;Flavobacteriaceae;Flavobacterium;Flavobacterium quisquiliarum;</t>
  </si>
  <si>
    <t>Flavobacterium quisquiliarum</t>
  </si>
  <si>
    <t>Bacteria;Bacillota;Bacilli;Lactobacillales;Enterococcaceae;Enterococcus;Enterococcus sp. 3G6_DIV0642;</t>
  </si>
  <si>
    <t>Enterococcus sp. 3G6_DIV0642</t>
  </si>
  <si>
    <t>Bacteria;Actinomycetota;Actinomycetes;Mycobacteriales;Mycobacteriaceae;Mycobacterium;Mycobacterium sp. E2479;</t>
  </si>
  <si>
    <t>Mycobacterium sp. E2479</t>
  </si>
  <si>
    <t>Bacteria;Actinomycetota;Actinomycetes;Mycobacteriales;Mycobacteriaceae;Mycobacterium;Mycobacterium sp. 852014-52144_SCH5372336;</t>
  </si>
  <si>
    <t>Mycobacterium sp. 852014-52144_SCH5372336</t>
  </si>
  <si>
    <t>Bacteria;Actinomycetota;Actinomycetes;Mycobacteriales;Mycobacteriaceae;Mycobacterium;Mycobacterium sp. 852002-51971_SCH5477799-a;</t>
  </si>
  <si>
    <t>Mycobacterium sp. 852002-51971_SCH5477799-a</t>
  </si>
  <si>
    <t>Bacteria;Actinomycetota;Actinomycetes;Mycobacteriales;Mycobacteriaceae;Mycobacterium;Mycobacterium sp. 852002-51057_SCH5723018;</t>
  </si>
  <si>
    <t>Mycobacterium sp. 852002-51057_SCH5723018</t>
  </si>
  <si>
    <t>Bacteria;Cyanobacteriota;Cyanophyceae;Chroococcales;Microcystaceae;Microcystis;Microcystis sp. LEGE 00066;</t>
  </si>
  <si>
    <t>Microcystis sp. LEGE 00066</t>
  </si>
  <si>
    <t>Bacteria;Cyanobacteriota;Cyanophyceae;Oculatellales;Oculatellaceae;Oculatella;Oculatella sp. LEGE 06141;</t>
  </si>
  <si>
    <t>Oculatellales</t>
  </si>
  <si>
    <t>Oculatellaceae</t>
  </si>
  <si>
    <t>Oculatella</t>
  </si>
  <si>
    <t>Oculatella sp. LEGE 06141</t>
  </si>
  <si>
    <t>Bacteria;Cyanobacteriota;Cyanophyceae;Nostocales;Nostocaceae;Nostoc;Nostoc sp. LEGE 12447;</t>
  </si>
  <si>
    <t>Nostoc sp. LEGE 12447</t>
  </si>
  <si>
    <t>Bacteria;Pseudomonadota;Alphaproteobacteria;Hyphomicrobiales;Phyllobacteriaceae;Mesorhizobium;Mesorhizobium sp. YM1C-6-2;</t>
  </si>
  <si>
    <t>Mesorhizobium sp. YM1C-6-2</t>
  </si>
  <si>
    <t>Bacteria;Pseudomonadota;Alphaproteobacteria;Caulobacterales;Caulobacteraceae;Brevundimonas;Brevundimonas sp. GW460-12-10-14-LB2;</t>
  </si>
  <si>
    <t>Brevundimonas sp. GW460-12-10-14-LB2</t>
  </si>
  <si>
    <t>Bacteria;Pseudomonadota;Gammaproteobacteria;Lysobacterales;Lysobacteraceae;Stenotrophomonas;Stenotrophomonas sp. MYb57;</t>
  </si>
  <si>
    <t>Stenotrophomonas sp. MYb57</t>
  </si>
  <si>
    <t>Bacteria;Bacteroidota;Flavobacteriia;Flavobacteriales;Weeksellaceae;Chryseobacterium;Chryseobacterium sp. MYb7;</t>
  </si>
  <si>
    <t>Chryseobacterium sp. MYb7</t>
  </si>
  <si>
    <t>Bacteria;Pseudomonadota;Betaproteobacteria;Burkholderiales;Comamonadaceae;Delftia;Delftia sp. GW456-R20;</t>
  </si>
  <si>
    <t>Delftia sp. GW456-R20</t>
  </si>
  <si>
    <t>Bacteria;Pseudomonadota;Betaproteobacteria;Burkholderiales;Comamonadaceae;Limnohabitans;Limnohabitans sp. Jir61;</t>
  </si>
  <si>
    <t>Limnohabitans sp. Jir61</t>
  </si>
  <si>
    <t>Bacteria;Pseudomonadota;Betaproteobacteria;Burkholderiales;Comamonadaceae;Limnohabitans;Limnohabitans sp. Hippo4;</t>
  </si>
  <si>
    <t>Limnohabitans sp. Hippo4</t>
  </si>
  <si>
    <t>Bacteria;Pseudomonadota;Alphaproteobacteria;Hyphomicrobiales;Rhizobiaceae;Neorhizobium;Neorhizobium sp. NCHU2750;</t>
  </si>
  <si>
    <t>Neorhizobium sp. NCHU2750</t>
  </si>
  <si>
    <t>Bacteria;Pseudomonadota;Alphaproteobacteria;Hyphomicrobiales;Rhizobiaceae;Rhizobium;Rhizobium sp. WYCCWR10014;</t>
  </si>
  <si>
    <t>Rhizobium sp. WYCCWR10014</t>
  </si>
  <si>
    <t>Bacteria;Bacteroidota;Chitinophagia;Chitinophagales;Chitinophagaceae;Niabella;Niabella hibiscisoli;</t>
  </si>
  <si>
    <t>Niabella hibiscisoli</t>
  </si>
  <si>
    <t>Bacteria;Pseudomonadota;Betaproteobacteria;Burkholderiales;Burkholderiaceae;Polynucleobacter;Polynucleobacter sp. UB-Piko-W3;</t>
  </si>
  <si>
    <t>Polynucleobacter sp. UB-Piko-W3</t>
  </si>
  <si>
    <t>Bacteria;Pseudomonadota;Alphaproteobacteria;Hyphomicrobiales;Rhizobiaceae;Shinella;Shinella curvata;</t>
  </si>
  <si>
    <t>Shinella curvata</t>
  </si>
  <si>
    <t>Bacteria;Actinomycetota;Actinomycetes;Micrococcales;Microbacteriaceae;Agromyces;Agromyces binzhouensis;</t>
  </si>
  <si>
    <t>Agromyces binzhouensis</t>
  </si>
  <si>
    <t>Bacteria;Pseudomonadota;Gammaproteobacteria;Oceanospirillales;Oceanospirillaceae;Neptunomonas;Neptunomonas marina;</t>
  </si>
  <si>
    <t>Neptunomonas</t>
  </si>
  <si>
    <t>Neptunomonas marina</t>
  </si>
  <si>
    <t>Bacteria;Pseudomonadota;Alphaproteobacteria;Rhodobacterales;Paracoccaceae;Paracoccus;Paracoccus fontiphilus;</t>
  </si>
  <si>
    <t>Paracoccus fontiphilus</t>
  </si>
  <si>
    <t>Bacteria;Pseudomonadota;Betaproteobacteria;Burkholderiales;Comamonadaceae;Acidovorax;Acidovorax sp. GW101-3H11;</t>
  </si>
  <si>
    <t>Acidovorax sp. GW101-3H11</t>
  </si>
  <si>
    <t>Bacteria;Pseudomonadota;Alphaproteobacteria;Caulobacterales;Caulobacteraceae;Phenylobacterium;Phenylobacterium hankyongense;</t>
  </si>
  <si>
    <t>Phenylobacterium hankyongense</t>
  </si>
  <si>
    <t>Bacteria;Pseudomonadota;Alphaproteobacteria;Rhodobacterales;Roseobacteraceae;Leisingera;Leisingera sp. F5;</t>
  </si>
  <si>
    <t>Leisingera sp. F5</t>
  </si>
  <si>
    <t>Bacteria;Pseudomonadota;Alphaproteobacteria;Sphingomonadales;Sphingomonadaceae;Sphingomonas;Sphingomonas naphthae;</t>
  </si>
  <si>
    <t>Sphingomonas naphthae</t>
  </si>
  <si>
    <t>Bacteria;Pseudomonadota;Alphaproteobacteria;Hyphomicrobiales;Rhizobiaceae;Peteryoungia;Peteryoungia desertarenae;</t>
  </si>
  <si>
    <t>Peteryoungia</t>
  </si>
  <si>
    <t>Peteryoungia desertarenae</t>
  </si>
  <si>
    <t>Bacteria;Bacteroidota;Chitinophagia;Chitinophagales;Chitinophagaceae;Flavihumibacter;Flavihumibacter sp. CACIAM 22H1;</t>
  </si>
  <si>
    <t>Flavihumibacter sp. CACIAM 22H1</t>
  </si>
  <si>
    <t>Bacteria;Bacillota;Clostridia;Lachnospirales;Lachnospiraceae;Anaerosacchariphilus;Anaerosacchariphilus polymeriproducens;</t>
  </si>
  <si>
    <t>Anaerosacchariphilus</t>
  </si>
  <si>
    <t>Anaerosacchariphilus polymeriproducens</t>
  </si>
  <si>
    <t>Bacteria;Pseudomonadota;Betaproteobacteria;Burkholderiales;Comamonadaceae;Delftia;Delftia sp. PE138;</t>
  </si>
  <si>
    <t>Delftia sp. PE138</t>
  </si>
  <si>
    <t>Bacteria;Pseudomonadota;Betaproteobacteria;Burkholderiales;Comamonadaceae;Comamonas;Comamonas sp. PE63;</t>
  </si>
  <si>
    <t>Comamonas sp. PE63</t>
  </si>
  <si>
    <t>Bacteria;Bacteroidota;Sphingobacteriia;Sphingobacteriales;Sphingobacteriaceae;Mucilaginibacter;Mucilaginibacter phyllosphaerae;</t>
  </si>
  <si>
    <t>Mucilaginibacter phyllosphaerae</t>
  </si>
  <si>
    <t>Bacteria;Pseudomonadota;Betaproteobacteria;Burkholderiales;Oxalobacteraceae;Undibacterium;Undibacterium danionis;</t>
  </si>
  <si>
    <t>Undibacterium danionis</t>
  </si>
  <si>
    <t>Bacteria;Pseudomonadota;Alphaproteobacteria;Hyphomicrobiales;Phyllobacteriaceae;Aquamicrobium;Aquamicrobium soli;</t>
  </si>
  <si>
    <t>Aquamicrobium</t>
  </si>
  <si>
    <t>Aquamicrobium soli</t>
  </si>
  <si>
    <t>Bacteria;Pseudomonadota;Betaproteobacteria;Burkholderiales;Oxalobacteraceae;Herminiimonas;Herminiimonas arsenitoxidans;</t>
  </si>
  <si>
    <t>Herminiimonas arsenitoxidans</t>
  </si>
  <si>
    <t>Bacteria;Pseudomonadota;Gammaproteobacteria;Pseudomonadales;Pseudomonadaceae;Pseudomonas;Pseudomonas turukhanskensis;</t>
  </si>
  <si>
    <t>Pseudomonas turukhanskensis</t>
  </si>
  <si>
    <t>Bacteria;Pseudomonadota;Betaproteobacteria;Burkholderiales;Comamonadaceae;Hydrogenophaga;Hydrogenophaga laconesensis;</t>
  </si>
  <si>
    <t>Hydrogenophaga laconesensis</t>
  </si>
  <si>
    <t>Bacteria;Bacillota;Clostridia;Eubacteriales;Clostridiaceae;Clostridium;Clostridium sp. Marseille-P299;</t>
  </si>
  <si>
    <t>Clostridium sp. Marseille-P299</t>
  </si>
  <si>
    <t>Bacteria;Bacillota;Bacilli;Bacillales;Bacillaceae;Bacillus;Bacillus massilionigeriensis;</t>
  </si>
  <si>
    <t>Bacillus massilionigeriensis</t>
  </si>
  <si>
    <t>Bacteria;Bacillota;Bacilli;Bacillales;Bacillaceae;Bacillus;Bacillus mediterraneensis;</t>
  </si>
  <si>
    <t>Bacillus mediterraneensis</t>
  </si>
  <si>
    <t>Bacteria;Bacteroidota;Flavobacteriia;Flavobacteriales;Weeksellaceae;Chryseobacterium;Chryseobacterium timonianum;</t>
  </si>
  <si>
    <t>Chryseobacterium timonianum</t>
  </si>
  <si>
    <t>Bacteria;Bacillota;Clostridia;Eubacteriales;Clostridiaceae;Clostridium;Clostridium mediterraneense;</t>
  </si>
  <si>
    <t>Clostridium mediterraneense</t>
  </si>
  <si>
    <t>Bacteria;Bacillota;Clostridia;Eubacteriales;Clostridiaceae;Clostridium;Clostridium sp. Marseille-P2415;</t>
  </si>
  <si>
    <t>Clostridium sp. Marseille-P2415</t>
  </si>
  <si>
    <t>Bacteria;Bacillota;Clostridia;Eubacteriales;Clostridiaceae;Clostridium;Clostridium nigeriense;</t>
  </si>
  <si>
    <t>Clostridium nigeriense</t>
  </si>
  <si>
    <t>Bacteria;Actinomycetota;Actinomycetes;Propionibacteriales;Nocardioidaceae;Nocardioides;Nocardioides baekrokdamisoli;</t>
  </si>
  <si>
    <t>Nocardioides baekrokdamisoli</t>
  </si>
  <si>
    <t>Bacteria;Bacteroidota;Flavobacteriia;Flavobacteriales;Flavobacteriaceae;Croceitalea;uncultured Croceitalea sp.;</t>
  </si>
  <si>
    <t>Croceitalea</t>
  </si>
  <si>
    <t>uncultured Croceitalea sp.</t>
  </si>
  <si>
    <t>Bacteria;Pseudomonadota;Betaproteobacteria;Burkholderiales;Sphaerotilaceae;Piscinibacter;Piscinibacter defluvii;</t>
  </si>
  <si>
    <t>Piscinibacter defluvii</t>
  </si>
  <si>
    <t>Bacteria;Bacillota;Clostridia;Lachnospirales;Lachnospiraceae;Muricomes;Muricomes intestini;</t>
  </si>
  <si>
    <t>Muricomes</t>
  </si>
  <si>
    <t>Muricomes intestini</t>
  </si>
  <si>
    <t>Bacteria;Bacillota;Clostridia;Eubacteriales;Eubacteriaceae;Irregularibacter;Irregularibacter muris;</t>
  </si>
  <si>
    <t>Irregularibacter</t>
  </si>
  <si>
    <t>Irregularibacter muris</t>
  </si>
  <si>
    <t>Bacteria;Pseudomonadota;Betaproteobacteria;Burkholderiales;Comamonadaceae;Variovorax;Variovorax sp. PAMC 28711;</t>
  </si>
  <si>
    <t>Variovorax sp. PAMC 28711</t>
  </si>
  <si>
    <t>Bacteria;Pseudomonadota;Gammaproteobacteria;Pseudomonadales;Pseudomonadaceae;Pseudomonas;Pseudomonas fluvialis;</t>
  </si>
  <si>
    <t>Pseudomonas fluvialis</t>
  </si>
  <si>
    <t>Bacteria;Bacteroidota;Sphingobacteriia;Sphingobacteriales;Sphingobacteriaceae;Mucilaginibacter;Mucilaginibacter pedocola;</t>
  </si>
  <si>
    <t>Mucilaginibacter pedocola</t>
  </si>
  <si>
    <t>Bacteria;Pseudomonadota;Betaproteobacteria;Rhodocyclales;Zoogloeaceae;Thauera;Thauera phenolivorans;</t>
  </si>
  <si>
    <t>Thauera phenolivorans</t>
  </si>
  <si>
    <t>Bacteria;Bacteroidota;Chitinophagia;Chitinophagales;Chitinophagaceae;Puia;Puia dinghuensis;</t>
  </si>
  <si>
    <t>Puia dinghuensis</t>
  </si>
  <si>
    <t>Bacteria;Pseudomonadota;Betaproteobacteria;Burkholderiales;Burkholderiaceae;Pararobbsia;Pararobbsia silviterrae;</t>
  </si>
  <si>
    <t>Pararobbsia</t>
  </si>
  <si>
    <t>Pararobbsia silviterrae</t>
  </si>
  <si>
    <t>Bacteria;Bacillota;Clostridia;Eubacteriales;Oscillospiraceae;Petroclostridium;Petroclostridium xylanilyticum;</t>
  </si>
  <si>
    <t>Petroclostridium xylanilyticum</t>
  </si>
  <si>
    <t>Bacteria;Pseudomonadota;Alphaproteobacteria;Hyphomicrobiales;Boseaceae;Bosea;Bosea sp. PAMC 26642;</t>
  </si>
  <si>
    <t>Bosea sp. PAMC 26642</t>
  </si>
  <si>
    <t>Bacteria;Pseudomonadota;Gammaproteobacteria;Pseudomonadales;Pseudomonadaceae;Pseudomonas;Pseudomonas reidholzensis;</t>
  </si>
  <si>
    <t>Pseudomonas reidholzensis</t>
  </si>
  <si>
    <t>Bacteria;Pseudomonadota;Betaproteobacteria;Burkholderiales;Comamonadaceae;Ramlibacter;Ramlibacter rhizophilus;</t>
  </si>
  <si>
    <t>Ramlibacter rhizophilus</t>
  </si>
  <si>
    <t>Bacteria;Campylobacterota;Epsilonproteobacteria;Campylobacterales;Campylobacteraceae;Campylobacter;Campylobacter geochelonis;</t>
  </si>
  <si>
    <t>Campylobacteraceae</t>
  </si>
  <si>
    <t>Campylobacter</t>
  </si>
  <si>
    <t>Campylobacter geochelonis</t>
  </si>
  <si>
    <t>Bacteria;Bacillota;Bacilli;Bacillales;Paenibacillaceae;Paenibacillus;Paenibacillus psychroresistens;</t>
  </si>
  <si>
    <t>Paenibacillus psychroresistens</t>
  </si>
  <si>
    <t>Bacteria;Pseudomonadota;Alphaproteobacteria;Sphingomonadales;Sphingomonadaceae;Novosphingobium;Novosphingobium flavum;</t>
  </si>
  <si>
    <t>Novosphingobium flavum</t>
  </si>
  <si>
    <t>Bacteria;Pseudomonadota;Betaproteobacteria;Burkholderiales;Burkholderiaceae;Limnobacter;Limnobacter humi;</t>
  </si>
  <si>
    <t>Limnobacter humi</t>
  </si>
  <si>
    <t>Bacteria;Pseudomonadota;Gammaproteobacteria;Enterobacterales;Pectobacteriaceae;Dickeya;Dickeya fangzhongdai;</t>
  </si>
  <si>
    <t>Dickeya</t>
  </si>
  <si>
    <t>Dickeya fangzhongdai</t>
  </si>
  <si>
    <t>Bacteria;Pseudomonadota;Alphaproteobacteria;Hyphomicrobiales;Phyllobacteriaceae;Mesorhizobium;Mesorhizobium erdmanii;</t>
  </si>
  <si>
    <t>Mesorhizobium erdmanii</t>
  </si>
  <si>
    <t>Bacteria;Pseudomonadota;Betaproteobacteria;Burkholderiales;Burkholderiaceae;Caballeronia;Caballeronia arationis;</t>
  </si>
  <si>
    <t>Caballeronia arationis</t>
  </si>
  <si>
    <t>Bacteria;Pseudomonadota;Betaproteobacteria;Burkholderiales;Burkholderiaceae;Caballeronia;Caballeronia pedi;</t>
  </si>
  <si>
    <t>Caballeronia pedi</t>
  </si>
  <si>
    <t>Bacteria;Actinomycetota;Actinomycetes;Propionibacteriales;Nocardioidaceae;Nocardioides;Nocardioides zeicaulis;</t>
  </si>
  <si>
    <t>Nocardioides zeicaulis</t>
  </si>
  <si>
    <t>Bacteria;Bacillota;Clostridia;Eubacteriales;Clostridiaceae;Clostridium;Clostridium sp. N3C;</t>
  </si>
  <si>
    <t>Clostridium sp. N3C</t>
  </si>
  <si>
    <t>Bacteria;Pseudomonadota;Gammaproteobacteria;Moraxellales;Moraxellaceae;Acinetobacter;Acinetobacter proteolyticus;</t>
  </si>
  <si>
    <t>Acinetobacter proteolyticus</t>
  </si>
  <si>
    <t>Bacteria;Pseudomonadota;Gammaproteobacteria;Moraxellales;Moraxellaceae;Acinetobacter;Acinetobacter modestus;</t>
  </si>
  <si>
    <t>Acinetobacter modestus</t>
  </si>
  <si>
    <t>Bacteria;Actinomycetota;Actinomycetes;Propionibacteriales;Nocardioidaceae;Nocardioides;Nocardioides astragali;</t>
  </si>
  <si>
    <t>Nocardioides astragali</t>
  </si>
  <si>
    <t>Bacteria;Bacillota;Clostridia;Peptostreptococcales;Peptostreptococcaceae;Romboutsia;Romboutsia timonensis;</t>
  </si>
  <si>
    <t>Romboutsia timonensis</t>
  </si>
  <si>
    <t>Bacteria;Bacillota;Clostridia;Eubacteriales;Clostridiaceae;Clostridium;Clostridium massiliodielmoense;</t>
  </si>
  <si>
    <t>Clostridium massiliodielmoense</t>
  </si>
  <si>
    <t>Bacteria;Bacillota;Clostridia;Peptostreptococcales;Anaerovoracaceae;Emergencia;Emergencia timonensis;</t>
  </si>
  <si>
    <t>Emergencia</t>
  </si>
  <si>
    <t>Emergencia timonensis</t>
  </si>
  <si>
    <t>Bacteria;Actinomycetota;Actinomycetes;Micrococcales;Microbacteriaceae;Microbacterium;Microbacterium sp. TNHR37B;</t>
  </si>
  <si>
    <t>Microbacterium sp. TNHR37B</t>
  </si>
  <si>
    <t>Bacteria;Pseudomonadota;Alphaproteobacteria;Hyphomicrobiales;Methylobacteriaceae;Methylobacterium;Methylobacterium indicum;</t>
  </si>
  <si>
    <t>Methylobacterium indicum</t>
  </si>
  <si>
    <t>Bacteria;Pseudomonadota;Betaproteobacteria;Burkholderiales;Comamonadaceae;Variovorax;Variovorax guangxiensis;</t>
  </si>
  <si>
    <t>Variovorax guangxiensis</t>
  </si>
  <si>
    <t>Bacteria;Pseudomonadota;Alphaproteobacteria;Hyphomicrobiales;Hyphomicrobiaceae;Methyloceanibacter;Methyloceanibacter methanicus;</t>
  </si>
  <si>
    <t>Methyloceanibacter</t>
  </si>
  <si>
    <t>Methyloceanibacter methanicus</t>
  </si>
  <si>
    <t>Bacteria;Pseudomonadota;Alphaproteobacteria;Sphingomonadales;Sphingomonadaceae;Novosphingobium;Novosphingobium profundi;</t>
  </si>
  <si>
    <t>Novosphingobium profundi</t>
  </si>
  <si>
    <t>Bacteria;Actinomycetota;Actinomycetes;Mycobacteriales;Mycobacteriaceae;Mycobacterium;Mycobacterium sp. GA-1285;</t>
  </si>
  <si>
    <t>Mycobacterium sp. GA-1285</t>
  </si>
  <si>
    <t>Bacteria;Pseudomonadota;Alphaproteobacteria;Sphingomonadales;Sphingosinicellaceae;Sphingoaurantiacus;Sphingoaurantiacus capsulatus;</t>
  </si>
  <si>
    <t>Sphingoaurantiacus</t>
  </si>
  <si>
    <t>Sphingoaurantiacus capsulatus</t>
  </si>
  <si>
    <t>Bacteria;Pseudomonadota;Betaproteobacteria;Burkholderiales;Burkholderiaceae;Chitinasiproducens;Chitinasiproducens palmae;</t>
  </si>
  <si>
    <t>Chitinasiproducens</t>
  </si>
  <si>
    <t>Chitinasiproducens palmae</t>
  </si>
  <si>
    <t>Bacteria;Pseudomonadota;Betaproteobacteria;Burkholderiales;Comamonadaceae;Variovorax;Variovorax humicola;</t>
  </si>
  <si>
    <t>Variovorax humicola</t>
  </si>
  <si>
    <t>Bacteria;Bacillota;Clostridia;Lachnospirales;Lachnospiraceae;Sellimonas;uncultured Sellimonas sp.;</t>
  </si>
  <si>
    <t>Sellimonas</t>
  </si>
  <si>
    <t>uncultured Sellimonas sp.</t>
  </si>
  <si>
    <t>Bacteria;Pseudomonadota;Alphaproteobacteria;Hyphomicrobiales;Methylobacteriaceae;Methylobacterium;Methylobacterium sp. CCH7-A2;</t>
  </si>
  <si>
    <t>Methylobacterium sp. CCH7-A2</t>
  </si>
  <si>
    <t>Bacteria;Pseudomonadota;Alphaproteobacteria;Sphingomonadales;Sphingomonadaceae;Sphingobium;Sphingobium sp. CCH11-B1;</t>
  </si>
  <si>
    <t>Sphingobium sp. CCH11-B1</t>
  </si>
  <si>
    <t>Bacteria;Pseudomonadota;Alphaproteobacteria;Caulobacterales;Caulobacteraceae;Caulobacter;Caulobacter sp. CCH9-E1;</t>
  </si>
  <si>
    <t>Caulobacter sp. CCH9-E1</t>
  </si>
  <si>
    <t>Bacteria;Pseudomonadota;Alphaproteobacteria;Sphingomonadales;Sphingomonadaceae;Sphingomonas;Sphingomonas sp. CCH18-B1;</t>
  </si>
  <si>
    <t>Sphingomonas sp. CCH18-B1</t>
  </si>
  <si>
    <t>Bacteria;Pseudomonadota;Betaproteobacteria;Burkholderiales;Sphaerotilaceae;Roseateles;Paucibacter sp. KCTC 42545;</t>
  </si>
  <si>
    <t>Paucibacter sp. KCTC 42545</t>
  </si>
  <si>
    <t>Bacteria;Bacillota;Clostridia;Lachnospirales;Lachnospiraceae;Agathobacter;uncultured Agathobacter sp.;</t>
  </si>
  <si>
    <t>Agathobacter</t>
  </si>
  <si>
    <t>uncultured Agathobacter sp.</t>
  </si>
  <si>
    <t>Bacteria;Bacillota;Clostridia;Eubacteriales;Clostridiaceae;Abyssisolibacter;Abyssisolibacter fermentans;</t>
  </si>
  <si>
    <t>Abyssisolibacter</t>
  </si>
  <si>
    <t>Abyssisolibacter fermentans</t>
  </si>
  <si>
    <t>Bacteria;Pseudomonadota;Alphaproteobacteria;Hyphomicrobiales;Rhizobiaceae;Rhizobium;Rhizobium sp. N122;</t>
  </si>
  <si>
    <t>Rhizobium sp. N122</t>
  </si>
  <si>
    <t>Bacteria;Pseudomonadota;Gammaproteobacteria;Chromatiales;Chromatiaceae;Rheinheimera;Rheinheimera sp. F8;</t>
  </si>
  <si>
    <t>Rheinheimera sp. F8</t>
  </si>
  <si>
    <t>Bacteria;Pseudomonadota;Alphaproteobacteria;Caulobacterales;Caulobacteraceae;Phenylobacterium;Phenylobacterium aquaticum;</t>
  </si>
  <si>
    <t>Phenylobacterium aquaticum</t>
  </si>
  <si>
    <t>Bacteria;Pseudomonadota;Betaproteobacteria;Burkholderiales;Comamonadaceae;Hydrogenophaga;Hydrogenophaga crassostreae;</t>
  </si>
  <si>
    <t>Hydrogenophaga crassostreae</t>
  </si>
  <si>
    <t>Bacteria;Bacillota;Clostridia;Lachnospirales;Lachnospiraceae;Lachnotalea;Lachnotalea glycerini;</t>
  </si>
  <si>
    <t>Lachnotalea glycerini</t>
  </si>
  <si>
    <t>Bacteria;Actinomycetota;Actinomycetes;Mycobacteriales;Mycobacteriaceae;Mycobacterium;Mycobacterium sp. M26;</t>
  </si>
  <si>
    <t>Mycobacterium sp. M26</t>
  </si>
  <si>
    <t>Bacteria;Bacteroidota;Sphingobacteriia;Sphingobacteriales;Sphingobacteriaceae;Pedobacter;Pedobacter vanadiisoli;</t>
  </si>
  <si>
    <t>Pedobacter vanadiisoli</t>
  </si>
  <si>
    <t>Bacteria;Pseudomonadota;Gammaproteobacteria;Vibrionales;Vibrionaceae;Vibrio;Vibrio sp. MEBiC08052;</t>
  </si>
  <si>
    <t>Vibrio</t>
  </si>
  <si>
    <t>Vibrio sp. MEBiC08052</t>
  </si>
  <si>
    <t>Bacteria;Bacteroidota;Sphingobacteriia;Sphingobacteriales;Sphingobacteriaceae;Pedobacter;Pedobacter sp. ok626;</t>
  </si>
  <si>
    <t>Pedobacter sp. ok626</t>
  </si>
  <si>
    <t>Bacteria;Actinomycetota;Actinomycetes;Micrococcales;Microbacteriaceae;Microbacterium;Microbacterium sp. cf046;</t>
  </si>
  <si>
    <t>Microbacterium sp. cf046</t>
  </si>
  <si>
    <t>Bacteria;Bacteroidota;Flavobacteriia;Flavobacteriales;Flavobacteriaceae;Flavobacterium;Flavobacterium sp. ov086;</t>
  </si>
  <si>
    <t>Flavobacterium sp. ov086</t>
  </si>
  <si>
    <t>Bacteria;Bacillota;Clostridia;Eubacteriales;Clostridiaceae;Clostridium;Clostridium sp. DSM 8431;</t>
  </si>
  <si>
    <t>Clostridium sp. DSM 8431</t>
  </si>
  <si>
    <t>Bacteria;Bacillota;Clostridia;Eubacteriales;Peptococcaceae;Candidatus Formimonas;Candidatus Formimonas warabiya;</t>
  </si>
  <si>
    <t>Peptococcaceae</t>
  </si>
  <si>
    <t>Candidatus Formimonas</t>
  </si>
  <si>
    <t>Candidatus Formimonas warabiya</t>
  </si>
  <si>
    <t>Bacteria;Bacteroidota;Bacteroidia;Bacteroidales;Rikenellaceae;Acetobacteroides;uncultured Acetobacteroides sp.;</t>
  </si>
  <si>
    <t>Rikenellaceae</t>
  </si>
  <si>
    <t>Acetobacteroides</t>
  </si>
  <si>
    <t>uncultured Acetobacteroides sp.</t>
  </si>
  <si>
    <t>Bacteria;Bacillota;Bacilli;Bacillales;Caryophanaceae;Sporosarcina;Sporosarcina sp. HYO08;</t>
  </si>
  <si>
    <t>Sporosarcina sp. HYO08</t>
  </si>
  <si>
    <t>Bacteria;Bacillota;Bacilli;Bacillales;Bacillaceae;Bacillus;Bacillus sp. V59.32b;</t>
  </si>
  <si>
    <t>Bacillus sp. V59.32b</t>
  </si>
  <si>
    <t>Bacteria;Pseudomonadota;Betaproteobacteria;Burkholderiales;Burkholderiaceae;Polynucleobacter;Polynucleobacter sp. VK25;</t>
  </si>
  <si>
    <t>Polynucleobacter sp. VK25</t>
  </si>
  <si>
    <t>Bacteria;Pseudomonadota;Alphaproteobacteria;Hyphomicrobiales;Phyllobacteriaceae;Nitratireductor;Nitratireductor sp. OM-1;</t>
  </si>
  <si>
    <t>Nitratireductor sp. OM-1</t>
  </si>
  <si>
    <t>Bacteria;Bacteroidota;Sphingobacteriia;Sphingobacteriales;Sphingobacteriaceae;Pedobacter;Pedobacter sp. UYP1;</t>
  </si>
  <si>
    <t>Pedobacter sp. UYP1</t>
  </si>
  <si>
    <t>Bacteria;Actinomycetota;Actinomycetes;Micrococcales;Microbacteriaceae;Marisediminicola;Marisediminicola sp. UYEF4;</t>
  </si>
  <si>
    <t>Marisediminicola sp. UYEF4</t>
  </si>
  <si>
    <t>Bacteria;Pseudomonadota;Alphaproteobacteria;Rhodobacterales;Paracoccaceae;Cypionkella;Cypionkella sinensis;</t>
  </si>
  <si>
    <t>Cypionkella sinensis</t>
  </si>
  <si>
    <t>Bacteria;Pseudomonadota;Betaproteobacteria;Burkholderiales;Comamonadaceae;Limnohabitans;Limnohabitans sp. MORI2;</t>
  </si>
  <si>
    <t>Limnohabitans sp. MORI2</t>
  </si>
  <si>
    <t>Bacteria;Bacteroidota;Chitinophagia;Chitinophagales;Chitinophagaceae;Sediminibacterium;Sediminibacterium sp. KACHI17;</t>
  </si>
  <si>
    <t>Sediminibacterium sp. KACHI17</t>
  </si>
  <si>
    <t>Bacteria;Bacteroidota;Flavobacteriia;Flavobacteriales;Flavobacteriaceae;Flavobacterium;Flavobacterium ammonificans;</t>
  </si>
  <si>
    <t>Flavobacterium ammonificans</t>
  </si>
  <si>
    <t>Bacteria;Pseudomonadota;Alphaproteobacteria;Acetobacterales;Roseomonadaceae;Roseomonas;Roseomonas fluvialis;</t>
  </si>
  <si>
    <t>Roseomonas fluvialis</t>
  </si>
  <si>
    <t>Bacteria;Pseudomonadota;Gammaproteobacteria;Lysobacterales;Lysobacteraceae;Novilysobacter;Novilysobacter erysipheiresistens;</t>
  </si>
  <si>
    <t>Novilysobacter</t>
  </si>
  <si>
    <t>Novilysobacter erysipheiresistens</t>
  </si>
  <si>
    <t>Bacteria;Balneolota;Balneolia;Balneolales;Balneolaceae;Gracilimonas;Gracilimonas amylolytica;</t>
  </si>
  <si>
    <t>Gracilimonas amylolytica</t>
  </si>
  <si>
    <t>Bacteria;Bacteroidota;Cytophagia;Cytophagales;Spirosomataceae;Dyadobacter;Dyadobacter endophyticus;</t>
  </si>
  <si>
    <t>Dyadobacter endophyticus</t>
  </si>
  <si>
    <t>Bacteria;Pseudomonadota;Alphaproteobacteria;Hyphomicrobiales;Alsobacteraceae;Alsobacter;uncultured Alsobacter sp.;</t>
  </si>
  <si>
    <t>uncultured Alsobacter sp.</t>
  </si>
  <si>
    <t>Bacteria;Actinomycetota;Actinomycetes;Micrococcales;Intrasporangiaceae;Ornithinicoccus;Ornithinicoccus halotolerans;</t>
  </si>
  <si>
    <t>Ornithinicoccus</t>
  </si>
  <si>
    <t>Ornithinicoccus halotolerans</t>
  </si>
  <si>
    <t>Bacteria;Pseudomonadota;Betaproteobacteria;Burkholderiales;Alcaligenaceae;Bordetella;Bordetella sp. N;</t>
  </si>
  <si>
    <t>Bordetella sp. N</t>
  </si>
  <si>
    <t>Bacteria;Bacteroidota;Cytophagia;Cytophagales;Hymenobacteraceae;Pontibacter;Pontibacter rugosus;</t>
  </si>
  <si>
    <t>Pontibacter rugosus</t>
  </si>
  <si>
    <t>Bacteria;Pseudomonadota;Betaproteobacteria;Burkholderiales;Burkholderiaceae;Polynucleobacter;Polynucleobacter sp. QLW-P1DATA-2;</t>
  </si>
  <si>
    <t>Polynucleobacter sp. QLW-P1DATA-2</t>
  </si>
  <si>
    <t>Bacteria;Pseudomonadota;Betaproteobacteria;Burkholderiales;Burkholderiaceae;Polynucleobacter;Polynucleobacter hirudinilacicola;</t>
  </si>
  <si>
    <t>Polynucleobacter hirudinilacicola</t>
  </si>
  <si>
    <t>Bacteria;Pseudomonadota;Betaproteobacteria;Burkholderiales;Burkholderiaceae;Polynucleobacter;Polynucleobacter yangtzensis;</t>
  </si>
  <si>
    <t>Polynucleobacter yangtzensis</t>
  </si>
  <si>
    <t>Bacteria;Pseudomonadota;Betaproteobacteria;Burkholderiales;Burkholderiaceae;Polynucleobacter;Polynucleobacter sp. MWH-HuK1;</t>
  </si>
  <si>
    <t>Polynucleobacter sp. MWH-HuK1</t>
  </si>
  <si>
    <t>Bacteria;Pseudomonadota;Betaproteobacteria;Burkholderiales;Burkholderiaceae;Polynucleobacter;Polynucleobacter sinensis;</t>
  </si>
  <si>
    <t>Polynucleobacter sinensis</t>
  </si>
  <si>
    <t>Bacteria;Bacteroidota;Flavobacteriia;Flavobacteriales;Weeksellaceae;Chryseobacterium;Chryseobacterium sp. JAH;</t>
  </si>
  <si>
    <t>Chryseobacterium sp. JAH</t>
  </si>
  <si>
    <t>Bacteria;Bacillota;Bacilli;Bacillales;Bacillaceae;Neobacillus;Neobacillus cucumis;</t>
  </si>
  <si>
    <t>Neobacillus cucumis</t>
  </si>
  <si>
    <t>Bacteria;Bacteroidota;Sphingobacteriia;Sphingobacteriales;Sphingobacteriaceae;Pedobacter;Pedobacter sp. Hv1;</t>
  </si>
  <si>
    <t>Pedobacter sp. Hv1</t>
  </si>
  <si>
    <t>Bacteria;Bacillota;Clostridia;Eubacteriales;Acutalibacteraceae;Caproiciproducens;uncultured Caproiciproducens sp.;</t>
  </si>
  <si>
    <t>uncultured Caproiciproducens sp.</t>
  </si>
  <si>
    <t>Bacteria;Pseudomonadota;Alphaproteobacteria;Sphingomonadales;Erythrobacteraceae;Croceibacterium;Croceibacterium salegens;</t>
  </si>
  <si>
    <t>Croceibacterium salegens</t>
  </si>
  <si>
    <t>Bacteria;Pseudomonadota;Gammaproteobacteria;Enterobacterales;Yersiniaceae;Serratia;Serratia aquatilis;</t>
  </si>
  <si>
    <t>Serratia aquatilis</t>
  </si>
  <si>
    <t>Bacteria;Pseudomonadota;Betaproteobacteria;Neisseriales;Chitinibacteraceae;Chitinibacter;Chitinibacter fontanus;</t>
  </si>
  <si>
    <t>Chitinibacter</t>
  </si>
  <si>
    <t>Chitinibacter fontanus</t>
  </si>
  <si>
    <t>Bacteria;Bacillota;Clostridia;Lachnospirales;Lachnospiraceae;Blautia;Blautia massiliensis (ex Durand et al. 2017);</t>
  </si>
  <si>
    <t>Blautia</t>
  </si>
  <si>
    <t>Blautia massiliensis (ex Durand et al. 2017)</t>
  </si>
  <si>
    <t>Bacteria;Bacteroidota;Sphingobacteriia;Sphingobacteriales;Sphingobacteriaceae;Pedobacter;Pedobacter zeae;</t>
  </si>
  <si>
    <t>Pedobacter zeae</t>
  </si>
  <si>
    <t>Bacteria;Bacteroidota;Flavobacteriia;Flavobacteriales;Crocinitomicaceae;Brumimicrobium;Brumimicrobium aurantiacum;</t>
  </si>
  <si>
    <t>Brumimicrobium aurantiacum</t>
  </si>
  <si>
    <t>Bacteria;Bacteroidota;Flavobacteriia;Flavobacteriales;Flavobacteriaceae;Flavobacterium;Flavobacterium sp. Root935;</t>
  </si>
  <si>
    <t>Flavobacterium sp. Root935</t>
  </si>
  <si>
    <t>Bacteria;Pseudomonadota;Alphaproteobacteria;Sphingomonadales;Sphingomonadaceae;Sphingomonas;Sphingomonas sp. Root710;</t>
  </si>
  <si>
    <t>Sphingomonas sp. Root710</t>
  </si>
  <si>
    <t>Bacteria;Pseudomonadota;Betaproteobacteria;Burkholderiales;Comamonadaceae;Acidovorax;Acidovorax sp. Root70;</t>
  </si>
  <si>
    <t>Acidovorax sp. Root70</t>
  </si>
  <si>
    <t>Bacteria;Pseudomonadota;Alphaproteobacteria;Hyphomicrobiales;Devosiaceae;Devosia;Devosia sp. Root685;</t>
  </si>
  <si>
    <t>Devosia sp. Root685</t>
  </si>
  <si>
    <t>Bacteria;Pseudomonadota;Alphaproteobacteria;Hyphomicrobiales;Boseaceae;Bosea;Bosea sp. Root670;</t>
  </si>
  <si>
    <t>Bosea sp. Root670</t>
  </si>
  <si>
    <t>Bacteria;Pseudomonadota;Alphaproteobacteria;Caulobacterales;Caulobacteraceae;Caulobacter;Caulobacter sp. Root655;</t>
  </si>
  <si>
    <t>Caulobacter sp. Root655</t>
  </si>
  <si>
    <t>Bacteria;Pseudomonadota;Gammaproteobacteria;Lysobacterales;Lysobacteraceae;Pseudoxanthomonas;Pseudoxanthomonas sp. Root65;</t>
  </si>
  <si>
    <t>Pseudoxanthomonas sp. Root65</t>
  </si>
  <si>
    <t>Bacteria;Actinomycetota;Actinomycetes;Micrococcales;Microbacteriaceae;Microbacterium;Microbacterium sp. Root61;</t>
  </si>
  <si>
    <t>Microbacterium sp. Root61</t>
  </si>
  <si>
    <t>Bacteria;Pseudomonadota;Betaproteobacteria;Burkholderiales;Comamonadaceae;Acidovorax;Acidovorax sp. Root568;</t>
  </si>
  <si>
    <t>Acidovorax sp. Root568</t>
  </si>
  <si>
    <t>Bacteria;Actinomycetota;Actinomycetes;Propionibacteriales;Nocardioidaceae;Aeromicrobium;Aeromicrobium sp. Root495;</t>
  </si>
  <si>
    <t>Aeromicrobium sp. Root495</t>
  </si>
  <si>
    <t>Bacteria;Pseudomonadota;Alphaproteobacteria;Caulobacterales;Caulobacteraceae;Caulobacter;Caulobacter sp. Root487D2Y;</t>
  </si>
  <si>
    <t>Caulobacter sp. Root487D2Y</t>
  </si>
  <si>
    <t>Bacteria;Pseudomonadota;Alphaproteobacteria;Hyphomicrobiales;Rhizobiaceae;Rhizobium;Rhizobium sp. Root483D2;</t>
  </si>
  <si>
    <t>Rhizobium sp. Root483D2</t>
  </si>
  <si>
    <t>Bacteria;Pseudomonadota;Betaproteobacteria;Burkholderiales;Comamonadaceae;Variovorax;Variovorax sp. Root473;</t>
  </si>
  <si>
    <t>Variovorax sp. Root473</t>
  </si>
  <si>
    <t>Bacteria;Pseudomonadota;Betaproteobacteria;Burkholderiales;Comamonadaceae;Variovorax;Variovorax sp. Root434;</t>
  </si>
  <si>
    <t>Variovorax sp. Root434</t>
  </si>
  <si>
    <t>Bacteria;Pseudomonadota;Betaproteobacteria;Burkholderiales;Comamonadaceae;Variovorax;Variovorax sp. Root411;</t>
  </si>
  <si>
    <t>Variovorax sp. Root411</t>
  </si>
  <si>
    <t>Bacteria;Pseudomonadota;Betaproteobacteria;Burkholderiales;NA;Rhizobacter;Rhizobacter sp. Root404;</t>
  </si>
  <si>
    <t>Rhizobacter</t>
  </si>
  <si>
    <t>Rhizobacter sp. Root404</t>
  </si>
  <si>
    <t>Bacteria;Pseudomonadota;Betaproteobacteria;Burkholderiales;Comamonadaceae;Acidovorax;Acidovorax sp. Root402;</t>
  </si>
  <si>
    <t>Acidovorax sp. Root402</t>
  </si>
  <si>
    <t>Bacteria;Pseudomonadota;Alphaproteobacteria;Hyphomicrobiales;Boseaceae;Bosea;Bosea sp. Root381;</t>
  </si>
  <si>
    <t>Bosea sp. Root381</t>
  </si>
  <si>
    <t>Bacteria;Pseudomonadota;Alphaproteobacteria;Caulobacterales;Caulobacteraceae;Caulobacter;Caulobacter sp. Root343;</t>
  </si>
  <si>
    <t>Caulobacter sp. Root343</t>
  </si>
  <si>
    <t>Bacteria;Pseudomonadota;Betaproteobacteria;Burkholderiales;Comamonadaceae;Variovorax;Variovorax sp. Root318D1;</t>
  </si>
  <si>
    <t>Variovorax sp. Root318D1</t>
  </si>
  <si>
    <t>Bacteria;Actinomycetota;Actinomycetes;Mycobacteriales;Mycobacteriaceae;Mycobacterium;Mycobacterium sp. Root265;</t>
  </si>
  <si>
    <t>Mycobacterium sp. Root265</t>
  </si>
  <si>
    <t>Bacteria;Pseudomonadota;Betaproteobacteria;Burkholderiales;Comamonadaceae;Acidovorax;Acidovorax sp. Root219;</t>
  </si>
  <si>
    <t>Acidovorax sp. Root219</t>
  </si>
  <si>
    <t>Bacteria;Pseudomonadota;Betaproteobacteria;Burkholderiales;Comamonadaceae;Acidovorax;Acidovorax sp. Root217;</t>
  </si>
  <si>
    <t>Acidovorax sp. Root217</t>
  </si>
  <si>
    <t>Bacteria;Pseudomonadota;Betaproteobacteria;Burkholderiales;Comamonadaceae;Hydrogenophaga;Hydrogenophaga sp. Root209;</t>
  </si>
  <si>
    <t>Hydrogenophaga sp. Root209</t>
  </si>
  <si>
    <t>Bacteria;Actinomycetota;Actinomycetes;Propionibacteriales;Nocardioidaceae;Nocardioides;Nocardioides sp. Root190;</t>
  </si>
  <si>
    <t>Nocardioides sp. Root190</t>
  </si>
  <si>
    <t>Bacteria;Bacteroidota;Flavobacteriia;Flavobacteriales;Flavobacteriaceae;Flavobacterium;Flavobacterium sp. Root186;</t>
  </si>
  <si>
    <t>Flavobacterium sp. Root186</t>
  </si>
  <si>
    <t>Bacteria;Actinomycetota;Actinomycetes;Micrococcales;Microbacteriaceae;Microbacterium;Microbacterium sp. Root166;</t>
  </si>
  <si>
    <t>Microbacterium sp. Root166</t>
  </si>
  <si>
    <t>Bacteria;Pseudomonadota;Alphaproteobacteria;Hyphomicrobiales;Xanthobacteraceae;Pseudolabrys;Pseudolabrys sp. Root1462;</t>
  </si>
  <si>
    <t>Pseudolabrys</t>
  </si>
  <si>
    <t>Pseudolabrys sp. Root1462</t>
  </si>
  <si>
    <t>Bacteria;Pseudomonadota;Alphaproteobacteria;Caulobacterales;Caulobacteraceae;Caulobacter;Caulobacter sp. Root1455;</t>
  </si>
  <si>
    <t>Caulobacter sp. Root1455</t>
  </si>
  <si>
    <t>Bacteria;Pseudomonadota;Gammaproteobacteria;Moraxellales;Moraxellaceae;Acinetobacter;Acinetobacter sp. Root1280;</t>
  </si>
  <si>
    <t>Acinetobacter sp. Root1280</t>
  </si>
  <si>
    <t>Bacteria;Pseudomonadota;Alphaproteobacteria;Hyphomicrobiales;Rhizobiaceae;Rhizobium;Rhizobium sp. Root1204;</t>
  </si>
  <si>
    <t>Rhizobium sp. Root1204</t>
  </si>
  <si>
    <t>Bacteria;Actinomycetota;Actinomycetes;Micrococcales;Microbacteriaceae;Leifsonia;Leifsonia sp. Root112D2;</t>
  </si>
  <si>
    <t>Leifsonia sp. Root112D2</t>
  </si>
  <si>
    <t>Bacteria;Bacillota;Bacilli;Bacillales;Paenibacillaceae;Paenibacillus;Paenibacillus sp. Soil766;</t>
  </si>
  <si>
    <t>Paenibacillus sp. Soil766</t>
  </si>
  <si>
    <t>Bacteria;Actinomycetota;Actinomycetes;Micrococcales;Microbacteriaceae;Agromyces;Agromyces sp. Soil535;</t>
  </si>
  <si>
    <t>Agromyces sp. Soil535</t>
  </si>
  <si>
    <t>Bacteria;Bacteroidota;Flavobacteriia;Flavobacteriales;Weeksellaceae;Chryseobacterium;Chryseobacterium sp. Leaf405;</t>
  </si>
  <si>
    <t>Chryseobacterium sp. Leaf405</t>
  </si>
  <si>
    <t>Bacteria;Pseudomonadota;Alphaproteobacteria;Hyphomicrobiales;Rhizobiaceae;Rhizobium;Rhizobium sp. Leaf391;</t>
  </si>
  <si>
    <t>Rhizobium sp. Leaf391</t>
  </si>
  <si>
    <t>Bacteria;Pseudomonadota;Alphaproteobacteria;Caulobacterales;Caulobacteraceae;Brevundimonas;Brevundimonas sp. Leaf363;</t>
  </si>
  <si>
    <t>Brevundimonas sp. Leaf363</t>
  </si>
  <si>
    <t>Bacteria;Pseudomonadota;Alphaproteobacteria;Sphingomonadales;Sphingomonadaceae;Sphingomonas;Sphingomonas sp. Leaf343;</t>
  </si>
  <si>
    <t>Sphingomonas sp. Leaf343</t>
  </si>
  <si>
    <t>Bacteria;Pseudomonadota;Alphaproteobacteria;Hyphomicrobiales;Rhizobiaceae;Rhizobium;Rhizobium sp. Leaf341;</t>
  </si>
  <si>
    <t>Rhizobium sp. Leaf341</t>
  </si>
  <si>
    <t>Bacteria;Actinomycetota;Actinomycetes;Micrococcales;Microbacteriaceae;Leifsonia;Leifsonia sp. Leaf336;</t>
  </si>
  <si>
    <t>Leifsonia sp. Leaf336</t>
  </si>
  <si>
    <t>Bacteria;Pseudomonadota;Alphaproteobacteria;Hyphomicrobiales;Aurantimonadaceae;Aureimonas;Aureimonas sp. Leaf324;</t>
  </si>
  <si>
    <t>Aureimonas sp. Leaf324</t>
  </si>
  <si>
    <t>Bacteria;Actinomycetota;Actinomycetes;Micrococcales;Microbacteriaceae;Microbacterium;Microbacterium sp. Leaf320;</t>
  </si>
  <si>
    <t>Microbacterium sp. Leaf320</t>
  </si>
  <si>
    <t>Bacteria;Pseudomonadota;Alphaproteobacteria;Hyphomicrobiales;Rhizobiaceae;Rhizobium;Rhizobium sp. Leaf306;</t>
  </si>
  <si>
    <t>Rhizobium sp. Leaf306</t>
  </si>
  <si>
    <t>Bacteria;Actinomycetota;Actinomycetes;Micrococcales;Microbacteriaceae;Rathayibacter;Rathayibacter sp. Leaf299;</t>
  </si>
  <si>
    <t>Rathayibacter sp. Leaf299</t>
  </si>
  <si>
    <t>Bacteria;Pseudomonadota;Betaproteobacteria;Burkholderiales;Comamonadaceae;Pseudorhodoferax;Pseudorhodoferax sp. Leaf274;</t>
  </si>
  <si>
    <t>Pseudorhodoferax sp. Leaf274</t>
  </si>
  <si>
    <t>Bacteria;Pseudomonadota;Betaproteobacteria;Burkholderiales;Comamonadaceae;Pseudorhodoferax;Pseudorhodoferax sp. Leaf267;</t>
  </si>
  <si>
    <t>Pseudorhodoferax sp. Leaf267</t>
  </si>
  <si>
    <t>Bacteria;Pseudomonadota;Betaproteobacteria;Burkholderiales;Comamonadaceae;Pseudorhodoferax;Pseudorhodoferax sp. Leaf265;</t>
  </si>
  <si>
    <t>Pseudorhodoferax sp. Leaf265</t>
  </si>
  <si>
    <t>Bacteria;Actinomycetota;Actinomycetes;Micrococcales;Microbacteriaceae;Leifsonia;Leifsonia sp. Leaf264;</t>
  </si>
  <si>
    <t>Leifsonia sp. Leaf264</t>
  </si>
  <si>
    <t>Bacteria;Actinomycetota;Actinomycetes;Micrococcales;Microbacteriaceae;Frigoribacterium;Frigoribacterium sp. Leaf263;</t>
  </si>
  <si>
    <t>Frigoribacterium sp. Leaf263</t>
  </si>
  <si>
    <t>Bacteria;Pseudomonadota;Alphaproteobacteria;Hyphomicrobiales;Rhizobiaceae;Rhizobium;Rhizobium sp. Leaf262;</t>
  </si>
  <si>
    <t>Rhizobium sp. Leaf262</t>
  </si>
  <si>
    <t>Bacteria;Bacteroidota;Sphingobacteriia;Sphingobacteriales;Sphingobacteriaceae;Pedobacter;Pedobacter sp. Leaf194;</t>
  </si>
  <si>
    <t>Pedobacter sp. Leaf194</t>
  </si>
  <si>
    <t>Bacteria;Bacteroidota;Sphingobacteriia;Sphingobacteriales;Sphingobacteriaceae;Pedobacter;Pedobacter sp. Leaf176;</t>
  </si>
  <si>
    <t>Pedobacter sp. Leaf176</t>
  </si>
  <si>
    <t>Bacteria;Actinomycetota;Actinomycetes;Micrococcales;Microbacteriaceae;Microbacterium;Microbacterium sp. Leaf161;</t>
  </si>
  <si>
    <t>Microbacterium sp. Leaf161</t>
  </si>
  <si>
    <t>Bacteria;Pseudomonadota;Betaproteobacteria;Burkholderiales;Comamonadaceae;Acidovorax;Acidovorax sp. Leaf160;</t>
  </si>
  <si>
    <t>Acidovorax sp. Leaf160</t>
  </si>
  <si>
    <t>Bacteria;Pseudomonadota;Betaproteobacteria;Burkholderiales;Oxalobacteraceae;Duganella;Duganella sp. Leaf126;</t>
  </si>
  <si>
    <t>Duganella sp. Leaf126</t>
  </si>
  <si>
    <t>Bacteria;Bacteroidota;Flavobacteriia;Flavobacteriales;Flavobacteriaceae;Flavobacterium;Flavobacterium sp. Leaf82;</t>
  </si>
  <si>
    <t>Flavobacterium sp. Leaf82</t>
  </si>
  <si>
    <t>Bacteria;Pseudomonadota;Betaproteobacteria;Burkholderiales;Comamonadaceae;Acidovorax;Acidovorax sp. Leaf78;</t>
  </si>
  <si>
    <t>Acidovorax sp. Leaf78</t>
  </si>
  <si>
    <t>Bacteria;Pseudomonadota;Alphaproteobacteria;Hyphomicrobiales;Devosiaceae;Devosia;Devosia sp. Leaf64;</t>
  </si>
  <si>
    <t>Devosia sp. Leaf64</t>
  </si>
  <si>
    <t>Bacteria;Bacteroidota;Sphingobacteriia;Sphingobacteriales;Sphingobacteriaceae;Pedobacter;Pedobacter sp. Leaf41;</t>
  </si>
  <si>
    <t>Pedobacter sp. Leaf41</t>
  </si>
  <si>
    <t>Bacteria;Pseudomonadota;Alphaproteobacteria;Sphingomonadales;Sphingomonadaceae;Sphingomonas;Sphingomonas sp. Leaf33;</t>
  </si>
  <si>
    <t>Sphingomonas sp. Leaf33</t>
  </si>
  <si>
    <t>Bacteria;Pseudomonadota;Alphaproteobacteria;Sphingomonadales;Sphingomonadaceae;Sphingobium;Sphingobium sp. Leaf26;</t>
  </si>
  <si>
    <t>Sphingobium sp. Leaf26</t>
  </si>
  <si>
    <t>Bacteria;Pseudomonadota;Betaproteobacteria;Burkholderiales;NA;Xylophilus;Xylophilus sp. Leaf220;</t>
  </si>
  <si>
    <t>Xylophilus sp. Leaf220</t>
  </si>
  <si>
    <t>Bacteria;Bacteroidota;Sphingobacteriia;Sphingobacteriales;Sphingobacteriaceae;Pedobacter;Pedobacter sp. Leaf216;</t>
  </si>
  <si>
    <t>Pedobacter sp. Leaf216</t>
  </si>
  <si>
    <t>Bacteria;Pseudomonadota;Alphaproteobacteria;Sphingomonadales;Sphingomonadaceae;Sphingomonas;Sphingomonas sp. Leaf208;</t>
  </si>
  <si>
    <t>Sphingomonas sp. Leaf208</t>
  </si>
  <si>
    <t>Bacteria;Pseudomonadota;Alphaproteobacteria;Sphingomonadales;Sphingomonadaceae;Novosphingobium;Novosphingobium sp. Leaf2;</t>
  </si>
  <si>
    <t>Novosphingobium sp. Leaf2</t>
  </si>
  <si>
    <t>Bacteria;Pseudomonadota;Alphaproteobacteria;Sphingomonadales;Sphingomonadaceae;Sphingomonas;Sphingomonas oleivorans;</t>
  </si>
  <si>
    <t>Sphingomonas oleivorans</t>
  </si>
  <si>
    <t>Bacteria;Pseudomonadota;Alphaproteobacteria;Hyphomicrobiales;Phyllobacteriaceae;Nitratireductor;Nitratireductor aestuarii;</t>
  </si>
  <si>
    <t>Nitratireductor aestuarii</t>
  </si>
  <si>
    <t>Bacteria;Actinomycetota;Actinomycetes;Micromonosporales;Micromonosporaceae;Paractinoplanes;Paractinoplanes maris;</t>
  </si>
  <si>
    <t>Paractinoplanes</t>
  </si>
  <si>
    <t>Paractinoplanes maris</t>
  </si>
  <si>
    <t>Bacteria;Bdellovibrionota;Bdellovibrionia;Bdellovibrionales;Pseudobdellovibrionaceae;Bdellovibrio;Bdellovibrio sp. SKB1291214;</t>
  </si>
  <si>
    <t>Bdellovibrio sp. SKB1291214</t>
  </si>
  <si>
    <t>Bacteria;Pseudomonadota;Alphaproteobacteria;Hyphomicrobiales;Nitrobacteraceae;Bradyrhizobium;Bradyrhizobium campsiandrae;</t>
  </si>
  <si>
    <t>Bradyrhizobium campsiandrae</t>
  </si>
  <si>
    <t>Bacteria;Bacillota;Clostridia;Eubacteriales;Clostridiaceae;Clostridium;Clostridium neuense;</t>
  </si>
  <si>
    <t>Clostridium neuense</t>
  </si>
  <si>
    <t>Bacteria;Bacillota;Clostridia;Lachnospirales;Lachnospiraceae;Anaerocolumna;Anaerocolumna chitinilytica;</t>
  </si>
  <si>
    <t>Anaerocolumna chitinilytica</t>
  </si>
  <si>
    <t>Bacteria;Bacillota;Clostridia;Eubacteriales;Oscillospiraceae;Bittarella (ex Durand et al. 2017);Bittarella massiliensis (ex Durand et al. 2017);</t>
  </si>
  <si>
    <t>Bittarella (ex Durand et al. 2017)</t>
  </si>
  <si>
    <t>Bittarella massiliensis (ex Durand et al. 2017)</t>
  </si>
  <si>
    <t>Bacteria;Actinomycetota;Actinomycetes;Mycobacteriales;Mycobacteriaceae;Mycobacterium;Mycobacterium vicinigordonae;</t>
  </si>
  <si>
    <t>Mycobacterium vicinigordonae</t>
  </si>
  <si>
    <t>Bacteria;Bacillota;Clostridia;Eubacteriales;Clostridiaceae;Clostridium;Clostridium thermarum;</t>
  </si>
  <si>
    <t>Clostridium thermarum</t>
  </si>
  <si>
    <t>Archaea;Methanobacteriota;Methanomicrobia;Methanosarcinales;Methanosarcinaceae;Methanosarcina;Methanosarcina flavescens;</t>
  </si>
  <si>
    <t>Methanosarcina</t>
  </si>
  <si>
    <t>Methanosarcina flavescens</t>
  </si>
  <si>
    <t>Bacteria;Pseudomonadota;Betaproteobacteria;Burkholderiales;Comamonadaceae;Diaphorobacter;Diaphorobacter ruginosibacter;</t>
  </si>
  <si>
    <t>Diaphorobacter ruginosibacter</t>
  </si>
  <si>
    <t>Bacteria;Pseudomonadota;Alphaproteobacteria;Sphingomonadales;Sphingosinicellaceae;Sandaracinobacter;Sandaracinobacter neustonicus;</t>
  </si>
  <si>
    <t>Sandaracinobacter</t>
  </si>
  <si>
    <t>Sandaracinobacter neustonicus</t>
  </si>
  <si>
    <t>Bacteria;Actinomycetota;Actinomycetes;Micrococcales;Microbacteriaceae;Microbacterium;Microbacterium sp. No. 7;</t>
  </si>
  <si>
    <t>Microbacterium sp. No. 7</t>
  </si>
  <si>
    <t>Bacteria;Pseudomonadota;Betaproteobacteria;Burkholderiales;Comamonadaceae;Curvibacter;Curvibacter sp. PAE-UM;</t>
  </si>
  <si>
    <t>Curvibacter sp. PAE-UM</t>
  </si>
  <si>
    <t>Bacteria;Actinomycetota;Actinomycetes;Streptosporangiales;Streptosporangiaceae;Nonomuraea;Nonomuraea rhodomycinica;</t>
  </si>
  <si>
    <t>Nonomuraea rhodomycinica</t>
  </si>
  <si>
    <t>Bacteria;Bacillota;Clostridia;Eubacteriales;Peptococcaceae;Thermanaerosceptrum;Thermanaerosceptrum fracticalcis;</t>
  </si>
  <si>
    <t>Thermanaerosceptrum</t>
  </si>
  <si>
    <t>Thermanaerosceptrum fracticalcis</t>
  </si>
  <si>
    <t>Bacteria;Actinomycetota;Actinomycetes;Propionibacteriales;Nocardioidaceae;Tenggerimyces;Tenggerimyces flavus;</t>
  </si>
  <si>
    <t>Tenggerimyces</t>
  </si>
  <si>
    <t>Tenggerimyces flavus</t>
  </si>
  <si>
    <t>Bacteria;Bacillota;Bacilli;Bacillales;Bacillaceae;Bacillus;Bacillus sp. G3(2015);</t>
  </si>
  <si>
    <t>Bacillus sp. G3(2015)</t>
  </si>
  <si>
    <t>Bacteria;Pseudomonadota;Gammaproteobacteria;Lysobacterales;Lysobacteraceae;Marilutibacter;Marilutibacter aestuarii;</t>
  </si>
  <si>
    <t>Marilutibacter</t>
  </si>
  <si>
    <t>Marilutibacter aestuarii</t>
  </si>
  <si>
    <t>Bacteria;Pseudomonadota;Betaproteobacteria;Burkholderiales;Comamonadaceae;Variovorax;Variovorax sp. 369;</t>
  </si>
  <si>
    <t>Variovorax sp. 369</t>
  </si>
  <si>
    <t>Bacteria;Actinomycetota;Actinomycetes;Micrococcales;Microbacteriaceae;Aurantimicrobium;uncultured Aurantimicrobium sp.;</t>
  </si>
  <si>
    <t>uncultured Aurantimicrobium sp.</t>
  </si>
  <si>
    <t>Bacteria;Pseudomonadota;Betaproteobacteria;Burkholderiales;Alcaligenaceae;Bordetella;Bordetella sp. H567;</t>
  </si>
  <si>
    <t>Bordetella sp. H567</t>
  </si>
  <si>
    <t>Bacteria;Bacillota;Clostridia;Eubacteriales;Clostridiaceae;Clostridium;Clostridium luticellarii;</t>
  </si>
  <si>
    <t>Clostridium luticellarii</t>
  </si>
  <si>
    <t>Bacteria;Pseudomonadota;Gammaproteobacteria;Pseudomonadales;Pseudomonadaceae;Pseudomonas;Pseudomonas sediminis;</t>
  </si>
  <si>
    <t>Pseudomonas sediminis</t>
  </si>
  <si>
    <t>Bacteria;Bacillota;Bacilli;Bacillales;Paenibacillaceae;Gorillibacterium;Gorillibacterium timonense;</t>
  </si>
  <si>
    <t>Gorillibacterium timonense</t>
  </si>
  <si>
    <t>Bacteria;Pseudomonadota;Alphaproteobacteria;Sphingomonadales;Sphingomonadaceae;Sphingorhabdus;uncultured Sphingorhabdus sp.;</t>
  </si>
  <si>
    <t>uncultured Sphingorhabdus sp.</t>
  </si>
  <si>
    <t>Bacteria;Pseudomonadota;Gammaproteobacteria;Lysobacterales;Lysobacteraceae;Stenotrophomonas;Stenotrophomonas tumulicola;</t>
  </si>
  <si>
    <t>Stenotrophomonas tumulicola</t>
  </si>
  <si>
    <t>Bacteria;Bacteroidota;Flavobacteriia;Flavobacteriales;Flavobacteriaceae;Flavobacterium;Flavobacterium tistrianum;</t>
  </si>
  <si>
    <t>Flavobacterium tistrianum</t>
  </si>
  <si>
    <t>Bacteria;Pseudomonadota;Alphaproteobacteria;Rhodobacterales;Roseobacteraceae;Ruegeria;Ruegeria marisrubri;</t>
  </si>
  <si>
    <t>Ruegeria marisrubri</t>
  </si>
  <si>
    <t>Bacteria;Pseudomonadota;Gammaproteobacteria;Oceanospirillales;Halomonadaceae;Halomonas;Halomonas urumqiensis;</t>
  </si>
  <si>
    <t>Halomonas urumqiensis</t>
  </si>
  <si>
    <t>Bacteria;Bacillota;Bacilli;Bacillales;NA;Exiguobacterium;Exiguobacterium sp. BMC-KP;</t>
  </si>
  <si>
    <t>Exiguobacterium sp. BMC-KP</t>
  </si>
  <si>
    <t>Bacteria;Actinomycetota;Actinomycetes;Mycobacteriales;Mycobacteriaceae;Mycobacterium;Mycobacterium adipatum;</t>
  </si>
  <si>
    <t>Mycobacterium adipatum</t>
  </si>
  <si>
    <t>Bacteria;Bacteroidota;Cytophagia;Cytophagales;Leadbetterellaceae;Emticicia;Emticicia aquatica;</t>
  </si>
  <si>
    <t>Emticicia aquatica</t>
  </si>
  <si>
    <t>Bacteria;Pseudomonadota;Alphaproteobacteria;Hyphomicrobiales;Nitrobacteraceae;Bradyrhizobium;Bradyrhizobium sp. NAS80.1;</t>
  </si>
  <si>
    <t>Bradyrhizobium sp. NAS80.1</t>
  </si>
  <si>
    <t>Bacteria;Pseudomonadota;Betaproteobacteria;Burkholderiales;Comamonadaceae;Variovorax;Variovorax gossypii;</t>
  </si>
  <si>
    <t>Variovorax gossypii</t>
  </si>
  <si>
    <t>Bacteria;Bacteroidota;Flavobacteriia;Flavobacteriales;Weeksellaceae;Chryseobacterium;Chryseobacterium sediminis;</t>
  </si>
  <si>
    <t>Chryseobacterium sediminis</t>
  </si>
  <si>
    <t>Bacteria;Bacillota;Bacilli;Bacillales;Bacillaceae;Bacillus;Bacillus sp. FJAT-28004;</t>
  </si>
  <si>
    <t>Bacillus sp. FJAT-28004</t>
  </si>
  <si>
    <t>Bacteria;Actinomycetota;Actinomycetes;Micrococcales;Microbacteriaceae;Microbacterium;Microbacterium rhizosphaerae;</t>
  </si>
  <si>
    <t>Microbacterium rhizosphaerae</t>
  </si>
  <si>
    <t>Bacteria;Pseudomonadota;Betaproteobacteria;Burkholderiales;Comamonadaceae;Limnohabitans;Limnohabitans sp. 63ED37-2;</t>
  </si>
  <si>
    <t>Limnohabitans sp. 63ED37-2</t>
  </si>
  <si>
    <t>Bacteria;Pseudomonadota;Betaproteobacteria;Burkholderiales;Oxalobacteraceae;Massilia;Massilia sp. NR 4-1;</t>
  </si>
  <si>
    <t>Massilia sp. NR 4-1</t>
  </si>
  <si>
    <t>Bacteria;Bacillota;Clostridia;Eubacteriales;Oscillospiraceae;Acetivibrio;Acetivibrio saccincola;</t>
  </si>
  <si>
    <t>Acetivibrio saccincola</t>
  </si>
  <si>
    <t>Bacteria;Pseudomonadota;Betaproteobacteria;Burkholderiales;Comamonadaceae;Acidovorax;Acidovorax cavernicola;</t>
  </si>
  <si>
    <t>Acidovorax cavernicola</t>
  </si>
  <si>
    <t>Bacteria;Pseudomonadota;Alphaproteobacteria;Rhodobacterales;Paracoccaceae;Paracoccus;Paracoccus onubensis;</t>
  </si>
  <si>
    <t>Paracoccus onubensis</t>
  </si>
  <si>
    <t>Bacteria;Pseudomonadota;Gammaproteobacteria;Pseudomonadales;Pseudomonadaceae;Pseudomonas;Pseudomonas fildesensis;</t>
  </si>
  <si>
    <t>Pseudomonas fildesensis</t>
  </si>
  <si>
    <t>Bacteria;Bacillota;Bacilli;Bacillales;Bacillaceae;Peribacillus;Peribacillus cavernae;</t>
  </si>
  <si>
    <t>Peribacillus cavernae</t>
  </si>
  <si>
    <t>Bacteria;Bacteroidota;Flavobacteriia;Flavobacteriales;Weeksellaceae;Chryseobacterium;Chryseobacterium sp. FH2;</t>
  </si>
  <si>
    <t>Chryseobacterium sp. FH2</t>
  </si>
  <si>
    <t>Bacteria;Bacillota;Clostridia;Lachnospirales;Lachnospiraceae;Acetatifactor;uncultured Acetatifactor sp.;</t>
  </si>
  <si>
    <t>Acetatifactor</t>
  </si>
  <si>
    <t>uncultured Acetatifactor sp.</t>
  </si>
  <si>
    <t>Bacteria;Bacillota;Clostridia;Eubacteriales;Clostridiaceae;Clostridium;Clostridium sp. C8;</t>
  </si>
  <si>
    <t>Clostridium sp. C8</t>
  </si>
  <si>
    <t>Bacteria;Bacteroidota;Sphingobacteriia;Sphingobacteriales;Sphingobacteriaceae;Pedobacter;Pedobacter sp. BMA;</t>
  </si>
  <si>
    <t>Pedobacter sp. BMA</t>
  </si>
  <si>
    <t>Bacteria;Bacillota;Clostridia;Eubacteriales;Clostridiaceae;Clostridium;Clostridium guangxiense;</t>
  </si>
  <si>
    <t>Clostridium guangxiense</t>
  </si>
  <si>
    <t>Bacteria;Pseudomonadota;Alphaproteobacteria;Sphingomonadales;Sphingomonadaceae;Sphingopyxis;Sphingopyxis sp. SCN 67-31;</t>
  </si>
  <si>
    <t>Sphingopyxis sp. SCN 67-31</t>
  </si>
  <si>
    <t>Bacteria;Pseudomonadota;Betaproteobacteria;Burkholderiales;Comamonadaceae;Comamonas;Comamonas sp. SCN 65-56;</t>
  </si>
  <si>
    <t>Comamonas sp. SCN 65-56</t>
  </si>
  <si>
    <t>Bacteria;Bacteroidota;Flavobacteriia;Flavobacteriales;Flavobacteriaceae;Flavobacterium;Flavobacterium tyrosinilyticum;</t>
  </si>
  <si>
    <t>Flavobacterium tyrosinilyticum</t>
  </si>
  <si>
    <t>Bacteria;Pseudomonadota;Betaproteobacteria;Burkholderiales;Comamonadaceae;Ottowia;Ottowia sp. oral taxon 894;</t>
  </si>
  <si>
    <t>Ottowia sp. oral taxon 894</t>
  </si>
  <si>
    <t>Bacteria;Bacillota;Clostridia;Eubacteriales;Clostridiaceae;Haloimpatiens;Haloimpatiens massiliensis;</t>
  </si>
  <si>
    <t>Haloimpatiens massiliensis</t>
  </si>
  <si>
    <t>Bacteria;Bacillota;Clostridia;Lachnospirales;Lachnospiraceae;Niameybacter;Niameybacter massiliensis;</t>
  </si>
  <si>
    <t>Niameybacter massiliensis</t>
  </si>
  <si>
    <t>Bacteria;Pseudomonadota;Alphaproteobacteria;Sphingomonadales;Sphingomonadaceae;Sphingomonas;Sphingomonas vulcanisoli;</t>
  </si>
  <si>
    <t>Sphingomonas vulcanisoli</t>
  </si>
  <si>
    <t>Bacteria;Bacillota;Bacilli;Bacillales;Paenibacillaceae;Paenibacillus;Paenibacillus nasutitermitis;</t>
  </si>
  <si>
    <t>Paenibacillus nasutitermitis</t>
  </si>
  <si>
    <t>Bacteria;Pseudomonadota;Betaproteobacteria;Burkholderiales;Comamonadaceae;Delftia;Delftia deserti;</t>
  </si>
  <si>
    <t>Delftia deserti</t>
  </si>
  <si>
    <t>Bacteria;Bacillota;Clostridia;Eubacteriales;Clostridiaceae;Desnuesiella;Desnuesiella massiliensis;</t>
  </si>
  <si>
    <t>Desnuesiella</t>
  </si>
  <si>
    <t>Desnuesiella massiliensis</t>
  </si>
  <si>
    <t>Bacteria;Pseudomonadota;Alphaproteobacteria;Hyphomicrobiales;Rhizobiaceae;Rhizobium;Rhizobium paranaense;</t>
  </si>
  <si>
    <t>Rhizobium paranaense</t>
  </si>
  <si>
    <t>Bacteria;Bacillota;Bacilli;Bacillales;Bacillaceae;Shouchella;Shouchella shacheensis;</t>
  </si>
  <si>
    <t>Shouchella</t>
  </si>
  <si>
    <t>Shouchella shacheensis</t>
  </si>
  <si>
    <t>Bacteria;Bacteroidota;Chitinophagia;Chitinophagales;Chitinophagaceae;Taibaiella;Taibaiella soli;</t>
  </si>
  <si>
    <t>Taibaiella soli</t>
  </si>
  <si>
    <t>Bacteria;Bacteroidota;Chitinophagia;Chitinophagales;Chitinophagaceae;Chitinophaga;Chitinophaga barathri;</t>
  </si>
  <si>
    <t>Chitinophaga barathri</t>
  </si>
  <si>
    <t>Bacteria;Bacteroidota;Flavobacteriia;Flavobacteriales;Flavobacteriaceae;Flavobacterium;Flavobacterium gossypii;</t>
  </si>
  <si>
    <t>Flavobacterium gossypii</t>
  </si>
  <si>
    <t>Bacteria;Bacillota;Bacilli;Bacillales;Paenibacillaceae;Paenibacillus;Paenibacillus sp. O199;</t>
  </si>
  <si>
    <t>Paenibacillus sp. O199</t>
  </si>
  <si>
    <t>Bacteria;Actinomycetota;Actinomycetes;Mycobacteriales;Mycobacteriaceae;Mycolicibacterium;Mycolicibacterium lutetiense;</t>
  </si>
  <si>
    <t>Mycolicibacterium lutetiense</t>
  </si>
  <si>
    <t>Bacteria;Bacteroidota;Sphingobacteriia;Sphingobacteriales;Sphingobacteriaceae;Mucilaginibacter;Mucilaginibacter sp. L196;</t>
  </si>
  <si>
    <t>Mucilaginibacter sp. L196</t>
  </si>
  <si>
    <t>Bacteria;Pseudomonadota;Alphaproteobacteria;Hyphomicrobiales;Beijerinckiaceae;Methylocapsa;Methylocapsa sp. S129;</t>
  </si>
  <si>
    <t>Methylocapsa</t>
  </si>
  <si>
    <t>Methylocapsa sp. S129</t>
  </si>
  <si>
    <t>Bacteria;Pseudomonadota;Alphaproteobacteria;Caulobacterales;Caulobacteraceae;Caulobacter;Caulobacter sp. S45;</t>
  </si>
  <si>
    <t>Caulobacter sp. S45</t>
  </si>
  <si>
    <t>Bacteria;Pseudomonadota;Betaproteobacteria;Burkholderiales;Burkholderiaceae;Burkholderia;Burkholderia sp. L27(2015);</t>
  </si>
  <si>
    <t>Burkholderia sp. L27(2015)</t>
  </si>
  <si>
    <t>Bacteria;Pseudomonadota;Alphaproteobacteria;Hyphomicrobiales;Nitrobacteraceae;Bradyrhizobium;Bradyrhizobium sp. S69;</t>
  </si>
  <si>
    <t>Bradyrhizobium sp. S69</t>
  </si>
  <si>
    <t>Bacteria;Pseudomonadota;Alphaproteobacteria;Hyphomicrobiales;Beijerinckiaceae;Beijerinckia;Beijerinckia sp. L45;</t>
  </si>
  <si>
    <t>Beijerinckia</t>
  </si>
  <si>
    <t>Beijerinckia sp. L45</t>
  </si>
  <si>
    <t>Bacteria;Pseudomonadota;Alphaproteobacteria;Acetobacterales;Acetobacteraceae;Acidisphaera;Acidisphaera sp. L21;</t>
  </si>
  <si>
    <t>Acidisphaera</t>
  </si>
  <si>
    <t>Acidisphaera sp. L21</t>
  </si>
  <si>
    <t>Bacteria;Pseudomonadota;Gammaproteobacteria;Enterobacterales;Enterobacteriaceae;Citrobacter;Citrobacter portucalensis;</t>
  </si>
  <si>
    <t>Citrobacter portucalensis</t>
  </si>
  <si>
    <t>Bacteria;Pseudomonadota;Gammaproteobacteria;Enterobacterales;Yersiniaceae;Chania;Chania multitudinisentens;</t>
  </si>
  <si>
    <t>Chania</t>
  </si>
  <si>
    <t>Chania multitudinisentens</t>
  </si>
  <si>
    <t>Bacteria;Actinomycetota;Actinomycetes;Micrococcales;Demequinaceae;Demequina;Demequina pelophila;</t>
  </si>
  <si>
    <t>Demequinaceae</t>
  </si>
  <si>
    <t>Demequina</t>
  </si>
  <si>
    <t>Demequina pelophila</t>
  </si>
  <si>
    <t>Bacteria;Pseudomonadota;Alphaproteobacteria;Hyphomicrobiales;Salinarimonadaceae;Salinarimonas;Salinarimonas soli;</t>
  </si>
  <si>
    <t>Salinarimonadaceae</t>
  </si>
  <si>
    <t>Salinarimonas</t>
  </si>
  <si>
    <t>Salinarimonas soli</t>
  </si>
  <si>
    <t>Bacteria;Pseudomonadota;Betaproteobacteria;Burkholderiales;Burkholderiaceae;Burkholderia;Burkholderia savannae;</t>
  </si>
  <si>
    <t>Burkholderia savannae</t>
  </si>
  <si>
    <t>Bacteria;Pseudomonadota;Alphaproteobacteria;Hyphomicrobiales;Aurantimonadaceae;Aureimonas;Aureimonas sp. AU40;</t>
  </si>
  <si>
    <t>Aureimonas sp. AU40</t>
  </si>
  <si>
    <t>Bacteria;Pseudomonadota;Alphaproteobacteria;Hyphomicrobiales;Rhizobiaceae;Mycoplana;Mycoplana azooxidifex;</t>
  </si>
  <si>
    <t>Mycoplana</t>
  </si>
  <si>
    <t>Mycoplana azooxidifex</t>
  </si>
  <si>
    <t>Bacteria;Pseudomonadota;Gammaproteobacteria;Oceanospirillales;Balneatrichaceae;Pokkaliibacter;Pokkaliibacter plantistimulans;</t>
  </si>
  <si>
    <t>Pokkaliibacter plantistimulans</t>
  </si>
  <si>
    <t>Bacteria;Actinomycetota;Actinomycetes;Micrococcales;Microbacteriaceae;Amnibacterium;uncultured Amnibacterium sp.;</t>
  </si>
  <si>
    <t>uncultured Amnibacterium sp.</t>
  </si>
  <si>
    <t>Bacteria;Actinomycetota;Actinomycetes;Micrococcales;Microbacteriaceae;Microbacterium;Microbacterium rhizomatis;</t>
  </si>
  <si>
    <t>Microbacterium rhizomatis</t>
  </si>
  <si>
    <t>Bacteria;Planctomycetota;Planctomycetia;Gemmatales;Gemmataceae;Gemmata;Gemmata sp. SH-PL17;</t>
  </si>
  <si>
    <t>Gemmata</t>
  </si>
  <si>
    <t>Gemmata sp. SH-PL17</t>
  </si>
  <si>
    <t>Bacteria;Actinomycetota;Actinomycetes;Geodermatophilales;Antricoccaceae;Antricoccus;Antricoccus suffuscus;</t>
  </si>
  <si>
    <t>Antricoccaceae</t>
  </si>
  <si>
    <t>Antricoccus</t>
  </si>
  <si>
    <t>Antricoccus suffuscus</t>
  </si>
  <si>
    <t>Bacteria;Pseudomonadota;Alphaproteobacteria;Caulobacterales;Caulobacteraceae;Brevundimonas;Brevundimonas sp. KM4;</t>
  </si>
  <si>
    <t>Brevundimonas sp. KM4</t>
  </si>
  <si>
    <t>Bacteria;Fusobacteriota;Fusobacteriia;Fusobacteriales;Fusobacteriaceae;Hypnocyclicus;Hypnocyclicus thermotrophus;</t>
  </si>
  <si>
    <t>Hypnocyclicus</t>
  </si>
  <si>
    <t>Hypnocyclicus thermotrophus</t>
  </si>
  <si>
    <t>Bacteria;Bacillota;Clostridia;Eubacteriales;NA;Gemmiger;uncultured Gemmiger sp.;</t>
  </si>
  <si>
    <t>uncultured Gemmiger sp.</t>
  </si>
  <si>
    <t>Bacteria;Bacillota;Clostridia;Eubacteriales;Clostridiaceae;Clostridium;Clostridium niameyense;</t>
  </si>
  <si>
    <t>Clostridium niameyense</t>
  </si>
  <si>
    <t>Bacteria;Bacillota;Bacilli;Bacillales;Bacillaceae;Bacillus;Bacillus testis;</t>
  </si>
  <si>
    <t>Bacillus testis</t>
  </si>
  <si>
    <t>Bacteria;Pseudomonadota;Gammaproteobacteria;Enterobacterales;Erwiniaceae;Duffyella;Duffyella gerundensis;</t>
  </si>
  <si>
    <t>Duffyella</t>
  </si>
  <si>
    <t>Duffyella gerundensis</t>
  </si>
  <si>
    <t>Bacteria;Actinomycetota;Actinomycetes;Micrococcales;Microbacteriaceae;Cnuibacter;Cnuibacter physcomitrellae;</t>
  </si>
  <si>
    <t>Cnuibacter physcomitrellae</t>
  </si>
  <si>
    <t>Bacteria;Actinomycetota;Actinomycetes;Micrococcales;Micrococcaceae;Psychromicrobium;Psychromicrobium lacuslunae;</t>
  </si>
  <si>
    <t>Psychromicrobium lacuslunae</t>
  </si>
  <si>
    <t>Bacteria;Bacteroidota;Flavobacteriia;Flavobacteriales;Flavobacteriaceae;Flavobacterium;Flavobacterium nitrogenifigens;</t>
  </si>
  <si>
    <t>Flavobacterium nitrogenifigens</t>
  </si>
  <si>
    <t>Bacteria;Bacteroidota;Flavobacteriia;Flavobacteriales;Weeksellaceae;Epilithonimonas;Epilithonimonas arachidiradicis;</t>
  </si>
  <si>
    <t>Epilithonimonas arachidiradicis</t>
  </si>
  <si>
    <t>Bacteria;Pseudomonadota;Gammaproteobacteria;Pseudomonadales;Pseudomonadaceae;Pseudomonas;Pseudomonas lactis;</t>
  </si>
  <si>
    <t>Pseudomonas lactis</t>
  </si>
  <si>
    <t>Bacteria;Pseudomonadota;Alphaproteobacteria;Hyphomicrobiales;Beijerinckiaceae;Methylocapsa;Methylocapsa palsarum;</t>
  </si>
  <si>
    <t>Methylocapsa palsarum</t>
  </si>
  <si>
    <t>Bacteria;Bacteroidota;Flavobacteriia;Flavobacteriales;Weeksellaceae;Chryseobacterium;Chryseobacterium limigenitum;</t>
  </si>
  <si>
    <t>Chryseobacterium limigenitum</t>
  </si>
  <si>
    <t>Bacteria;Pseudomonadota;Gammaproteobacteria;Enterobacterales;Yersiniaceae;Rahnella;Rahnella sp. AN3-3W3;</t>
  </si>
  <si>
    <t>Rahnella sp. AN3-3W3</t>
  </si>
  <si>
    <t>Bacteria;Bacillota;Bacilli;Bacillales;Bacillaceae;Fictibacillus;Fictibacillus halophilus;</t>
  </si>
  <si>
    <t>Fictibacillus halophilus</t>
  </si>
  <si>
    <t>Bacteria;Pseudomonadota;Alphaproteobacteria;Sphingomonadales;Sphingomonadaceae;Sphingomonas;Sphingomonas hengshuiensis;</t>
  </si>
  <si>
    <t>Sphingomonas hengshuiensis</t>
  </si>
  <si>
    <t>Bacteria;Pseudomonadota;Alphaproteobacteria;Sphingomonadales;Sphingomonadaceae;Novosphingobium;Novosphingobium sp. P6W;</t>
  </si>
  <si>
    <t>Novosphingobium sp. P6W</t>
  </si>
  <si>
    <t>Bacteria;Pseudomonadota;Gammaproteobacteria;Pseudomonadales;Pseudomonadaceae;Pseudomonas;Pseudomonas sp. LFM046;</t>
  </si>
  <si>
    <t>Pseudomonas sp. LFM046</t>
  </si>
  <si>
    <t>Bacteria;Bacillota;Clostridia;Eubacteriales;Clostridiaceae;Clostridium;Clostridium omnivorum;</t>
  </si>
  <si>
    <t>Clostridium omnivorum</t>
  </si>
  <si>
    <t>Bacteria;Bacillota;Clostridia;Eubacteriales;Clostridiaceae;Clostridium;Clostridium sp. TW13;</t>
  </si>
  <si>
    <t>Clostridium sp. TW13</t>
  </si>
  <si>
    <t>Bacteria;Bacillota;Clostridia;Eubacteriales;Clostridiaceae;Clostridium;Clostridium fungisolvens;</t>
  </si>
  <si>
    <t>Clostridium fungisolvens</t>
  </si>
  <si>
    <t>Bacteria;Bacteroidota;Cytophagia;Cytophagales;Cytophagaceae;Spirosoma;Spirosoma fluviale;</t>
  </si>
  <si>
    <t>Spirosoma fluviale</t>
  </si>
  <si>
    <t>Bacteria;Pseudomonadota;Betaproteobacteria;Burkholderiales;Comamonadaceae;Limnohabitans;Limnohabitans sp. Hippo3;</t>
  </si>
  <si>
    <t>Limnohabitans sp. Hippo3</t>
  </si>
  <si>
    <t>Bacteria;Pseudomonadota;Betaproteobacteria;Burkholderiales;Comamonadaceae;Limnohabitans;Limnohabitans sp. DM1;</t>
  </si>
  <si>
    <t>Limnohabitans sp. DM1</t>
  </si>
  <si>
    <t>Bacteria;Pseudomonadota;Betaproteobacteria;Burkholderiales;NA;Eleftheria;Eleftheria terrae;</t>
  </si>
  <si>
    <t>Eleftheria</t>
  </si>
  <si>
    <t>Eleftheria terrae</t>
  </si>
  <si>
    <t>Bacteria;Pseudomonadota;Alphaproteobacteria;Sphingomonadales;Sphingomonadaceae;Sphingobium;Sphingobium phenoxybenzoativorans;</t>
  </si>
  <si>
    <t>Sphingobium phenoxybenzoativorans</t>
  </si>
  <si>
    <t>Bacteria;Pseudomonadota;Betaproteobacteria;Burkholderiales;Comamonadaceae;Hydrogenophaga;Hydrogenophaga luteola;</t>
  </si>
  <si>
    <t>Hydrogenophaga luteola</t>
  </si>
  <si>
    <t>Bacteria;Bacteroidota;Sphingobacteriia;Sphingobacteriales;Sphingobacteriaceae;Pedobacter;Pedobacter alpinus;</t>
  </si>
  <si>
    <t>Pedobacter alpinus</t>
  </si>
  <si>
    <t>Bacteria;Actinomycetota;Actinomycetes;Micrococcales;Microbacteriaceae;Subtercola;Subtercola lobariae;</t>
  </si>
  <si>
    <t>Subtercola lobariae</t>
  </si>
  <si>
    <t>Bacteria;Pseudomonadota;Alphaproteobacteria;Hyphomicrobiales;Rhizobiaceae;Rhizobium;Rhizobium puerariae;</t>
  </si>
  <si>
    <t>Rhizobium puerariae</t>
  </si>
  <si>
    <t>Bacteria;Bacillota;Tissierellia;Tissierellales;Tissierellaceae;Gudongella;Gudongella oleilytica;</t>
  </si>
  <si>
    <t>Gudongella</t>
  </si>
  <si>
    <t>Gudongella oleilytica</t>
  </si>
  <si>
    <t>Bacteria;Verrucomicrobiota;Verrucomicrobiia;Verrucomicrobiales;Verrucomicrobiaceae;Luteolibacter;Luteolibacter arcticus;</t>
  </si>
  <si>
    <t>Luteolibacter arcticus</t>
  </si>
  <si>
    <t>Bacteria;Acidobacteriota;Terriglobia;Terriglobales;Acidobacteriaceae;Silvibacterium;Silvibacterium bohemicum;</t>
  </si>
  <si>
    <t>Silvibacterium</t>
  </si>
  <si>
    <t>Silvibacterium bohemicum</t>
  </si>
  <si>
    <t>Bacteria;Planctomycetota;Planctomycetia;Planctomycetales;Planctomycetaceae;Planctomicrobium;Planctomicrobium piriforme;</t>
  </si>
  <si>
    <t>Planctomicrobium</t>
  </si>
  <si>
    <t>Planctomicrobium piriforme</t>
  </si>
  <si>
    <t>Bacteria;Bacteroidota;Flavobacteriia;Flavobacteriales;Weeksellaceae;Chryseobacterium;Chryseobacterium sp. c4a;</t>
  </si>
  <si>
    <t>Chryseobacterium sp. c4a</t>
  </si>
  <si>
    <t>Bacteria;Pseudomonadota;Alphaproteobacteria;Hyphomicrobiales;Rhizobiaceae;Gellertiella;Gellertiella hungarica;</t>
  </si>
  <si>
    <t>Gellertiella hungarica</t>
  </si>
  <si>
    <t>Bacteria;Pseudomonadota;Alphaproteobacteria;Caulobacterales;Caulobacteraceae;Brevundimonas;Brevundimonas balnearis;</t>
  </si>
  <si>
    <t>Brevundimonas balnearis</t>
  </si>
  <si>
    <t>Bacteria;Bacteroidota;Chitinophagia;Chitinophagales;Chitinophagaceae;Chitinophaga;Chitinophaga qingshengii;</t>
  </si>
  <si>
    <t>Chitinophaga qingshengii</t>
  </si>
  <si>
    <t>Bacteria;Bdellovibrionota;Bdellovibrionia;Bdellovibrionales;Pseudobdellovibrionaceae;Bdellovibrio;Bdellovibrio sp. ArHS;</t>
  </si>
  <si>
    <t>Bdellovibrio sp. ArHS</t>
  </si>
  <si>
    <t>Bacteria;Pseudomonadota;Alphaproteobacteria;Hyphomicrobiales;Nitrobacteraceae;Bradyrhizobium;Bradyrhizobium sp. NFR13;</t>
  </si>
  <si>
    <t>Bradyrhizobium sp. NFR13</t>
  </si>
  <si>
    <t>Bacteria;Bacillota;Bacilli;Bacillales;Paenibacillaceae;Paenibacillus;Paenibacillus sp. NFR01;</t>
  </si>
  <si>
    <t>Paenibacillus sp. NFR01</t>
  </si>
  <si>
    <t>Bacteria;Pseudomonadota;Betaproteobacteria;Burkholderiales;Comamonadaceae;Variovorax;Variovorax sp. 770b2;</t>
  </si>
  <si>
    <t>Variovorax sp. 770b2</t>
  </si>
  <si>
    <t>Bacteria;Pseudomonadota;Alphaproteobacteria;Hyphomicrobiales;Rhizobiaceae;Rhizobium;Rhizobium sp. NFR03;</t>
  </si>
  <si>
    <t>Rhizobium sp. NFR03</t>
  </si>
  <si>
    <t>Bacteria;Pseudomonadota;Alphaproteobacteria;Hyphomicrobiales;Rhizobiaceae;Rhizobium;Rhizobium sp. NFR07;</t>
  </si>
  <si>
    <t>Rhizobium sp. NFR07</t>
  </si>
  <si>
    <t>Bacteria;Pseudomonadota;Gammaproteobacteria;Pseudomonadales;Pseudomonadaceae;Pseudomonas;Pseudomonas sp. NFACC08-1;</t>
  </si>
  <si>
    <t>Pseudomonas sp. NFACC08-1</t>
  </si>
  <si>
    <t>Bacteria;Bacteroidota;Flavobacteriia;Flavobacteriales;Flavobacteriaceae;Yeosuana;Yeosuana marina;</t>
  </si>
  <si>
    <t>Yeosuana</t>
  </si>
  <si>
    <t>Yeosuana marina</t>
  </si>
  <si>
    <t>Bacteria;Pseudomonadota;Gammaproteobacteria;Pseudomonadales;Pseudomonadaceae;Pseudomonas;Pseudomonas endophytica;</t>
  </si>
  <si>
    <t>Pseudomonas endophytica</t>
  </si>
  <si>
    <t>Bacteria;Pseudomonadota;Betaproteobacteria;Burkholderiales;Comamonadaceae;Comamonas;Comamonas piscis;</t>
  </si>
  <si>
    <t>Comamonas piscis</t>
  </si>
  <si>
    <t>Bacteria;Bacteroidota;Sphingobacteriia;Sphingobacteriales;Sphingobacteriaceae;Pedobacter;Pedobacter nanyangensis;</t>
  </si>
  <si>
    <t>Pedobacter nanyangensis</t>
  </si>
  <si>
    <t>Bacteria;Pseudomonadota;Gammaproteobacteria;Lysobacterales;Rhodanobacteraceae;Dyella;Dyella sp. EPa41;</t>
  </si>
  <si>
    <t>Dyella sp. EPa41</t>
  </si>
  <si>
    <t>Bacteria;Bacillota;Clostridia;Eubacteriales;Clostridiaceae;Clostridium;Clostridium sp. L74;</t>
  </si>
  <si>
    <t>Clostridium sp. L74</t>
  </si>
  <si>
    <t>Bacteria;Bacillota;Bacilli;Bacillales;Listeriaceae;Listeria;Listeria booriae;</t>
  </si>
  <si>
    <t>Listeria booriae</t>
  </si>
  <si>
    <t>Bacteria;Pseudomonadota;Betaproteobacteria;Burkholderiales;Comamonadaceae;Corticibacter;Corticibacter populi;</t>
  </si>
  <si>
    <t>Corticibacter</t>
  </si>
  <si>
    <t>Corticibacter populi</t>
  </si>
  <si>
    <t>Bacteria;Pseudomonadota;Alphaproteobacteria;Sphingomonadales;Sphingomonadaceae;Blastomonas;Blastomonas fulva;</t>
  </si>
  <si>
    <t>Blastomonas</t>
  </si>
  <si>
    <t>Blastomonas fulva</t>
  </si>
  <si>
    <t>Bacteria;Bacteroidota;Sphingobacteriia;Sphingobacteriales;Sphingobacteriaceae;Mucilaginibacter;Mucilaginibacter gotjawali;</t>
  </si>
  <si>
    <t>Mucilaginibacter gotjawali</t>
  </si>
  <si>
    <t>Bacteria;Bacillota;Bacilli;Bacillales;Bacillaceae;Peribacillus;Peribacillus alkalitolerans;</t>
  </si>
  <si>
    <t>Peribacillus alkalitolerans</t>
  </si>
  <si>
    <t>Bacteria;Bacillota;Clostridia;Thermoanaerobacterales;Thermoanaerobacteraceae;Thermoanaerobacterium;Thermoanaerobacterium sp. RBIITD;</t>
  </si>
  <si>
    <t>Thermoanaerobacterales</t>
  </si>
  <si>
    <t>Thermoanaerobacteraceae</t>
  </si>
  <si>
    <t>Thermoanaerobacterium</t>
  </si>
  <si>
    <t>Thermoanaerobacterium sp. RBIITD</t>
  </si>
  <si>
    <t>Bacteria;Pseudomonadota;Gammaproteobacteria;Enterobacterales;Thorselliaceae;Thorsellia;Thorsellia kenyensis;</t>
  </si>
  <si>
    <t>Thorselliaceae</t>
  </si>
  <si>
    <t>Thorsellia</t>
  </si>
  <si>
    <t>Thorsellia kenyensis</t>
  </si>
  <si>
    <t>Bacteria;Pseudomonadota;Betaproteobacteria;Burkholderiales;Oxalobacteraceae;Massilia;Massilia sp. BSC265;</t>
  </si>
  <si>
    <t>Massilia sp. BSC265</t>
  </si>
  <si>
    <t>Bacteria;Pseudomonadota;Alphaproteobacteria;Hyphomicrobiales;Ancalomicrobiaceae;Siculibacillus;Siculibacillus lacustris;</t>
  </si>
  <si>
    <t>Siculibacillus</t>
  </si>
  <si>
    <t>Siculibacillus lacustris</t>
  </si>
  <si>
    <t>Bacteria;Pseudomonadota;Betaproteobacteria;Burkholderiales;Sphaerotilaceae;Piscinibacter;Piscinibacter sakaiensis;</t>
  </si>
  <si>
    <t>Piscinibacter sakaiensis</t>
  </si>
  <si>
    <t>Bacteria;Pseudomonadota;Gammaproteobacteria;Chromatiales;Chromatiaceae;Rheinheimera;Rheinheimera mesophila;</t>
  </si>
  <si>
    <t>Rheinheimera mesophila</t>
  </si>
  <si>
    <t>Bacteria;Bacillota;Bacilli;Bacillales;Bacillaceae;Bacillus;Bacillus weihaiensis;</t>
  </si>
  <si>
    <t>Bacillus weihaiensis</t>
  </si>
  <si>
    <t>Bacteria;Pseudomonadota;Alphaproteobacteria;Sphingomonadales;Sphingomonadaceae;Sphingomonas;Sphingomonas sp. 35-24ZXX;</t>
  </si>
  <si>
    <t>Sphingomonas sp. 35-24ZXX</t>
  </si>
  <si>
    <t>Bacteria;Pseudomonadota;Alphaproteobacteria;Acetobacterales;Roseomonadaceae;Belnapia;Belnapia sp. F-4-1;</t>
  </si>
  <si>
    <t>Belnapia sp. F-4-1</t>
  </si>
  <si>
    <t>Bacteria;Pseudomonadota;Alphaproteobacteria;Rhodobacterales;Paracoccaceae;Paracoccus;Paracoccus sanguinis;</t>
  </si>
  <si>
    <t>Paracoccus sanguinis</t>
  </si>
  <si>
    <t>Bacteria;Actinomycetota;Actinomycetes;Propionibacteriales;Nocardioidaceae;Nocardioides;Nocardioides marmorisolisilvae;</t>
  </si>
  <si>
    <t>Nocardioides marmorisolisilvae</t>
  </si>
  <si>
    <t>Bacteria;Actinomycetota;Actinomycetes;Propionibacteriales;Nocardioidaceae;Nocardioides;Nocardioides solisilvae;</t>
  </si>
  <si>
    <t>Nocardioides solisilvae</t>
  </si>
  <si>
    <t>Bacteria;Actinomycetota;Actinomycetes;Propionibacteriales;Kribbellaceae;Kribbella;Kribbella italica;</t>
  </si>
  <si>
    <t>Kribbella italica</t>
  </si>
  <si>
    <t>Bacteria;Bacillota;Clostridia;Eubacteriales;Clostridiaceae;Clostridium;Clostridium sp. KNHs214;</t>
  </si>
  <si>
    <t>Clostridium sp. KNHs214</t>
  </si>
  <si>
    <t>Bacteria;Pseudomonadota;Betaproteobacteria;Burkholderiales;Burkholderiaceae;Cupriavidus;Cupriavidus sp. IDO;</t>
  </si>
  <si>
    <t>Cupriavidus sp. IDO</t>
  </si>
  <si>
    <t>Bacteria;Bacteroidota;Sphingobacteriia;Sphingobacteriales;Sphingobacteriaceae;Sphingobacterium;Sphingobacterium sp. ML3W;</t>
  </si>
  <si>
    <t>Sphingobacterium sp. ML3W</t>
  </si>
  <si>
    <t>Bacteria;Pseudomonadota;Betaproteobacteria;Burkholderiales;NA;Aquabacterium;Aquabacterium sp. NJ1;</t>
  </si>
  <si>
    <t>Aquabacterium sp. NJ1</t>
  </si>
  <si>
    <t>Bacteria;Bacteroidota;Cytophagia;Cytophagales;Leadbetterellaceae;Emticicia;Emticicia aquatilis;</t>
  </si>
  <si>
    <t>Emticicia aquatilis</t>
  </si>
  <si>
    <t>Bacteria;Pseudomonadota;Alphaproteobacteria;Rhodobacterales;Paracoccaceae;Pseudooceanicola;Pseudooceanicola algae;</t>
  </si>
  <si>
    <t>Pseudooceanicola algae</t>
  </si>
  <si>
    <t>Bacteria;Bacillota;Bacilli;Bacillales;Paenibacillaceae;Paenibacillus;Paenibacillus sp. FSL R7-0273;</t>
  </si>
  <si>
    <t>Paenibacillus sp. FSL R7-0273</t>
  </si>
  <si>
    <t>Bacteria;Actinomycetota;Actinomycetes;Micrococcales;Demequinaceae;Demequina;Demequina iriomotensis;</t>
  </si>
  <si>
    <t>Demequina iriomotensis</t>
  </si>
  <si>
    <t>Bacteria;Actinomycetota;Actinomycetes;Mycobacteriales;Mycobacteriaceae;Mycolicibacterium;Mycolicibacterium helvum;</t>
  </si>
  <si>
    <t>Mycolicibacterium helvum</t>
  </si>
  <si>
    <t>Bacteria;Actinomycetota;Actinomycetes;Mycobacteriales;Mycobacteriaceae;Mycolicibacterium;Mycolicibacterium sarraceniae;</t>
  </si>
  <si>
    <t>Mycolicibacterium sarraceniae</t>
  </si>
  <si>
    <t>Bacteria;Pseudomonadota;Betaproteobacteria;Burkholderiales;Alcaligenaceae;Achromobacter;Achromobacter sp. RTa;</t>
  </si>
  <si>
    <t>Achromobacter sp. RTa</t>
  </si>
  <si>
    <t>Bacteria;Pseudomonadota;Gammaproteobacteria;Enterobacterales;Yersiniaceae;Serratia;Serratia sp. Ag2;</t>
  </si>
  <si>
    <t>Serratia sp. Ag2</t>
  </si>
  <si>
    <t>Bacteria;Pseudomonadota;Alphaproteobacteria;Caulobacterales;Caulobacteraceae;Brevundimonas;Brevundimonas sp. DS20;</t>
  </si>
  <si>
    <t>Brevundimonas sp. DS20</t>
  </si>
  <si>
    <t>Bacteria;Bacteroidota;Flavobacteriia;Flavobacteriales;Flavobacteriaceae;Flavobacterium;Flavobacterium suzhouense;</t>
  </si>
  <si>
    <t>Flavobacterium suzhouense</t>
  </si>
  <si>
    <t>Bacteria;Actinomycetota;Actinomycetes;Micrococcales;Microbacteriaceae;Cryobacterium;Cryobacterium sp. MLB-32;</t>
  </si>
  <si>
    <t>Cryobacterium sp. MLB-32</t>
  </si>
  <si>
    <t>Bacteria;Bacillota;Bacilli;Bacillales;Bacillaceae;Bacillus;Bacillus sp. 165;</t>
  </si>
  <si>
    <t>Bacillus sp. 165</t>
  </si>
  <si>
    <t>Bacteria;Bacteroidota;Sphingobacteriia;Sphingobacteriales;Sphingobacteriaceae;Mucilaginibacter;Mucilaginibacter roseus;</t>
  </si>
  <si>
    <t>Mucilaginibacter roseus</t>
  </si>
  <si>
    <t>Bacteria;Pseudomonadota;Betaproteobacteria;Burkholderiales;Comamonadaceae;Oryzisolibacter;Oryzisolibacter propanilivorax;</t>
  </si>
  <si>
    <t>Oryzisolibacter propanilivorax</t>
  </si>
  <si>
    <t>Bacteria;Bacillota;Bacilli;Bacillales;Paenibacillaceae;Paenibacillus;Paenibacillus dakarensis;</t>
  </si>
  <si>
    <t>Paenibacillus dakarensis</t>
  </si>
  <si>
    <t>Bacteria;Pseudomonadota;Alphaproteobacteria;Hyphomicrobiales;Boseaceae;Bosea;Bosea vaviloviae;</t>
  </si>
  <si>
    <t>Bosea vaviloviae</t>
  </si>
  <si>
    <t>Bacteria;Actinomycetota;Actinomycetes;Micrococcales;Microbacteriaceae;Microbacterium;Microbacterium endophyticum;</t>
  </si>
  <si>
    <t>Microbacterium endophyticum</t>
  </si>
  <si>
    <t>Bacteria;Pseudomonadota;Gammaproteobacteria;Enterobacterales;Yersiniaceae;Serratia;Serratia sp. Ag1;</t>
  </si>
  <si>
    <t>Serratia sp. Ag1</t>
  </si>
  <si>
    <t>Bacteria;Bacteroidota;Sphingobacteriia;Sphingobacteriales;Sphingobacteriaceae;Mucilaginibacter;Mucilaginibacter psychrotolerans;</t>
  </si>
  <si>
    <t>Mucilaginibacter psychrotolerans</t>
  </si>
  <si>
    <t>Bacteria;Pseudomonadota;Gammaproteobacteria;Pseudomonadales;Pseudomonadaceae;Pseudomonas;Pseudomonas sp. ML96;</t>
  </si>
  <si>
    <t>Pseudomonas sp. ML96</t>
  </si>
  <si>
    <t>Bacteria;Pseudomonadota;Alphaproteobacteria;Sphingomonadales;Sphingomonadaceae;Novosphingobium;Novosphingobium sp. AAP83;</t>
  </si>
  <si>
    <t>Novosphingobium sp. AAP83</t>
  </si>
  <si>
    <t>Bacteria;Pseudomonadota;Alphaproteobacteria;Caulobacterales;Caulobacteraceae;Brevundimonas;Brevundimonas sp. AAP58;</t>
  </si>
  <si>
    <t>Brevundimonas sp. AAP58</t>
  </si>
  <si>
    <t>Bacteria;Pseudomonadota;Alphaproteobacteria;Hyphomicrobiales;Rhizobiaceae;Rhizobium;Rhizobium sp. AAP43;</t>
  </si>
  <si>
    <t>Rhizobium sp. AAP43</t>
  </si>
  <si>
    <t>Bacteria;Pseudomonadota;Alphaproteobacteria;Hyphomicrobiales;Boseaceae;Bosea;Bosea sp. AAP35;</t>
  </si>
  <si>
    <t>Bosea sp. AAP35</t>
  </si>
  <si>
    <t>Bacteria;Bacillota;Bacilli;Bacillales;Bacillaceae;Numidum;Numidum massiliense;</t>
  </si>
  <si>
    <t>Numidum</t>
  </si>
  <si>
    <t>Numidum massiliense</t>
  </si>
  <si>
    <t>Bacteria;Pseudomonadota;Alphaproteobacteria;Hyphomicrobiales;Aurantimonadaceae;Aurantimonas;Aurantimonas endophytica;</t>
  </si>
  <si>
    <t>Aurantimonas endophytica</t>
  </si>
  <si>
    <t>Bacteria;Pseudomonadota;Alphaproteobacteria;Hyphomicrobiales;Nitrobacteraceae;Bradyrhizobium;Bradyrhizobium sp. WD16;</t>
  </si>
  <si>
    <t>Bradyrhizobium sp. WD16</t>
  </si>
  <si>
    <t>Bacteria;Bacillota;Clostridia;Lachnospirales;Lachnospiraceae;Pseudobutyrivibrio;Pseudobutyrivibrio sp. YE44;</t>
  </si>
  <si>
    <t>Pseudobutyrivibrio</t>
  </si>
  <si>
    <t>Pseudobutyrivibrio sp. YE44</t>
  </si>
  <si>
    <t>Bacteria;Pseudomonadota;Alphaproteobacteria;Hyphomicrobiales;Phyllobacteriaceae;Phyllobacterium;Phyllobacterium sophorae;</t>
  </si>
  <si>
    <t>Phyllobacterium sophorae</t>
  </si>
  <si>
    <t>Bacteria;Pseudomonadota;Gammaproteobacteria;Aeromonadales;Aeromonadaceae;Aeromonas;Aeromonas sp. SCS5;</t>
  </si>
  <si>
    <t>Aeromonas sp. SCS5</t>
  </si>
  <si>
    <t>Bacteria;Bacteroidota;Sphingobacteriia;Sphingobacteriales;Sphingobacteriaceae;Mucilaginibacter;Mucilaginibacter aquatilis;</t>
  </si>
  <si>
    <t>Mucilaginibacter aquatilis</t>
  </si>
  <si>
    <t>Bacteria;Pseudomonadota;Betaproteobacteria;Burkholderiales;Burkholderiaceae;Paraburkholderia;Paraburkholderia susongensis;</t>
  </si>
  <si>
    <t>Paraburkholderia susongensis</t>
  </si>
  <si>
    <t>Bacteria;Pseudomonadota;Gammaproteobacteria;Alteromonadales;Pseudoalteromonadaceae;Pseudoalteromonas;Pseudoalteromonas sp. NC201;</t>
  </si>
  <si>
    <t>Pseudoalteromonadaceae</t>
  </si>
  <si>
    <t>Pseudoalteromonas</t>
  </si>
  <si>
    <t>Pseudoalteromonas sp. NC201</t>
  </si>
  <si>
    <t>Bacteria;Bacteroidota;Sphingobacteriia;Sphingobacteriales;Sphingobacteriaceae;Sphingobacterium;Sphingobacterium nematocida;</t>
  </si>
  <si>
    <t>Sphingobacterium nematocida</t>
  </si>
  <si>
    <t>Bacteria;Pseudomonadota;Alphaproteobacteria;Hyphomicrobiales;Boseaceae;Bosea;Bosea sp. UNC402CLCol;</t>
  </si>
  <si>
    <t>Bosea sp. UNC402CLCol</t>
  </si>
  <si>
    <t>Bacteria;Bacillota;Bacilli;Bacillales;Bacillaceae;Bacillus;Bacillus haikouensis;</t>
  </si>
  <si>
    <t>Bacillus haikouensis</t>
  </si>
  <si>
    <t>Bacteria;Pseudomonadota;Alphaproteobacteria;Rhodobacterales;Roseobacteraceae;Litoreibacter;Litoreibacter ponti;</t>
  </si>
  <si>
    <t>Litoreibacter</t>
  </si>
  <si>
    <t>Litoreibacter ponti</t>
  </si>
  <si>
    <t>Bacteria;Pseudomonadota;Alphaproteobacteria;Sphingomonadales;Sphingomonadaceae;Blastomonas;Blastomonas aquatica;</t>
  </si>
  <si>
    <t>Blastomonas aquatica</t>
  </si>
  <si>
    <t>Bacteria;Actinomycetota;Actinomycetes;Kitasatosporales;Streptomycetaceae;Streptomyces;Streptomyces sp. PT12;</t>
  </si>
  <si>
    <t>Streptomyces sp. PT12</t>
  </si>
  <si>
    <t>Bacteria;Pseudomonadota;Gammaproteobacteria;Pseudomonadales;Pseudomonadaceae;Permianibacter;Permianibacter aggregans;</t>
  </si>
  <si>
    <t>Permianibacter aggregans</t>
  </si>
  <si>
    <t>Bacteria;Bacteroidota;Cytophagia;Cytophagales;Flectobacillaceae;Flectobacillus;Flectobacillus sp. BAB-3569;</t>
  </si>
  <si>
    <t>Flectobacillus sp. BAB-3569</t>
  </si>
  <si>
    <t>Bacteria;Pseudomonadota;Alphaproteobacteria;Acetobacterales;Acetobacteraceae;Plastoroseomonas;Plastoroseomonas arctica;</t>
  </si>
  <si>
    <t>Plastoroseomonas arctica</t>
  </si>
  <si>
    <t>Bacteria;Pseudomonadota;Alphaproteobacteria;Sphingomonadales;Sphingomonadaceae;Novosphingobium;Novosphingobium piscinae;</t>
  </si>
  <si>
    <t>Novosphingobium piscinae</t>
  </si>
  <si>
    <t>Bacteria;Bacteroidota;Flavobacteriia;Flavobacteriales;Flavobacteriaceae;Flavobacterium;Flavobacterium sp. ASV13;</t>
  </si>
  <si>
    <t>Flavobacterium sp. ASV13</t>
  </si>
  <si>
    <t>Bacteria;Pseudomonadota;Gammaproteobacteria;Enterobacterales;Enterobacteriaceae;Siccibacter;Siccibacter colletis;</t>
  </si>
  <si>
    <t>Siccibacter</t>
  </si>
  <si>
    <t>Siccibacter colletis</t>
  </si>
  <si>
    <t>Bacteria;Pseudomonadota;Gammaproteobacteria;Enterobacterales;Pectobacteriaceae;Brenneria;Brenneria populi;</t>
  </si>
  <si>
    <t>Brenneria</t>
  </si>
  <si>
    <t>Brenneria populi</t>
  </si>
  <si>
    <t>Bacteria;Pseudomonadota;Betaproteobacteria;Burkholderiales;Burkholderiaceae;Burkholderia;Burkholderia stagnalis;</t>
  </si>
  <si>
    <t>Burkholderia stagnalis</t>
  </si>
  <si>
    <t>Bacteria;Bacillota;Bacilli;Bacillales;Bacillaceae;Bacillus;Bacillus sp. ES1-5;</t>
  </si>
  <si>
    <t>Bacillus sp. ES1-5</t>
  </si>
  <si>
    <t>Bacteria;Pseudomonadota;Alphaproteobacteria;Caulobacterales;Caulobacteraceae;Caulobacter;Caulobacter sp. UNC279MFTsu5.1;</t>
  </si>
  <si>
    <t>Caulobacter sp. UNC279MFTsu5.1</t>
  </si>
  <si>
    <t>Bacteria;Actinomycetota;Actinomycetes;Micrococcales;Microbacteriaceae;Curtobacterium;Curtobacterium sp. UNCCL20;</t>
  </si>
  <si>
    <t>Curtobacterium sp. UNCCL20</t>
  </si>
  <si>
    <t>Bacteria;Pseudomonadota;Betaproteobacteria;Nitrosomonadales;Methylophilaceae;Methylotenera;Methylotenera sp. L2L1;</t>
  </si>
  <si>
    <t>Methylotenera</t>
  </si>
  <si>
    <t>Methylotenera sp. L2L1</t>
  </si>
  <si>
    <t>Bacteria;Cyanobacteriota;Cyanophyceae;Leptolyngbyales;Neosynechococcaceae;Neosynechococcus;Neosynechococcus sphagnicola;</t>
  </si>
  <si>
    <t>Neosynechococcaceae</t>
  </si>
  <si>
    <t>Neosynechococcus</t>
  </si>
  <si>
    <t>Neosynechococcus sphagnicola</t>
  </si>
  <si>
    <t>Bacteria;Bacteroidota;Flavobacteriia;Flavobacteriales;Weeksellaceae;Chryseobacterium;Chryseobacterium sp. YR221;</t>
  </si>
  <si>
    <t>Chryseobacterium sp. YR221</t>
  </si>
  <si>
    <t>Bacteria;Bacillota;Clostridia;Eubacteriales;Clostridiaceae;Clostridium;Clostridium amazonitimonense;</t>
  </si>
  <si>
    <t>Clostridium amazonitimonense</t>
  </si>
  <si>
    <t>Bacteria;Bacillota;Clostridia;Eubacteriales;Clostridiaceae;Clostridium;Clostridium culturomicium;</t>
  </si>
  <si>
    <t>Clostridium culturomicium</t>
  </si>
  <si>
    <t>Bacteria;Pseudomonadota;Alphaproteobacteria;Caulobacterales;Caulobacteraceae;Brevundimonas;Brevundimonas sp. EAKA;</t>
  </si>
  <si>
    <t>Brevundimonas sp. EAKA</t>
  </si>
  <si>
    <t>Bacteria;Pseudomonadota;Alphaproteobacteria;Hyphomicrobiales;Chelatococcaceae;Chelatococcus;Chelatococcus reniformis;</t>
  </si>
  <si>
    <t>Chelatococcaceae</t>
  </si>
  <si>
    <t>Chelatococcus</t>
  </si>
  <si>
    <t>Chelatococcus reniformis</t>
  </si>
  <si>
    <t>Bacteria;Bacteroidota;Flavobacteriia;Flavobacteriales;Flavobacteriaceae;Flavobacterium;Flavobacterium gilvum;</t>
  </si>
  <si>
    <t>Flavobacterium gilvum</t>
  </si>
  <si>
    <t>Bacteria;Bacillota;Bacilli;Bacillales;Thermoactinomycetaceae;Paenactinomyces;Paenactinomyces guangxiensis;</t>
  </si>
  <si>
    <t>Thermoactinomycetaceae</t>
  </si>
  <si>
    <t>Paenactinomyces</t>
  </si>
  <si>
    <t>Paenactinomyces guangxiensis</t>
  </si>
  <si>
    <t>Bacteria;Pseudomonadota;Alphaproteobacteria;Sphingomonadales;Sphingomonadaceae;Sphingorhabdus;Sphingorhabdus arenilitoris;</t>
  </si>
  <si>
    <t>Sphingorhabdus arenilitoris</t>
  </si>
  <si>
    <t>Bacteria;Bacillota;Clostridia;Eubacteriales;Eubacteriales Family XII. Incertae Sedis;Fusibacter;Fusibacter bizertensis;</t>
  </si>
  <si>
    <t>Eubacteriales Family XII. Incertae Sedis</t>
  </si>
  <si>
    <t>Fusibacter</t>
  </si>
  <si>
    <t>Fusibacter bizertensis</t>
  </si>
  <si>
    <t>Bacteria;Pseudomonadota;Gammaproteobacteria;Enterobacterales;Hafniaceae;Enterobacillus;Enterobacillus tribolii;</t>
  </si>
  <si>
    <t>Hafniaceae</t>
  </si>
  <si>
    <t>Enterobacillus</t>
  </si>
  <si>
    <t>Enterobacillus tribolii</t>
  </si>
  <si>
    <t>Bacteria;Bacillota;Clostridia;Eubacteriales;Clostridiaceae;Clostridium;Clostridium sp. HMP27;</t>
  </si>
  <si>
    <t>Clostridium sp. HMP27</t>
  </si>
  <si>
    <t>Bacteria;Pseudomonadota;Gammaproteobacteria;Enterobacterales;Enterobacteriaceae;Phytobacter;Phytobacter massiliensis;</t>
  </si>
  <si>
    <t>Phytobacter massiliensis</t>
  </si>
  <si>
    <t>Bacteria;Pseudomonadota;Alphaproteobacteria;Acetobacterales;Roseomonadaceae;Crenalkalicoccus;Crenalkalicoccus roseus;</t>
  </si>
  <si>
    <t>Crenalkalicoccus</t>
  </si>
  <si>
    <t>Crenalkalicoccus roseus</t>
  </si>
  <si>
    <t>Bacteria;Pseudomonadota;Betaproteobacteria;Nitrosomonadales;Gallionellaceae;Ferriphaselus;Ferriphaselus sp. R-1;</t>
  </si>
  <si>
    <t>Ferriphaselus</t>
  </si>
  <si>
    <t>Ferriphaselus sp. R-1</t>
  </si>
  <si>
    <t>Bacteria;Pseudomonadota;Betaproteobacteria;Burkholderiales;Comamonadaceae;Rhodoferax;Rhodoferax saidenbachensis;</t>
  </si>
  <si>
    <t>Rhodoferax saidenbachensis</t>
  </si>
  <si>
    <t>Bacteria;Bacillota;Bacilli;Bacillales;NA;Exiguobacterium;Exiguobacterium sp. AB2;</t>
  </si>
  <si>
    <t>Exiguobacterium sp. AB2</t>
  </si>
  <si>
    <t>Bacteria;Bacillota;Clostridia;Peptostreptococcales;Filifactoraceae;Acetoanaerobium;Acetoanaerobium pronyense;</t>
  </si>
  <si>
    <t>Filifactoraceae</t>
  </si>
  <si>
    <t>Acetoanaerobium</t>
  </si>
  <si>
    <t>Acetoanaerobium pronyense</t>
  </si>
  <si>
    <t>Bacteria;Bacillota;Clostridia;Peptostreptococcales;Natronincolaceae;Alkaliphilus;Alkaliphilus pronyensis;</t>
  </si>
  <si>
    <t>Alkaliphilus pronyensis</t>
  </si>
  <si>
    <t>Bacteria;Bacillota;Clostridia;Peptostreptococcales;Natronincolaceae;Alkaliphilus;Alkaliphilus serpentinus;</t>
  </si>
  <si>
    <t>Alkaliphilus serpentinus</t>
  </si>
  <si>
    <t>Bacteria;Actinomycetota;Actinomycetes;Micrococcales;Microbacteriaceae;Microbacterium;Microbacterium sp. CH12i;</t>
  </si>
  <si>
    <t>Microbacterium sp. CH12i</t>
  </si>
  <si>
    <t>Bacteria;Bacillota;Clostridia;Peptostreptococcales;Thermotaleaceae;Anaeromicrobium;Anaeromicrobium sediminis;</t>
  </si>
  <si>
    <t>Anaeromicrobium sediminis</t>
  </si>
  <si>
    <t>Bacteria;Bacteroidota;Flavobacteriia;Flavobacteriales;Flavobacteriaceae;Flavobacterium;Flavobacterium notoginsengisoli;</t>
  </si>
  <si>
    <t>Flavobacterium notoginsengisoli</t>
  </si>
  <si>
    <t>Bacteria;Bacteroidota;Sphingobacteriia;Sphingobacteriales;Sphingobacteriaceae;Parapedobacter;Parapedobacter indicus;</t>
  </si>
  <si>
    <t>Parapedobacter</t>
  </si>
  <si>
    <t>Parapedobacter indicus</t>
  </si>
  <si>
    <t>Bacteria;Actinomycetota;Actinomycetes;Micrococcales;Microbacteriaceae;Conyzicola;Conyzicola nivalis;</t>
  </si>
  <si>
    <t>Conyzicola</t>
  </si>
  <si>
    <t>Conyzicola nivalis</t>
  </si>
  <si>
    <t>Bacteria;Bacillota;Bacilli;Bacillales;Bacillaceae;Bacillus;Bacillus sp. B-jedd;</t>
  </si>
  <si>
    <t>Bacillus sp. B-jedd</t>
  </si>
  <si>
    <t>Bacteria;Bacteroidota;Sphingobacteriia;Sphingobacteriales;Sphingobacteriaceae;Pedobacter;Pedobacter xixiisoli;</t>
  </si>
  <si>
    <t>Pedobacter xixiisoli</t>
  </si>
  <si>
    <t>Bacteria;Bacteroidota;Flavobacteriia;Flavobacteriales;Flavobacteriaceae;Flavobacterium;Flavobacterium palustre;</t>
  </si>
  <si>
    <t>Flavobacterium palustre</t>
  </si>
  <si>
    <t>Bacteria;Bacteroidota;Flavobacteriia;Flavobacteriales;Weeksellaceae;Epilithonimonas;Epilithonimonas xixisoli;</t>
  </si>
  <si>
    <t>Epilithonimonas xixisoli</t>
  </si>
  <si>
    <t>Bacteria;Bacillota;Clostridia;Lachnospirales;Defluviitaleaceae;Defluviitalea;Defluviitalea phaphyphila;</t>
  </si>
  <si>
    <t>Defluviitaleaceae</t>
  </si>
  <si>
    <t>Defluviitalea</t>
  </si>
  <si>
    <t>Defluviitalea phaphyphila</t>
  </si>
  <si>
    <t>Bacteria;Pseudomonadota;Betaproteobacteria;Burkholderiales;Comamonadaceae;Delftia;Delftia sp. K82;</t>
  </si>
  <si>
    <t>Delftia sp. K82</t>
  </si>
  <si>
    <t>Bacteria;Bacillota;Clostridia;Eubacteriales;Clostridiaceae;Clostridium;Clostridium algifaecis;</t>
  </si>
  <si>
    <t>Clostridium algifaecis</t>
  </si>
  <si>
    <t>Bacteria;Pseudomonadota;Gammaproteobacteria;Lysobacterales;Lysobacteraceae;Stenotrophomonas;Stenotrophomonas sp. RIT309;</t>
  </si>
  <si>
    <t>Stenotrophomonas sp. RIT309</t>
  </si>
  <si>
    <t>Bacteria;Pseudomonadota;Gammaproteobacteria;Pseudomonadales;Pseudomonadaceae;Pseudomonas;Pseudomonas sp. RIT288;</t>
  </si>
  <si>
    <t>Pseudomonas sp. RIT288</t>
  </si>
  <si>
    <t>Bacteria;Bacillota;Clostridia;Eubacteriales;Clostridiaceae;Clostridium;Clostridium ihumii;</t>
  </si>
  <si>
    <t>Clostridium ihumii</t>
  </si>
  <si>
    <t>Bacteria;Bacillota;Clostridia;Lachnospirales;Lachnospiraceae;Kineothrix;Kineothrix alysoides;</t>
  </si>
  <si>
    <t>Kineothrix</t>
  </si>
  <si>
    <t>Kineothrix alysoides</t>
  </si>
  <si>
    <t>Bacteria;Pseudomonadota;Betaproteobacteria;Burkholderiales;Comamonadaceae;Delftia;Delftia sp. RIT313;</t>
  </si>
  <si>
    <t>Delftia sp. RIT313</t>
  </si>
  <si>
    <t>Bacteria;Pseudomonadota;Betaproteobacteria;Burkholderiales;Oxalobacteraceae;Noviherbaspirillum;Noviherbaspirillum massiliense;</t>
  </si>
  <si>
    <t>Noviherbaspirillum massiliense</t>
  </si>
  <si>
    <t>Bacteria;Bacillota;Clostridia;Eubacteriales;Clostridiaceae;Clostridium;Clostridium senegalense;</t>
  </si>
  <si>
    <t>Clostridium senegalense</t>
  </si>
  <si>
    <t>Bacteria;Bacillota;Bacilli;Bacillales;Paenibacillaceae;Paenibacillus;Paenibacillus senegalensis;</t>
  </si>
  <si>
    <t>Paenibacillus senegalensis</t>
  </si>
  <si>
    <t>Bacteria;Pseudomonadota;Gammaproteobacteria;Enterobacterales;Enterobacteriaceae;Klebsiella;Klebsiella quasipneumoniae;</t>
  </si>
  <si>
    <t>Klebsiella quasipneumoniae</t>
  </si>
  <si>
    <t>Bacteria;Pseudomonadota;Alphaproteobacteria;Sphingomonadales;Sphingomonadaceae;Sphingomonas;Sphingomonas panaciterrae;</t>
  </si>
  <si>
    <t>Sphingomonas panaciterrae</t>
  </si>
  <si>
    <t>Bacteria;Actinomycetota;Actinomycetes;Micrococcales;Microbacteriaceae;Leucobacter;Leucobacter japonicus;</t>
  </si>
  <si>
    <t>Leucobacter japonicus</t>
  </si>
  <si>
    <t>Bacteria;Bacillota;Clostridia;Peptostreptococcales;Peptostreptococcaceae;Terrisporobacter;Terrisporobacter petrolearius;</t>
  </si>
  <si>
    <t>Terrisporobacter petrolearius</t>
  </si>
  <si>
    <t>Bacteria;Pseudomonadota;Betaproteobacteria;Burkholderiales;Comamonadaceae;Serpentinimonas;Serpentinimonas maccroryi;</t>
  </si>
  <si>
    <t>Serpentinimonas</t>
  </si>
  <si>
    <t>Serpentinimonas maccroryi</t>
  </si>
  <si>
    <t>Bacteria;Pseudomonadota;Gammaproteobacteria;Enterobacterales;Erwiniaceae;Mixta;Mixta theicola;</t>
  </si>
  <si>
    <t>Mixta theicola</t>
  </si>
  <si>
    <t>Bacteria;Bacteroidota;Sphingobacteriia;Sphingobacteriales;Sphingobacteriaceae;Mucilaginibacter;Mucilaginibacter auburnensis;</t>
  </si>
  <si>
    <t>Mucilaginibacter auburnensis</t>
  </si>
  <si>
    <t>Bacteria;Bacteroidota;Flavobacteriia;Flavobacteriales;Flavobacteriaceae;Flavobacterium;Flavobacterium procerum;</t>
  </si>
  <si>
    <t>Flavobacterium procerum</t>
  </si>
  <si>
    <t>Bacteria;Pseudomonadota;Betaproteobacteria;Burkholderiales;Sphaerotilaceae;Caldimonas;Caldimonas caldifontis;</t>
  </si>
  <si>
    <t>Caldimonas caldifontis</t>
  </si>
  <si>
    <t>Bacteria;Pseudomonadota;Betaproteobacteria;Neisseriales;Neisseriaceae;Crenobacter;Crenobacter luteus;</t>
  </si>
  <si>
    <t>Crenobacter luteus</t>
  </si>
  <si>
    <t>Bacteria;Pseudomonadota;Alphaproteobacteria;Acetobacterales;Acetobacteraceae;Neoroseomonas;Neoroseomonas alkaliterrae;</t>
  </si>
  <si>
    <t>Neoroseomonas alkaliterrae</t>
  </si>
  <si>
    <t>Bacteria;Bacillota;Clostridia;Eubacteriales;Clostridiaceae;Clostridium;Clostridium oryzae;</t>
  </si>
  <si>
    <t>Clostridium oryzae</t>
  </si>
  <si>
    <t>Bacteria;Bacillota;Clostridia;Lachnospirales;Defluviitaleaceae;Defluviitalea;Defluviitalea raffinosedens;</t>
  </si>
  <si>
    <t>Defluviitalea raffinosedens</t>
  </si>
  <si>
    <t>Bacteria;Pseudomonadota;Gammaproteobacteria;Lysobacterales;Lysobacteraceae;Stenotrophomonas;Stenotrophomonas bentonitica;</t>
  </si>
  <si>
    <t>Stenotrophomonas bentonitica</t>
  </si>
  <si>
    <t>Bacteria;Bacillota;Clostridia;Eubacteriales;Clostridiaceae;Clostridium;Clostridium sp. KNHs205;</t>
  </si>
  <si>
    <t>Clostridium sp. KNHs205</t>
  </si>
  <si>
    <t>Bacteria;Pseudomonadota;Alphaproteobacteria;Caulobacterales;Caulobacteraceae;Caulobacter;Caulobacter sp. UNC358MFTsu5.1;</t>
  </si>
  <si>
    <t>Caulobacter sp. UNC358MFTsu5.1</t>
  </si>
  <si>
    <t>Bacteria;Actinomycetota;Actinomycetes;Micrococcales;Microbacteriaceae;Frondihabitans;Frondihabitans sp. 762G35;</t>
  </si>
  <si>
    <t>Frondihabitans sp. 762G35</t>
  </si>
  <si>
    <t>Bacteria;Pseudomonadota;Alphaproteobacteria;Rhodobacterales;Paracoccaceae;Aliigemmobacter;Aliigemmobacter aestuarii;</t>
  </si>
  <si>
    <t>Aliigemmobacter</t>
  </si>
  <si>
    <t>Aliigemmobacter aestuarii</t>
  </si>
  <si>
    <t>Bacteria;Pseudomonadota;Alphaproteobacteria;Caulobacterales;NA;Candidatus Phycosocius;Candidatus Phycosocius bacilliformis;</t>
  </si>
  <si>
    <t>Candidatus Phycosocius</t>
  </si>
  <si>
    <t>Candidatus Phycosocius bacilliformis</t>
  </si>
  <si>
    <t>Bacteria;Pseudomonadota;Alphaproteobacteria;Caulobacterales;Caulobacteraceae;Phenylobacterium;Phenylobacterium kunshanense;</t>
  </si>
  <si>
    <t>Phenylobacterium kunshanense</t>
  </si>
  <si>
    <t>Bacteria;Bacteroidota;Flavobacteriia;Flavobacteriales;Flavobacteriaceae;Flavobacterium;Flavobacterium qiangtangense;</t>
  </si>
  <si>
    <t>Flavobacterium qiangtangense</t>
  </si>
  <si>
    <t>Bacteria;Pseudomonadota;Alphaproteobacteria;Acetobacterales;Roseomonadaceae;Dankookia;Dankookia rubra;</t>
  </si>
  <si>
    <t>Dankookia rubra</t>
  </si>
  <si>
    <t>Bacteria;Pseudomonadota;Betaproteobacteria;Burkholderiales;Oxalobacteraceae;Massilia;Massilia norwichensis;</t>
  </si>
  <si>
    <t>Massilia norwichensis</t>
  </si>
  <si>
    <t>Bacteria;Bacteroidota;Sphingobacteriia;Sphingobacteriales;Sphingobacteriaceae;Sphingobacterium;Sphingobacterium yanglingense;</t>
  </si>
  <si>
    <t>Sphingobacterium yanglingense</t>
  </si>
  <si>
    <t>Bacteria;Actinomycetota;Actinomycetes;Streptosporangiales;Streptosporangiaceae;Sphaerisporangium;Sphaerisporangium dianthi;</t>
  </si>
  <si>
    <t>Sphaerisporangium dianthi</t>
  </si>
  <si>
    <t>Bacteria;Bacteroidota;Sphingobacteriia;Sphingobacteriales;Sphingobacteriaceae;Mucilaginibacter;Mucilaginibacter sp. UR6-11;</t>
  </si>
  <si>
    <t>Mucilaginibacter sp. UR6-11</t>
  </si>
  <si>
    <t>Bacteria;Bacteroidota;Sphingobacteriia;Sphingobacteriales;Sphingobacteriaceae;Mucilaginibacter;Mucilaginibacter sp. UR6-1;</t>
  </si>
  <si>
    <t>Mucilaginibacter sp. UR6-1</t>
  </si>
  <si>
    <t>Bacteria;Pseudomonadota;Gammaproteobacteria;Moraxellales;Moraxellaceae;Fluviicoccus;Fluviicoccus keumensis;</t>
  </si>
  <si>
    <t>Fluviicoccus keumensis</t>
  </si>
  <si>
    <t>Bacteria;Pseudomonadota;Betaproteobacteria;Neisseriales;Chitinibacteraceae;Chitinimonas;Chitinimonas prasina;</t>
  </si>
  <si>
    <t>Chitinimonas prasina</t>
  </si>
  <si>
    <t>Bacteria;Bacteroidota;Chitinophagia;Chitinophagales;Chitinophagaceae;Taibaiella;Taibaiella chishuiensis;</t>
  </si>
  <si>
    <t>Taibaiella chishuiensis</t>
  </si>
  <si>
    <t>Bacteria;Bacteroidota;Flavobacteriia;Flavobacteriales;Flavobacteriaceae;Psychroserpens;Psychroserpens luteus;</t>
  </si>
  <si>
    <t>Psychroserpens</t>
  </si>
  <si>
    <t>Psychroserpens luteus</t>
  </si>
  <si>
    <t>Bacteria;Bacillota;Clostridia;Lachnospirales;Lachnospiraceae;Eisenbergiella;Eisenbergiella tayi;</t>
  </si>
  <si>
    <t>Eisenbergiella</t>
  </si>
  <si>
    <t>Eisenbergiella tayi</t>
  </si>
  <si>
    <t>Bacteria;Bacillota;Clostridia;Peptostreptococcales;Thermotaleaceae;Geosporobacter;Geosporobacter ferrireducens;</t>
  </si>
  <si>
    <t>Geosporobacter</t>
  </si>
  <si>
    <t>Geosporobacter ferrireducens</t>
  </si>
  <si>
    <t>Bacteria;Bacteroidota;Flavobacteriia;Flavobacteriales;Weeksellaceae;Chryseobacterium;Chryseobacterium contaminans;</t>
  </si>
  <si>
    <t>Chryseobacterium contaminans</t>
  </si>
  <si>
    <t>Bacteria;Bacillota;Bacilli;Bacillales;Caryophanaceae;Kurthia;Kurthia huakuii;</t>
  </si>
  <si>
    <t>Kurthia</t>
  </si>
  <si>
    <t>Kurthia huakuii</t>
  </si>
  <si>
    <t>Bacteria;Pseudomonadota;Alphaproteobacteria;Sphingomonadales;Sphingomonadaceae;Novosphingobium;Novosphingobium barchaimii;</t>
  </si>
  <si>
    <t>Novosphingobium barchaimii</t>
  </si>
  <si>
    <t>Bacteria;Bacillota;Clostridia;Peptostreptococcales;Thermotaleaceae;Anaerosolibacter;Anaerosolibacter carboniphilus;</t>
  </si>
  <si>
    <t>Anaerosolibacter carboniphilus</t>
  </si>
  <si>
    <t>Bacteria;Pseudomonadota;Betaproteobacteria;Burkholderiales;Alcaligenaceae;Bordetella;Bordetella genomosp. 11;</t>
  </si>
  <si>
    <t>Bordetella genomosp. 11</t>
  </si>
  <si>
    <t>Bacteria;Pseudomonadota;Betaproteobacteria;Burkholderiales;Alcaligenaceae;Bordetella;Bordetella genomosp. 8;</t>
  </si>
  <si>
    <t>Bordetella genomosp. 8</t>
  </si>
  <si>
    <t>Bacteria;Bacteroidota;Flavobacteriia;Flavobacteriales;Weeksellaceae;Epilithonimonas;Epilithonimonas zeae;</t>
  </si>
  <si>
    <t>Epilithonimonas zeae</t>
  </si>
  <si>
    <t>Bacteria;Actinomycetota;Actinomycetes;Pseudonocardiales;Pseudonocardiaceae;Saccharothrix;Saccharothrix sp. NRRL B-16348;</t>
  </si>
  <si>
    <t>Saccharothrix</t>
  </si>
  <si>
    <t>Saccharothrix sp. NRRL B-16348</t>
  </si>
  <si>
    <t>Bacteria;Bacteroidota;Flavobacteriia;Flavobacteriales;Weeksellaceae;Chryseobacterium;Chryseobacterium artocarpi;</t>
  </si>
  <si>
    <t>Chryseobacterium artocarpi</t>
  </si>
  <si>
    <t>Bacteria;Bacillota;Clostridia;Eubacteriales;Clostridiaceae;Clostridium;Clostridium saudiense;</t>
  </si>
  <si>
    <t>Clostridium saudiense</t>
  </si>
  <si>
    <t>Bacteria;Bacteroidota;Sphingobacteriia;Sphingobacteriales;Sphingobacteriaceae;Pedobacter;Pedobacter sp.;</t>
  </si>
  <si>
    <t>Pedobacter sp.</t>
  </si>
  <si>
    <t>Bacteria;Pseudomonadota;Gammaproteobacteria;Enterobacterales;Yersiniaceae;Serratia;Serratia sp. DD3;</t>
  </si>
  <si>
    <t>Serratia sp. DD3</t>
  </si>
  <si>
    <t>Bacteria;Bacillota;Clostridia;Eubacteriales;Clostridiaceae;Youngiibacter;Youngiibacter fragilis;</t>
  </si>
  <si>
    <t>Youngiibacter</t>
  </si>
  <si>
    <t>Youngiibacter fragilis</t>
  </si>
  <si>
    <t>Bacteria;Pseudomonadota;Alphaproteobacteria;Hyphomicrobiales;Nitrobacteraceae;Bradyrhizobium;Bradyrhizobium sp. 41S5;</t>
  </si>
  <si>
    <t>Bradyrhizobium sp. 41S5</t>
  </si>
  <si>
    <t>Bacteria;Pseudomonadota;Alphaproteobacteria;Hyphomicrobiales;Nitrobacteraceae;Bradyrhizobium;Bradyrhizobium symbiodeficiens;</t>
  </si>
  <si>
    <t>Bradyrhizobium symbiodeficiens</t>
  </si>
  <si>
    <t>Bacteria;Pseudomonadota;Gammaproteobacteria;NA;Candidatus Competibacteraceae;Candidatus Contendobacter;Candidatus Contendobacter odensis;</t>
  </si>
  <si>
    <t>Candidatus Contendobacter</t>
  </si>
  <si>
    <t>Candidatus Contendobacter odensis</t>
  </si>
  <si>
    <t>Bacteria;Bacillota;Clostridia;Eubacteriales;Peptococcaceae;Desulforamulus;Desulforamulus aquiferis;</t>
  </si>
  <si>
    <t>Desulforamulus</t>
  </si>
  <si>
    <t>Desulforamulus aquiferis</t>
  </si>
  <si>
    <t>Bacteria;Pseudomonadota;Alphaproteobacteria;Hyphomicrobiales;Aurantimonadaceae;Martelella;Martelella radicis;</t>
  </si>
  <si>
    <t>Martelella radicis</t>
  </si>
  <si>
    <t>Bacteria;Verrucomicrobiota;Verrucomicrobiia;Verrucomicrobiales;Verrucomicrobiaceae;Haloferula;Haloferula sp. BvORR071;</t>
  </si>
  <si>
    <t>Haloferula</t>
  </si>
  <si>
    <t>Haloferula sp. BvORR071</t>
  </si>
  <si>
    <t>Bacteria;Pseudomonadota;Alphaproteobacteria;Hyphomicrobiales;Rhizobiaceae;Pararhizobium;Pararhizobium gei;</t>
  </si>
  <si>
    <t>Pararhizobium gei</t>
  </si>
  <si>
    <t>Bacteria;Pseudomonadota;Alphaproteobacteria;Hyphomicrobiales;Rhizobiaceae;Aliirhizobium;Aliirhizobium smilacinae;</t>
  </si>
  <si>
    <t>Aliirhizobium smilacinae</t>
  </si>
  <si>
    <t>Bacteria;Pseudomonadota;Betaproteobacteria;Burkholderiales;Alcaligenaceae;Bordetella;Bordetella genomosp. 1;</t>
  </si>
  <si>
    <t>Bordetella genomosp. 1</t>
  </si>
  <si>
    <t>Bacteria;Bacteroidota;Sphingobacteriia;Sphingobacteriales;Sphingobacteriaceae;Pedobacter;Pedobacter ureilyticus;</t>
  </si>
  <si>
    <t>Pedobacter ureilyticus</t>
  </si>
  <si>
    <t>Bacteria;Bacteroidota;Flavobacteriia;Flavobacteriales;Flavobacteriaceae;Flavobacterium;Flavobacterium daemonense;</t>
  </si>
  <si>
    <t>Flavobacterium daemonense</t>
  </si>
  <si>
    <t>Bacteria;Bacillota;Clostridia;Eubacteriales;Clostridiaceae;Clostridium;Clostridium sp. Ade.TY;</t>
  </si>
  <si>
    <t>Clostridium sp. Ade.TY</t>
  </si>
  <si>
    <t>Bacteria;Bacteroidota;Sphingobacteriia;Sphingobacteriales;Sphingobacteriaceae;Mucilaginibacter;Mucilaginibacter pineti;</t>
  </si>
  <si>
    <t>Mucilaginibacter pineti</t>
  </si>
  <si>
    <t>Bacteria;Pseudomonadota;Alphaproteobacteria;Sphingomonadales;Sphingomonadaceae;Sphingomonas;Sphingomonas sp. A2-49;</t>
  </si>
  <si>
    <t>Sphingomonas sp. A2-49</t>
  </si>
  <si>
    <t>Bacteria;Pseudomonadota;Alphaproteobacteria;Sphingomonadales;Sphingomonadaceae;Novosphingobium;Novosphingobium fluoreni;</t>
  </si>
  <si>
    <t>Novosphingobium fluoreni</t>
  </si>
  <si>
    <t>Bacteria;Actinomycetota;Actinomycetes;Mycobacteriales;Mycobacteriaceae;Mycobacterium;Mycobacterium paragordonae;</t>
  </si>
  <si>
    <t>Mycobacterium paragordonae</t>
  </si>
  <si>
    <t>Bacteria;Bacteroidota;Cytophagia;Cytophagales;Cyclobacteriaceae;Negadavirga;Negadavirga shengliensis;</t>
  </si>
  <si>
    <t>Negadavirga</t>
  </si>
  <si>
    <t>Negadavirga shengliensis</t>
  </si>
  <si>
    <t>Bacteria;Bacillota;Bacilli;Bacillales;Paenibacillaceae;Paenibacillus;Paenibacillus terreus;</t>
  </si>
  <si>
    <t>Paenibacillus terreus</t>
  </si>
  <si>
    <t>Bacteria;Planctomycetota;Planctomycetia;Isosphaerales;Isosphaeraceae;Paludisphaera;Paludisphaera borealis;</t>
  </si>
  <si>
    <t>Paludisphaera</t>
  </si>
  <si>
    <t>Paludisphaera borealis</t>
  </si>
  <si>
    <t>Bacteria;Pseudomonadota;Alphaproteobacteria;Rhodobacterales;Roseobacteraceae;Primorskyibacter;Primorskyibacter flagellatus;</t>
  </si>
  <si>
    <t>Primorskyibacter</t>
  </si>
  <si>
    <t>Primorskyibacter flagellatus</t>
  </si>
  <si>
    <t>Bacteria;Pseudomonadota;Alphaproteobacteria;Sphingomonadales;Sphingomonadaceae;Rhizorhabdus;Rhizorhabdus argentea;</t>
  </si>
  <si>
    <t>Rhizorhabdus argentea</t>
  </si>
  <si>
    <t>Bacteria;Pseudomonadota;Alphaproteobacteria;Sphingomonadales;Sphingomonadaceae;Sphingobium;Sphingobium xanthum;</t>
  </si>
  <si>
    <t>Sphingobium xanthum</t>
  </si>
  <si>
    <t>Bacteria;Bacteroidota;Sphingobacteriia;Sphingobacteriales;Sphingobacteriaceae;Sphingobacterium;Sphingobacterium paucimobilis;</t>
  </si>
  <si>
    <t>Sphingobacterium paucimobilis</t>
  </si>
  <si>
    <t>Bacteria;Bacillota;Bacilli;Bacillales;NA;Exiguobacterium;Exiguobacterium chiriqhucha;</t>
  </si>
  <si>
    <t>Exiguobacterium chiriqhucha</t>
  </si>
  <si>
    <t>Bacteria;Pseudomonadota;Betaproteobacteria;Burkholderiales;Burkholderiaceae;Formosimonas;Formosimonas limnophila;</t>
  </si>
  <si>
    <t>Formosimonas</t>
  </si>
  <si>
    <t>Formosimonas limnophila</t>
  </si>
  <si>
    <t>Bacteria;Bacillota;Clostridia;Eubacteriales;Peptococcaceae;Desulforamulus;Desulforamulus profundi;</t>
  </si>
  <si>
    <t>Desulforamulus profundi</t>
  </si>
  <si>
    <t>Bacteria;Pseudomonadota;Alphaproteobacteria;Rhodobacterales;Paracoccaceae;Halodurantibacterium;Halodurantibacterium flavum;</t>
  </si>
  <si>
    <t>Halodurantibacterium</t>
  </si>
  <si>
    <t>Halodurantibacterium flavum</t>
  </si>
  <si>
    <t>Bacteria;Pseudomonadota;Alphaproteobacteria;Sphingomonadales;Sphingomonadaceae;Sphingomonas;Sphingomonas sp. ERG5;</t>
  </si>
  <si>
    <t>Sphingomonas sp. ERG5</t>
  </si>
  <si>
    <t>Bacteria;Cyanobacteriota;Cyanophyceae;Nostocales;Aphanizomenonaceae;Sphaerospermopsis;Sphaerospermopsis sp. LEGE 00249;</t>
  </si>
  <si>
    <t>Aphanizomenonaceae</t>
  </si>
  <si>
    <t>Sphaerospermopsis</t>
  </si>
  <si>
    <t>Sphaerospermopsis sp. LEGE 00249</t>
  </si>
  <si>
    <t>Bacteria;Bacillota;Clostridia;Eubacteriales;Clostridiaceae;Haloimpatiens;Haloimpatiens lingqiaonensis;</t>
  </si>
  <si>
    <t>Haloimpatiens lingqiaonensis</t>
  </si>
  <si>
    <t>Bacteria;Actinomycetota;Actinomycetes;Propionibacteriales;Nocardioidaceae;Nocardioides;Nocardioides sp. URHA0020;</t>
  </si>
  <si>
    <t>Nocardioides sp. URHA0020</t>
  </si>
  <si>
    <t>Bacteria;Actinomycetota;Actinomycetes;Mycobacteriales;Mycobacteriaceae;Mycobacterium;Mycobacterium sp. URHB0044;</t>
  </si>
  <si>
    <t>Mycobacterium sp. URHB0044</t>
  </si>
  <si>
    <t>Bacteria;Bacillota;Clostridia;Peptostreptococcales;Peptostreptococcaceae;Romboutsia;Romboutsia sedimentorum;</t>
  </si>
  <si>
    <t>Romboutsia sedimentorum</t>
  </si>
  <si>
    <t>Bacteria;Pseudomonadota;Alphaproteobacteria;Hyphomicrobiales;Rhizobiaceae;Rhizobium;Rhizobium rosettiformans;</t>
  </si>
  <si>
    <t>Rhizobium rosettiformans</t>
  </si>
  <si>
    <t>Bacteria;Bacillota;Clostridia;Eubacteriales;Clostridiaceae;Clostridium;Clostridium swellfunianum;</t>
  </si>
  <si>
    <t>Clostridium swellfunianum</t>
  </si>
  <si>
    <t>Bacteria;Actinomycetota;Actinomycetes;Pseudonocardiales;Pseudonocardiaceae;Kibdelosporangium;Kibdelosporangium banguiense;</t>
  </si>
  <si>
    <t>Kibdelosporangium</t>
  </si>
  <si>
    <t>Kibdelosporangium banguiense</t>
  </si>
  <si>
    <t>Bacteria;Bacillota;Bacilli;Bacillales;Caryophanaceae;Sporosarcina;Sporosarcina siberiensis;</t>
  </si>
  <si>
    <t>Sporosarcina siberiensis</t>
  </si>
  <si>
    <t>Bacteria;Pseudomonadota;Betaproteobacteria;Burkholderiales;Burkholderiaceae;Burkholderia;Burkholderia sp. A9;</t>
  </si>
  <si>
    <t>Burkholderia sp. A9</t>
  </si>
  <si>
    <t>Bacteria;Pseudomonadota;Gammaproteobacteria;Pseudomonadales;Pseudomonadaceae;Pseudomonas;Pseudomonas sp. LS44;</t>
  </si>
  <si>
    <t>Pseudomonas sp. LS44</t>
  </si>
  <si>
    <t>Bacteria;Bacillota;Bacilli;Bacillales;Paenibacillaceae;Paenibacillus;Paenibacillus eucommiae;</t>
  </si>
  <si>
    <t>Paenibacillus eucommiae</t>
  </si>
  <si>
    <t>Bacteria;Pseudomonadota;Alphaproteobacteria;Hyphomicrobiales;Nitrobacteraceae;Bradyrhizobium;Bradyrhizobium diazoefficiens;</t>
  </si>
  <si>
    <t>Bradyrhizobium diazoefficiens</t>
  </si>
  <si>
    <t>Bacteria;Bacillota;Clostridia;Eubacteriales;Clostridiaceae;Clostridium;Clostridium sp. BL8;</t>
  </si>
  <si>
    <t>Clostridium sp. BL8</t>
  </si>
  <si>
    <t>Bacteria;Pseudomonadota;Betaproteobacteria;Burkholderiales;Alcaligenaceae;Achromobacter;Achromobacter agilis;</t>
  </si>
  <si>
    <t>Achromobacter agilis</t>
  </si>
  <si>
    <t>Bacteria;Actinomycetota;Actinomycetes;Propionibacteriales;Nocardioidaceae;Nocardioides;Nocardioides endophyticus;</t>
  </si>
  <si>
    <t>Nocardioides endophyticus</t>
  </si>
  <si>
    <t>Bacteria;Bacillota;Negativicutes;Veillonellales;Veillonellaceae;Lucifera;Lucifera butyrica;</t>
  </si>
  <si>
    <t>Lucifera</t>
  </si>
  <si>
    <t>Lucifera butyrica</t>
  </si>
  <si>
    <t>Bacteria;Pseudomonadota;Alphaproteobacteria;Caulobacterales;Caulobacteraceae;Brevundimonas;Brevundimonas sp. G8;</t>
  </si>
  <si>
    <t>Brevundimonas sp. G8</t>
  </si>
  <si>
    <t>Bacteria;Bacteroidota;Cytophagia;Cytophagales;Cyclobacteriaceae;Cyclobacterium;Cyclobacterium qasimii;</t>
  </si>
  <si>
    <t>Cyclobacterium</t>
  </si>
  <si>
    <t>Cyclobacterium qasimii</t>
  </si>
  <si>
    <t>Bacteria;Pseudomonadota;Betaproteobacteria;Burkholderiales;NA;Aquabacterium;Aquabacterium sp. A7-Y;</t>
  </si>
  <si>
    <t>Aquabacterium sp. A7-Y</t>
  </si>
  <si>
    <t>Bacteria;Pseudomonadota;Alphaproteobacteria;Sphingomonadales;Sphingomonadaceae;Novosphingobium;Novosphingobium malaysiense;</t>
  </si>
  <si>
    <t>Novosphingobium malaysiense</t>
  </si>
  <si>
    <t>Bacteria;Bacillota;Clostridia;Lachnospirales;Vallitaleaceae;Vallitalea;Vallitalea pronyensis;</t>
  </si>
  <si>
    <t>Vallitalea pronyensis</t>
  </si>
  <si>
    <t>Bacteria;Bacillota;Bacilli;Bacillales;Bacillaceae;Lederbergia;Lederbergia wuyishanensis;</t>
  </si>
  <si>
    <t>Lederbergia</t>
  </si>
  <si>
    <t>Lederbergia wuyishanensis</t>
  </si>
  <si>
    <t>Bacteria;Actinomycetota;Actinomycetes;Propionibacteriales;Propionibacteriaceae;Naumannella;Naumannella cuiyingiana;</t>
  </si>
  <si>
    <t>Naumannella</t>
  </si>
  <si>
    <t>Naumannella cuiyingiana</t>
  </si>
  <si>
    <t>Bacteria;Bacillota;Tissierellia;Tissierellales;Sporanaerobacteraceae;Anaerosalibacter;Anaerosalibacter massiliensis;</t>
  </si>
  <si>
    <t>Anaerosalibacter massiliensis</t>
  </si>
  <si>
    <t>Bacteria;Bacillota;Clostridia;Eubacteriales;Clostridiaceae;Clostridium;Clostridium massiliamazoniense;</t>
  </si>
  <si>
    <t>Clostridium massiliamazoniense</t>
  </si>
  <si>
    <t>Bacteria;Pseudomonadota;Alphaproteobacteria;Acetobacterales;Acetobacteraceae;Neoroseomonas;Neoroseomonas eburnea;</t>
  </si>
  <si>
    <t>Neoroseomonas eburnea</t>
  </si>
  <si>
    <t>Bacteria;Pseudomonadota;Betaproteobacteria;Burkholderiales;Oxalobacteraceae;Undibacterium;Undibacterium seohonense;</t>
  </si>
  <si>
    <t>Undibacterium seohonense</t>
  </si>
  <si>
    <t>Bacteria;Pseudomonadota;Betaproteobacteria;Burkholderiales;Oxalobacteraceae;Undibacterium;Undibacterium jejuense;</t>
  </si>
  <si>
    <t>Undibacterium jejuense</t>
  </si>
  <si>
    <t>Bacteria;Pseudomonadota;Gammaproteobacteria;Lysobacterales;Lysobacteraceae;Rehaibacterium;Rehaibacterium terrae;</t>
  </si>
  <si>
    <t>Rehaibacterium</t>
  </si>
  <si>
    <t>Rehaibacterium terrae</t>
  </si>
  <si>
    <t>Bacteria;Pseudomonadota;Gammaproteobacteria;Enterobacterales;Yersiniaceae;Yersinia;Yersinia wautersii;</t>
  </si>
  <si>
    <t>Yersinia wautersii</t>
  </si>
  <si>
    <t>Bacteria;Bacillota;Bacilli;Bacillales;Paenibacillaceae;Paenibacillus;Paenibacillus abyssi;</t>
  </si>
  <si>
    <t>Paenibacillus abyssi</t>
  </si>
  <si>
    <t>Bacteria;Pseudomonadota;Betaproteobacteria;Burkholderiales;Comamonadaceae;Delftia;Delftia sp. ZNC0008;</t>
  </si>
  <si>
    <t>Delftia sp. ZNC0008</t>
  </si>
  <si>
    <t>Bacteria;Pseudomonadota;Alphaproteobacteria;Hyphomicrobiales;Methylobacteriaceae;Enterovirga;Enterovirga rhinocerotis;</t>
  </si>
  <si>
    <t>Enterovirga rhinocerotis</t>
  </si>
  <si>
    <t>Bacteria;Actinomycetota;Actinomycetes;Micrococcales;Microbacteriaceae;Microbacterium;Microbacterium gilvum;</t>
  </si>
  <si>
    <t>Microbacterium gilvum</t>
  </si>
  <si>
    <t>Bacteria;Pseudomonadota;Alphaproteobacteria;Acetobacterales;Acetobacteraceae;Pseudoroseomonas;Pseudoroseomonas rhizosphaerae;</t>
  </si>
  <si>
    <t>Pseudoroseomonas rhizosphaerae</t>
  </si>
  <si>
    <t>Bacteria;Pseudomonadota;Alphaproteobacteria;Rhodobacterales;Paracoccaceae;Paracoccus;Paracoccus sp. FO-3;</t>
  </si>
  <si>
    <t>Paracoccus sp. FO-3</t>
  </si>
  <si>
    <t>Bacteria;Pseudomonadota;Alphaproteobacteria;Acetobacterales;Acetobacteraceae;Acetobacter;Acetobacter lambici;</t>
  </si>
  <si>
    <t>Acetobacter</t>
  </si>
  <si>
    <t>Acetobacter lambici</t>
  </si>
  <si>
    <t>Bacteria;Pseudomonadota;Alphaproteobacteria;Sphingomonadales;Sphingomonadaceae;Sphingobium;Sphingobium baderi;</t>
  </si>
  <si>
    <t>Sphingobium baderi</t>
  </si>
  <si>
    <t>Bacteria;Pseudomonadota;Alphaproteobacteria;Sphingomonadales;Sphingomonadaceae;Novosphingobium;Novosphingobium lindaniclasticum;</t>
  </si>
  <si>
    <t>Novosphingobium lindaniclasticum</t>
  </si>
  <si>
    <t>Bacteria;Actinomycetota;Actinomycetes;Propionibacteriales;Nocardioidaceae;Nocardioides;Nocardioides massiliensis;</t>
  </si>
  <si>
    <t>Nocardioides massiliensis</t>
  </si>
  <si>
    <t>Bacteria;Bacillota;Clostridia;Eubacteriales;Clostridiaceae;Clostridium;Clostridium polynesiense;</t>
  </si>
  <si>
    <t>Clostridium polynesiense</t>
  </si>
  <si>
    <t>Bacteria;Pseudomonadota;Alphaproteobacteria;Caulobacterales;Caulobacteraceae;Brevundimonas;Brevundimonas vancanneytii;</t>
  </si>
  <si>
    <t>Brevundimonas vancanneytii</t>
  </si>
  <si>
    <t>Bacteria;Bacillota;Bacilli;Bacillales;Bacillaceae;Perspicuibacillus;Perspicuibacillus lycopersici;</t>
  </si>
  <si>
    <t>Perspicuibacillus</t>
  </si>
  <si>
    <t>Perspicuibacillus lycopersici</t>
  </si>
  <si>
    <t>Bacteria;Bacillota;Bacilli;Bacillales;Paenibacillaceae;Paenibacillus;Paenibacillus segetis;</t>
  </si>
  <si>
    <t>Paenibacillus segetis</t>
  </si>
  <si>
    <t>Bacteria;Pseudomonadota;Alphaproteobacteria;Hyphomicrobiales;Nitrobacteraceae;Bradyrhizobium;Bradyrhizobium guangzhouense;</t>
  </si>
  <si>
    <t>Bradyrhizobium guangzhouense</t>
  </si>
  <si>
    <t>Bacteria;Actinomycetota;Actinomycetes;Micrococcales;Micrococcaceae;Sinomonas;Sinomonas susongensis;</t>
  </si>
  <si>
    <t>Sinomonas</t>
  </si>
  <si>
    <t>Sinomonas susongensis</t>
  </si>
  <si>
    <t>Bacteria;Bacteroidota;Flavobacteriia;Flavobacteriales;Weeksellaceae;Chryseobacterium;Chryseobacterium gallinarum;</t>
  </si>
  <si>
    <t>Chryseobacterium gallinarum</t>
  </si>
  <si>
    <t>Bacteria;Bacteroidota;Flavobacteriia;Flavobacteriales;Flavobacteriaceae;Myroides;Myroides indicus;</t>
  </si>
  <si>
    <t>Myroides</t>
  </si>
  <si>
    <t>Myroides indicus</t>
  </si>
  <si>
    <t>Bacteria;Bacillota;Clostridia;Halanaerobiales;NA;Anoxybacter;Anoxybacter fermentans;</t>
  </si>
  <si>
    <t>Halanaerobiales</t>
  </si>
  <si>
    <t>Anoxybacter</t>
  </si>
  <si>
    <t>Anoxybacter fermentans</t>
  </si>
  <si>
    <t>Bacteria;Bacillota;Tissierellia;Tissierellales;Thermohalobacteraceae;Caloranaerobacter;Caloranaerobacter ferrireducens;</t>
  </si>
  <si>
    <t>Thermohalobacteraceae</t>
  </si>
  <si>
    <t>Caloranaerobacter</t>
  </si>
  <si>
    <t>Caloranaerobacter ferrireducens</t>
  </si>
  <si>
    <t>Bacteria;Pseudomonadota;Gammaproteobacteria;Lysobacterales;Lysobacteraceae;Xanthomonas;Xanthomonas maliensis;</t>
  </si>
  <si>
    <t>Xanthomonas maliensis</t>
  </si>
  <si>
    <t>Bacteria;Pseudomonadota;Alphaproteobacteria;Caulobacterales;Caulobacteraceae;Brevundimonas;Brevundimonas albigilva;</t>
  </si>
  <si>
    <t>Brevundimonas albigilva</t>
  </si>
  <si>
    <t>Bacteria;Pseudomonadota;Gammaproteobacteria;Oceanospirillales;Saccharospirillaceae;Reinekea;Reinekea marina;</t>
  </si>
  <si>
    <t>Reinekea</t>
  </si>
  <si>
    <t>Reinekea marina</t>
  </si>
  <si>
    <t>Bacteria;Pseudomonadota;Betaproteobacteria;Burkholderiales;Burkholderiaceae;Ralstonia;Ralstonia pseudosolanacearum;</t>
  </si>
  <si>
    <t>Ralstonia</t>
  </si>
  <si>
    <t>Ralstonia pseudosolanacearum</t>
  </si>
  <si>
    <t>Bacteria;Actinomycetota;Actinomycetes;Micrococcales;Cellulomonadaceae;Cellulomonas;Cellulomonas sp. KRMCY2;</t>
  </si>
  <si>
    <t>Cellulomonas sp. KRMCY2</t>
  </si>
  <si>
    <t>Bacteria;Pseudomonadota;Alphaproteobacteria;Rhodospirillales;Azospirillaceae;Azospirillum;Azospirillum soli;</t>
  </si>
  <si>
    <t>Azospirillum soli</t>
  </si>
  <si>
    <t>Bacteria;Bacillota;Tissierellia;Tissierellales;Thermohalobacteraceae;Caldisalinibacter;Caldisalinibacter kiritimatiensis;</t>
  </si>
  <si>
    <t>Caldisalinibacter</t>
  </si>
  <si>
    <t>Caldisalinibacter kiritimatiensis</t>
  </si>
  <si>
    <t>Bacteria;Pseudomonadota;Alphaproteobacteria;Sphingomonadales;Sphingomonadaceae;Sphingobium;Sphingobium sp. DC-2;</t>
  </si>
  <si>
    <t>Sphingobium sp. DC-2</t>
  </si>
  <si>
    <t>Bacteria;Bacteroidota;Sphingobacteriia;Sphingobacteriales;Sphingobacteriaceae;Mucilaginibacter;Mucilaginibacter polytrichastri;</t>
  </si>
  <si>
    <t>Mucilaginibacter polytrichastri</t>
  </si>
  <si>
    <t>Bacteria;Bacteroidota;Sphingobacteriia;Sphingobacteriales;Sphingobacteriaceae;Mucilaginibacter;Mucilaginibacter calamicampi;</t>
  </si>
  <si>
    <t>Mucilaginibacter calamicampi</t>
  </si>
  <si>
    <t>Bacteria;Bacteroidota;Sphingobacteriia;Sphingobacteriales;Sphingobacteriaceae;Mucilaginibacter;Mucilaginibacter gynuensis;</t>
  </si>
  <si>
    <t>Mucilaginibacter gynuensis</t>
  </si>
  <si>
    <t>Bacteria;Bacillota;Tissierellia;Tissierellales;Thermohalobacteraceae;Caloranaerobacter;Caloranaerobacter sp. TR13;</t>
  </si>
  <si>
    <t>Caloranaerobacter sp. TR13</t>
  </si>
  <si>
    <t>Bacteria;Bacillota;Clostridia;Peptostreptococcales;Peptostreptococcaceae;Faecalimicrobium;Faecalimicrobium dakarense;</t>
  </si>
  <si>
    <t>Faecalimicrobium</t>
  </si>
  <si>
    <t>Faecalimicrobium dakarense</t>
  </si>
  <si>
    <t>Bacteria;Pseudomonadota;Alphaproteobacteria;Caulobacterales;Caulobacteraceae;Phenylobacterium;Phenylobacterium conjunctum;</t>
  </si>
  <si>
    <t>Phenylobacterium conjunctum</t>
  </si>
  <si>
    <t>Bacteria;Actinomycetota;Actinomycetes;Propionibacteriales;Nocardioidaceae;Marmoricola;Marmoricola sp. URHB0036;</t>
  </si>
  <si>
    <t>Marmoricola sp. URHB0036</t>
  </si>
  <si>
    <t>Bacteria;Pseudomonadota;Betaproteobacteria;Burkholderiales;NA;Aquabacterium;Aquabacterium olei;</t>
  </si>
  <si>
    <t>Aquabacterium olei</t>
  </si>
  <si>
    <t>Bacteria;Bacteroidota;Sphingobacteriia;Sphingobacteriales;Sphingobacteriaceae;Mucilaginibacter;Mucilaginibacter yixingensis;</t>
  </si>
  <si>
    <t>Mucilaginibacter yixingensis</t>
  </si>
  <si>
    <t>Bacteria;Pseudomonadota;Alphaproteobacteria;Hyphomicrobiales;Kaistiaceae;Kaistia;Kaistia hirudinis;</t>
  </si>
  <si>
    <t>Kaistia hirudinis</t>
  </si>
  <si>
    <t>Bacteria;Actinomycetota;Actinomycetes;Streptosporangiales;Streptosporangiaceae;Nonomuraea;Nonomuraea guangzhouensis;</t>
  </si>
  <si>
    <t>Nonomuraea guangzhouensis</t>
  </si>
  <si>
    <t>Bacteria;Bacillota;Clostridia;Eubacteriales;Clostridiaceae;Clostridium;Clostridium liquoris;</t>
  </si>
  <si>
    <t>Clostridium liquoris</t>
  </si>
  <si>
    <t>Bacteria;Pseudomonadota;Alphaproteobacteria;Hyphomicrobiales;Brucellaceae;Pseudochrobactrum;Pseudochrobactrum sp. B5;</t>
  </si>
  <si>
    <t>Pseudochrobactrum sp. B5</t>
  </si>
  <si>
    <t>Bacteria;Pseudomonadota;Betaproteobacteria;Burkholderiales;Comamonadaceae;Diaphorobacter;Diaphorobacter aerolatus;</t>
  </si>
  <si>
    <t>Diaphorobacter aerolatus</t>
  </si>
  <si>
    <t>Bacteria;Pseudomonadota;Gammaproteobacteria;Enterobacterales;Yersiniaceae;Yersinia;Yersinia pekkanenii;</t>
  </si>
  <si>
    <t>Yersinia pekkanenii</t>
  </si>
  <si>
    <t>Bacteria;Bacteroidota;Sphingobacteriia;Sphingobacteriales;Sphingobacteriaceae;Arcticibacter;Arcticibacter svalbardensis;</t>
  </si>
  <si>
    <t>Arcticibacter</t>
  </si>
  <si>
    <t>Arcticibacter svalbardensis</t>
  </si>
  <si>
    <t>Bacteria;Pseudomonadota;Betaproteobacteria;Burkholderiales;Alcaligenaceae;Achromobacter;Achromobacter anxifer;</t>
  </si>
  <si>
    <t>Achromobacter anxifer</t>
  </si>
  <si>
    <t>Bacteria;Bacillota;Clostridia;Eubacteriales;Clostridiaceae;Crassaminicella;Crassaminicella profunda;</t>
  </si>
  <si>
    <t>Crassaminicella profunda</t>
  </si>
  <si>
    <t>Bacteria;Pseudomonadota;Gammaproteobacteria;Pseudomonadales;Pseudomonadaceae;Pseudomonas;Pseudomonas sp. LAMO17WK12:I5;</t>
  </si>
  <si>
    <t>Pseudomonas sp. LAMO17WK12:I5</t>
  </si>
  <si>
    <t>Bacteria;Pseudomonadota;Alphaproteobacteria;Hyphomicrobiales;Beijerinckiaceae;Methylovirgula;uncultured Methylovirgula sp.;</t>
  </si>
  <si>
    <t>Methylovirgula</t>
  </si>
  <si>
    <t>uncultured Methylovirgula sp.</t>
  </si>
  <si>
    <t>Bacteria;Bacillota;Bacilli;Bacillales;Paenibacillaceae;Paenibacillus;Paenibacillus sp. A9;</t>
  </si>
  <si>
    <t>Paenibacillus sp. A9</t>
  </si>
  <si>
    <t>Bacteria;Pseudomonadota;Betaproteobacteria;Burkholderiales;Comamonadaceae;Xenophilus;Xenophilus arseniciresistens;</t>
  </si>
  <si>
    <t>Xenophilus arseniciresistens</t>
  </si>
  <si>
    <t>Bacteria;Pseudomonadota;Gammaproteobacteria;Pseudomonadales;Pseudomonadaceae;Pseudomonas;Pseudomonas sp. URIL14HWK12:I6;</t>
  </si>
  <si>
    <t>Pseudomonas sp. URIL14HWK12:I6</t>
  </si>
  <si>
    <t>Bacteria;Pseudomonadota;Gammaproteobacteria;Pseudomonadales;Pseudomonadaceae;Pseudomonas;Pseudomonas sp. URMO17WK12:I11;</t>
  </si>
  <si>
    <t>Pseudomonas sp. URMO17WK12:I11</t>
  </si>
  <si>
    <t>Bacteria;Actinomycetota;Actinomycetes;Propionibacteriales;Nocardioidaceae;Nocardioides;Nocardioides sp. Iso805N;</t>
  </si>
  <si>
    <t>Nocardioides sp. Iso805N</t>
  </si>
  <si>
    <t>Bacteria;Actinomycetota;Actinomycetes;Micrococcales;Microbacteriaceae;Amnibacterium;Amnibacterium soli;</t>
  </si>
  <si>
    <t>Amnibacterium soli</t>
  </si>
  <si>
    <t>Bacteria;Pseudomonadota;Alphaproteobacteria;Hyphomicrobiales;Xanthobacteraceae;Ancylobacter;Ancylobacter defluvii;</t>
  </si>
  <si>
    <t>Ancylobacter defluvii</t>
  </si>
  <si>
    <t>Bacteria;Pseudomonadota;Alphaproteobacteria;Caulobacterales;Caulobacteraceae;Asticcacaulis;Asticcacaulis sp. YBE204;</t>
  </si>
  <si>
    <t>Asticcacaulis sp. YBE204</t>
  </si>
  <si>
    <t>Bacteria;Bacillota;Clostridia;Lachnospirales;Lachnospiraceae;Butyrivibrio;Butyrivibrio sp. MC2013;</t>
  </si>
  <si>
    <t>Butyrivibrio</t>
  </si>
  <si>
    <t>Butyrivibrio sp. MC2013</t>
  </si>
  <si>
    <t>Bacteria;Bacillota;Clostridia;Lachnospirales;Lachnospiraceae;Butyrivibrio;Butyrivibrio sp. WCD3002;</t>
  </si>
  <si>
    <t>Butyrivibrio sp. WCD3002</t>
  </si>
  <si>
    <t>Bacteria;Bacillota;Bacilli;Bacillales;Alicyclobacillaceae;Tumebacillus;Tumebacillus lipolyticus;</t>
  </si>
  <si>
    <t>Tumebacillus</t>
  </si>
  <si>
    <t>Tumebacillus lipolyticus</t>
  </si>
  <si>
    <t>Bacteria;Actinomycetota;Actinomycetes;Micrococcales;Microbacteriaceae;Curtobacterium;Curtobacterium sp. 314Chir4.1;</t>
  </si>
  <si>
    <t>Curtobacterium sp. 314Chir4.1</t>
  </si>
  <si>
    <t>Bacteria;Bacteroidota;Flavobacteriia;Flavobacteriales;Flavobacteriaceae;Flavobacterium;Flavobacterium sp. S87F.05.LMB.W.Kidney.N;</t>
  </si>
  <si>
    <t>Flavobacterium sp. S87F.05.LMB.W.Kidney.N</t>
  </si>
  <si>
    <t>Bacteria;Bacillota;Tissierellia;Tissierellales;Tepidimicrobiaceae;Keratinibaculum;Keratinibaculum paraultunense;</t>
  </si>
  <si>
    <t>Tepidimicrobiaceae</t>
  </si>
  <si>
    <t>Keratinibaculum</t>
  </si>
  <si>
    <t>Keratinibaculum paraultunense</t>
  </si>
  <si>
    <t>Bacteria;Bacillota;Bacilli;Bacillales;Paenibacillaceae;Paenibacillus;Paenibacillus pinisoli;</t>
  </si>
  <si>
    <t>Paenibacillus pinisoli</t>
  </si>
  <si>
    <t>Bacteria;Pseudomonadota;Gammaproteobacteria;Enterobacterales;Enterobacteriaceae;Enterobacter;Enterobacter sp. Bisph1;</t>
  </si>
  <si>
    <t>Enterobacter sp. Bisph1</t>
  </si>
  <si>
    <t>Bacteria;Bacillota;Bacilli;Bacillales;Bacillaceae;Siminovitchia;Siminovitchia sediminis;</t>
  </si>
  <si>
    <t>Siminovitchia</t>
  </si>
  <si>
    <t>Siminovitchia sediminis</t>
  </si>
  <si>
    <t>Bacteria;Bacteroidota;Sphingobacteriia;Sphingobacteriales;Sphingobacteriaceae;Pedobacter;Pedobacter sp. R20-19;</t>
  </si>
  <si>
    <t>Pedobacter sp. R20-19</t>
  </si>
  <si>
    <t>Bacteria;Pseudomonadota;Alphaproteobacteria;Sphingomonadales;Sphingomonadaceae;Sphingomonas;Sphingomonas kyeonggiensis;</t>
  </si>
  <si>
    <t>Sphingomonas kyeonggiensis</t>
  </si>
  <si>
    <t>Bacteria;Bacteroidota;Sphingobacteriia;Sphingobacteriales;Sphingobacteriaceae;Pedobacter;Pedobacter jejuensis;</t>
  </si>
  <si>
    <t>Pedobacter jejuensis</t>
  </si>
  <si>
    <t>Bacteria;Bacteroidota;Chitinophagia;Chitinophagales;Chitinophagaceae;Taibaiella;Taibaiella koreensis;</t>
  </si>
  <si>
    <t>Taibaiella koreensis</t>
  </si>
  <si>
    <t>Bacteria;Actinomycetota;Actinomycetes;Micrococcales;Microbacteriaceae;Frondihabitans;Frondihabitans sucicola;</t>
  </si>
  <si>
    <t>Frondihabitans sucicola</t>
  </si>
  <si>
    <t>Bacteria;Bacteroidota;Cytophagia;Cytophagales;Roseivirgaceae;Roseivirga;Roseivirga pacifica;</t>
  </si>
  <si>
    <t>Roseivirgaceae</t>
  </si>
  <si>
    <t>Roseivirga</t>
  </si>
  <si>
    <t>Roseivirga pacifica</t>
  </si>
  <si>
    <t>Bacteria;Pseudomonadota;Betaproteobacteria;Burkholderiales;Comamonadaceae;Melaminivora;Melaminivora jejuensis;</t>
  </si>
  <si>
    <t>Melaminivora</t>
  </si>
  <si>
    <t>Melaminivora jejuensis</t>
  </si>
  <si>
    <t>Bacteria;Bacteroidota;Chitinophagia;Chitinophagales;Chitinophagaceae;Sediminibacterium;Sediminibacterium sp. C3;</t>
  </si>
  <si>
    <t>Sediminibacterium sp. C3</t>
  </si>
  <si>
    <t>Bacteria;Actinomycetota;Actinomycetes;Micrococcales;Microbacteriaceae;Glaciihabitans;Glaciihabitans tibetensis;</t>
  </si>
  <si>
    <t>Glaciihabitans tibetensis</t>
  </si>
  <si>
    <t>Bacteria;Bacteroidota;Flavobacteriia;Flavobacteriales;Flavobacteriaceae;Flavobacterium;Flavobacterium cutihirudinis;</t>
  </si>
  <si>
    <t>Flavobacterium cutihirudinis</t>
  </si>
  <si>
    <t>Bacteria;Bacillota;Clostridia;Eubacteriales;Clostridiaceae;Clostridium;Clostridium sp. CAG:221;</t>
  </si>
  <si>
    <t>Clostridium sp. CAG:221</t>
  </si>
  <si>
    <t>Bacteria;Pseudomonadota;Betaproteobacteria;Burkholderiales;Oxalobacteraceae;Noviherbaspirillum;Noviherbaspirillum malthae;</t>
  </si>
  <si>
    <t>Noviherbaspirillum malthae</t>
  </si>
  <si>
    <t>Bacteria;Pseudomonadota;Alphaproteobacteria;Sphingomonadales;Sphingomonadaceae;Sphingomonas;Sphingomonas psychrolutea;</t>
  </si>
  <si>
    <t>Sphingomonas psychrolutea</t>
  </si>
  <si>
    <t>Bacteria;Bacteroidota;Sphingobacteriia;Sphingobacteriales;Sphingobacteriaceae;Arcticibacter;Arcticibacter pallidicorallinus;</t>
  </si>
  <si>
    <t>Arcticibacter pallidicorallinus</t>
  </si>
  <si>
    <t>Bacteria;Actinomycetota;Actinomycetes;Micrococcales;Microbacteriaceae;Cryobacterium;Cryobacterium breve;</t>
  </si>
  <si>
    <t>Cryobacterium breve</t>
  </si>
  <si>
    <t>Bacteria;Actinomycetota;Actinomycetes;Micrococcales;Microbacteriaceae;Cryobacterium;Cryobacterium cryoconiti;</t>
  </si>
  <si>
    <t>Cryobacterium cryoconiti</t>
  </si>
  <si>
    <t>Bacteria;Actinomycetota;Actinomycetes;Micrococcales;Microbacteriaceae;Cryobacterium;Cryobacterium lactosi;</t>
  </si>
  <si>
    <t>Cryobacterium lactosi</t>
  </si>
  <si>
    <t>Bacteria;Actinomycetota;Actinomycetes;Micrococcales;Microbacteriaceae;Cryobacterium;Cryobacterium algoritolerans;</t>
  </si>
  <si>
    <t>Cryobacterium algoritolerans</t>
  </si>
  <si>
    <t>Bacteria;Actinomycetota;Actinomycetes;Micrococcales;Microbacteriaceae;Cryobacterium;Cryobacterium glaciale;</t>
  </si>
  <si>
    <t>Cryobacterium glaciale</t>
  </si>
  <si>
    <t>Bacteria;Pseudomonadota;Alphaproteobacteria;Sphingomonadales;Sphingomonadaceae;Novosphingobium;Novosphingobium arvoryzae;</t>
  </si>
  <si>
    <t>Novosphingobium arvoryzae</t>
  </si>
  <si>
    <t>Bacteria;Actinomycetota;Actinomycetes;Micrococcales;Microbacteriaceae;Gulosibacter;Gulosibacter sp. 10;</t>
  </si>
  <si>
    <t>Gulosibacter sp. 10</t>
  </si>
  <si>
    <t>Bacteria;Bacteroidota;Flavobacteriia;Flavobacteriales;Flavobacteriaceae;Tenacibaculum;Tenacibaculum halocynthiae;</t>
  </si>
  <si>
    <t>Tenacibaculum halocynthiae</t>
  </si>
  <si>
    <t>Bacteria;Pseudomonadota;Alphaproteobacteria;Sphingomonadales;Erythrobacteraceae;Porphyrobacter;Porphyrobacter sp. AAP82;</t>
  </si>
  <si>
    <t>Porphyrobacter</t>
  </si>
  <si>
    <t>Porphyrobacter sp. AAP82</t>
  </si>
  <si>
    <t>Bacteria;Pseudomonadota;Alphaproteobacteria;Sphingomonadales;Sphingomonadaceae;Blastomonas;Blastomonas sp. AAP53;</t>
  </si>
  <si>
    <t>Blastomonas sp. AAP53</t>
  </si>
  <si>
    <t>Bacteria;Pseudomonadota;Gammaproteobacteria;Pseudomonadales;Pseudomonadaceae;Pseudomonas;Pseudomonas hunanensis;</t>
  </si>
  <si>
    <t>Pseudomonas hunanensis</t>
  </si>
  <si>
    <t>Bacteria;Pseudomonadota;Betaproteobacteria;Burkholderiales;Alcaligenaceae;Verticiella;Verticiella sediminum;</t>
  </si>
  <si>
    <t>Verticiella sediminum</t>
  </si>
  <si>
    <t>Bacteria;Cyanobacteriota;Cyanophyceae;Nostocales;Tolypothrichaceae;Tolypothrix;Tolypothrix bouteillei;</t>
  </si>
  <si>
    <t>Tolypothrichaceae</t>
  </si>
  <si>
    <t>Tolypothrix</t>
  </si>
  <si>
    <t>Tolypothrix bouteillei</t>
  </si>
  <si>
    <t>Bacteria;Pseudomonadota;Alphaproteobacteria;Hyphomicrobiales;Rhizobiaceae;Rhizobium;Rhizobium sp. 2MFCol3.1;</t>
  </si>
  <si>
    <t>Rhizobium sp. 2MFCol3.1</t>
  </si>
  <si>
    <t>Bacteria;Pseudomonadota;Gammaproteobacteria;Pseudomonadales;Pseudomonadaceae;Geopseudomonas;Geopseudomonas guangdongensis;</t>
  </si>
  <si>
    <t>Geopseudomonas</t>
  </si>
  <si>
    <t>Geopseudomonas guangdongensis</t>
  </si>
  <si>
    <t>Bacteria;Pseudomonadota;Betaproteobacteria;Burkholderiales;Burkholderiaceae;Paraburkholderia;Paraburkholderia strydomiana;</t>
  </si>
  <si>
    <t>Paraburkholderia strydomiana</t>
  </si>
  <si>
    <t>Bacteria;Pseudomonadota;Gammaproteobacteria;Lysobacterales;Lysobacteraceae;Luteimonas;Luteimonas huabeiensis;</t>
  </si>
  <si>
    <t>Luteimonas huabeiensis</t>
  </si>
  <si>
    <t>Bacteria;Pseudomonadota;Gammaproteobacteria;Lysobacterales;Rhodanobacteraceae;Dyella;Dyella kyungheensis;</t>
  </si>
  <si>
    <t>Dyella kyungheensis</t>
  </si>
  <si>
    <t>Bacteria;Bacteroidota;Flavobacteriia;Flavobacteriales;Weeksellaceae;Chryseobacterium;Chryseobacterium nakagawai;</t>
  </si>
  <si>
    <t>Chryseobacterium nakagawai</t>
  </si>
  <si>
    <t>Bacteria;Bacteroidota;Flavobacteriia;Flavobacteriales;Weeksellaceae;Chryseobacterium;Chryseobacterium lactis;</t>
  </si>
  <si>
    <t>Chryseobacterium lactis</t>
  </si>
  <si>
    <t>Bacteria;Bacteroidota;Flavobacteriia;Flavobacteriales;Weeksellaceae;Chryseobacterium;Chryseobacterium bernardetii;</t>
  </si>
  <si>
    <t>Chryseobacterium bernardetii</t>
  </si>
  <si>
    <t>Bacteria;Bacteroidota;Sphingobacteriia;Sphingobacteriales;Sphingobacteriaceae;Pedobacter;Pedobacter nutrimenti;</t>
  </si>
  <si>
    <t>Pedobacter nutrimenti</t>
  </si>
  <si>
    <t>Bacteria;Pseudomonadota;Gammaproteobacteria;Enterobacterales;Bruguierivoracaceae;Sodalis;Sodalis praecaptivus;</t>
  </si>
  <si>
    <t>Sodalis praecaptivus</t>
  </si>
  <si>
    <t>Bacteria;Pseudomonadota;Gammaproteobacteria;Cellvibrionales;Cellvibrionaceae;Cellvibrio;Cellvibrio zantedeschiae;</t>
  </si>
  <si>
    <t>Cellvibrio zantedeschiae</t>
  </si>
  <si>
    <t>Bacteria;Bacteroidota;Flavobacteriia;Flavobacteriales;Flavobacteriaceae;Flavobacterium;Flavobacterium aquaticum;</t>
  </si>
  <si>
    <t>Flavobacterium aquaticum</t>
  </si>
  <si>
    <t>Bacteria;Pseudomonadota;Alphaproteobacteria;Hyphomicrobiales;NA;Pseudorhodoplanes;Pseudorhodoplanes sinuspersici;</t>
  </si>
  <si>
    <t>Pseudorhodoplanes</t>
  </si>
  <si>
    <t>Pseudorhodoplanes sinuspersici</t>
  </si>
  <si>
    <t>Bacteria;Bacteroidota;Sphingobacteriia;Sphingobacteriales;Sphingobacteriaceae;Mucilaginibacter;Mucilaginibacter phenanthrenivorans;</t>
  </si>
  <si>
    <t>Mucilaginibacter phenanthrenivorans</t>
  </si>
  <si>
    <t>Bacteria;Bacteroidota;Sphingobacteriia;Sphingobacteriales;Sphingobacteriaceae;Mucilaginibacter;Mucilaginibacter xinganensis;</t>
  </si>
  <si>
    <t>Mucilaginibacter xinganensis</t>
  </si>
  <si>
    <t>Bacteria;Bacteroidota;Flavobacteriia;Flavobacteriales;Weeksellaceae;Chryseobacterium;Chryseobacterium sp. FH1;</t>
  </si>
  <si>
    <t>Chryseobacterium sp. FH1</t>
  </si>
  <si>
    <t>Bacteria;Pseudomonadota;Betaproteobacteria;Burkholderiales;Sphaerotilaceae;Ideonella;Ideonella paludis;</t>
  </si>
  <si>
    <t>Ideonella paludis</t>
  </si>
  <si>
    <t>Bacteria;Pseudomonadota;Betaproteobacteria;Burkholderiales;Burkholderiaceae;Caballeronia;Caballeronia udeis;</t>
  </si>
  <si>
    <t>Caballeronia udeis</t>
  </si>
  <si>
    <t>Bacteria;Pseudomonadota;Alphaproteobacteria;Acetobacterales;Acetobacteraceae;Neoroseomonas;Neoroseomonas marina;</t>
  </si>
  <si>
    <t>Neoroseomonas marina</t>
  </si>
  <si>
    <t>Bacteria;Pseudomonadota;Alphaproteobacteria;Hyphomicrobiales;Phyllobacteriaceae;Nitratireductor;Nitratireductor pacificus;</t>
  </si>
  <si>
    <t>Nitratireductor pacificus</t>
  </si>
  <si>
    <t>Bacteria;Pseudomonadota;Betaproteobacteria;Burkholderiales;Comamonadaceae;Hydrogenophaga;Hydrogenophaga electricum;</t>
  </si>
  <si>
    <t>Hydrogenophaga electricum</t>
  </si>
  <si>
    <t>Bacteria;Pseudomonadota;Alphaproteobacteria;Hyphomicrobiales;Reyranellaceae;Reyranella;Reyranella soli;</t>
  </si>
  <si>
    <t>Reyranella soli</t>
  </si>
  <si>
    <t>Bacteria;Bacillota;Bacilli;Lactobacillales;Enterococcaceae;Enterococcus;Enterococcus sp. 5H;</t>
  </si>
  <si>
    <t>Enterococcus sp. 5H</t>
  </si>
  <si>
    <t>Bacteria;Pseudomonadota;Alphaproteobacteria;Rhodospirillales;Azospirillaceae;Azospirillum;Azospirillum humicireducens;</t>
  </si>
  <si>
    <t>Azospirillum humicireducens</t>
  </si>
  <si>
    <t>Bacteria;Actinomycetota;Actinomycetes;Kitasatosporales;Streptomycetaceae;Streptomyces;Streptomyces rapamycinicus;</t>
  </si>
  <si>
    <t>Streptomyces rapamycinicus</t>
  </si>
  <si>
    <t>Bacteria;Pseudomonadota;Alphaproteobacteria;Acetobacterales;Roseomonadaceae;Sediminicoccus;Sediminicoccus rosea;</t>
  </si>
  <si>
    <t>Sediminicoccus rosea</t>
  </si>
  <si>
    <t>Bacteria;Pseudomonadota;Alphaproteobacteria;Acetobacterales;Acetobacteraceae;Pseudoroseomonas;Pseudoroseomonas aerophila;</t>
  </si>
  <si>
    <t>Pseudoroseomonas aerophila</t>
  </si>
  <si>
    <t>Bacteria;Pseudomonadota;Betaproteobacteria;Burkholderiales;Oxalobacteraceae;Noviherbaspirillum;Noviherbaspirillum suwonense;</t>
  </si>
  <si>
    <t>Noviherbaspirillum suwonense</t>
  </si>
  <si>
    <t>Bacteria;Bacillota;Bacilli;Bacillales;Bacillaceae;Fictibacillus;Fictibacillus phosphorivorans;</t>
  </si>
  <si>
    <t>Fictibacillus phosphorivorans</t>
  </si>
  <si>
    <t>Bacteria;Pseudomonadota;Alphaproteobacteria;Rhodobacterales;Paracoccaceae;Vannielia;Vannielia litorea;</t>
  </si>
  <si>
    <t>Vannielia</t>
  </si>
  <si>
    <t>Vannielia litorea</t>
  </si>
  <si>
    <t>Bacteria;Bacillota;Clostridia;Eubacteriales;Clostridiaceae;Clostridium;Clostridium bornimense;</t>
  </si>
  <si>
    <t>Clostridium bornimense</t>
  </si>
  <si>
    <t>Bacteria;Pseudomonadota;Gammaproteobacteria;Vibrionales;Vibrionaceae;Vibrio;Vibrio marisflavi;</t>
  </si>
  <si>
    <t>Vibrio marisflavi</t>
  </si>
  <si>
    <t>Bacteria;Bacteroidota;Cytophagia;Cytophagales;Spirosomataceae;Dyadobacter;Dyadobacter tibetensis;</t>
  </si>
  <si>
    <t>Dyadobacter tibetensis</t>
  </si>
  <si>
    <t>Bacteria;Pseudomonadota;Alphaproteobacteria;Sphingomonadales;Sphingomonadaceae;Novosphingobium;Novosphingobium kunmingense;</t>
  </si>
  <si>
    <t>Novosphingobium kunmingense</t>
  </si>
  <si>
    <t>Bacteria;Pseudomonadota;Gammaproteobacteria;Lysobacterales;Lysobacteraceae;Pseudoxanthomonas;Pseudoxanthomonas sp. GW2;</t>
  </si>
  <si>
    <t>Pseudoxanthomonas sp. GW2</t>
  </si>
  <si>
    <t>Bacteria;Pseudomonadota;Alphaproteobacteria;Hyphomicrobiales;Rhizobiaceae;Peteryoungia;Peteryoungia ipomoeae;</t>
  </si>
  <si>
    <t>Peteryoungia ipomoeae</t>
  </si>
  <si>
    <t>Bacteria;Pseudomonadota;Gammaproteobacteria;Enterobacterales;Morganellaceae;Photorhabdus;Photorhabdus noenieputensis;</t>
  </si>
  <si>
    <t>Photorhabdus</t>
  </si>
  <si>
    <t>Photorhabdus noenieputensis</t>
  </si>
  <si>
    <t>Bacteria;Pseudomonadota;Betaproteobacteria;Burkholderiales;Comamonadaceae;Ottowia;Ottowia beijingensis;</t>
  </si>
  <si>
    <t>Ottowia beijingensis</t>
  </si>
  <si>
    <t>Bacteria;Actinomycetota;Actinomycetes;Jatrophihabitantales;Jatrophihabitantaceae;Jatrophihabitans;Jatrophihabitans endophyticus;</t>
  </si>
  <si>
    <t>Jatrophihabitantales</t>
  </si>
  <si>
    <t>Jatrophihabitantaceae</t>
  </si>
  <si>
    <t>Jatrophihabitans</t>
  </si>
  <si>
    <t>Jatrophihabitans endophyticus</t>
  </si>
  <si>
    <t>Bacteria;Thermodesulfobacteriota;Desulfuromonadia;Geobacterales;Geobacteraceae;Geotalea;Geotalea daltonii;</t>
  </si>
  <si>
    <t>Desulfuromonadia</t>
  </si>
  <si>
    <t>Geobacterales</t>
  </si>
  <si>
    <t>Geobacteraceae</t>
  </si>
  <si>
    <t>Geotalea</t>
  </si>
  <si>
    <t>Geotalea daltonii</t>
  </si>
  <si>
    <t>Bacteria;Pseudomonadota;Gammaproteobacteria;Chromatiales;Chromatiaceae;Thiocystis;uncultured Thiocystis sp.;</t>
  </si>
  <si>
    <t>Thiocystis</t>
  </si>
  <si>
    <t>uncultured Thiocystis sp.</t>
  </si>
  <si>
    <t>Bacteria;Pseudomonadota;Alphaproteobacteria;Hyphomicrobiales;Brucellaceae;Pseudochrobactrum;Pseudochrobactrum sp. AO18b;</t>
  </si>
  <si>
    <t>Pseudochrobactrum sp. AO18b</t>
  </si>
  <si>
    <t>Bacteria;Pseudomonadota;Gammaproteobacteria;Pseudomonadales;Pseudomonadaceae;Ectopseudomonas;Ectopseudomonas guguanensis;</t>
  </si>
  <si>
    <t>Ectopseudomonas guguanensis</t>
  </si>
  <si>
    <t>Bacteria;Pseudomonadota;Betaproteobacteria;Burkholderiales;Oxalobacteraceae;Janthinobacterium;Janthinobacterium sp. HH01;</t>
  </si>
  <si>
    <t>Janthinobacterium sp. HH01</t>
  </si>
  <si>
    <t>Bacteria;Actinomycetota;Actinomycetes;Micrococcales;Microbacteriaceae;Schumannella;uncultured Schumannella sp.;</t>
  </si>
  <si>
    <t>uncultured Schumannella sp.</t>
  </si>
  <si>
    <t>Bacteria;Pseudomonadota;Betaproteobacteria;Burkholderiales;Comamonadaceae;Comamonas;Comamonas jiangduensis;</t>
  </si>
  <si>
    <t>Comamonas jiangduensis</t>
  </si>
  <si>
    <t>Bacteria;Bacillota;Bacilli;Bacillales;Bacillaceae;Neobacillus;Neobacillus mesonae;</t>
  </si>
  <si>
    <t>Neobacillus mesonae</t>
  </si>
  <si>
    <t>Bacteria;Pseudomonadota;Betaproteobacteria;Rhodocyclales;Rhodocyclaceae;Niveibacterium;Niveibacterium umoris;</t>
  </si>
  <si>
    <t>Niveibacterium umoris</t>
  </si>
  <si>
    <t>Bacteria;Pseudomonadota;Betaproteobacteria;Neisseriales;Chromobacteriaceae;Vogesella;Vogesella sp. LIG4;</t>
  </si>
  <si>
    <t>Vogesella sp. LIG4</t>
  </si>
  <si>
    <t>Bacteria;Pseudomonadota;Alphaproteobacteria;Hyphomicrobiales;Rhizobiaceae;Pseudorhizobium;Pseudorhizobium endolithicum;</t>
  </si>
  <si>
    <t>Pseudorhizobium</t>
  </si>
  <si>
    <t>Pseudorhizobium endolithicum</t>
  </si>
  <si>
    <t>Bacteria;Pseudomonadota;Alphaproteobacteria;Rhodobacterales;Paracoccaceae;Rhodovulum;Rhodovulum sp. PH10;</t>
  </si>
  <si>
    <t>Rhodovulum</t>
  </si>
  <si>
    <t>Rhodovulum sp. PH10</t>
  </si>
  <si>
    <t>Bacteria;Bacillota;Clostridia;Lachnospirales;Vallitaleaceae;Vallitalea;Vallitalea guaymasensis;</t>
  </si>
  <si>
    <t>Vallitalea guaymasensis</t>
  </si>
  <si>
    <t>Bacteria;Pseudomonadota;Gammaproteobacteria;Pseudomonadales;Pseudomonadaceae;Pseudomonas;Pseudomonas sp. M47T1;</t>
  </si>
  <si>
    <t>Pseudomonas sp. M47T1</t>
  </si>
  <si>
    <t>Bacteria;Bacillota;Bacilli;Bacillales;Thermoactinomycetaceae;Hazenella;Hazenella coriacea;</t>
  </si>
  <si>
    <t>Hazenella</t>
  </si>
  <si>
    <t>Hazenella coriacea</t>
  </si>
  <si>
    <t>Bacteria;Pseudomonadota;Gammaproteobacteria;Oceanospirillales;Halomonadaceae;Halomonas;Halomonas huangheensis;</t>
  </si>
  <si>
    <t>Halomonas huangheensis</t>
  </si>
  <si>
    <t>Bacteria;Pseudomonadota;Betaproteobacteria;Burkholderiales;Comamonadaceae;Paracidovorax;Paracidovorax wautersii;</t>
  </si>
  <si>
    <t>Paracidovorax</t>
  </si>
  <si>
    <t>Paracidovorax wautersii</t>
  </si>
  <si>
    <t>Bacteria;Bacteroidota;Sphingobacteriia;Sphingobacteriales;Sphingobacteriaceae;Mucilaginibacter;Mucilaginibacter jinjuensis;</t>
  </si>
  <si>
    <t>Mucilaginibacter jinjuensis</t>
  </si>
  <si>
    <t>Bacteria;Pseudomonadota;Alphaproteobacteria;Hyphomicrobiales;Rhizobiaceae;Agrobacterium;Agrobacterium fabrum;</t>
  </si>
  <si>
    <t>Agrobacterium fabrum</t>
  </si>
  <si>
    <t>Bacteria;Pseudomonadota;Gammaproteobacteria;Pseudomonadales;Pseudomonadaceae;Stutzerimonas;Stutzerimonas zhaodongensis;</t>
  </si>
  <si>
    <t>Stutzerimonas zhaodongensis</t>
  </si>
  <si>
    <t>Bacteria;Pseudomonadota;Alphaproteobacteria;Hyphomicrobiales;Methylobacteriaceae;Methylobacterium;Methylobacterium haplocladii;</t>
  </si>
  <si>
    <t>Methylobacterium haplocladii</t>
  </si>
  <si>
    <t>Bacteria;Cyanobacteriota;Cyanophyceae;Oscillatoriales;Oscillatoriaceae;Oscillatoria;Oscillatoria sp. PCC 10802;</t>
  </si>
  <si>
    <t>Oscillatoria sp. PCC 10802</t>
  </si>
  <si>
    <t>Bacteria;Cyanobacteriota;Cyanophyceae;Chroococcales;Chroococcaceae;Gloeocapsa;Gloeocapsa sp. PCC 7428;</t>
  </si>
  <si>
    <t>Chroococcaceae</t>
  </si>
  <si>
    <t>Gloeocapsa</t>
  </si>
  <si>
    <t>Gloeocapsa sp. PCC 7428</t>
  </si>
  <si>
    <t>Bacteria;Actinomycetota;Actinomycetes;Micrococcales;Microbacteriaceae;Conyzicola;Conyzicola lurida;</t>
  </si>
  <si>
    <t>Conyzicola lurida</t>
  </si>
  <si>
    <t>Bacteria;Bacillota;Bacilli;Bacillales;Paenibacillaceae;Paenibacillus;Paenibacillus hemerocallicola;</t>
  </si>
  <si>
    <t>Paenibacillus hemerocallicola</t>
  </si>
  <si>
    <t>Bacteria;Pseudomonadota;Alphaproteobacteria;Hyphomicrobiales;Pleomorphomonadaceae;Pleomorphomonas;Pleomorphomonas diazotrophica;</t>
  </si>
  <si>
    <t>Pleomorphomonas</t>
  </si>
  <si>
    <t>Pleomorphomonas diazotrophica</t>
  </si>
  <si>
    <t>Bacteria;Pseudomonadota;Alphaproteobacteria;Hyphomicrobiales;Aurantimonadaceae;Aureimonas;Aureimonas jatrophae;</t>
  </si>
  <si>
    <t>Aureimonas jatrophae</t>
  </si>
  <si>
    <t>Bacteria;Pseudomonadota;Betaproteobacteria;Burkholderiales;Comamonadaceae;Melaminivora;Melaminivora alkalimesophila;</t>
  </si>
  <si>
    <t>Melaminivora alkalimesophila</t>
  </si>
  <si>
    <t>Bacteria;Actinomycetota;Actinomycetes;Micrococcales;Microbacteriaceae;Mycetocola;Mycetocola zhadangensis;</t>
  </si>
  <si>
    <t>Mycetocola zhadangensis</t>
  </si>
  <si>
    <t>Bacteria;Pseudomonadota;Alphaproteobacteria;Hyphomicrobiales;Hyphomicrobiaceae;Hyphomicrobium;Hyphomicrobium sp. 99;</t>
  </si>
  <si>
    <t>Hyphomicrobium sp. 99</t>
  </si>
  <si>
    <t>Bacteria;Actinomycetota;Actinomycetes;Micrococcales;Microbacteriaceae;Homoserinimonas;Homoserinimonas aerilata;</t>
  </si>
  <si>
    <t>Homoserinimonas aerilata</t>
  </si>
  <si>
    <t>Bacteria;Actinomycetota;Actinomycetes;Micrococcales;Microbacteriaceae;Homoserinibacter;Homoserinibacter gongjuensis;</t>
  </si>
  <si>
    <t>Homoserinibacter gongjuensis</t>
  </si>
  <si>
    <t>Bacteria;Actinomycetota;Actinomycetes;Micrococcales;Microbacteriaceae;Diaminobutyricimonas;Diaminobutyricimonas aerilata;</t>
  </si>
  <si>
    <t>Diaminobutyricimonas</t>
  </si>
  <si>
    <t>Diaminobutyricimonas aerilata</t>
  </si>
  <si>
    <t>Bacteria;Actinomycetota;Actinomycetes;Micrococcales;Microbacteriaceae;Naasia;Naasia aerilata;</t>
  </si>
  <si>
    <t>Naasia aerilata</t>
  </si>
  <si>
    <t>Bacteria;Pseudomonadota;Betaproteobacteria;Burkholderiales;NA;Thiomonas;Thiomonas sp. FB-Cd;</t>
  </si>
  <si>
    <t>Thiomonas</t>
  </si>
  <si>
    <t>Thiomonas sp. FB-Cd</t>
  </si>
  <si>
    <t>Bacteria;Pseudomonadota;Gammaproteobacteria;Pseudomonadales;Pseudomonadaceae;Pseudomonas;Pseudomonas sp. K5;</t>
  </si>
  <si>
    <t>Pseudomonas sp. K5</t>
  </si>
  <si>
    <t>Bacteria;Cyanobacteriota;Cyanophyceae;Oscillatoriales;Oscillatoriaceae;Moorena;Moorena producens;</t>
  </si>
  <si>
    <t>Moorena producens</t>
  </si>
  <si>
    <t>Bacteria;Bacillota;Bacilli;Lactobacillales;Enterococcaceae;Enterococcus;Enterococcus diestrammenae;</t>
  </si>
  <si>
    <t>Enterococcus diestrammenae</t>
  </si>
  <si>
    <t>Bacteria;Pseudomonadota;Alphaproteobacteria;Caulobacterales;Caulobacteraceae;Brevundimonas;Brevundimonas sp. 374;</t>
  </si>
  <si>
    <t>Brevundimonas sp. 374</t>
  </si>
  <si>
    <t>Bacteria;Bacillota;Bacilli;Bacillales;Bacillaceae;Bacillus;Bacillus bingmayongensis;</t>
  </si>
  <si>
    <t>Bacillus bingmayongensis</t>
  </si>
  <si>
    <t>Bacteria;Pseudomonadota;Gammaproteobacteria;Pseudomonadales;Pseudomonadaceae;Metapseudomonas;Metapseudomonas furukawaii;</t>
  </si>
  <si>
    <t>Metapseudomonas furukawaii</t>
  </si>
  <si>
    <t>Bacteria;Pseudomonadota;Betaproteobacteria;Burkholderiales;Alcaligenaceae;Achromobacter;Achromobacter arsenitoxydans;</t>
  </si>
  <si>
    <t>Achromobacter arsenitoxydans</t>
  </si>
  <si>
    <t>Bacteria;Bacillota;Clostridia;Eubacteriales;Clostridiaceae;Caloramator;Caloramator quimbayensis;</t>
  </si>
  <si>
    <t>Caloramator quimbayensis</t>
  </si>
  <si>
    <t>Bacteria;Pseudomonadota;Alphaproteobacteria;Rhodobacterales;Paracoccaceae;Falsirhodobacter;Falsirhodobacter halotolerans;</t>
  </si>
  <si>
    <t>Falsirhodobacter halotolerans</t>
  </si>
  <si>
    <t>Bacteria;Bacteroidota;Sphingobacteriia;Sphingobacteriales;Sphingobacteriaceae;Sphingobacterium;Sphingobacterium detergens;</t>
  </si>
  <si>
    <t>Sphingobacterium detergens</t>
  </si>
  <si>
    <t>Bacteria;Verrucomicrobiota;Verrucomicrobiia;Verrucomicrobiales;Verrucomicrobiaceae;Prosthecobacter;Prosthecobacter algae;</t>
  </si>
  <si>
    <t>Prosthecobacter algae</t>
  </si>
  <si>
    <t>Bacteria;Verrucomicrobiota;Verrucomicrobiia;Verrucomicrobiales;Verrucomicrobiaceae;Luteolibacter;Luteolibacter yonseiensis;</t>
  </si>
  <si>
    <t>Luteolibacter yonseiensis</t>
  </si>
  <si>
    <t>Bacteria;Pseudomonadota;Betaproteobacteria;Burkholderiales;Oxalobacteraceae;Herbaspirillum;Herbaspirillum sp. YR522;</t>
  </si>
  <si>
    <t>Herbaspirillum sp. YR522</t>
  </si>
  <si>
    <t>Bacteria;Pseudomonadota;Gammaproteobacteria;Pseudomonadales;Pseudomonadaceae;Pseudomonas;Pseudomonas sp. GM84;</t>
  </si>
  <si>
    <t>Pseudomonas sp. GM84</t>
  </si>
  <si>
    <t>Bacteria;Pseudomonadota;Gammaproteobacteria;Pseudomonadales;Pseudomonadaceae;Pseudomonas;Pseudomonas sp. GM74;</t>
  </si>
  <si>
    <t>Pseudomonas sp. GM74</t>
  </si>
  <si>
    <t>Bacteria;Pseudomonadota;Gammaproteobacteria;Pseudomonadales;Pseudomonadaceae;Pseudomonas;Pseudomonas sp. GM49;</t>
  </si>
  <si>
    <t>Pseudomonas sp. GM49</t>
  </si>
  <si>
    <t>Bacteria;Pseudomonadota;Betaproteobacteria;Burkholderiales;Oxalobacteraceae;Herbaspirillum;Herbaspirillum sp. CF444;</t>
  </si>
  <si>
    <t>Herbaspirillum sp. CF444</t>
  </si>
  <si>
    <t>Bacteria;Pseudomonadota;Betaproteobacteria;Burkholderiales;Comamonadaceae;Polaromonas;Polaromonas sp. CF318;</t>
  </si>
  <si>
    <t>Polaromonas sp. CF318</t>
  </si>
  <si>
    <t>Bacteria;Pseudomonadota;Betaproteobacteria;Burkholderiales;Comamonadaceae;Acidovorax;Acidovorax sp. CF316;</t>
  </si>
  <si>
    <t>Acidovorax sp. CF316</t>
  </si>
  <si>
    <t>Bacteria;Pseudomonadota;Betaproteobacteria;Burkholderiales;Comamonadaceae;Variovorax;Variovorax sp. CF313;</t>
  </si>
  <si>
    <t>Variovorax sp. CF313</t>
  </si>
  <si>
    <t>Bacteria;Bacteroidota;Flavobacteriia;Flavobacteriales;Flavobacteriaceae;Flavobacterium;Flavobacterium sp. CF136;</t>
  </si>
  <si>
    <t>Flavobacterium sp. CF136</t>
  </si>
  <si>
    <t>Bacteria;Pseudomonadota;Alphaproteobacteria;Hyphomicrobiales;Rhizobiaceae;Rhizobium;Rhizobium sp. CF080;</t>
  </si>
  <si>
    <t>Rhizobium sp. CF080</t>
  </si>
  <si>
    <t>Bacteria;Pseudomonadota;Alphaproteobacteria;Sphingomonadales;Sphingomonadaceae;Novosphingobium;Novosphingobium sp. AP12;</t>
  </si>
  <si>
    <t>Novosphingobium sp. AP12</t>
  </si>
  <si>
    <t>Bacteria;Pseudomonadota;Alphaproteobacteria;Caulobacterales;Caulobacteraceae;Caulobacter;Caulobacter sp. AP07;</t>
  </si>
  <si>
    <t>Caulobacter sp. AP07</t>
  </si>
  <si>
    <t>Bacteria;Pseudomonadota;Alphaproteobacteria;Sphingomonadales;Sphingomonadaceae;Sphingomonas;Sphingomonas lenta;</t>
  </si>
  <si>
    <t>Sphingomonas lenta</t>
  </si>
  <si>
    <t>Bacteria;Bacillota;Clostridia;Eubacteriales;Clostridiaceae;Clostridium;Clostridium arbusti;</t>
  </si>
  <si>
    <t>Clostridium arbusti</t>
  </si>
  <si>
    <t>Bacteria;Cyanobacteriota;Cyanophyceae;Nostocales;Scytonemataceae;Scytonema;Scytonema sp. HK-05;</t>
  </si>
  <si>
    <t>Scytonema sp. HK-05</t>
  </si>
  <si>
    <t>Bacteria;Actinomycetota;Actinomycetes;Mycobacteriales;Gordoniaceae;Gordonia;Gordonia phthalatica;</t>
  </si>
  <si>
    <t>Gordonia phthalatica</t>
  </si>
  <si>
    <t>Bacteria;Pseudomonadota;Gammaproteobacteria;Enterobacterales;Enterobacteriaceae;Klebsiella;Klebsiella michiganensis;</t>
  </si>
  <si>
    <t>Klebsiella michiganensis</t>
  </si>
  <si>
    <t>Bacteria;Bacillota;Bacilli;Bacillales;Bacillaceae;Halalkalibacterium (ex Joshi et al. 2022);Halalkalibacterium ligniniphilum;</t>
  </si>
  <si>
    <t>Halalkalibacterium (ex Joshi et al. 2022)</t>
  </si>
  <si>
    <t>Halalkalibacterium ligniniphilum</t>
  </si>
  <si>
    <t>Bacteria;Pseudomonadota;Gammaproteobacteria;NA;Candidatus Competibacteraceae;Plasticicumulans;Plasticicumulans lactativorans;</t>
  </si>
  <si>
    <t>Plasticicumulans lactativorans</t>
  </si>
  <si>
    <t>Bacteria;Pseudomonadota;Alphaproteobacteria;Hyphomicrobiales;Rhizobiaceae;Rhizobium;Rhizobium alvei;</t>
  </si>
  <si>
    <t>Rhizobium alvei</t>
  </si>
  <si>
    <t>Bacteria;Actinomycetota;Actinomycetes;Micrococcales;Micrococcaceae;Arthrobacter;Arthrobacter sp. 35W;</t>
  </si>
  <si>
    <t>Arthrobacter sp. 35W</t>
  </si>
  <si>
    <t>Bacteria;Pseudomonadota;Betaproteobacteria;Nitrosomonadales;Methylophilaceae;Methylotenera;Methylotenera sp. 1P/1;</t>
  </si>
  <si>
    <t>Methylotenera sp. 1P/1</t>
  </si>
  <si>
    <t>Bacteria;Pseudomonadota;Alphaproteobacteria;Rhodobacterales;Paracoccaceae;Defluviimonas;Defluviimonas aestuarii;</t>
  </si>
  <si>
    <t>Defluviimonas aestuarii</t>
  </si>
  <si>
    <t>Bacteria;Pseudomonadota;Alphaproteobacteria;Sphingomonadales;Sphingomonadaceae;Sphingobium;Sphingobium sufflavum;</t>
  </si>
  <si>
    <t>Sphingobium sufflavum</t>
  </si>
  <si>
    <t>Bacteria;Pseudomonadota;Alphaproteobacteria;Hyphomicrobiales;Rhizobiaceae;Rhizobium;Rhizobium sp. PDO1-076;</t>
  </si>
  <si>
    <t>Rhizobium sp. PDO1-076</t>
  </si>
  <si>
    <t>Bacteria;Bacillota;Bacilli;Bacillales;Thermoactinomycetaceae;Polycladomyces;Polycladomyces abyssicola;</t>
  </si>
  <si>
    <t>Polycladomyces</t>
  </si>
  <si>
    <t>Polycladomyces abyssicola</t>
  </si>
  <si>
    <t>Bacteria;Pseudomonadota;Alphaproteobacteria;Rhodobacterales;Roseobacteraceae;Rubellimicrobium;Rubellimicrobium mesophilum;</t>
  </si>
  <si>
    <t>Rubellimicrobium mesophilum</t>
  </si>
  <si>
    <t>Bacteria;Bacteroidota;Sphingobacteriia;Sphingobacteriales;Sphingobacteriaceae;Pedobacter;Pedobacter glucosidilyticus;</t>
  </si>
  <si>
    <t>Pedobacter glucosidilyticus</t>
  </si>
  <si>
    <t>Bacteria;Pseudomonadota;Alphaproteobacteria;Hyphomicrobiales;Phreatobacteraceae;Phreatobacter;Phreatobacter oligotrophus;</t>
  </si>
  <si>
    <t>Phreatobacter oligotrophus</t>
  </si>
  <si>
    <t>Bacteria;Bacillota;Clostridia;Eubacteriales;Clostridiaceae;Clostridium;Clostridium amylolyticum;</t>
  </si>
  <si>
    <t>Clostridium amylolyticum</t>
  </si>
  <si>
    <t>Bacteria;Pseudomonadota;Alphaproteobacteria;Hyphomicrobiales;Methylopilaceae;Methylopila;Methylopila sp. 73B;</t>
  </si>
  <si>
    <t>Methylopila</t>
  </si>
  <si>
    <t>Methylopila sp. 73B</t>
  </si>
  <si>
    <t>Bacteria;Pseudomonadota;Alphaproteobacteria;Hyphomicrobiales;Phyllobacteriaceae;Aquamicrobium;Aquamicrobium sp. LC103;</t>
  </si>
  <si>
    <t>Aquamicrobium sp. LC103</t>
  </si>
  <si>
    <t>Bacteria;Cyanobacteriota;Cyanophyceae;Oscillatoriales;Sirenicapillariaceae;Limnoraphis;Limnoraphis robusta;</t>
  </si>
  <si>
    <t>Sirenicapillariaceae</t>
  </si>
  <si>
    <t>Limnoraphis</t>
  </si>
  <si>
    <t>Limnoraphis robusta</t>
  </si>
  <si>
    <t>Bacteria;Bacteroidota;Flavobacteriia;Flavobacteriales;Flavobacteriaceae;Flavobacterium;Flavobacterium branchiicola;</t>
  </si>
  <si>
    <t>Flavobacterium branchiicola</t>
  </si>
  <si>
    <t>Bacteria;Bacteroidota;Flavobacteriia;Flavobacteriales;Flavobacteriaceae;Flavobacterium;Flavobacterium piscis;</t>
  </si>
  <si>
    <t>Flavobacterium piscis</t>
  </si>
  <si>
    <t>Bacteria;Bacteroidota;Flavobacteriia;Flavobacteriales;Flavobacteriaceae;Flavobacterium;Flavobacterium branchiarum;</t>
  </si>
  <si>
    <t>Flavobacterium branchiarum</t>
  </si>
  <si>
    <t>Bacteria;Bacteroidota;Flavobacteriia;Flavobacteriales;Flavobacteriaceae;Flavobacterium;Flavobacterium collinsii;</t>
  </si>
  <si>
    <t>Flavobacterium collinsii</t>
  </si>
  <si>
    <t>Bacteria;Pseudomonadota;Gammaproteobacteria;Pseudomonadales;Pseudomonadaceae;Pseudomonas;Pseudomonas sp. NBRC 100443;</t>
  </si>
  <si>
    <t>Pseudomonas sp. NBRC 100443</t>
  </si>
  <si>
    <t>Bacteria;Pseudomonadota;Betaproteobacteria;Nitrosomonadales;Methylophilaceae;Methylophilus;Methylophilus sp. 5;</t>
  </si>
  <si>
    <t>Methylophilus sp. 5</t>
  </si>
  <si>
    <t>Bacteria;Pseudomonadota;Betaproteobacteria;Burkholderiales;Oxalobacteraceae;Herminiimonas;Herminiimonas contaminans;</t>
  </si>
  <si>
    <t>Herminiimonas contaminans</t>
  </si>
  <si>
    <t>Bacteria;Pseudomonadota;Alphaproteobacteria;Hyphomicrobiales;Xanthobacteraceae;Ancylobacter;Ancylobacter sp. FA202;</t>
  </si>
  <si>
    <t>Ancylobacter sp. FA202</t>
  </si>
  <si>
    <t>Bacteria;Pseudomonadota;Betaproteobacteria;Burkholderiales;Comamonadaceae;Verminephrobacter;Verminephrobacter aporrectodeae;</t>
  </si>
  <si>
    <t>Verminephrobacter</t>
  </si>
  <si>
    <t>Verminephrobacter aporrectodeae</t>
  </si>
  <si>
    <t>Bacteria;Bacteroidota;Flavobacteriia;Flavobacteriales;Flavobacteriaceae;Lutibacter;Lutibacter agarilyticus;</t>
  </si>
  <si>
    <t>Lutibacter</t>
  </si>
  <si>
    <t>Lutibacter agarilyticus</t>
  </si>
  <si>
    <t>Bacteria;Pseudomonadota;Gammaproteobacteria;Enterobacterales;Pectobacteriaceae;Brenneria;Brenneria goodwinii;</t>
  </si>
  <si>
    <t>Brenneria goodwinii</t>
  </si>
  <si>
    <t>Bacteria;Pseudomonadota;Betaproteobacteria;Neisseriales;Chromobacteriaceae;Chromobacterium;Chromobacterium vaccinii;</t>
  </si>
  <si>
    <t>Chromobacterium vaccinii</t>
  </si>
  <si>
    <t>Bacteria;Pseudomonadota;Betaproteobacteria;Burkholderiales;Comamonadaceae;Variovorax;Variovorax sp. WS11;</t>
  </si>
  <si>
    <t>Variovorax sp. WS11</t>
  </si>
  <si>
    <t>Bacteria;Pseudomonadota;Betaproteobacteria;Rhodocyclales;Rhodocyclaceae;Viridibacterium;Viridibacterium curvum;</t>
  </si>
  <si>
    <t>Viridibacterium</t>
  </si>
  <si>
    <t>Viridibacterium curvum</t>
  </si>
  <si>
    <t>Bacteria;Pseudomonadota;Betaproteobacteria;Burkholderiales;NA;Tepidimonas;Tepidimonas fonticaldi;</t>
  </si>
  <si>
    <t>Tepidimonas fonticaldi</t>
  </si>
  <si>
    <t>Bacteria;Pseudomonadota;Alphaproteobacteria;Rhodobacterales;Paracoccaceae;Paracoccus;Paracoccus sp. N5;</t>
  </si>
  <si>
    <t>Paracoccus sp. N5</t>
  </si>
  <si>
    <t>Bacteria;Pseudomonadota;Betaproteobacteria;Burkholderiales;Comamonadaceae;Limnohabitans;Limnohabitans sp. T6-20;</t>
  </si>
  <si>
    <t>Limnohabitans sp. T6-20</t>
  </si>
  <si>
    <t>Bacteria;Pseudomonadota;Betaproteobacteria;Burkholderiales;Comamonadaceae;Limnohabitans;Limnohabitans sp. T6-5;</t>
  </si>
  <si>
    <t>Limnohabitans sp. T6-5</t>
  </si>
  <si>
    <t>Bacteria;Pseudomonadota;Betaproteobacteria;Burkholderiales;Comamonadaceae;Limnohabitans;Limnohabitans sp. Rim47;</t>
  </si>
  <si>
    <t>Limnohabitans sp. Rim47</t>
  </si>
  <si>
    <t>Bacteria;Pseudomonadota;Betaproteobacteria;Burkholderiales;Comamonadaceae;Limnohabitans;Limnohabitans sp. Rim28;</t>
  </si>
  <si>
    <t>Limnohabitans sp. Rim28</t>
  </si>
  <si>
    <t>Bacteria;Pseudomonadota;Betaproteobacteria;Burkholderiales;Comamonadaceae;Limnohabitans;Limnohabitans sp. Rim11;</t>
  </si>
  <si>
    <t>Limnohabitans sp. Rim11</t>
  </si>
  <si>
    <t>Bacteria;Pseudomonadota;Betaproteobacteria;Burkholderiales;Comamonadaceae;Limnohabitans;Limnohabitans sp. Rim8;</t>
  </si>
  <si>
    <t>Limnohabitans sp. Rim8</t>
  </si>
  <si>
    <t>Bacteria;Pseudomonadota;Betaproteobacteria;Burkholderiales;Comamonadaceae;Limnohabitans;Limnohabitans sp. G3-2;</t>
  </si>
  <si>
    <t>Limnohabitans sp. G3-2</t>
  </si>
  <si>
    <t>Bacteria;Pseudomonadota;Betaproteobacteria;Burkholderiales;Comamonadaceae;Limnohabitans;Limnohabitans sp. B9-3;</t>
  </si>
  <si>
    <t>Limnohabitans sp. B9-3</t>
  </si>
  <si>
    <t>Bacteria;Pseudomonadota;Betaproteobacteria;Burkholderiales;Comamonadaceae;Limnohabitans;Limnohabitans sp. 15K;</t>
  </si>
  <si>
    <t>Limnohabitans sp. 15K</t>
  </si>
  <si>
    <t>Bacteria;Pseudomonadota;Betaproteobacteria;Burkholderiales;Comamonadaceae;Limnohabitans;Limnohabitans sp. 2KL-27;</t>
  </si>
  <si>
    <t>Limnohabitans sp. 2KL-27</t>
  </si>
  <si>
    <t>Bacteria;Pseudomonadota;Betaproteobacteria;Burkholderiales;Comamonadaceae;Limnohabitans;Limnohabitans sp. 2KL-17;</t>
  </si>
  <si>
    <t>Limnohabitans sp. 2KL-17</t>
  </si>
  <si>
    <t>Bacteria;Pseudomonadota;Betaproteobacteria;Burkholderiales;Comamonadaceae;Limnohabitans;Limnohabitans sp. 2KL-1;</t>
  </si>
  <si>
    <t>Limnohabitans sp. 2KL-1</t>
  </si>
  <si>
    <t>Bacteria;Bacteroidota;Bacteroidia;Bacteroidales;Barnesiellaceae;Coprobacter;Coprobacter fastidiosus;</t>
  </si>
  <si>
    <t>Barnesiellaceae</t>
  </si>
  <si>
    <t>Coprobacter</t>
  </si>
  <si>
    <t>Coprobacter fastidiosus</t>
  </si>
  <si>
    <t>Bacteria;Bacteroidota;Saprospiria;Saprospirales;Haliscomenobacteraceae;Portibacter;Portibacter lacus;</t>
  </si>
  <si>
    <t>Haliscomenobacteraceae</t>
  </si>
  <si>
    <t>Portibacter</t>
  </si>
  <si>
    <t>Portibacter lacus</t>
  </si>
  <si>
    <t>Bacteria;Bacillota;Clostridia;Eubacteriales;Clostridiaceae;Fonticella;Fonticella tunisiensis;</t>
  </si>
  <si>
    <t>Fonticella</t>
  </si>
  <si>
    <t>Fonticella tunisiensis</t>
  </si>
  <si>
    <t>Bacteria;Bacteroidota;Chitinophagia;Chitinophagales;Chitinophagaceae;Sediminibacterium;Sediminibacterium goheungense;</t>
  </si>
  <si>
    <t>Sediminibacterium goheungense</t>
  </si>
  <si>
    <t>Bacteria;Bacteroidota;Chitinophagia;Chitinophagales;Chitinophagaceae;Flaviaesturariibacter;Flaviaesturariibacter amylovorans;</t>
  </si>
  <si>
    <t>Flaviaesturariibacter amylovorans</t>
  </si>
  <si>
    <t>Bacteria;Pseudomonadota;Betaproteobacteria;Burkholderiales;Comamonadaceae;Comamonas;Comamonas serinivorans;</t>
  </si>
  <si>
    <t>Comamonas serinivorans</t>
  </si>
  <si>
    <t>Bacteria;Pseudomonadota;Alphaproteobacteria;Sphingomonadales;Sphingomonadaceae;Sphingobium;Sphingobium boeckii;</t>
  </si>
  <si>
    <t>Sphingobium boeckii</t>
  </si>
  <si>
    <t>Bacteria;Actinomycetota;Actinomycetes;Micrococcales;Microbacteriaceae;Aquiluna;Candidatus Aquiluna sp. IMCC13023;</t>
  </si>
  <si>
    <t>Candidatus Aquiluna sp. IMCC13023</t>
  </si>
  <si>
    <t>Bacteria;Actinomycetota;Actinomycetes;Micrococcales;Microbacteriaceae;Microbacterium;Microbacterium murale;</t>
  </si>
  <si>
    <t>Microbacterium murale</t>
  </si>
  <si>
    <t>Bacteria;Pseudomonadota;Alphaproteobacteria;Acetobacterales;Acetobacteraceae;Neoroseomonas;Neoroseomonas soli;</t>
  </si>
  <si>
    <t>Neoroseomonas soli</t>
  </si>
  <si>
    <t>Bacteria;Pseudomonadota;Gammaproteobacteria;Moraxellales;Moraxellaceae;Agitococcus;Agitococcus lubricus;</t>
  </si>
  <si>
    <t>Agitococcus</t>
  </si>
  <si>
    <t>Agitococcus lubricus</t>
  </si>
  <si>
    <t>Bacteria;Pseudomonadota;Alphaproteobacteria;Acetobacterales;Acetobacteraceae;Acetobacter;Acetobacter okinawensis;</t>
  </si>
  <si>
    <t>Acetobacter okinawensis</t>
  </si>
  <si>
    <t>Bacteria;Actinomycetota;Actinomycetes;Micrococcales;Microbacteriaceae;Lysinimonas;Lysinimonas soli;</t>
  </si>
  <si>
    <t>Lysinimonas</t>
  </si>
  <si>
    <t>Lysinimonas soli</t>
  </si>
  <si>
    <t>Bacteria;Actinomycetota;Actinomycetes;Micrococcales;Microbacteriaceae;Microbacterium;Microbacterium lemovicicum;</t>
  </si>
  <si>
    <t>Microbacterium lemovicicum</t>
  </si>
  <si>
    <t>Bacteria;Pseudomonadota;Alphaproteobacteria;Sphingomonadales;Sphingomonadaceae;Sphingomonas;Sphingomonas kyungheensis;</t>
  </si>
  <si>
    <t>Sphingomonas kyungheensis</t>
  </si>
  <si>
    <t>Bacteria;Bacteroidota;Sphingobacteriia;Sphingobacteriales;Sphingobacteriaceae;Pedobacter;Pedobacter kyungheensis;</t>
  </si>
  <si>
    <t>Pedobacter kyungheensis</t>
  </si>
  <si>
    <t>Bacteria;Bacillota;Bacilli;Bacillales;Bacillaceae;Pseudalkalibacillus;Pseudalkalibacillus berkeleyi;</t>
  </si>
  <si>
    <t>Pseudalkalibacillus berkeleyi</t>
  </si>
  <si>
    <t>Bacteria;Pseudomonadota;Gammaproteobacteria;Pseudomonadales;Pseudomonadaceae;Pseudomonas;Pseudomonas karstica;</t>
  </si>
  <si>
    <t>Pseudomonas karstica</t>
  </si>
  <si>
    <t>Bacteria;Pseudomonadota;Gammaproteobacteria;Oceanospirillales;Hahellaceae;Allohahella;Allohahella marinimesophila;</t>
  </si>
  <si>
    <t>Hahellaceae</t>
  </si>
  <si>
    <t>Allohahella</t>
  </si>
  <si>
    <t>Allohahella marinimesophila</t>
  </si>
  <si>
    <t>Bacteria;Actinomycetota;Actinomycetes;Micrococcales;NA;Luteimicrobium;Luteimicrobium album;</t>
  </si>
  <si>
    <t>Luteimicrobium</t>
  </si>
  <si>
    <t>Luteimicrobium album</t>
  </si>
  <si>
    <t>Bacteria;Pseudomonadota;Alphaproteobacteria;Rhodobacterales;Paracoccaceae;Gemmobacter;Gemmobacter lanyuensis;</t>
  </si>
  <si>
    <t>Gemmobacter lanyuensis</t>
  </si>
  <si>
    <t>Bacteria;Bacillota;Clostridia;Eubacteriales;Clostridiaceae;Clostridium;Clostridium punense;</t>
  </si>
  <si>
    <t>Clostridium punense</t>
  </si>
  <si>
    <t>Bacteria;Pseudomonadota;Betaproteobacteria;Burkholderiales;Oxalobacteraceae;Actimicrobium;Actimicrobium antarcticum;</t>
  </si>
  <si>
    <t>Actimicrobium antarcticum</t>
  </si>
  <si>
    <t>Bacteria;Actinomycetota;Actinomycetes;Micrococcales;Microbacteriaceae;Compostimonas;Compostimonas suwonensis;</t>
  </si>
  <si>
    <t>Compostimonas</t>
  </si>
  <si>
    <t>Compostimonas suwonensis</t>
  </si>
  <si>
    <t>Bacteria;Bacteroidota;Sphingobacteriia;Sphingobacteriales;Sphingobacteriaceae;Mucilaginibacter;Mucilaginibacter litoreus;</t>
  </si>
  <si>
    <t>Mucilaginibacter litoreus</t>
  </si>
  <si>
    <t>Bacteria;Actinomycetota;Actinomycetes;Kitasatosporales;Streptomycetaceae;Streptomyces;Streptomyces uncialis;</t>
  </si>
  <si>
    <t>Streptomyces uncialis</t>
  </si>
  <si>
    <t>Bacteria;Bacteroidota;Flavobacteriia;Flavobacteriales;Weeksellaceae;Chryseobacterium;Chryseobacterium tructae;</t>
  </si>
  <si>
    <t>Chryseobacterium tructae</t>
  </si>
  <si>
    <t>Bacteria;Pseudomonadota;Alphaproteobacteria;Hyphomicrobiales;Boseaceae;Bosea;Bosea robiniae;</t>
  </si>
  <si>
    <t>Bosea robiniae</t>
  </si>
  <si>
    <t>Bacteria;Pseudomonadota;Alphaproteobacteria;Hyphomicrobiales;Boseaceae;Bosea;Bosea lupini;</t>
  </si>
  <si>
    <t>Bosea lupini</t>
  </si>
  <si>
    <t>Bacteria;Pseudomonadota;Alphaproteobacteria;Hyphomicrobiales;Boseaceae;Bosea;Bosea lathyri;</t>
  </si>
  <si>
    <t>Bosea lathyri</t>
  </si>
  <si>
    <t>Bacteria;Pseudomonadota;Betaproteobacteria;Burkholderiales;Oxalobacteraceae;Pseudoduganella;Pseudoduganella namucuonensis;</t>
  </si>
  <si>
    <t>Pseudoduganella namucuonensis</t>
  </si>
  <si>
    <t>Bacteria;Pseudomonadota;Betaproteobacteria;Burkholderiales;Comamonadaceae;Variovorax;Variovorax sp. HW608;</t>
  </si>
  <si>
    <t>Variovorax sp. HW608</t>
  </si>
  <si>
    <t>Bacteria;Bacillota;Bacilli;Bacillales;Caryophanaceae;Kurthia;Kurthia senegalensis;</t>
  </si>
  <si>
    <t>Kurthia senegalensis</t>
  </si>
  <si>
    <t>Bacteria;Pseudomonadota;Betaproteobacteria;Burkholderiales;Comamonadaceae;Extensimonas;Extensimonas vulgaris;</t>
  </si>
  <si>
    <t>Extensimonas vulgaris</t>
  </si>
  <si>
    <t>Bacteria;Pseudomonadota;Gammaproteobacteria;Pseudomonadales;Pseudomonadaceae;Pseudomonas;Pseudomonas sp. HR96;</t>
  </si>
  <si>
    <t>Pseudomonas sp. HR96</t>
  </si>
  <si>
    <t>Bacteria;Bacillota;Clostridia;Eubacteriales;Eubacteriales Family XII. Incertae Sedis;Fusibacter;Fusibacter tunisiensis;</t>
  </si>
  <si>
    <t>Fusibacter tunisiensis</t>
  </si>
  <si>
    <t>Bacteria;Pseudomonadota;Alphaproteobacteria;Sphingomonadales;Sphingomonadaceae;Sphingobium;Sphingobium limneticum;</t>
  </si>
  <si>
    <t>Sphingobium limneticum</t>
  </si>
  <si>
    <t>Bacteria;Pseudomonadota;Betaproteobacteria;Burkholderiales;Alcaligenaceae;Pigmentiphaga;Pigmentiphaga soli;</t>
  </si>
  <si>
    <t>Pigmentiphaga soli</t>
  </si>
  <si>
    <t>Bacteria;Pseudomonadota;Gammaproteobacteria;Aeromonadales;Aeromonadaceae;Aeromonas;Aeromonas cavernicola;</t>
  </si>
  <si>
    <t>Aeromonas cavernicola</t>
  </si>
  <si>
    <t>Bacteria;Pseudomonadota;Gammaproteobacteria;Enterobacterales;Enterobacteriaceae;Kosakonia;Kosakonia oryziphila;</t>
  </si>
  <si>
    <t>Kosakonia oryziphila</t>
  </si>
  <si>
    <t>Bacteria;Pseudomonadota;Gammaproteobacteria;Enterobacterales;Morganellaceae;Photorhabdus;Photorhabdus khanii;</t>
  </si>
  <si>
    <t>Photorhabdus khanii</t>
  </si>
  <si>
    <t>Bacteria;Acidobacteriota;Terriglobia;Terriglobales;Acidobacteriaceae;Occallatibacter;Occallatibacter riparius;</t>
  </si>
  <si>
    <t>Occallatibacter</t>
  </si>
  <si>
    <t>Occallatibacter riparius</t>
  </si>
  <si>
    <t>Bacteria;Pseudomonadota;Betaproteobacteria;Burkholderiales;Burkholderiaceae;Cupriavidus;Cupriavidus agavae;</t>
  </si>
  <si>
    <t>Cupriavidus agavae</t>
  </si>
  <si>
    <t>Bacteria;Cyanobacteriota;Cyanophyceae;Nostocales;Hapalosiphonaceae;Mastigocoleus;Mastigocoleus testarum;</t>
  </si>
  <si>
    <t>Hapalosiphonaceae</t>
  </si>
  <si>
    <t>Mastigocoleus</t>
  </si>
  <si>
    <t>Mastigocoleus testarum</t>
  </si>
  <si>
    <t>Bacteria;Pseudomonadota;Gammaproteobacteria;Lysobacterales;Rhodanobacteraceae;Metallibacterium;Metallibacterium scheffleri;</t>
  </si>
  <si>
    <t>Metallibacterium</t>
  </si>
  <si>
    <t>Metallibacterium scheffleri</t>
  </si>
  <si>
    <t>Bacteria;Pseudomonadota;Alphaproteobacteria;Hyphomicrobiales;Nitrobacteraceae;Bradyrhizobium;Bradyrhizobium daqingense;</t>
  </si>
  <si>
    <t>Bradyrhizobium daqingense</t>
  </si>
  <si>
    <t>Bacteria;Actinomycetota;Actinomycetes;Propionibacteriales;Propionibacteriaceae;Naumannella;Naumannella halotolerans;</t>
  </si>
  <si>
    <t>Naumannella halotolerans</t>
  </si>
  <si>
    <t>Bacteria;Pseudomonadota;Alphaproteobacteria;Rhodobacterales;Roseobacteraceae;Maritimibacter;uncultured Maritimibacter sp.;</t>
  </si>
  <si>
    <t>uncultured Maritimibacter sp.</t>
  </si>
  <si>
    <t>Bacteria;Pseudomonadota;Alphaproteobacteria;Acetobacterales;Roseomonadaceae;Humitalea;Humitalea rosea;</t>
  </si>
  <si>
    <t>Humitalea</t>
  </si>
  <si>
    <t>Humitalea rosea</t>
  </si>
  <si>
    <t>Bacteria;Pseudomonadota;Betaproteobacteria;Neisseriales;Chromobacteriaceae;Pseudogulbenkiania;Pseudogulbenkiania sp. MAI-1;</t>
  </si>
  <si>
    <t>Pseudogulbenkiania</t>
  </si>
  <si>
    <t>Pseudogulbenkiania sp. MAI-1</t>
  </si>
  <si>
    <t>Bacteria;Actinomycetota;Actinomycetes;Micrococcales;Cellulomonadaceae;Cellulomonas;Cellulomonas marina;</t>
  </si>
  <si>
    <t>Cellulomonas marina</t>
  </si>
  <si>
    <t>Bacteria;Pseudomonadota;Gammaproteobacteria;Cellvibrionales;Microbulbiferaceae;Microbulbifer;Microbulbifer taiwanensis;</t>
  </si>
  <si>
    <t>Microbulbiferaceae</t>
  </si>
  <si>
    <t>Microbulbifer</t>
  </si>
  <si>
    <t>Microbulbifer taiwanensis</t>
  </si>
  <si>
    <t>Bacteria;Pseudomonadota;Betaproteobacteria;Burkholderiales;Burkholderiaceae;Paraburkholderia;Paraburkholderia kururiensis;</t>
  </si>
  <si>
    <t>Paraburkholderia kururiensis</t>
  </si>
  <si>
    <t>Bacteria;Pseudomonadota;Gammaproteobacteria;Oceanospirillales;Oceanospirillaceae;Amphritea;uncultured Amphritea sp.;</t>
  </si>
  <si>
    <t>Amphritea</t>
  </si>
  <si>
    <t>uncultured Amphritea sp.</t>
  </si>
  <si>
    <t>Bacteria;Pseudomonadota;Alphaproteobacteria;Hyphomicrobiales;Xanthobacteraceae;Azorhizobium;Azorhizobium oxalatiphilum;</t>
  </si>
  <si>
    <t>Azorhizobium oxalatiphilum</t>
  </si>
  <si>
    <t>Bacteria;Bacteroidota;Flavobacteriia;Flavobacteriales;Flavobacteriaceae;Aquimarina;Aquimarina agarivorans;</t>
  </si>
  <si>
    <t>Aquimarina agarivorans</t>
  </si>
  <si>
    <t>Bacteria;Pseudomonadota;Gammaproteobacteria;Methylococcales;Methylococcaceae;Methylomonas;Methylomonas lenta;</t>
  </si>
  <si>
    <t>Methylomonas</t>
  </si>
  <si>
    <t>Methylomonas lenta</t>
  </si>
  <si>
    <t>Bacteria;Planctomycetota;Planctomycetia;Pirellulales;Pirellulaceae;Roseimaritima;Roseimaritima ulvae;</t>
  </si>
  <si>
    <t>Roseimaritima ulvae</t>
  </si>
  <si>
    <t>Bacteria;Bacteroidota;Bacteroidia;Bacteroidales;Rikenellaceae;Acetobacteroides;Acetobacteroides hydrogenigenes;</t>
  </si>
  <si>
    <t>Acetobacteroides hydrogenigenes</t>
  </si>
  <si>
    <t>Bacteria;Bacillota;Clostridia;Halanaerobiales;Halobacteroidaceae;Fuchsiella;Fuchsiella alkaliacetigena;</t>
  </si>
  <si>
    <t>Halobacteroidaceae</t>
  </si>
  <si>
    <t>Fuchsiella</t>
  </si>
  <si>
    <t>Fuchsiella alkaliacetigena</t>
  </si>
  <si>
    <t>Bacteria;Pseudomonadota;Gammaproteobacteria;Aeromonadales;Aeromonadaceae;Aeromonas;Aeromonas rivipollensis;</t>
  </si>
  <si>
    <t>Aeromonas rivipollensis</t>
  </si>
  <si>
    <t>Bacteria;Pseudomonadota;Alphaproteobacteria;Caulobacterales;Caulobacteraceae;Brevundimonas;Brevundimonas faecalis;</t>
  </si>
  <si>
    <t>Brevundimonas faecalis</t>
  </si>
  <si>
    <t>Bacteria;Bacteroidota;Sphingobacteriia;Sphingobacteriales;Sphingobacteriaceae;Pedobacter;Pedobacter jeongneungensis;</t>
  </si>
  <si>
    <t>Pedobacter jeongneungensis</t>
  </si>
  <si>
    <t>Bacteria;Bacteroidota;Flavobacteriia;Flavobacteriales;Flavobacteriaceae;Flavobacterium;Flavobacterium araucananum;</t>
  </si>
  <si>
    <t>Flavobacterium araucananum</t>
  </si>
  <si>
    <t>Bacteria;Bacteroidota;Flavobacteriia;Flavobacteriales;Flavobacteriaceae;Flavobacterium;Flavobacterium chilense;</t>
  </si>
  <si>
    <t>Flavobacterium chilense</t>
  </si>
  <si>
    <t>Bacteria;Pseudomonadota;Alphaproteobacteria;Hyphomicrobiales;Nitrobacteraceae;Tardiphaga;Tardiphaga robiniae;</t>
  </si>
  <si>
    <t>Tardiphaga robiniae</t>
  </si>
  <si>
    <t>Bacteria;Pseudomonadota;Betaproteobacteria;Burkholderiales;Burkholderiaceae;Cupriavidus;Cupriavidus alkaliphilus;</t>
  </si>
  <si>
    <t>Cupriavidus alkaliphilus</t>
  </si>
  <si>
    <t>Bacteria;Actinomycetota;Actinomycetes;Pseudonocardiales;Pseudonocardiaceae;Amycolatopsis;Amycolatopsis bartoniae;</t>
  </si>
  <si>
    <t>Amycolatopsis bartoniae</t>
  </si>
  <si>
    <t>Bacteria;Pseudomonadota;Alphaproteobacteria;Sphingomonadales;Sphingomonadaceae;Allosphingosinicella;Allosphingosinicella indica;</t>
  </si>
  <si>
    <t>Allosphingosinicella indica</t>
  </si>
  <si>
    <t>Bacteria;Pseudomonadota;Alphaproteobacteria;Acetobacterales;Roseomonadaceae;Belnapia;Belnapia rosea;</t>
  </si>
  <si>
    <t>Belnapia rosea</t>
  </si>
  <si>
    <t>Bacteria;Bacillota;Bacilli;Lactobacillales;Lactobacillaceae;Companilactobacillus;Companilactobacillus futsaii;</t>
  </si>
  <si>
    <t>Companilactobacillus</t>
  </si>
  <si>
    <t>Companilactobacillus futsaii</t>
  </si>
  <si>
    <t>Bacteria;Bacillota;Clostridia;Eubacteriales;Clostridiaceae;Youngiibacter;Youngiibacter multivorans;</t>
  </si>
  <si>
    <t>Youngiibacter multivorans</t>
  </si>
  <si>
    <t>Bacteria;Actinomycetota;Actinomycetes;Propionibacteriales;Nocardioidaceae;Nocardioides;Nocardioides sp. J9;</t>
  </si>
  <si>
    <t>Nocardioides sp. J9</t>
  </si>
  <si>
    <t>Bacteria;Thermodesulfobacteriota;Desulfobacteria;Desulfobacterales;Desulfosarcinaceae;Desulfosarcina;Desulfosarcina sp. BuS5;</t>
  </si>
  <si>
    <t>Desulfosarcina sp. BuS5</t>
  </si>
  <si>
    <t>Bacteria;Pseudomonadota;Alphaproteobacteria;Rhodobacterales;Paracoccaceae;Gemmobacter;Gemmobacter aquatilis;</t>
  </si>
  <si>
    <t>Gemmobacter aquatilis</t>
  </si>
  <si>
    <t>Bacteria;Bacillota;Tissierellia;Tissierellales;Sporanaerobacteraceae;Anaerosalibacter;Anaerosalibacter bizertensis;</t>
  </si>
  <si>
    <t>Anaerosalibacter bizertensis</t>
  </si>
  <si>
    <t>Bacteria;Bacteroidota;Sphingobacteriia;Sphingobacteriales;Sphingobacteriaceae;Mucilaginibacter;Mucilaginibacter flavus;</t>
  </si>
  <si>
    <t>Mucilaginibacter flavus</t>
  </si>
  <si>
    <t>Bacteria;Bacteroidota;Cytophagia;Cytophagales;Catalimonadaceae;Porifericola;Porifericola rhodea;</t>
  </si>
  <si>
    <t>Catalimonadaceae</t>
  </si>
  <si>
    <t>Porifericola</t>
  </si>
  <si>
    <t>Porifericola rhodea</t>
  </si>
  <si>
    <t>Bacteria;Pseudomonadota;Gammaproteobacteria;Pseudomonadales;Pseudomonadaceae;Pseudomonas;Pseudomonas brassicacearum;</t>
  </si>
  <si>
    <t>Pseudomonas brassicacearum</t>
  </si>
  <si>
    <t>Bacteria;Bacillota;Bacilli;Bacillales;Bacillaceae;Mesobacillus;Mesobacillus persicus;</t>
  </si>
  <si>
    <t>Mesobacillus persicus</t>
  </si>
  <si>
    <t>Bacteria;Pseudomonadota;Gammaproteobacteria;Enterobacterales;Yersiniaceae;Gibbsiella;Gibbsiella quercinecans;</t>
  </si>
  <si>
    <t>Gibbsiella</t>
  </si>
  <si>
    <t>Gibbsiella quercinecans</t>
  </si>
  <si>
    <t>Bacteria;Myxococcota;NA;Polyangiales;Sandaracinaceae;Sandaracinus;Sandaracinus amylolyticus;</t>
  </si>
  <si>
    <t>Sandaracinaceae</t>
  </si>
  <si>
    <t>Sandaracinus</t>
  </si>
  <si>
    <t>Sandaracinus amylolyticus</t>
  </si>
  <si>
    <t>Bacteria;Pseudomonadota;Gammaproteobacteria;Pseudomonadales;Pseudomonadaceae;Pseudomonas;Pseudomonas linyingensis;</t>
  </si>
  <si>
    <t>Pseudomonas linyingensis</t>
  </si>
  <si>
    <t>Bacteria;Pseudomonadota;Gammaproteobacteria;Pseudomonadales;Pseudomonadaceae;Pseudomonas;Pseudomonas canadensis;</t>
  </si>
  <si>
    <t>Pseudomonas canadensis</t>
  </si>
  <si>
    <t>Bacteria;Bacillota;Clostridia;Eubacteriales;Desulfitobacteriaceae;Desulfosporosinus;Desulfosporosinus sp. OT;</t>
  </si>
  <si>
    <t>Desulfosporosinus sp. OT</t>
  </si>
  <si>
    <t>Bacteria;Pseudomonadota;Betaproteobacteria;Burkholderiales;Comamonadaceae;Variovorax;Variovorax defluvii;</t>
  </si>
  <si>
    <t>Variovorax defluvii</t>
  </si>
  <si>
    <t>Bacteria;Pseudomonadota;Alphaproteobacteria;Rhodobacterales;Paracoccaceae;Paracoccus;Paracoccus limosus;</t>
  </si>
  <si>
    <t>Paracoccus limosus</t>
  </si>
  <si>
    <t>Bacteria;Bacillota;Tissierellia;NA;NA;Sedimentibacter;Sedimentibacter acidaminivorans;</t>
  </si>
  <si>
    <t>Sedimentibacter acidaminivorans</t>
  </si>
  <si>
    <t>Bacteria;Actinomycetota;Actinomycetes;Mycobacteriales;Mycobacteriaceae;Mycolicibacterium;Mycolicibacterium iranicum;</t>
  </si>
  <si>
    <t>Mycolicibacterium iranicum</t>
  </si>
  <si>
    <t>Bacteria;Pseudomonadota;Gammaproteobacteria;Pseudomonadales;Pseudomonadaceae;Pseudomonas;Pseudomonas sp. CF161;</t>
  </si>
  <si>
    <t>Pseudomonas sp. CF161</t>
  </si>
  <si>
    <t>Bacteria;Bacillota;Erysipelotrichia;Erysipelotrichales;Turicibacteraceae;Turicibacter;Turicibacter sp. HGF1;</t>
  </si>
  <si>
    <t>Turicibacter sp. HGF1</t>
  </si>
  <si>
    <t>Bacteria;Bacteroidota;Chitinophagia;Chitinophagales;Chitinophagaceae;Parasediminibacterium;Parasediminibacterium paludis;</t>
  </si>
  <si>
    <t>Parasediminibacterium</t>
  </si>
  <si>
    <t>Parasediminibacterium paludis</t>
  </si>
  <si>
    <t>Bacteria;Actinomycetota;Actinomycetes;Micrococcales;Microbacteriaceae;Pseudoclavibacter;Pseudoclavibacter caeni;</t>
  </si>
  <si>
    <t>Pseudoclavibacter caeni</t>
  </si>
  <si>
    <t>Bacteria;Bacillota;Clostridia;Eubacteriales;Clostridiaceae;Caloramator;Caloramator mitchellensis;</t>
  </si>
  <si>
    <t>Caloramator mitchellensis</t>
  </si>
  <si>
    <t>Bacteria;Actinomycetota;Actinomycetes;Propionibacteriales;Nocardioidaceae;Nocardioides;Nocardioides daeguensis;</t>
  </si>
  <si>
    <t>Nocardioides daeguensis</t>
  </si>
  <si>
    <t>Bacteria;Pseudomonadota;Alphaproteobacteria;Acetobacterales;Roseomonadaceae;Roseomonas;Roseomonas elaeocarpi;</t>
  </si>
  <si>
    <t>Roseomonas elaeocarpi</t>
  </si>
  <si>
    <t>Bacteria;Bacillota;Clostridia;Lachnospirales;Lachnospiraceae;Robinsoniella;uncultured Robinsoniella sp.;</t>
  </si>
  <si>
    <t>Robinsoniella</t>
  </si>
  <si>
    <t>uncultured Robinsoniella sp.</t>
  </si>
  <si>
    <t>Bacteria;Bacillota;Bacilli;Bacillales;Caryophanaceae;Jeotgalibacillus;Jeotgalibacillus soli;</t>
  </si>
  <si>
    <t>Jeotgalibacillus</t>
  </si>
  <si>
    <t>Jeotgalibacillus soli</t>
  </si>
  <si>
    <t>Bacteria;Pseudomonadota;Alphaproteobacteria;Hyphomicrobiales;Phyllobacteriaceae;Nitratireductor;Nitratireductor aquimarinus;</t>
  </si>
  <si>
    <t>Nitratireductor aquimarinus</t>
  </si>
  <si>
    <t>Bacteria;Myxococcota;NA;Nannocystales;Nannocystaceae;Nannocystis;Nannocystis pusilla;</t>
  </si>
  <si>
    <t>Nannocystales</t>
  </si>
  <si>
    <t>Nannocystaceae</t>
  </si>
  <si>
    <t>Nannocystis</t>
  </si>
  <si>
    <t>Nannocystis pusilla</t>
  </si>
  <si>
    <t>Bacteria;Pseudomonadota;Betaproteobacteria;Burkholderiales;Sphaerotilaceae;Aquincola;uncultured Aquincola sp.;</t>
  </si>
  <si>
    <t>Aquincola</t>
  </si>
  <si>
    <t>uncultured Aquincola sp.</t>
  </si>
  <si>
    <t>Bacteria;Actinomycetota;Actinomycetes;Mycobacteriales;Mycobacteriaceae;Mycobacterium;Mycobacterium spongiae;</t>
  </si>
  <si>
    <t>Mycobacterium spongiae</t>
  </si>
  <si>
    <t>Bacteria;Bacillota;Clostridia;Eubacteriales;Desulfitobacteriaceae;Desulfosporosinus;Desulfosporosinus acidiphilus;</t>
  </si>
  <si>
    <t>Desulfosporosinus acidiphilus</t>
  </si>
  <si>
    <t>Bacteria;Bacteroidota;Flavobacteriia;Flavobacteriales;Schleiferiaceae;Schleiferia;Schleiferia thermophila;</t>
  </si>
  <si>
    <t>Schleiferiaceae</t>
  </si>
  <si>
    <t>Schleiferia</t>
  </si>
  <si>
    <t>Schleiferia thermophila</t>
  </si>
  <si>
    <t>Bacteria;Actinomycetota;Actinomycetes;Micrococcales;Intrasporangiaceae;Knoellia;Knoellia locipacati;</t>
  </si>
  <si>
    <t>Knoellia</t>
  </si>
  <si>
    <t>Knoellia locipacati</t>
  </si>
  <si>
    <t>Bacteria;Actinomycetota;Actinomycetes;Micrococcales;Microbacteriaceae;Herbiconiux;Herbiconiux flava;</t>
  </si>
  <si>
    <t>Herbiconiux flava</t>
  </si>
  <si>
    <t>Bacteria;Pseudomonadota;Gammaproteobacteria;Enterobacterales;Enterobacteriaceae;Enterobacter;Enterobacter bugandensis;</t>
  </si>
  <si>
    <t>Enterobacter bugandensis</t>
  </si>
  <si>
    <t>Bacteria;Bacillota;Clostridia;Lachnospirales;Defluviitaleaceae;Defluviitalea;Defluviitalea saccharophila;</t>
  </si>
  <si>
    <t>Defluviitalea saccharophila</t>
  </si>
  <si>
    <t>Bacteria;Pseudomonadota;Alphaproteobacteria;Hyphomicrobiales;Rhizobiaceae;Shinella;Shinella sp. HZN7;</t>
  </si>
  <si>
    <t>Shinella sp. HZN7</t>
  </si>
  <si>
    <t>Bacteria;Bacteroidota;Flavobacteriia;Flavobacteriales;Weeksellaceae;Chryseobacterium;Chryseobacterium sp. StRB126;</t>
  </si>
  <si>
    <t>Chryseobacterium sp. StRB126</t>
  </si>
  <si>
    <t>Bacteria;Bacteroidota;Flavobacteriia;Flavobacteriales;Flavobacteriaceae;Flavobacterium;Flavobacterium chungbukense;</t>
  </si>
  <si>
    <t>Flavobacterium chungbukense</t>
  </si>
  <si>
    <t>Bacteria;Bacillota;Clostridia;Eubacteriales;Oscillospiraceae;Oscillibacter;uncultured Oscillibacter sp.;</t>
  </si>
  <si>
    <t>uncultured Oscillibacter sp.</t>
  </si>
  <si>
    <t>Bacteria;Pseudomonadota;Gammaproteobacteria;Vibrionales;Vibrionaceae;Photobacterium;Photobacterium sanguinicancri;</t>
  </si>
  <si>
    <t>Photobacterium sanguinicancri</t>
  </si>
  <si>
    <t>Bacteria;Pseudomonadota;Gammaproteobacteria;Chromatiales;Chromatiaceae;Rheinheimera;Rheinheimera tilapiae;</t>
  </si>
  <si>
    <t>Rheinheimera tilapiae</t>
  </si>
  <si>
    <t>Bacteria;Pseudomonadota;Alphaproteobacteria;Rhodobacterales;Paracoccaceae;Gemmobacter;Gemmobacter tilapiae;</t>
  </si>
  <si>
    <t>Gemmobacter tilapiae</t>
  </si>
  <si>
    <t>Bacteria;Pseudomonadota;Alphaproteobacteria;Hyphomicrobiales;Methylopilaceae;Methylopila;Methylopila henanensis;</t>
  </si>
  <si>
    <t>Methylopila henanensis</t>
  </si>
  <si>
    <t>Bacteria;Bacteroidota;Sphingobacteriia;Sphingobacteriales;Sphingobacteriaceae;Pedobacter;Pedobacter ginsengiterrae;</t>
  </si>
  <si>
    <t>Pedobacter ginsengiterrae</t>
  </si>
  <si>
    <t>Bacteria;Bacteroidota;Flavobacteriia;Flavobacteriales;Flavobacteriaceae;Flavobacterium;Flavobacterium ginsengiterrae;</t>
  </si>
  <si>
    <t>Flavobacterium ginsengiterrae</t>
  </si>
  <si>
    <t>Bacteria;Bacteroidota;Flavobacteriia;Flavobacteriales;Flavobacteriaceae;Flavobacterium;Flavobacterium ginsengisoli;</t>
  </si>
  <si>
    <t>Flavobacterium ginsengisoli</t>
  </si>
  <si>
    <t>Bacteria;Pseudomonadota;Alphaproteobacteria;Sphingomonadales;Sphingomonadaceae;Sphingobium;Sphingobium jiangsuense;</t>
  </si>
  <si>
    <t>Sphingobium jiangsuense</t>
  </si>
  <si>
    <t>Bacteria;Bacteroidota;Sphingobacteriia;Sphingobacteriales;Sphingobacteriaceae;Pedobacter;Pedobacter boryungensis;</t>
  </si>
  <si>
    <t>Pedobacter boryungensis</t>
  </si>
  <si>
    <t>Bacteria;Bacillota;Bacilli;Bacillales;Paenibacillaceae;Paenibacillus;Paenibacillus aceris;</t>
  </si>
  <si>
    <t>Paenibacillus aceris</t>
  </si>
  <si>
    <t>Bacteria;Bacteroidota;Cytophagia;Cytophagales;Leadbetterellaceae;Lacihabitans;Lacihabitans soyangensis;</t>
  </si>
  <si>
    <t>Lacihabitans soyangensis</t>
  </si>
  <si>
    <t>Bacteria;Bacillota;Bacilli;Bacillales;Paenibacillaceae;Paenibacillus;Paenibacillus sp. IHB B 3415;</t>
  </si>
  <si>
    <t>Paenibacillus sp. IHB B 3415</t>
  </si>
  <si>
    <t>Bacteria;Bacteroidota;Cytophagia;Cytophagales;Persicobacteraceae;Aureibacter;Aureibacter tunicatorum;</t>
  </si>
  <si>
    <t>Persicobacteraceae</t>
  </si>
  <si>
    <t>Aureibacter</t>
  </si>
  <si>
    <t>Aureibacter tunicatorum</t>
  </si>
  <si>
    <t>Bacteria;Pseudomonadota;Betaproteobacteria;Burkholderiales;Comamonadaceae;Polaromonas;Polaromonas glacialis;</t>
  </si>
  <si>
    <t>Polaromonas glacialis</t>
  </si>
  <si>
    <t>Bacteria;Pseudomonadota;Betaproteobacteria;Burkholderiales;Oxalobacteraceae;Herbaspirillum;Herbaspirillum huttiense;</t>
  </si>
  <si>
    <t>Herbaspirillum huttiense</t>
  </si>
  <si>
    <t>Bacteria;Bacillota;Negativicutes;Selenomonadales;Selenomonadaceae;Pectinatus;Pectinatus brassicae;</t>
  </si>
  <si>
    <t>Pectinatus</t>
  </si>
  <si>
    <t>Pectinatus brassicae</t>
  </si>
  <si>
    <t>Bacteria;Bacteroidota;Sphingobacteriia;Sphingobacteriales;Sphingobacteriaceae;Mucilaginibacter;Mucilaginibacter ginsenosidivorax;</t>
  </si>
  <si>
    <t>Mucilaginibacter ginsenosidivorax</t>
  </si>
  <si>
    <t>Bacteria;Pseudomonadota;Alphaproteobacteria;Sphingomonadales;Sphingomonadaceae;Sphingomonas;Sphingomonas formosensis;</t>
  </si>
  <si>
    <t>Sphingomonas formosensis</t>
  </si>
  <si>
    <t>Bacteria;Pseudomonadota;Betaproteobacteria;Neisseriales;Chitinibacteraceae;Amantichitinum;Amantichitinum ursilacus;</t>
  </si>
  <si>
    <t>Amantichitinum</t>
  </si>
  <si>
    <t>Amantichitinum ursilacus</t>
  </si>
  <si>
    <t>Bacteria;Bacteroidota;Flavobacteriia;Flavobacteriales;Flavobacteriaceae;Flavobacterium;Flavobacterium sp. SOK18b;</t>
  </si>
  <si>
    <t>Flavobacterium sp. SOK18b</t>
  </si>
  <si>
    <t>Bacteria;Bacteroidota;Sphingobacteriia;Sphingobacteriales;Sphingobacteriaceae;Mucilaginibacter;uncultured Mucilaginibacter sp.;</t>
  </si>
  <si>
    <t>uncultured Mucilaginibacter sp.</t>
  </si>
  <si>
    <t>Bacteria;Bacteroidota;Flavobacteriia;Flavobacteriales;Flavobacteriaceae;Aequorivita;Aequorivita viscosa;</t>
  </si>
  <si>
    <t>Aequorivita</t>
  </si>
  <si>
    <t>Aequorivita viscosa</t>
  </si>
  <si>
    <t>Bacteria;Bacillota;Clostridia;Peptostreptococcales;Filifactoraceae;Peptoanaerobacter;Peptoanaerobacter stomatis;</t>
  </si>
  <si>
    <t>Peptoanaerobacter</t>
  </si>
  <si>
    <t>Peptoanaerobacter stomatis</t>
  </si>
  <si>
    <t>Bacteria;Pseudomonadota;Betaproteobacteria;Burkholderiales;Comamonadaceae;Limnohabitans;uncultured Limnohabitans sp.;</t>
  </si>
  <si>
    <t>uncultured Limnohabitans sp.</t>
  </si>
  <si>
    <t>Bacteria;Pseudomonadota;Gammaproteobacteria;Alteromonadales;Shewanellaceae;Shewanella;Shewanella indica;</t>
  </si>
  <si>
    <t>Shewanella indica</t>
  </si>
  <si>
    <t>Bacteria;Bacteroidota;Sphingobacteriia;Sphingobacteriales;Sphingobacteriaceae;Mucilaginibacter;Mucilaginibacter boryungensis;</t>
  </si>
  <si>
    <t>Mucilaginibacter boryungensis</t>
  </si>
  <si>
    <t>Bacteria;Cyanobacteriota;Cyanophyceae;Aerosakkonematales;Aerosakkonemataceae;Floridanema;[Phormidium] sp. LEGE 05292;</t>
  </si>
  <si>
    <t>Aerosakkonematales</t>
  </si>
  <si>
    <t>Aerosakkonemataceae</t>
  </si>
  <si>
    <t>Floridanema</t>
  </si>
  <si>
    <t>[Phormidium] sp. LEGE 05292</t>
  </si>
  <si>
    <t>Bacteria;Pseudomonadota;Gammaproteobacteria;Vibrionales;Vibrionaceae;Vibrio;Vibrio jasicida;</t>
  </si>
  <si>
    <t>Vibrio jasicida</t>
  </si>
  <si>
    <t>Bacteria;Bacillota;Desulfuribacillia;Desulfuribacillales;Desulfuribacillaceae;Desulfuribacillus;Desulfuribacillus alkaliarsenatis;</t>
  </si>
  <si>
    <t>Desulfuribacillia</t>
  </si>
  <si>
    <t>Desulfuribacillales</t>
  </si>
  <si>
    <t>Desulfuribacillaceae</t>
  </si>
  <si>
    <t>Desulfuribacillus</t>
  </si>
  <si>
    <t>Desulfuribacillus alkaliarsenatis</t>
  </si>
  <si>
    <t>Bacteria;Pseudomonadota;Betaproteobacteria;Burkholderiales;Alcaligenaceae;Derxia;Derxia lacustris;</t>
  </si>
  <si>
    <t>Derxia</t>
  </si>
  <si>
    <t>Derxia lacustris</t>
  </si>
  <si>
    <t>Bacteria;Actinomycetota;Actinomycetes;Streptosporangiales;Streptosporangiaceae;Sphaerisporangium;Sphaerisporangium krabiense;</t>
  </si>
  <si>
    <t>Sphaerisporangium krabiense</t>
  </si>
  <si>
    <t>Bacteria;Actinomycetota;Actinomycetes;Mycobacteriales;Mycobacteriaceae;Mycobacterium;Mycobacterium europaeum;</t>
  </si>
  <si>
    <t>Mycobacterium europaeum</t>
  </si>
  <si>
    <t>Bacteria;Pseudomonadota;Betaproteobacteria;Burkholderiales;Comamonadaceae;Acidovorax;Acidovorax radicis;</t>
  </si>
  <si>
    <t>Acidovorax radicis</t>
  </si>
  <si>
    <t>Bacteria;Bacillota;Clostridia;Eubacteriales;Clostridiaceae;Clostridium;Clostridium sp. BNL1100;</t>
  </si>
  <si>
    <t>Clostridium sp. BNL1100</t>
  </si>
  <si>
    <t>Bacteria;Pseudomonadota;Gammaproteobacteria;Moraxellales;Moraxellaceae;Paraperlucidibaca;Paraperlucidibaca baekdonensis;</t>
  </si>
  <si>
    <t>Paraperlucidibaca</t>
  </si>
  <si>
    <t>Paraperlucidibaca baekdonensis</t>
  </si>
  <si>
    <t>Bacteria;Bacillota;Clostridia;Eubacteriales;Clostridiaceae;Clostridium;Clostridium sp. DMHC 10;</t>
  </si>
  <si>
    <t>Clostridium sp. DMHC 10</t>
  </si>
  <si>
    <t>Bacteria;Pseudomonadota;Betaproteobacteria;Burkholderiales;Comamonadaceae;Pseudorhodoferax;Pseudorhodoferax aquiterrae;</t>
  </si>
  <si>
    <t>Pseudorhodoferax aquiterrae</t>
  </si>
  <si>
    <t>Bacteria;Pseudomonadota;Alphaproteobacteria;Sneathiellales;Sneathiellaceae;Oceanibacterium;Oceanibacterium hippocampi;</t>
  </si>
  <si>
    <t>Sneathiellales</t>
  </si>
  <si>
    <t>Sneathiellaceae</t>
  </si>
  <si>
    <t>Oceanibacterium</t>
  </si>
  <si>
    <t>Oceanibacterium hippocampi</t>
  </si>
  <si>
    <t>Bacteria;Bacillota;Clostridia;Peptostreptococcales;Filifactoraceae;Acetoanaerobium;Acetoanaerobium noterae;</t>
  </si>
  <si>
    <t>Acetoanaerobium noterae</t>
  </si>
  <si>
    <t>Bacteria;Bacillota;Clostridia;Eubacteriales;NA;Gemmiger;Gemmiger formicilis;</t>
  </si>
  <si>
    <t>Gemmiger formicilis</t>
  </si>
  <si>
    <t>Bacteria;Pseudomonadota;Alphaproteobacteria;Hyphomicrobiales;Stappiaceae;Roseibium;Roseibium sp. TrichSKD4;</t>
  </si>
  <si>
    <t>Roseibium sp. TrichSKD4</t>
  </si>
  <si>
    <t>Bacteria;Pseudomonadota;Betaproteobacteria;Burkholderiales;Sphaerotilaceae;Sphaerotilus;Sphaerotilus hippei;</t>
  </si>
  <si>
    <t>Sphaerotilus hippei</t>
  </si>
  <si>
    <t>Bacteria;Bacillota;Bacilli;Bacillales;Bacillaceae;Fictibacillus;Fictibacillus nanhaiensis;</t>
  </si>
  <si>
    <t>Fictibacillus nanhaiensis</t>
  </si>
  <si>
    <t>Bacteria;Pseudomonadota;Betaproteobacteria;Burkholderiales;Comamonadaceae;Delftia;Delftia sp. Cs1-4;</t>
  </si>
  <si>
    <t>Delftia sp. Cs1-4</t>
  </si>
  <si>
    <t>Bacteria;Bacteroidota;Flavobacteriia;Flavobacteriales;Weeksellaceae;Chryseobacterium;Chryseobacterium oncorhynchi;</t>
  </si>
  <si>
    <t>Chryseobacterium oncorhynchi</t>
  </si>
  <si>
    <t>Bacteria;Bacteroidota;Flavobacteriia;Flavobacteriales;Flavobacteriaceae;Flavobacterium;Flavobacterium phragmitis;</t>
  </si>
  <si>
    <t>Flavobacterium phragmitis</t>
  </si>
  <si>
    <t>Bacteria;Pseudomonadota;Alphaproteobacteria;Hyphomicrobiales;Rhizobiaceae;Rhizobium;Rhizobium halophytocola;</t>
  </si>
  <si>
    <t>Rhizobium halophytocola</t>
  </si>
  <si>
    <t>Bacteria;Pseudomonadota;Alphaproteobacteria;Hyphomicrobiales;Reyranellaceae;Reyranella;uncultured Reyranella sp.;</t>
  </si>
  <si>
    <t>uncultured Reyranella sp.</t>
  </si>
  <si>
    <t>Bacteria;Pseudomonadota;Gammaproteobacteria;Steroidobacterales;Steroidobacteraceae;Povalibacter;Povalibacter uvarum;</t>
  </si>
  <si>
    <t>Povalibacter uvarum</t>
  </si>
  <si>
    <t>Bacteria;Bacteroidota;Flavobacteriia;Flavobacteriales;Flavobacteriaceae;Flavobacterium;Flavobacterium oncorhynchi;</t>
  </si>
  <si>
    <t>Flavobacterium oncorhynchi</t>
  </si>
  <si>
    <t>Bacteria;Pseudomonadota;Alphaproteobacteria;Hyphomicrobiales;Devosiaceae;Devosia;Devosia psychrophila;</t>
  </si>
  <si>
    <t>Devosia psychrophila</t>
  </si>
  <si>
    <t>Bacteria;Pseudomonadota;Gammaproteobacteria;Salinisphaerales;Salinisphaeraceae;Salinisphaera;Salinisphaera sp. T31B1;</t>
  </si>
  <si>
    <t>Salinisphaerales</t>
  </si>
  <si>
    <t>Salinisphaeraceae</t>
  </si>
  <si>
    <t>Salinisphaera</t>
  </si>
  <si>
    <t>Salinisphaera sp. T31B1</t>
  </si>
  <si>
    <t>Bacteria;Pseudomonadota;Alphaproteobacteria;Rhodospirillales;Azospirillaceae;Azospirillum;Azospirillum sp. TSO35-2;</t>
  </si>
  <si>
    <t>Azospirillum sp. TSO35-2</t>
  </si>
  <si>
    <t>Bacteria;Actinomycetota;Actinomycetes;Micrococcales;Microbacteriaceae;Frondihabitans;Frondihabitans cladoniiphilus;</t>
  </si>
  <si>
    <t>Frondihabitans cladoniiphilus</t>
  </si>
  <si>
    <t>Bacteria;Actinomycetota;Actinomycetes;Propionibacteriales;Nocardioidaceae;Nocardioides;Nocardioides iriomotensis;</t>
  </si>
  <si>
    <t>Nocardioides iriomotensis</t>
  </si>
  <si>
    <t>Bacteria;Bacteroidota;Flavobacteriia;Flavobacteriales;Weeksellaceae;Chryseobacterium;Chryseobacterium sp. CH21;</t>
  </si>
  <si>
    <t>Chryseobacterium sp. CH21</t>
  </si>
  <si>
    <t>Bacteria;Actinomycetota;Actinomycetes;Micrococcales;Microbacteriaceae;Aurantimicrobium;Aurantimicrobium minutum;</t>
  </si>
  <si>
    <t>Aurantimicrobium minutum</t>
  </si>
  <si>
    <t>Bacteria;Pseudomonadota;Alphaproteobacteria;Sphingomonadales;Sphingomonadaceae;Novosphingobium;Novosphingobium sediminis;</t>
  </si>
  <si>
    <t>Novosphingobium sediminis</t>
  </si>
  <si>
    <t>Bacteria;Actinomycetota;Actinomycetes;Micromonosporales;Micromonosporaceae;Pilimelia;Pilimelia columellifera;</t>
  </si>
  <si>
    <t>Pilimelia</t>
  </si>
  <si>
    <t>Pilimelia columellifera</t>
  </si>
  <si>
    <t>Bacteria;Bacteroidota;Flavobacteriia;Flavobacteriales;Flavobacteriaceae;Flavobacterium;Flavobacterium dankookense;</t>
  </si>
  <si>
    <t>Flavobacterium dankookense</t>
  </si>
  <si>
    <t>Bacteria;Bacillota;Clostridia;Eubacteriales;Clostridiaceae;Clostridium;Clostridium gelidum;</t>
  </si>
  <si>
    <t>Clostridium gelidum</t>
  </si>
  <si>
    <t>Bacteria;Actinomycetota;Actinomycetes;Micrococcales;Dermacoccaceae;Flexivirga;Flexivirga alba;</t>
  </si>
  <si>
    <t>Flexivirga</t>
  </si>
  <si>
    <t>Flexivirga alba</t>
  </si>
  <si>
    <t>Bacteria;Pseudomonadota;Betaproteobacteria;Burkholderiales;Burkholderiaceae;Cupriavidus;Cupriavidus sp. TA19;</t>
  </si>
  <si>
    <t>Cupriavidus sp. TA19</t>
  </si>
  <si>
    <t>Bacteria;Cyanobacteriota;Cyanophyceae;Chroococcales;Chroococcaceae;Gloeocapsopsis;Gloeocapsopsis crepidinum;</t>
  </si>
  <si>
    <t>Gloeocapsopsis</t>
  </si>
  <si>
    <t>Gloeocapsopsis crepidinum</t>
  </si>
  <si>
    <t>Bacteria;Bacteroidota;Sphingobacteriia;Sphingobacteriales;Sphingobacteriaceae;Mucilaginibacter;Mucilaginibacter dorajii;</t>
  </si>
  <si>
    <t>Mucilaginibacter dorajii</t>
  </si>
  <si>
    <t>Bacteria;Planctomycetota;Planctomycetia;Gemmatales;Gemmataceae;Tuwongella;Tuwongella immobilis;</t>
  </si>
  <si>
    <t>Tuwongella</t>
  </si>
  <si>
    <t>Tuwongella immobilis</t>
  </si>
  <si>
    <t>Bacteria;Bacillota;Tissierellia;Tissierellales;Tissierellaceae;Tissierella;Tissierella carlieri;</t>
  </si>
  <si>
    <t>Tissierella carlieri</t>
  </si>
  <si>
    <t>Bacteria;Bacteroidota;Flavobacteriia;Flavobacteriales;Weeksellaceae;Chryseobacterium;Chryseobacterium ginsenosidimutans;</t>
  </si>
  <si>
    <t>Chryseobacterium ginsenosidimutans</t>
  </si>
  <si>
    <t>Bacteria;Bacteroidota;Sphingobacteriia;Sphingobacteriales;Sphingobacteriaceae;Sphingobacterium;Sphingobacterium ginsenosidimutans;</t>
  </si>
  <si>
    <t>Sphingobacterium ginsenosidimutans</t>
  </si>
  <si>
    <t>Bacteria;Bacteroidota;Flavobacteriia;Flavobacteriales;Flavobacteriaceae;Flavobacterium;Flavobacterium ginsenosidimutans;</t>
  </si>
  <si>
    <t>Flavobacterium ginsenosidimutans</t>
  </si>
  <si>
    <t>Bacteria;Bacteroidota;Sphingobacteriia;Sphingobacteriales;Sphingobacteriaceae;Pedobacter;Pedobacter ginsenosidimutans;</t>
  </si>
  <si>
    <t>Pedobacter ginsenosidimutans</t>
  </si>
  <si>
    <t>Bacteria;Pseudomonadota;Alphaproteobacteria;Rhodobacterales;Roseobacteraceae;Rubellimicrobium;Rubellimicrobium roseum;</t>
  </si>
  <si>
    <t>Rubellimicrobium roseum</t>
  </si>
  <si>
    <t>Bacteria;Pseudomonadota;Betaproteobacteria;Neisseriales;Chromobacteriaceae;Chromobacterium;Chromobacterium piscinae;</t>
  </si>
  <si>
    <t>Chromobacterium piscinae</t>
  </si>
  <si>
    <t>Bacteria;Pseudomonadota;Alphaproteobacteria;Hyphomicrobiales;Aurantimonadaceae;Martelella;Martelella sp. AD-3;</t>
  </si>
  <si>
    <t>Martelella sp. AD-3</t>
  </si>
  <si>
    <t>Bacteria;Pseudomonadota;Alphaproteobacteria;Sphingomonadales;Sphingomonadaceae;Sphingomonas;Sphingomonas sp. PR090111-T3T-6A;</t>
  </si>
  <si>
    <t>Sphingomonas sp. PR090111-T3T-6A</t>
  </si>
  <si>
    <t>Bacteria;Actinomycetota;Actinomycetes;Micrococcales;Microbacteriaceae;Microbacterium;Microbacterium suwonense;</t>
  </si>
  <si>
    <t>Microbacterium suwonense</t>
  </si>
  <si>
    <t>Bacteria;Bacillota;Bacilli;Bacillales;Paenibacillaceae;Paenibacillus;Paenibacillus jilunlii;</t>
  </si>
  <si>
    <t>Paenibacillus jilunlii</t>
  </si>
  <si>
    <t>Bacteria;Pseudomonadota;Betaproteobacteria;Burkholderiales;Comamonadaceae;Delftia;Delftia sp. Lp-1;</t>
  </si>
  <si>
    <t>Delftia sp. Lp-1</t>
  </si>
  <si>
    <t>Bacteria;Pseudomonadota;Betaproteobacteria;Neisseriales;Chitinibacteraceae;Chitinolyticbacter;Chitinolyticbacter meiyuanensis;</t>
  </si>
  <si>
    <t>Chitinolyticbacter</t>
  </si>
  <si>
    <t>Chitinolyticbacter meiyuanensis</t>
  </si>
  <si>
    <t>Bacteria;Bacillota;Clostridia;Lachnospirales;Natranaerovirgaceae;Natranaerovirga;Natranaerovirga hydrolytica;</t>
  </si>
  <si>
    <t>Natranaerovirgaceae</t>
  </si>
  <si>
    <t>Natranaerovirga</t>
  </si>
  <si>
    <t>Natranaerovirga hydrolytica</t>
  </si>
  <si>
    <t>Bacteria;Pseudomonadota;Alphaproteobacteria;Hyphomicrobiales;Rhizobiaceae;Sinorhizobium;Sinorhizobium numidicum;</t>
  </si>
  <si>
    <t>Sinorhizobium numidicum</t>
  </si>
  <si>
    <t>Bacteria;Pseudomonadota;Betaproteobacteria;Burkholderiales;Comamonadaceae;Pseudacidovorax;uncultured Pseudacidovorax sp.;</t>
  </si>
  <si>
    <t>uncultured Pseudacidovorax sp.</t>
  </si>
  <si>
    <t>Bacteria;Pseudomonadota;Gammaproteobacteria;Cellvibrionales;Cellvibrionaceae;Gilvimarinus;Gilvimarinus agarilyticus;</t>
  </si>
  <si>
    <t>Gilvimarinus</t>
  </si>
  <si>
    <t>Gilvimarinus agarilyticus</t>
  </si>
  <si>
    <t>Bacteria;Pseudomonadota;Gammaproteobacteria;Lysobacterales;Lysobacteraceae;Stenotrophomonas;Stenotrophomonas panacihumi;</t>
  </si>
  <si>
    <t>Stenotrophomonas panacihumi</t>
  </si>
  <si>
    <t>Bacteria;Pseudomonadota;Alphaproteobacteria;Hyphomicrobiales;Hyphomicrobiaceae;Rhodoplanes;Rhodoplanes sp. Z2-YC6860;</t>
  </si>
  <si>
    <t>Rhodoplanes sp. Z2-YC6860</t>
  </si>
  <si>
    <t>Bacteria;Pseudomonadota;Betaproteobacteria;Burkholderiales;Comamonadaceae;Comamonas;Comamonas sp. F1-6;</t>
  </si>
  <si>
    <t>Comamonas sp. F1-6</t>
  </si>
  <si>
    <t>Bacteria;Actinomycetota;Actinomycetes;Micrococcales;Microbacteriaceae;Microbacterium;Microbacterium yannicii;</t>
  </si>
  <si>
    <t>Microbacterium yannicii</t>
  </si>
  <si>
    <t>Bacteria;Pseudomonadota;Gammaproteobacteria;Lysobacterales;Rhodanobacteraceae;Rhodanobacter;Rhodanobacter denitrificans;</t>
  </si>
  <si>
    <t>Rhodanobacter</t>
  </si>
  <si>
    <t>Rhodanobacter denitrificans</t>
  </si>
  <si>
    <t>Bacteria;Actinomycetota;Coriobacteriia;Eggerthellales;Eggerthellaceae;Slackia;uncultured Slackia sp.;</t>
  </si>
  <si>
    <t>Coriobacteriia</t>
  </si>
  <si>
    <t>Eggerthellales</t>
  </si>
  <si>
    <t>Eggerthellaceae</t>
  </si>
  <si>
    <t>Slackia</t>
  </si>
  <si>
    <t>uncultured Slackia sp.</t>
  </si>
  <si>
    <t>Bacteria;Pseudomonadota;Alphaproteobacteria;Hyphomicrobiales;Kaistiaceae;Bauldia;Bauldia litoralis;</t>
  </si>
  <si>
    <t>Bauldia</t>
  </si>
  <si>
    <t>Bauldia litoralis</t>
  </si>
  <si>
    <t>Bacteria;Pseudomonadota;Alphaproteobacteria;Hyphomicrobiales;Devosiaceae;Devosia;Devosia enhydra;</t>
  </si>
  <si>
    <t>Devosia enhydra</t>
  </si>
  <si>
    <t>Bacteria;Pseudomonadota;Betaproteobacteria;Burkholderiales;Comamonadaceae;Variovorax;Variovorax sp. RA8;</t>
  </si>
  <si>
    <t>Variovorax sp. RA8</t>
  </si>
  <si>
    <t>Bacteria;Actinomycetota;Actinomycetes;Micrococcales;Dermabacteraceae;Brachybacterium;Brachybacterium squillarum;</t>
  </si>
  <si>
    <t>Dermabacteraceae</t>
  </si>
  <si>
    <t>Brachybacterium</t>
  </si>
  <si>
    <t>Brachybacterium squillarum</t>
  </si>
  <si>
    <t>Bacteria;Actinomycetota;Actinomycetes;Propionibacteriales;Nocardioidaceae;Nocardioides;Nocardioides pocheonensis;</t>
  </si>
  <si>
    <t>Nocardioides pocheonensis</t>
  </si>
  <si>
    <t>Bacteria;Actinomycetota;Actinomycetes;Propionibacteriales;Nocardioidaceae;Nocardioides;Nocardioides marmoriginsengisoli;</t>
  </si>
  <si>
    <t>Nocardioides marmoriginsengisoli</t>
  </si>
  <si>
    <t>Bacteria;Actinomycetota;Actinomycetes;Micrococcales;Microbacteriaceae;Herbiconiux;Herbiconiux solani;</t>
  </si>
  <si>
    <t>Herbiconiux solani</t>
  </si>
  <si>
    <t>Bacteria;Bacteroidota;Cytophagia;Cytophagales;Spirosomataceae;Dyadobacter;Dyadobacter soli;</t>
  </si>
  <si>
    <t>Dyadobacter soli</t>
  </si>
  <si>
    <t>Bacteria;Bacillota;Bacilli;Bacillales;Bacillaceae;Bacillus;Bacillus bombysepticus;</t>
  </si>
  <si>
    <t>Bacillus bombysepticus</t>
  </si>
  <si>
    <t>Bacteria;Pseudomonadota;Alphaproteobacteria;Sphingomonadales;Sphingomonadaceae;Sphingomonas;Sphingomonas glacialis;</t>
  </si>
  <si>
    <t>Sphingomonas glacialis</t>
  </si>
  <si>
    <t>Bacteria;Pseudomonadota;Betaproteobacteria;Neisseriales;Chromobacteriaceae;Vogesella;Vogesella mureinivorans;</t>
  </si>
  <si>
    <t>Vogesella mureinivorans</t>
  </si>
  <si>
    <t>Bacteria;Bacillota;Clostridia;Peptostreptococcales;Peptostreptococcaceae;Tepidibacter;Tepidibacter mesophilus;</t>
  </si>
  <si>
    <t>Tepidibacter mesophilus</t>
  </si>
  <si>
    <t>Bacteria;Bacillota;Clostridia;Eubacteriales;Clostridiaceae;Fervidicella;Fervidicella metallireducens;</t>
  </si>
  <si>
    <t>Fervidicella</t>
  </si>
  <si>
    <t>Fervidicella metallireducens</t>
  </si>
  <si>
    <t>Bacteria;Pseudomonadota;Alphaproteobacteria;Hyphomicrobiales;Methylocystaceae;Methylocystis;Methylocystis bryophila;</t>
  </si>
  <si>
    <t>Methylocystis bryophila</t>
  </si>
  <si>
    <t>Bacteria;Pseudomonadota;Alphaproteobacteria;Sphingomonadales;Sphingomonadaceae;Sphingomonas;Sphingomonas haloaromaticamans;</t>
  </si>
  <si>
    <t>Sphingomonas haloaromaticamans</t>
  </si>
  <si>
    <t>Bacteria;Bacillota;Bacilli;Bacillales;Paenibacillaceae;Cohnella;Cohnella luojiensis;</t>
  </si>
  <si>
    <t>Cohnella luojiensis</t>
  </si>
  <si>
    <t>Bacteria;Bacteroidota;Sphingobacteriia;Sphingobacteriales;Sphingobacteriaceae;Mucilaginibacter;Mucilaginibacter frigoritolerans;</t>
  </si>
  <si>
    <t>Mucilaginibacter frigoritolerans</t>
  </si>
  <si>
    <t>Bacteria;Bacteroidota;Sphingobacteriia;Sphingobacteriales;Sphingobacteriaceae;Mucilaginibacter;Mucilaginibacter mallensis;</t>
  </si>
  <si>
    <t>Mucilaginibacter mallensis</t>
  </si>
  <si>
    <t>Bacteria;Bacteroidota;Sphingobacteriia;Sphingobacteriales;Sphingobacteriaceae;Pedobacter;Pedobacter yonginense;</t>
  </si>
  <si>
    <t>Pedobacter yonginense</t>
  </si>
  <si>
    <t>Bacteria;Bacteroidota;Flavobacteriia;Flavobacteriales;Weeksellaceae;Chryseobacterium;Chryseobacterium arthrosphaerae;</t>
  </si>
  <si>
    <t>Chryseobacterium arthrosphaerae</t>
  </si>
  <si>
    <t>Bacteria;Actinomycetota;Actinomycetes;Micrococcales;Intrasporangiaceae;Aquipuribacter;Aquipuribacter nitratireducens;</t>
  </si>
  <si>
    <t>Aquipuribacter</t>
  </si>
  <si>
    <t>Aquipuribacter nitratireducens</t>
  </si>
  <si>
    <t>Bacteria;Bacillota;Clostridia;Lachnospirales;Lachnospiraceae;Anaerostipes;Anaerostipes hadrus;</t>
  </si>
  <si>
    <t>Anaerostipes</t>
  </si>
  <si>
    <t>Anaerostipes hadrus</t>
  </si>
  <si>
    <t>Bacteria;Bacteroidota;Sphingobacteriia;Sphingobacteriales;Sphingobacteriaceae;Mucilaginibacter;Mucilaginibacter myungsuensis;</t>
  </si>
  <si>
    <t>Mucilaginibacter myungsuensis</t>
  </si>
  <si>
    <t>Bacteria;Pseudomonadota;Alphaproteobacteria;Hyphomicrobiales;Rhizobiaceae;Agrobacterium;Agrobacterium pusense;</t>
  </si>
  <si>
    <t>Agrobacterium pusense</t>
  </si>
  <si>
    <t>Bacteria;Bacillota;Bacilli;Bacillales;Listeriaceae;Listeria;Listeria rocourtiae;</t>
  </si>
  <si>
    <t>Listeria rocourtiae</t>
  </si>
  <si>
    <t>Bacteria;Bacillota;Clostridia;Eubacteriales;Eubacteriaceae;Alkalibaculum;Alkalibaculum bacchi;</t>
  </si>
  <si>
    <t>Alkalibaculum</t>
  </si>
  <si>
    <t>Alkalibaculum bacchi</t>
  </si>
  <si>
    <t>Bacteria;Actinomycetota;Actinomycetes;Mycobacteriales;Tsukamurellaceae;Tsukamurella;Tsukamurella soli;</t>
  </si>
  <si>
    <t>Tsukamurellaceae</t>
  </si>
  <si>
    <t>Tsukamurella</t>
  </si>
  <si>
    <t>Tsukamurella soli</t>
  </si>
  <si>
    <t>Bacteria;Pseudomonadota;Alphaproteobacteria;Hyphomicrobiales;Nitrobacteraceae;Rhodopseudomonas;Rhodopseudomonas telluris;</t>
  </si>
  <si>
    <t>Rhodopseudomonas</t>
  </si>
  <si>
    <t>Rhodopseudomonas telluris</t>
  </si>
  <si>
    <t>Bacteria;Pseudomonadota;Alphaproteobacteria;Hyphomicrobiales;Brucellaceae;Paenochrobactrum;Paenochrobactrum gallinarii;</t>
  </si>
  <si>
    <t>Paenochrobactrum</t>
  </si>
  <si>
    <t>Paenochrobactrum gallinarii</t>
  </si>
  <si>
    <t>Bacteria;Actinomycetota;Actinomycetes;Propionibacteriales;Nocardioidaceae;Nocardioides;Nocardioides rubriscoriae;</t>
  </si>
  <si>
    <t>Nocardioides rubriscoriae</t>
  </si>
  <si>
    <t>Bacteria;Bacillota;Clostridia;Eubacteriales;Clostridiaceae;Clostridium;Clostridium sp. DL-VIII;</t>
  </si>
  <si>
    <t>Clostridium sp. DL-VIII</t>
  </si>
  <si>
    <t>Bacteria;Bacillota;Bacilli;Bacillales;Bacillaceae;Lentibacillus;Lentibacillus persicus;</t>
  </si>
  <si>
    <t>Lentibacillus persicus</t>
  </si>
  <si>
    <t>Bacteria;Actinomycetota;Actinomycetes;Micrococcales;Microbacteriaceae;Paramicrobacterium;Paramicrobacterium humi;</t>
  </si>
  <si>
    <t>Paramicrobacterium humi</t>
  </si>
  <si>
    <t>Bacteria;Pseudomonadota;Gammaproteobacteria;Pseudomonadales;Pseudomonadaceae;Pseudomonas;Pseudomonas seleniipraecipitans;</t>
  </si>
  <si>
    <t>Pseudomonas seleniipraecipitans</t>
  </si>
  <si>
    <t>Bacteria;Pseudomonadota;Betaproteobacteria;Nitrosomonadales;Methylophilaceae;Methylophilus;Methylophilus luteus;</t>
  </si>
  <si>
    <t>Methylophilus luteus</t>
  </si>
  <si>
    <t>Bacteria;Actinomycetota;Actinomycetes;Micrococcales;Bogoriellaceae;Georgenia;Georgenia soli;</t>
  </si>
  <si>
    <t>Georgenia soli</t>
  </si>
  <si>
    <t>Bacteria;Actinomycetota;Actinomycetes;Micrococcales;Microbacteriaceae;Herbiconiux;Herbiconiux moechotypicola;</t>
  </si>
  <si>
    <t>Herbiconiux moechotypicola</t>
  </si>
  <si>
    <t>Bacteria;Actinomycetota;Actinomycetes;Propionibacteriales;Nocardioidaceae;Nocardioides;Nocardioides daedukensis;</t>
  </si>
  <si>
    <t>Nocardioides daedukensis</t>
  </si>
  <si>
    <t>Bacteria;Bacillota;Bacilli;Lactobacillales;Enterococcaceae;Vagococcus;Vagococcus penaei;</t>
  </si>
  <si>
    <t>Vagococcus</t>
  </si>
  <si>
    <t>Vagococcus penaei</t>
  </si>
  <si>
    <t>Bacteria;Pseudomonadota;Gammaproteobacteria;Aeromonadales;Aeromonadaceae;Aeromonas;Aeromonas sanarellii;</t>
  </si>
  <si>
    <t>Aeromonas sanarellii</t>
  </si>
  <si>
    <t>Bacteria;Pseudomonadota;Alphaproteobacteria;Rhodobacterales;Paracoccaceae;Thalassobium;Thalassobium sp. R2A62;</t>
  </si>
  <si>
    <t>Thalassobium</t>
  </si>
  <si>
    <t>Thalassobium sp. R2A62</t>
  </si>
  <si>
    <t>Bacteria;Pseudomonadota;Gammaproteobacteria;Moraxellales;Moraxellaceae;Acinetobacter;Acinetobacter rudis;</t>
  </si>
  <si>
    <t>Acinetobacter rudis</t>
  </si>
  <si>
    <t>Bacteria;Actinomycetota;Actinomycetes;Propionibacteriales;Nocardioidaceae;Nocardioides;Nocardioides panacisoli;</t>
  </si>
  <si>
    <t>Nocardioides panacisoli</t>
  </si>
  <si>
    <t>Bacteria;Bacillota;Bacilli;Bacillales;Paenibacillaceae;Paenibacillus;Paenibacillus tianmuensis;</t>
  </si>
  <si>
    <t>Paenibacillus tianmuensis</t>
  </si>
  <si>
    <t>Bacteria;Actinomycetota;Actinomycetes;Micrococcales;NA;Luteimicrobium;Luteimicrobium subarcticum;</t>
  </si>
  <si>
    <t>Luteimicrobium subarcticum</t>
  </si>
  <si>
    <t>Bacteria;Pseudomonadota;Betaproteobacteria;Burkholderiales;Burkholderiaceae;Paraburkholderia;Paraburkholderia oxyphila;</t>
  </si>
  <si>
    <t>Paraburkholderia oxyphila</t>
  </si>
  <si>
    <t>Bacteria;Pseudomonadota;Gammaproteobacteria;Aeromonadales;Aeromonadaceae;Aeromonas;Aeromonas piscicola;</t>
  </si>
  <si>
    <t>Aeromonas piscicola</t>
  </si>
  <si>
    <t>Bacteria;Bacteroidota;Sphingobacteriia;Sphingobacteriales;Sphingobacteriaceae;Pedobacter;Pedobacter namyangjuensis;</t>
  </si>
  <si>
    <t>Pedobacter namyangjuensis</t>
  </si>
  <si>
    <t>Bacteria;Actinomycetota;Actinomycetes;Micrococcales;Microbacteriaceae;Frondihabitans;Frondihabitans peucedani;</t>
  </si>
  <si>
    <t>Frondihabitans peucedani</t>
  </si>
  <si>
    <t>Bacteria;Actinomycetota;Actinomycetes;Micrococcales;Microbacteriaceae;Amnibacterium;Amnibacterium kyonggiense;</t>
  </si>
  <si>
    <t>Amnibacterium kyonggiense</t>
  </si>
  <si>
    <t>Bacteria;Actinomycetota;Actinomycetes;Micrococcales;Microbacteriaceae;Agromyces;Agromyces atrinae;</t>
  </si>
  <si>
    <t>Agromyces atrinae</t>
  </si>
  <si>
    <t>Bacteria;Pseudomonadota;Gammaproteobacteria;Pseudomonadales;Pseudomonadaceae;Pseudomonas;Pseudomonas peli;</t>
  </si>
  <si>
    <t>Pseudomonas peli</t>
  </si>
  <si>
    <t>Bacteria;Pseudomonadota;Alphaproteobacteria;Sphingomonadales;Sphingomonadaceae;Sphingopyxis;Sphingopyxis soli;</t>
  </si>
  <si>
    <t>Sphingopyxis soli</t>
  </si>
  <si>
    <t>Bacteria;Pseudomonadota;Betaproteobacteria;Burkholderiales;Comamonadaceae;Acidovorax;Acidovorax soli;</t>
  </si>
  <si>
    <t>Acidovorax soli</t>
  </si>
  <si>
    <t>Bacteria;Bacteroidota;Flavobacteriia;Flavobacteriales;Flavobacteriaceae;Flavobacterium;Flavobacterium macrobrachii;</t>
  </si>
  <si>
    <t>Flavobacterium macrobrachii</t>
  </si>
  <si>
    <t>Bacteria;Bacteroidota;Cytophagia;Cytophagales;Flectobacillaceae;Arcicella;Arcicella aurantiaca;</t>
  </si>
  <si>
    <t>Arcicella aurantiaca</t>
  </si>
  <si>
    <t>Bacteria;Pseudomonadota;Alphaproteobacteria;Caulobacterales;Caulobacteraceae;Brevundimonas;Brevundimonas naejangsanensis;</t>
  </si>
  <si>
    <t>Brevundimonas naejangsanensis</t>
  </si>
  <si>
    <t>Bacteria;Actinomycetota;Thermoleophilia;Solirubrobacterales;Patulibacteraceae;Patulibacter;Patulibacter americanus;</t>
  </si>
  <si>
    <t>Patulibacter americanus</t>
  </si>
  <si>
    <t>Bacteria;Pseudomonadota;Gammaproteobacteria;Pseudomonadales;Pseudomonadaceae;Pseudomonas;Pseudomonas chlororaphis;</t>
  </si>
  <si>
    <t>Pseudomonas chlororaphis</t>
  </si>
  <si>
    <t>Bacteria;Actinomycetota;Actinomycetes;Micrococcales;Microbacteriaceae;Microbacterium;Microbacterium azadirachtae;</t>
  </si>
  <si>
    <t>Microbacterium azadirachtae</t>
  </si>
  <si>
    <t>Bacteria;Pseudomonadota;Betaproteobacteria;Burkholderiales;Sphaerotilaceae;Roseateles;Roseateles asaccharophilus;</t>
  </si>
  <si>
    <t>Roseateles asaccharophilus</t>
  </si>
  <si>
    <t>Bacteria;Bacillota;Bacilli;Bacillales;Bacillaceae;Bacillus;Bacillus cytotoxicus;</t>
  </si>
  <si>
    <t>Bacillus cytotoxicus</t>
  </si>
  <si>
    <t>Bacteria;Pseudomonadota;Alphaproteobacteria;Hyphomicrobiales;Nitrobacteraceae;Bradyrhizobium;Bradyrhizobium sp. STM 3557;</t>
  </si>
  <si>
    <t>Bradyrhizobium sp. STM 3557</t>
  </si>
  <si>
    <t>Bacteria;Pseudomonadota;Betaproteobacteria;Burkholderiales;Burkholderiaceae;Polynucleobacter;Polynucleobacter asymbioticus;</t>
  </si>
  <si>
    <t>Polynucleobacter asymbioticus</t>
  </si>
  <si>
    <t>Bacteria;Pseudomonadota;Alphaproteobacteria;Sphingomonadales;Sphingomonadaceae;Sphingomonas;Sphingomonas oligoaromativorans;</t>
  </si>
  <si>
    <t>Sphingomonas oligoaromativorans</t>
  </si>
  <si>
    <t>Bacteria;Bacteroidota;Flavobacteriia;Flavobacteriales;Crocinitomicaceae;Wandonia;Wandonia haliotis;</t>
  </si>
  <si>
    <t>Wandonia</t>
  </si>
  <si>
    <t>Wandonia haliotis</t>
  </si>
  <si>
    <t>Bacteria;Pseudomonadota;Alphaproteobacteria;Sphingomonadales;Sphingomonadaceae;Novosphingobium;Novosphingobium soli;</t>
  </si>
  <si>
    <t>Novosphingobium soli</t>
  </si>
  <si>
    <t>Bacteria;Actinomycetota;Actinomycetes;Propionibacteriales;Nocardioidaceae;Nocardioides;Nocardioides caeni;</t>
  </si>
  <si>
    <t>Nocardioides caeni</t>
  </si>
  <si>
    <t>Bacteria;Actinomycetota;Actinomycetes;Propionibacteriales;Nocardioidaceae;Nocardioides;Nocardioides terrae;</t>
  </si>
  <si>
    <t>Nocardioides terrae</t>
  </si>
  <si>
    <t>Bacteria;Bacillota;Bacilli;Bacillales;Bacillaceae;Bacillus;Bacillus manliponensis;</t>
  </si>
  <si>
    <t>Bacillus manliponensis</t>
  </si>
  <si>
    <t>Bacteria;Bacillota;Bacilli;Bacillales;Bacillaceae;Bacillus;Bacillus gaemokensis;</t>
  </si>
  <si>
    <t>Bacillus gaemokensis</t>
  </si>
  <si>
    <t>Bacteria;Bacteroidota;Chitinophagia;Chitinophagales;Chitinophagaceae;Chitinophaga;Chitinophaga rupis;</t>
  </si>
  <si>
    <t>Chitinophaga rupis</t>
  </si>
  <si>
    <t>Bacteria;Pseudomonadota;Alphaproteobacteria;Rhodobacterales;Roseobacteraceae;Shimia;uncultured Shimia sp.;</t>
  </si>
  <si>
    <t>Shimia</t>
  </si>
  <si>
    <t>uncultured Shimia sp.</t>
  </si>
  <si>
    <t>Bacteria;Pseudomonadota;Alphaproteobacteria;Rhodobacterales;Roseobacteraceae;Roseovarius;Roseovarius nanhaiticus;</t>
  </si>
  <si>
    <t>Roseovarius nanhaiticus</t>
  </si>
  <si>
    <t>Bacteria;Pseudomonadota;Alphaproteobacteria;Rhodobacterales;Roseobacteraceae;Aliiruegeria;Aliiruegeria lutimaris;</t>
  </si>
  <si>
    <t>Aliiruegeria</t>
  </si>
  <si>
    <t>Aliiruegeria lutimaris</t>
  </si>
  <si>
    <t>Bacteria;Pseudomonadota;Alphaproteobacteria;Hyphomicrobiales;Brucellaceae;Brucella;Brucella rhizosphaerae;</t>
  </si>
  <si>
    <t>Brucella rhizosphaerae</t>
  </si>
  <si>
    <t>Bacteria;Pseudomonadota;Alphaproteobacteria;Acetobacterales;Acetobacteraceae;Pseudoroseomonas;Pseudoroseomonas aestuarii;</t>
  </si>
  <si>
    <t>Pseudoroseomonas aestuarii</t>
  </si>
  <si>
    <t>Bacteria;Pseudomonadota;Betaproteobacteria;Burkholderiales;Oxalobacteraceae;Herbaspirillum;Herbaspirillum aquaticum;</t>
  </si>
  <si>
    <t>Herbaspirillum aquaticum</t>
  </si>
  <si>
    <t>Bacteria;Pseudomonadota;Gammaproteobacteria;Oceanospirillales;Oceanospirillaceae;Marinobacterium;Marinobacterium lutimaris;</t>
  </si>
  <si>
    <t>Marinobacterium lutimaris</t>
  </si>
  <si>
    <t>Bacteria;Pseudomonadota;Alphaproteobacteria;Hyphomicrobiales;Nitrobacteraceae;Bradyrhizobium;Bradyrhizobium sp. ORS 375;</t>
  </si>
  <si>
    <t>Bradyrhizobium sp. ORS 375</t>
  </si>
  <si>
    <t>Bacteria;Actinomycetota;Actinomycetes;Mycobacteriales;Mycobacteriaceae;Mycolicibacterium;Mycolicibacterium bacteremicum;</t>
  </si>
  <si>
    <t>Mycolicibacterium bacteremicum</t>
  </si>
  <si>
    <t>Bacteria;Bacteroidota;Chitinophagia;Chitinophagales;Chitinophagaceae;Ferruginibacter;Ferruginibacter lapsinanis;</t>
  </si>
  <si>
    <t>Ferruginibacter lapsinanis</t>
  </si>
  <si>
    <t>Bacteria;Pseudomonadota;Alphaproteobacteria;Hyphomicrobiales;Methylobacteriaceae;Methylobacterium;Methylobacterium dankookense;</t>
  </si>
  <si>
    <t>Methylobacterium dankookense</t>
  </si>
  <si>
    <t>Bacteria;Pseudomonadota;Gammaproteobacteria;Aeromonadales;Aeromonadaceae;Aeromonas;Aeromonas lacus;</t>
  </si>
  <si>
    <t>Aeromonas lacus</t>
  </si>
  <si>
    <t>Bacteria;Pseudomonadota;Betaproteobacteria;Burkholderiales;Comamonadaceae;Delftia;Delftia lacustris;</t>
  </si>
  <si>
    <t>Delftia lacustris</t>
  </si>
  <si>
    <t>Bacteria;Pseudomonadota;Alphaproteobacteria;Hyphomicrobiales;Brucellaceae;Pseudochrobactrum;Pseudochrobactrum lubricantis;</t>
  </si>
  <si>
    <t>Pseudochrobactrum lubricantis</t>
  </si>
  <si>
    <t>Bacteria;Pseudomonadota;Gammaproteobacteria;Pseudomonadales;Pseudomonadaceae;Pseudomonas;Pseudomonas saponiphila;</t>
  </si>
  <si>
    <t>Pseudomonas saponiphila</t>
  </si>
  <si>
    <t>Bacteria;Pseudomonadota;Alphaproteobacteria;Hyphomicrobiales;Rhizobiaceae;Liberibacter;Candidatus Liberibacter solanacearum;</t>
  </si>
  <si>
    <t>Liberibacter</t>
  </si>
  <si>
    <t>Candidatus Liberibacter solanacearum</t>
  </si>
  <si>
    <t>Bacteria;Pseudomonadota;Betaproteobacteria;Burkholderiales;Burkholderiaceae;Polynucleobacter;Polynucleobacter difficilis;</t>
  </si>
  <si>
    <t>Polynucleobacter difficilis</t>
  </si>
  <si>
    <t>Bacteria;Pseudomonadota;Alphaproteobacteria;Sphingomonadales;Sphingomonadaceae;Novosphingobium;Novosphingobium sp. Rr 2-17;</t>
  </si>
  <si>
    <t>Novosphingobium sp. Rr 2-17</t>
  </si>
  <si>
    <t>Bacteria;Pseudomonadota;Alphaproteobacteria;Rhodobacterales;Roseobacteraceae;Salipiger;Salipiger marinus;</t>
  </si>
  <si>
    <t>Salipiger</t>
  </si>
  <si>
    <t>Salipiger marinus</t>
  </si>
  <si>
    <t>Bacteria;Actinomycetota;Actinomycetes;Micrococcales;Microbacteriaceae;Agromyces;Agromyces tropicus;</t>
  </si>
  <si>
    <t>Agromyces tropicus</t>
  </si>
  <si>
    <t>Bacteria;Bacteroidota;Flavobacteriia;Flavobacteriales;Flavobacteriaceae;Flavobacterium;Flavobacterium chungangense;</t>
  </si>
  <si>
    <t>Flavobacterium chungangense</t>
  </si>
  <si>
    <t>Bacteria;Actinomycetota;Actinomycetes;Micrococcales;Micrococcaceae;Tersicoccus;Tersicoccus phoenicis;</t>
  </si>
  <si>
    <t>Tersicoccus</t>
  </si>
  <si>
    <t>Tersicoccus phoenicis</t>
  </si>
  <si>
    <t>Bacteria;Pseudomonadota;Betaproteobacteria;Burkholderiales;Comamonadaceae;Acidovorax;Acidovorax carolinensis;</t>
  </si>
  <si>
    <t>Acidovorax carolinensis</t>
  </si>
  <si>
    <t>Bacteria;Pseudomonadota;Gammaproteobacteria;Lysobacterales;Lysobacteraceae;Lysobacter;Lysobacter korlensis;</t>
  </si>
  <si>
    <t>Lysobacter korlensis</t>
  </si>
  <si>
    <t>Bacteria;Pseudomonadota;Alphaproteobacteria;Hyphomicrobiales;Methylobacteriaceae;Methylobacterium;Methylobacterium soli;</t>
  </si>
  <si>
    <t>Methylobacterium soli</t>
  </si>
  <si>
    <t>Bacteria;Bacillota;Clostridia;Eubacteriales;Heliobacteriaceae;Heliorestis;Heliorestis acidaminivorans;</t>
  </si>
  <si>
    <t>Heliobacteriaceae</t>
  </si>
  <si>
    <t>Heliorestis</t>
  </si>
  <si>
    <t>Heliorestis acidaminivorans</t>
  </si>
  <si>
    <t>Bacteria;Pseudomonadota;Gammaproteobacteria;Vibrionales;Vibrionaceae;Vibrio;Vibrio breoganii;</t>
  </si>
  <si>
    <t>Vibrio breoganii</t>
  </si>
  <si>
    <t>Bacteria;Bacteroidota;Sphingobacteriia;Sphingobacteriales;Sphingobacteriaceae;Mucilaginibacter;Mucilaginibacter gossypii;</t>
  </si>
  <si>
    <t>Mucilaginibacter gossypii</t>
  </si>
  <si>
    <t>Bacteria;Bacteroidota;Sphingobacteriia;Sphingobacteriales;Sphingobacteriaceae;Mucilaginibacter;Mucilaginibacter gossypiicola;</t>
  </si>
  <si>
    <t>Mucilaginibacter gossypiicola</t>
  </si>
  <si>
    <t>Bacteria;Bacillota;Bacilli;Bacillales;Bacillaceae;Cytobacillus;Cytobacillus horneckiae;</t>
  </si>
  <si>
    <t>Cytobacillus horneckiae</t>
  </si>
  <si>
    <t>Bacteria;Pseudomonadota;Gammaproteobacteria;Enterobacterales;Hafniaceae;Hafnia;Hafnia paralvei;</t>
  </si>
  <si>
    <t>Hafnia</t>
  </si>
  <si>
    <t>Hafnia paralvei</t>
  </si>
  <si>
    <t>Bacteria;Pseudomonadota;Betaproteobacteria;Burkholderiales;Comamonadaceae;Pseudorhodoferax;Pseudorhodoferax soli;</t>
  </si>
  <si>
    <t>Pseudorhodoferax soli</t>
  </si>
  <si>
    <t>Bacteria;Pseudomonadota;Gammaproteobacteria;Alteromonadales;Alteromonadaceae;Alishewanella;Alishewanella jeotgali;</t>
  </si>
  <si>
    <t>Alishewanella</t>
  </si>
  <si>
    <t>Alishewanella jeotgali</t>
  </si>
  <si>
    <t>Bacteria;Pseudomonadota;Alphaproteobacteria;Hyphomicrobiales;Rhizobiaceae;Shinella;Shinella fusca;</t>
  </si>
  <si>
    <t>Shinella fusca</t>
  </si>
  <si>
    <t>Bacteria;Pseudomonadota;Alphaproteobacteria;Sphingomonadales;Erythrobacteraceae;Pelagerythrobacter;Pelagerythrobacter marensis;</t>
  </si>
  <si>
    <t>Pelagerythrobacter</t>
  </si>
  <si>
    <t>Pelagerythrobacter marensis</t>
  </si>
  <si>
    <t>Bacteria;Bacteroidota;Sphingobacteriia;Sphingobacteriales;Sphingobacteriaceae;Solitalea;Solitalea koreensis;</t>
  </si>
  <si>
    <t>Solitalea koreensis</t>
  </si>
  <si>
    <t>Bacteria;Pseudomonadota;Alphaproteobacteria;Hyphomicrobiales;Rhizobiaceae;Shinella;uncultured Shinella sp.;</t>
  </si>
  <si>
    <t>uncultured Shinella sp.</t>
  </si>
  <si>
    <t>Bacteria;Pseudomonadota;Alphaproteobacteria;Hyphomicrobiales;Rhodoblastaceae;Rhodoblastus;uncultured Rhodoblastus sp.;</t>
  </si>
  <si>
    <t>uncultured Rhodoblastus sp.</t>
  </si>
  <si>
    <t>Bacteria;Pseudomonadota;Betaproteobacteria;Neisseriales;Chromobacteriaceae;Aquitalea;uncultured Aquitalea sp.;</t>
  </si>
  <si>
    <t>uncultured Aquitalea sp.</t>
  </si>
  <si>
    <t>Bacteria;Pseudomonadota;Betaproteobacteria;Burkholderiales;Comamonadaceae;Limnohabitans;Limnohabitans parvus;</t>
  </si>
  <si>
    <t>Limnohabitans parvus</t>
  </si>
  <si>
    <t>Bacteria;Pseudomonadota;Betaproteobacteria;Burkholderiales;Comamonadaceae;Limnohabitans;Limnohabitans planktonicus;</t>
  </si>
  <si>
    <t>Limnohabitans planktonicus</t>
  </si>
  <si>
    <t>Bacteria;Bacillota;Bacilli;Bacillales;Paenibacillaceae;Paenibacillus;Paenibacillus hunanensis;</t>
  </si>
  <si>
    <t>Paenibacillus hunanensis</t>
  </si>
  <si>
    <t>Bacteria;Bacteroidota;Sphingobacteriia;Sphingobacteriales;Sphingobacteriaceae;Desertivirga;Desertivirga xinjiangensis;</t>
  </si>
  <si>
    <t>Desertivirga xinjiangensis</t>
  </si>
  <si>
    <t>Bacteria;Pseudomonadota;Alphaproteobacteria;Rhodospirillales;Thalassobaculaceae;Nisaea;uncultured Nisaea sp.;</t>
  </si>
  <si>
    <t>uncultured Nisaea sp.</t>
  </si>
  <si>
    <t>Bacteria;Bacteroidota;Sphingobacteriia;Sphingobacteriales;Sphingobacteriaceae;Mucilaginibacter;Mucilaginibacter ximonensis;</t>
  </si>
  <si>
    <t>Mucilaginibacter ximonensis</t>
  </si>
  <si>
    <t>Bacteria;Pseudomonadota;Alphaproteobacteria;Hyphomicrobiales;Kaistiaceae;Kaistia;Kaistia terrae;</t>
  </si>
  <si>
    <t>Kaistia terrae</t>
  </si>
  <si>
    <t>Bacteria;Pseudomonadota;Alphaproteobacteria;Acetobacterales;Acetobacteraceae;Neoroseomonas;Neoroseomonas oryzicola;</t>
  </si>
  <si>
    <t>Neoroseomonas oryzicola</t>
  </si>
  <si>
    <t>Bacteria;Actinomycetota;Actinomycetes;Micrococcales;Microbacteriaceae;Rhodoluna;Candidatus Rhodoluna planktonica;</t>
  </si>
  <si>
    <t>Candidatus Rhodoluna planktonica</t>
  </si>
  <si>
    <t>Bacteria;Actinomycetota;Actinomycetes;Micrococcales;Microbacteriaceae;Rhodoluna;Rhodoluna lacicola;</t>
  </si>
  <si>
    <t>Rhodoluna lacicola</t>
  </si>
  <si>
    <t>Bacteria;Pseudomonadota;Gammaproteobacteria;Cellvibrionales;Cellvibrionaceae;Cellvibrio;Cellvibrio sp. OA-2007;</t>
  </si>
  <si>
    <t>Cellvibrio sp. OA-2007</t>
  </si>
  <si>
    <t>Bacteria;Bacillota;Bacilli;Bacillales;Paenibacillaceae;Paenibacillus;Paenibacillus xylanexedens;</t>
  </si>
  <si>
    <t>Paenibacillus xylanexedens</t>
  </si>
  <si>
    <t>Bacteria;Pseudomonadota;Alphaproteobacteria;Hyphomicrobiales;Rhizobiaceae;Neorhizobium;Neorhizobium alkalisoli;</t>
  </si>
  <si>
    <t>Neorhizobium alkalisoli</t>
  </si>
  <si>
    <t>Bacteria;Pseudomonadota;Gammaproteobacteria;Thiotrichales;Thiotrichaceae;Thiothrix;Thiothrix lacustris;</t>
  </si>
  <si>
    <t>Thiotrichaceae</t>
  </si>
  <si>
    <t>Thiothrix</t>
  </si>
  <si>
    <t>Thiothrix lacustris</t>
  </si>
  <si>
    <t>Bacteria;Pseudomonadota;Alphaproteobacteria;Hyphomicrobiales;Phyllobacteriaceae;Nitratireductor;uncultured Nitratireductor sp.;</t>
  </si>
  <si>
    <t>uncultured Nitratireductor sp.</t>
  </si>
  <si>
    <t>Bacteria;Bacillota;Bacilli;Bacillales;Bacillaceae;Robertmurraya;Robertmurraya korlensis;</t>
  </si>
  <si>
    <t>Robertmurraya korlensis</t>
  </si>
  <si>
    <t>Bacteria;Pseudomonadota;Gammaproteobacteria;Lysobacterales;Lysobacteraceae;Stenotrophomonas;Stenotrophomonas chelatiphaga;</t>
  </si>
  <si>
    <t>Stenotrophomonas chelatiphaga</t>
  </si>
  <si>
    <t>Bacteria;Bacillota;Bacilli;Bacillales;Bacillaceae;Pontibacillus;Pontibacillus litoralis;</t>
  </si>
  <si>
    <t>Pontibacillus</t>
  </si>
  <si>
    <t>Pontibacillus litoralis</t>
  </si>
  <si>
    <t>Bacteria;Pseudomonadota;Betaproteobacteria;Burkholderiales;Alcaligenaceae;Pigmentiphaga;Pigmentiphaga litoralis;</t>
  </si>
  <si>
    <t>Pigmentiphaga litoralis</t>
  </si>
  <si>
    <t>Bacteria;Bacillota;Tissierellia;Tissierellales;Thermohalobacteraceae;Sporosalibacterium;Sporosalibacterium faouarense;</t>
  </si>
  <si>
    <t>Sporosalibacterium</t>
  </si>
  <si>
    <t>Sporosalibacterium faouarense</t>
  </si>
  <si>
    <t>Bacteria;Pseudomonadota;Alphaproteobacteria;Hyphomicrobiales;Rhizobiaceae;Neorhizobium;Neorhizobium petrolearium;</t>
  </si>
  <si>
    <t>Neorhizobium petrolearium</t>
  </si>
  <si>
    <t>Bacteria;Pseudomonadota;Betaproteobacteria;Burkholderiales;Sphaerotilaceae;Ideonella;Ideonella azotifigens;</t>
  </si>
  <si>
    <t>Ideonella azotifigens</t>
  </si>
  <si>
    <t>Bacteria;Pseudomonadota;Betaproteobacteria;Burkholderiales;Comamonadaceae;Comamonas;Comamonas guangdongensis;</t>
  </si>
  <si>
    <t>Comamonas guangdongensis</t>
  </si>
  <si>
    <t>Bacteria;Pseudomonadota;Alphaproteobacteria;Hyphomicrobiales;Boseaceae;Bosea;Bosea sp. BIWAKO-01;</t>
  </si>
  <si>
    <t>Bosea sp. BIWAKO-01</t>
  </si>
  <si>
    <t>Bacteria;Pseudomonadota;Alphaproteobacteria;Sphingomonadales;Sphingomonadaceae;Novosphingobium;Novosphingobium acidiphilum;</t>
  </si>
  <si>
    <t>Novosphingobium acidiphilum</t>
  </si>
  <si>
    <t>Bacteria;Actinomycetota;Actinomycetes;Geodermatophilales;Geodermatophilaceae;Geodermatophilus;Geodermatophilus ruber;</t>
  </si>
  <si>
    <t>Geodermatophilus</t>
  </si>
  <si>
    <t>Geodermatophilus ruber</t>
  </si>
  <si>
    <t>Bacteria;Pseudomonadota;Alphaproteobacteria;Acetobacterales;Acetobacteraceae;Rhodovastum;Rhodovastum atsumiense;</t>
  </si>
  <si>
    <t>Rhodovastum</t>
  </si>
  <si>
    <t>Rhodovastum atsumiense</t>
  </si>
  <si>
    <t>Bacteria;Rhodothermota;Rhodothermia;Rhodothermales;Salisaetaceae;Salisaeta;Salisaeta longa;</t>
  </si>
  <si>
    <t>Salisaetaceae</t>
  </si>
  <si>
    <t>Salisaeta</t>
  </si>
  <si>
    <t>Salisaeta longa</t>
  </si>
  <si>
    <t>Bacteria;Bacteroidota;Cytophagia;Cytophagales;Flectobacillaceae;Arcicella;Arcicella rosea;</t>
  </si>
  <si>
    <t>Arcicella rosea</t>
  </si>
  <si>
    <t>Bacteria;Cyanobacteriota;Cyanophyceae;Nostocales;Nostocaceae;Nostoc;Nostoc spongiaeforme;</t>
  </si>
  <si>
    <t>Nostoc spongiaeforme</t>
  </si>
  <si>
    <t>Bacteria;Pseudomonadota;Betaproteobacteria;Burkholderiales;Comamonadaceae;Ramlibacter;Ramlibacter ginsenosidimutans;</t>
  </si>
  <si>
    <t>Ramlibacter ginsenosidimutans</t>
  </si>
  <si>
    <t>Bacteria;Bacteroidota;Sphingobacteriia;Sphingobacteriales;Sphingobacteriaceae;Mucilaginibacter;Mucilaginibacter panaciglaebae;</t>
  </si>
  <si>
    <t>Mucilaginibacter panaciglaebae</t>
  </si>
  <si>
    <t>Bacteria;Bacteroidota;Cytophagia;Cytophagales;Flectobacillaceae;Flectobacillus;Flectobacillus roseus;</t>
  </si>
  <si>
    <t>Flectobacillus roseus</t>
  </si>
  <si>
    <t>Bacteria;Bacteroidota;Flavobacteriia;Flavobacteriales;Crocinitomicaceae;Brumimicrobium;uncultured Brumimicrobium sp.;</t>
  </si>
  <si>
    <t>uncultured Brumimicrobium sp.</t>
  </si>
  <si>
    <t>Bacteria;Pseudomonadota;Gammaproteobacteria;Oceanospirillales;Oceanospirillaceae;Marinobacterium;Marinobacterium maritimum;</t>
  </si>
  <si>
    <t>Marinobacterium maritimum</t>
  </si>
  <si>
    <t>Bacteria;Bacteroidota;Flavobacteriia;Flavobacteriales;Flavobacteriaceae;Flavobacterium;Flavobacterium rivuli;</t>
  </si>
  <si>
    <t>Flavobacterium rivuli</t>
  </si>
  <si>
    <t>Bacteria;Bacteroidota;Sphingobacteriia;Sphingobacteriales;Sphingobacteriaceae;Sphingobacterium;Sphingobacterium anhuiense;</t>
  </si>
  <si>
    <t>Sphingobacterium anhuiense</t>
  </si>
  <si>
    <t>Bacteria;Bacteroidota;Cytophagia;Cytophagales;Spirosomataceae;Dyadobacter;Dyadobacter alkalitolerans;</t>
  </si>
  <si>
    <t>Dyadobacter alkalitolerans</t>
  </si>
  <si>
    <t>Bacteria;Bacillota;Bacilli;Bacillales;Bacillaceae;Bacillus;Bacillus velezensis;</t>
  </si>
  <si>
    <t>Bacillus velezensis</t>
  </si>
  <si>
    <t>Bacteria;Pseudomonadota;Betaproteobacteria;Nitrosomonadales;Methylophilaceae;Methylophilus;Methylophilus rhizosphaerae;</t>
  </si>
  <si>
    <t>Methylophilus rhizosphaerae</t>
  </si>
  <si>
    <t>Bacteria;Pseudomonadota;Gammaproteobacteria;Nevskiales;Nevskiaceae;Hydrocarboniphaga;Hydrocarboniphaga daqingensis;</t>
  </si>
  <si>
    <t>Hydrocarboniphaga daqingensis</t>
  </si>
  <si>
    <t>Bacteria;Pseudomonadota;Alphaproteobacteria;Rhodobacterales;Paracoccaceae;Gemmobacter;Gemmobacter aquaticus;</t>
  </si>
  <si>
    <t>Gemmobacter aquaticus</t>
  </si>
  <si>
    <t>Bacteria;Bacillota;Clostridia;Eubacteriales;Clostridiaceae;Anoxynatronum;Anoxynatronum buryatiense;</t>
  </si>
  <si>
    <t>Anoxynatronum</t>
  </si>
  <si>
    <t>Anoxynatronum buryatiense</t>
  </si>
  <si>
    <t>Bacteria;Pseudomonadota;Alphaproteobacteria;Hyphomicrobiales;Phyllobacteriaceae;Mesorhizobium;Mesorhizobium metallidurans;</t>
  </si>
  <si>
    <t>Mesorhizobium metallidurans</t>
  </si>
  <si>
    <t>Bacteria;Pseudomonadota;Betaproteobacteria;Burkholderiales;Burkholderiaceae;Burkholderia;Burkholderia diffusa;</t>
  </si>
  <si>
    <t>Burkholderia diffusa</t>
  </si>
  <si>
    <t>Bacteria;Pseudomonadota;Alphaproteobacteria;Rhodobacterales;Paracoccaceae;Gemmobacter;Gemmobacter nanjingensis;</t>
  </si>
  <si>
    <t>Gemmobacter nanjingensis</t>
  </si>
  <si>
    <t>Bacteria;Pseudomonadota;Betaproteobacteria;Burkholderiales;Burkholderiaceae;Burkholderia;Burkholderia latens;</t>
  </si>
  <si>
    <t>Burkholderia latens</t>
  </si>
  <si>
    <t>Bacteria;Actinomycetota;Actinomycetes;Mycobacteriales;Mycobacteriaceae;Mycobacterium;Mycobacterium kyorinense;</t>
  </si>
  <si>
    <t>Mycobacterium kyorinense</t>
  </si>
  <si>
    <t>Bacteria;Pseudomonadota;Alphaproteobacteria;Hyphomicrobiales;Rhizobiaceae;Allorhizobium;Allorhizobium borbori;</t>
  </si>
  <si>
    <t>Allorhizobium borbori</t>
  </si>
  <si>
    <t>Bacteria;Pseudomonadota;Alphaproteobacteria;Acetobacterales;Roseomonadaceae;Falsiroseomonas;Falsiroseomonas stagni;</t>
  </si>
  <si>
    <t>Falsiroseomonas stagni</t>
  </si>
  <si>
    <t>Bacteria;Bacillota;Negativicutes;Selenomonadales;Sporomusaceae;Pelosinus;Pelosinus sp. UFO1;</t>
  </si>
  <si>
    <t>Pelosinus sp. UFO1</t>
  </si>
  <si>
    <t>Bacteria;Pseudomonadota;Alphaproteobacteria;Hyphomicrobiales;Rhizobiaceae;Rhizobium;Rhizobium tubonense;</t>
  </si>
  <si>
    <t>Rhizobium tubonense</t>
  </si>
  <si>
    <t>Bacteria;Pseudomonadota;Gammaproteobacteria;Pseudomonadales;Pseudomonadaceae;Pseudomonas;Pseudomonas sp. H9;</t>
  </si>
  <si>
    <t>Pseudomonas sp. H9</t>
  </si>
  <si>
    <t>Bacteria;Pseudomonadota;Alphaproteobacteria;Hyphomicrobiales;Phyllobacteriaceae;Mesorhizobium;Mesorhizobium caraganae;</t>
  </si>
  <si>
    <t>Mesorhizobium caraganae</t>
  </si>
  <si>
    <t>Bacteria;Actinomycetota;Actinomycetes;Micrococcales;Microbacteriaceae;Microbacterium;Microbacterium insulae;</t>
  </si>
  <si>
    <t>Microbacterium insulae</t>
  </si>
  <si>
    <t>Bacteria;Pseudomonadota;Betaproteobacteria;Burkholderiales;Burkholderiaceae;Burkholderia;Burkholderia lata;</t>
  </si>
  <si>
    <t>Burkholderia lata</t>
  </si>
  <si>
    <t>Bacteria;Cyanobacteriota;Cyanophyceae;Nostocales;Tolypothrichaceae;Hassallia;Hassallia byssoidea;</t>
  </si>
  <si>
    <t>Hassallia</t>
  </si>
  <si>
    <t>Hassallia byssoidea</t>
  </si>
  <si>
    <t>Bacteria;Cyanobacteriota;Cyanophyceae;Oscillatoriales;Oscillatoriaceae;Oscillatoria;Oscillatoria nigro-viridis;</t>
  </si>
  <si>
    <t>Oscillatoria nigro-viridis</t>
  </si>
  <si>
    <t>Bacteria;Bacillota;Bacilli;Bacillales;Paenibacillaceae;Paenibacillus;Paenibacillus sp. Y412MC10;</t>
  </si>
  <si>
    <t>Paenibacillus sp. Y412MC10</t>
  </si>
  <si>
    <t>Bacteria;Bacteroidota;Flavobacteriia;Flavobacteriales;Flavobacteriaceae;Pseudotamlana;Pseudotamlana agarivorans;</t>
  </si>
  <si>
    <t>Pseudotamlana</t>
  </si>
  <si>
    <t>Pseudotamlana agarivorans</t>
  </si>
  <si>
    <t>Bacteria;Pseudomonadota;Alphaproteobacteria;Rhodobacterales;Roseobacteraceae;Seohaeicola;Seohaeicola saemankumensis;</t>
  </si>
  <si>
    <t>Seohaeicola</t>
  </si>
  <si>
    <t>Seohaeicola saemankumensis</t>
  </si>
  <si>
    <t>Bacteria;Pseudomonadota;Alphaproteobacteria;Micropepsales;Micropepsaceae;Rhizomicrobium;Rhizomicrobium electricum;</t>
  </si>
  <si>
    <t>Micropepsales</t>
  </si>
  <si>
    <t>Micropepsaceae</t>
  </si>
  <si>
    <t>Rhizomicrobium</t>
  </si>
  <si>
    <t>Rhizomicrobium electricum</t>
  </si>
  <si>
    <t>Bacteria;Bacteroidota;Flavobacteriia;Flavobacteriales;Crocinitomicaceae;Lishizhenia;Lishizhenia tianjinensis;</t>
  </si>
  <si>
    <t>Lishizhenia tianjinensis</t>
  </si>
  <si>
    <t>Bacteria;Pseudomonadota;Gammaproteobacteria;Lysobacterales;Lysobacteraceae;Stenotrophomonas;Stenotrophomonas sp. SY1;</t>
  </si>
  <si>
    <t>Stenotrophomonas sp. SY1</t>
  </si>
  <si>
    <t>Bacteria;Actinomycetota;Actinomycetes;Micrococcales;Microbacteriaceae;Leifsonia;Leifsonia kafniensis;</t>
  </si>
  <si>
    <t>Leifsonia kafniensis</t>
  </si>
  <si>
    <t>Bacteria;Pseudomonadota;Alphaproteobacteria;Hyphomicrobiales;Nitrobacteraceae;Rhodopseudomonas;Rhodopseudomonas boonkerdii;</t>
  </si>
  <si>
    <t>Rhodopseudomonas boonkerdii</t>
  </si>
  <si>
    <t>Bacteria;Bacteroidota;Sphingobacteriia;Sphingobacteriales;Sphingobacteriaceae;Pedobacter;Pedobacter nyackensis;</t>
  </si>
  <si>
    <t>Pedobacter nyackensis</t>
  </si>
  <si>
    <t>Bacteria;Bacteroidota;Sphingobacteriia;Sphingobacteriales;Sphingobacteriaceae;Pedobacter;Pedobacter borealis;</t>
  </si>
  <si>
    <t>Pedobacter borealis</t>
  </si>
  <si>
    <t>Bacteria;Bacteroidota;Sphingobacteriia;Sphingobacteriales;Sphingobacteriaceae;Pedobacter;Pedobacter alluvionis;</t>
  </si>
  <si>
    <t>Pedobacter alluvionis</t>
  </si>
  <si>
    <t>Bacteria;Pseudomonadota;Alphaproteobacteria;Hyphomicrobiales;Phyllobacteriaceae;Mesorhizobium;Mesorhizobium camelthorni;</t>
  </si>
  <si>
    <t>Mesorhizobium camelthorni</t>
  </si>
  <si>
    <t>Bacteria;Pseudomonadota;Betaproteobacteria;Burkholderiales;Sphaerotilaceae;Sphaerotilus;uncultured Sphaerotilus sp.;</t>
  </si>
  <si>
    <t>uncultured Sphaerotilus sp.</t>
  </si>
  <si>
    <t>Bacteria;Bacillota;Bacilli;Bacillales;Paenibacillaceae;Paenibacillus;Paenibacillus castaneae;</t>
  </si>
  <si>
    <t>Paenibacillus castaneae</t>
  </si>
  <si>
    <t>Bacteria;Mycoplasmatota;Mollicutes;Haloplasmatales;Haloplasmataceae;Haloplasma;Haloplasma contractile;</t>
  </si>
  <si>
    <t>Mycoplasmatota</t>
  </si>
  <si>
    <t>Mollicutes</t>
  </si>
  <si>
    <t>Haloplasmatales</t>
  </si>
  <si>
    <t>Haloplasmataceae</t>
  </si>
  <si>
    <t>Haloplasma</t>
  </si>
  <si>
    <t>Haloplasma contractile</t>
  </si>
  <si>
    <t>Bacteria;Pseudomonadota;Gammaproteobacteria;Enterobacterales;Erwiniaceae;Pantoea;Pantoea vagans;</t>
  </si>
  <si>
    <t>Pantoea vagans</t>
  </si>
  <si>
    <t>Bacteria;Pseudomonadota;Betaproteobacteria;Burkholderiales;Comamonadaceae;Delftia;Delftia sp. JD2;</t>
  </si>
  <si>
    <t>Delftia sp. JD2</t>
  </si>
  <si>
    <t>Bacteria;Pseudomonadota;Alphaproteobacteria;Hyphomicrobiales;Phyllobacteriaceae;Aquamicrobium;Aquamicrobium segne;</t>
  </si>
  <si>
    <t>Aquamicrobium segne</t>
  </si>
  <si>
    <t>Bacteria;Bacteroidota;Sphingobacteriia;Sphingobacteriales;Sphingobacteriaceae;Mucilaginibacter;Mucilaginibacter oryzae;</t>
  </si>
  <si>
    <t>Mucilaginibacter oryzae</t>
  </si>
  <si>
    <t>Bacteria;Actinomycetota;Acidimicrobiia;Acidimicrobiales;Iamiaceae;Iamia;Iamia majanohamensis;</t>
  </si>
  <si>
    <t>Iamia majanohamensis</t>
  </si>
  <si>
    <t>Bacteria;Bacteroidota;Flavobacteriia;Flavobacteriales;Crocinitomicaceae;Fluviicola;uncultured Fluviicola sp.;</t>
  </si>
  <si>
    <t>uncultured Fluviicola sp.</t>
  </si>
  <si>
    <t>Bacteria;Pseudomonadota;Alphaproteobacteria;Sphingomonadales;Sphingomonadaceae;Stakelama;Stakelama sediminis;</t>
  </si>
  <si>
    <t>Stakelama</t>
  </si>
  <si>
    <t>Stakelama sediminis</t>
  </si>
  <si>
    <t>Bacteria;Pseudomonadota;Betaproteobacteria;Burkholderiales;Alcaligenaceae;Bordetella;Bordetella genomosp. 4;</t>
  </si>
  <si>
    <t>Bordetella genomosp. 4</t>
  </si>
  <si>
    <t>Bacteria;Pseudomonadota;Betaproteobacteria;Burkholderiales;Alcaligenaceae;Bordetella;Bordetella genomosp. 13;</t>
  </si>
  <si>
    <t>Bordetella genomosp. 13</t>
  </si>
  <si>
    <t>Bacteria;Pseudomonadota;Betaproteobacteria;Burkholderiales;Alcaligenaceae;Bordetella;Bordetella genomosp. 12;</t>
  </si>
  <si>
    <t>Bordetella genomosp. 12</t>
  </si>
  <si>
    <t>Bacteria;Pseudomonadota;Gammaproteobacteria;Vibrionales;Vibrionaceae;Vibrio;Vibrio hangzhouensis;</t>
  </si>
  <si>
    <t>Vibrio hangzhouensis</t>
  </si>
  <si>
    <t>Bacteria;Pseudomonadota;Alphaproteobacteria;Sphingomonadales;Sphingomonadaceae;Novosphingobium;Novosphingobium indicum;</t>
  </si>
  <si>
    <t>Novosphingobium indicum</t>
  </si>
  <si>
    <t>Bacteria;Bacillota;Bacilli;Bacillales;Bacillaceae;Pontibacillus;Pontibacillus yanchengensis;</t>
  </si>
  <si>
    <t>Pontibacillus yanchengensis</t>
  </si>
  <si>
    <t>Bacteria;Actinomycetota;Actinomycetes;Micrococcales;Microbacteriaceae;Microbacterium;Microbacterium binotii;</t>
  </si>
  <si>
    <t>Microbacterium binotii</t>
  </si>
  <si>
    <t>Bacteria;Bacillota;Clostridia;Peptostreptococcales;Natronincolaceae;Alkaliphilus;Alkaliphilus oremlandii;</t>
  </si>
  <si>
    <t>Alkaliphilus oremlandii</t>
  </si>
  <si>
    <t>Bacteria;Actinomycetota;Actinomycetes;Actinomycetales;Actinomycetaceae;Actinomyces;Actinomyces massiliensis;</t>
  </si>
  <si>
    <t>Actinomycetales</t>
  </si>
  <si>
    <t>Actinomycetaceae</t>
  </si>
  <si>
    <t>Actinomyces</t>
  </si>
  <si>
    <t>Actinomyces massiliensis</t>
  </si>
  <si>
    <t>Bacteria;Bacteroidota;Sphingobacteriia;Sphingobacteriales;Sphingobacteriaceae;Sphingobacterium;Sphingobacterium siyangense;</t>
  </si>
  <si>
    <t>Sphingobacterium siyangense</t>
  </si>
  <si>
    <t>Bacteria;Bacteroidota;Flavobacteriia;Flavobacteriales;Flavobacteriaceae;Flavobacterium;Flavobacterium anhuiense;</t>
  </si>
  <si>
    <t>Flavobacterium anhuiense</t>
  </si>
  <si>
    <t>Bacteria;Actinomycetota;Actinomycetes;Micrococcales;Microbacteriaceae;Salinibacterium;uncultured Salinibacterium sp.;</t>
  </si>
  <si>
    <t>uncultured Salinibacterium sp.</t>
  </si>
  <si>
    <t>Bacteria;Pseudomonadota;Betaproteobacteria;Burkholderiales;Burkholderiaceae;Paraburkholderia;Paraburkholderia sediminicola;</t>
  </si>
  <si>
    <t>Paraburkholderia sediminicola</t>
  </si>
  <si>
    <t>Bacteria;Pseudomonadota;Betaproteobacteria;Burkholderiales;Comamonadaceae;Polaromonas;Polaromonas jejuensis;</t>
  </si>
  <si>
    <t>Polaromonas jejuensis</t>
  </si>
  <si>
    <t>Bacteria;Candidatus Cloacimonadota;Candidatus Cloacimonadia;Candidatus Cloacimonadales;Candidatus Cloacimonadaceae;Candidatus Cloacimonas;Candidatus Cloacimonas acidaminovorans;</t>
  </si>
  <si>
    <t>Candidatus Cloacimonadota</t>
  </si>
  <si>
    <t>Candidatus Cloacimonadia</t>
  </si>
  <si>
    <t>Candidatus Cloacimonadales</t>
  </si>
  <si>
    <t>Candidatus Cloacimonadaceae</t>
  </si>
  <si>
    <t>Candidatus Cloacimonas</t>
  </si>
  <si>
    <t>Candidatus Cloacimonas acidaminovorans</t>
  </si>
  <si>
    <t>Bacteria;Pseudomonadota;Gammaproteobacteria;Lysobacterales;Lysobacteraceae;Xanthomonas;Xanthomonas euvesicatoria;</t>
  </si>
  <si>
    <t>Xanthomonas euvesicatoria</t>
  </si>
  <si>
    <t>Bacteria;Pseudomonadota;Alphaproteobacteria;Rhodobacterales;Roseobacteraceae;Tateyamaria;uncultured Tateyamaria sp.;</t>
  </si>
  <si>
    <t>Tateyamaria</t>
  </si>
  <si>
    <t>uncultured Tateyamaria sp.</t>
  </si>
  <si>
    <t>Bacteria;Pseudomonadota;Alphaproteobacteria;Acetobacterales;Roseomonadaceae;Roseococcus;Roseococcus suduntuyensis;</t>
  </si>
  <si>
    <t>Roseococcus suduntuyensis</t>
  </si>
  <si>
    <t>Bacteria;Bacteroidota;Sphingobacteriia;Sphingobacteriales;Sphingobacteriaceae;Pedobacter;Pedobacter agri;</t>
  </si>
  <si>
    <t>Pedobacter agri</t>
  </si>
  <si>
    <t>Bacteria;Verrucomicrobiota;Verrucomicrobiia;Verrucomicrobiales;Verrucomicrobiaceae;Luteolibacter;Luteolibacter pohnpeiensis;</t>
  </si>
  <si>
    <t>Luteolibacter pohnpeiensis</t>
  </si>
  <si>
    <t>Bacteria;Verrucomicrobiota;Verrucomicrobiia;Verrucomicrobiales;Verrucomicrobiaceae;Roseibacillus;Roseibacillus persicicus;</t>
  </si>
  <si>
    <t>Roseibacillus</t>
  </si>
  <si>
    <t>Roseibacillus persicicus</t>
  </si>
  <si>
    <t>Bacteria;Bacteroidota;Flavobacteriia;Flavobacteriales;Weeksellaceae;Epilithonimonas;Epilithonimonas hungarica;</t>
  </si>
  <si>
    <t>Epilithonimonas hungarica</t>
  </si>
  <si>
    <t>Bacteria;Pseudomonadota;Gammaproteobacteria;Lysobacterales;Lysobacteraceae;Luteimonas;Luteimonas aestuarii;</t>
  </si>
  <si>
    <t>Luteimonas aestuarii</t>
  </si>
  <si>
    <t>Bacteria;Bdellovibrionota;Bdellovibrionia;Bdellovibrionales;Pseudobdellovibrionaceae;Pseudobdellovibrio;Pseudobdellovibrio exovorus;</t>
  </si>
  <si>
    <t>Pseudobdellovibrio exovorus</t>
  </si>
  <si>
    <t>Bacteria;Pseudomonadota;Betaproteobacteria;Burkholderiales;NA;Tepidimonas;uncultured Tepidimonas sp.;</t>
  </si>
  <si>
    <t>uncultured Tepidimonas sp.</t>
  </si>
  <si>
    <t>Bacteria;Pseudomonadota;Betaproteobacteria;Burkholderiales;Alcaligenaceae;Allopusillimonas;Allopusillimonas ginsengisoli;</t>
  </si>
  <si>
    <t>Allopusillimonas</t>
  </si>
  <si>
    <t>Allopusillimonas ginsengisoli</t>
  </si>
  <si>
    <t>Bacteria;Pseudomonadota;Alphaproteobacteria;Sphingomonadales;Sphingomonadaceae;Sphingomonas;Sphingomonas sp. TDK1;</t>
  </si>
  <si>
    <t>Sphingomonas sp. TDK1</t>
  </si>
  <si>
    <t>Bacteria;Pseudomonadota;Betaproteobacteria;Burkholderiales;Sphaerotilaceae;Roseateles;uncultured Roseateles sp.;</t>
  </si>
  <si>
    <t>uncultured Roseateles sp.</t>
  </si>
  <si>
    <t>Bacteria;Bacteroidota;Flavobacteriia;Flavobacteriales;Weeksellaceae;Chryseobacterium;Chryseobacterium aquaticum;</t>
  </si>
  <si>
    <t>Chryseobacterium aquaticum</t>
  </si>
  <si>
    <t>Bacteria;Pseudomonadota;Alphaproteobacteria;Hyphomicrobiales;Rhizobiaceae;Rhizobium;Rhizobium rhizoryzae;</t>
  </si>
  <si>
    <t>Rhizobium rhizoryzae</t>
  </si>
  <si>
    <t>Bacteria;Pseudomonadota;Alphaproteobacteria;Sphingomonadales;Erythrobacteraceae;Croceicoccus;Croceicoccus marinus;</t>
  </si>
  <si>
    <t>Croceicoccus</t>
  </si>
  <si>
    <t>Croceicoccus marinus</t>
  </si>
  <si>
    <t>Bacteria;Pseudomonadota;Betaproteobacteria;Burkholderiales;NA;Aquabacterium;Aquabacterium fontiphilum;</t>
  </si>
  <si>
    <t>Aquabacterium fontiphilum</t>
  </si>
  <si>
    <t>Bacteria;Bacillota;Bacilli;Bacillales;Paenibacillaceae;Paenibacillus;Paenibacillus contaminans;</t>
  </si>
  <si>
    <t>Paenibacillus contaminans</t>
  </si>
  <si>
    <t>Bacteria;Actinomycetota;Actinomycetes;Propionibacteriales;Nocardioidaceae;Nocardioides;Nocardioides humi;</t>
  </si>
  <si>
    <t>Nocardioides humi</t>
  </si>
  <si>
    <t>Bacteria;Bacillota;Bacilli;Bacillales;Bacillaceae;Lentibacillus;Lentibacillus salinarum;</t>
  </si>
  <si>
    <t>Lentibacillus salinarum</t>
  </si>
  <si>
    <t>Bacteria;Actinomycetota;Actinomycetes;Propionibacteriales;Propionibacteriaceae;Microlunatus;Microlunatus aurantiacus;</t>
  </si>
  <si>
    <t>Microlunatus aurantiacus</t>
  </si>
  <si>
    <t>Bacteria;Pseudomonadota;Alphaproteobacteria;Hyphomicrobiales;Kaistiaceae;Kaistia;Kaistia soli;</t>
  </si>
  <si>
    <t>Kaistia soli</t>
  </si>
  <si>
    <t>Bacteria;Actinomycetota;Actinomycetes;Micrococcales;Microbacteriaceae;Microbacterium;Microbacterium soli;</t>
  </si>
  <si>
    <t>Microbacterium soli</t>
  </si>
  <si>
    <t>Bacteria;Bacteroidota;Flavobacteriia;Flavobacteriales;Weeksellaceae;Chryseobacterium;Chryseobacterium soli;</t>
  </si>
  <si>
    <t>Chryseobacterium soli</t>
  </si>
  <si>
    <t>Bacteria;Bacteroidota;Flavobacteriia;Flavobacteriales;Weeksellaceae;Chryseobacterium;Chryseobacterium jejuense;</t>
  </si>
  <si>
    <t>Chryseobacterium jejuense</t>
  </si>
  <si>
    <t>Bacteria;Pseudomonadota;Alphaproteobacteria;Hyphomicrobiales;Reyranellaceae;Reyranella;Reyranella massiliensis;</t>
  </si>
  <si>
    <t>Reyranella massiliensis</t>
  </si>
  <si>
    <t>Bacteria;Actinomycetota;Actinomycetes;Micrococcales;Microbacteriaceae;Gryllotalpicola;Gryllotalpicola ginsengisoli;</t>
  </si>
  <si>
    <t>Gryllotalpicola ginsengisoli</t>
  </si>
  <si>
    <t>Bacteria;Bacillota;Bacilli;Bacillales;Sporolactobacillaceae;Sporolactobacillus;Sporolactobacillus vineae;</t>
  </si>
  <si>
    <t>Sporolactobacillus vineae</t>
  </si>
  <si>
    <t>Bacteria;Pseudomonadota;Gammaproteobacteria;Chromatiales;Chromatiaceae;Rheinheimera;Rheinheimera soli;</t>
  </si>
  <si>
    <t>Rheinheimera soli</t>
  </si>
  <si>
    <t>Bacteria;Bacteroidota;Flavobacteriia;Flavobacteriales;Flavobacteriaceae;Flavobacterium;Flavobacterium resistens;</t>
  </si>
  <si>
    <t>Flavobacterium resistens</t>
  </si>
  <si>
    <t>Bacteria;Actinomycetota;Actinomycetes;Propionibacteriales;Nocardioidaceae;Nocardioides;Nocardioides hankookensis;</t>
  </si>
  <si>
    <t>Nocardioides hankookensis</t>
  </si>
  <si>
    <t>Bacteria;Acidobacteriota;Holophagae;Acanthopleuribacterales;Acanthopleuribacteraceae;Acanthopleuribacter;Acanthopleuribacter pedis;</t>
  </si>
  <si>
    <t>Acanthopleuribacter</t>
  </si>
  <si>
    <t>Acanthopleuribacter pedis</t>
  </si>
  <si>
    <t>Bacteria;Pseudomonadota;Gammaproteobacteria;Lysobacterales;Lysobacteraceae;Xanthomonas;Xanthomonas perforans;</t>
  </si>
  <si>
    <t>Xanthomonas perforans</t>
  </si>
  <si>
    <t>Bacteria;Pseudomonadota;Alphaproteobacteria;Hyphomicrobiales;Pleomorphomonadaceae;Pleomorphomonas;uncultured Pleomorphomonas sp.;</t>
  </si>
  <si>
    <t>uncultured Pleomorphomonas sp.</t>
  </si>
  <si>
    <t>Bacteria;Pseudomonadota;Alphaproteobacteria;Hyphomicrobiales;Nitrobacteraceae;Bradyrhizobium;Bradyrhizobium iriomotense;</t>
  </si>
  <si>
    <t>Bradyrhizobium iriomotense</t>
  </si>
  <si>
    <t>Bacteria;Bacteroidota;Flavobacteriia;Flavobacteriales;Flavobacteriaceae;Arenibacter;Arenibacter echinorum;</t>
  </si>
  <si>
    <t>Arenibacter</t>
  </si>
  <si>
    <t>Arenibacter echinorum</t>
  </si>
  <si>
    <t>Bacteria;Pseudomonadota;Gammaproteobacteria;Aeromonadales;Aeromonadaceae;Aeromonas;Aeromonas bivalvium;</t>
  </si>
  <si>
    <t>Aeromonas bivalvium</t>
  </si>
  <si>
    <t>Bacteria;Pseudomonadota;Betaproteobacteria;Burkholderiales;Comamonadaceae;Hydrogenophaga;Hydrogenophaga bisanensis;</t>
  </si>
  <si>
    <t>Hydrogenophaga bisanensis</t>
  </si>
  <si>
    <t>Bacteria;Pseudomonadota;Alphaproteobacteria;Rhodobacterales;Paracoccaceae;Cereibacter;Cereibacter ovatus;</t>
  </si>
  <si>
    <t>Cereibacter</t>
  </si>
  <si>
    <t>Cereibacter ovatus</t>
  </si>
  <si>
    <t>Bacteria;Pseudomonadota;Alphaproteobacteria;Sphingomonadales;Sphingomonadaceae;Rhizorhabdus;Rhizorhabdus histidinilytica;</t>
  </si>
  <si>
    <t>Rhizorhabdus histidinilytica</t>
  </si>
  <si>
    <t>Bacteria;Pseudomonadota;Betaproteobacteria;Burkholderiales;Sutterellaceae;Sutterella;Sutterella parvirubra;</t>
  </si>
  <si>
    <t>Sutterellaceae</t>
  </si>
  <si>
    <t>Sutterella</t>
  </si>
  <si>
    <t>Sutterella parvirubra</t>
  </si>
  <si>
    <t>Bacteria;Pseudomonadota;Betaproteobacteria;Burkholderiales;Comamonadaceae;Variovorax;Variovorax boronicumulans;</t>
  </si>
  <si>
    <t>Variovorax boronicumulans</t>
  </si>
  <si>
    <t>Bacteria;Pseudomonadota;Gammaproteobacteria;Lysobacterales;Lysobacteraceae;Lysobacter;Lysobacter capsici;</t>
  </si>
  <si>
    <t>Lysobacter capsici</t>
  </si>
  <si>
    <t>Bacteria;Pseudomonadota;Betaproteobacteria;Burkholderiales;Comamonadaceae;Variovorax;Variovorax sp. PBL-E5;</t>
  </si>
  <si>
    <t>Variovorax sp. PBL-E5</t>
  </si>
  <si>
    <t>Bacteria;Pseudomonadota;Betaproteobacteria;Burkholderiales;Comamonadaceae;Hydrogenophaga;Hydrogenophaga sp. PBL-H3;</t>
  </si>
  <si>
    <t>Hydrogenophaga sp. PBL-H3</t>
  </si>
  <si>
    <t>Bacteria;Pseudomonadota;Betaproteobacteria;Burkholderiales;Comamonadaceae;Variovorax;Variovorax sp. PBL-H6;</t>
  </si>
  <si>
    <t>Variovorax sp. PBL-H6</t>
  </si>
  <si>
    <t>Bacteria;Pseudomonadota;Betaproteobacteria;Burkholderiales;Comamonadaceae;Variovorax;Variovorax sp. PBS-H4;</t>
  </si>
  <si>
    <t>Variovorax sp. PBS-H4</t>
  </si>
  <si>
    <t>Bacteria;Pseudomonadota;Betaproteobacteria;Burkholderiales;Comamonadaceae;Pseudacidovorax;Pseudacidovorax intermedius;</t>
  </si>
  <si>
    <t>Pseudacidovorax intermedius</t>
  </si>
  <si>
    <t>Bacteria;Pseudomonadota;Alphaproteobacteria;Hyphomicrobiales;Segnochrobactraceae;Pseudoxanthobacter;Pseudoxanthobacter soli;</t>
  </si>
  <si>
    <t>Pseudoxanthobacter soli</t>
  </si>
  <si>
    <t>Bacteria;Actinomycetota;Actinomycetes;Propionibacteriales;Nocardioidaceae;Nocardioides;Nocardioides halotolerans;</t>
  </si>
  <si>
    <t>Nocardioides halotolerans</t>
  </si>
  <si>
    <t>Bacteria;Actinomycetota;Actinomycetes;Propionibacteriales;Nocardioidaceae;Nocardioides;Nocardioides koreensis;</t>
  </si>
  <si>
    <t>Nocardioides koreensis</t>
  </si>
  <si>
    <t>Bacteria;Actinomycetota;Actinomycetes;Micrococcales;Microbacteriaceae;Terrimesophilobacter;Terrimesophilobacter mesophilus;</t>
  </si>
  <si>
    <t>Terrimesophilobacter mesophilus</t>
  </si>
  <si>
    <t>Bacteria;Actinomycetota;Actinomycetes;Micrococcales;Microbacteriaceae;Leifsonia;Leifsonia bigeumensis;</t>
  </si>
  <si>
    <t>Leifsonia bigeumensis</t>
  </si>
  <si>
    <t>Bacteria;Actinomycetota;Actinomycetes;Micrococcales;Microbacteriaceae;Pseudolysinimonas;Pseudolysinimonas kribbensis;</t>
  </si>
  <si>
    <t>Pseudolysinimonas kribbensis</t>
  </si>
  <si>
    <t>Bacteria;Pseudomonadota;Alphaproteobacteria;Sphingomonadales;Sphingomonadaceae;Sphingobium;Sphingobium rhizovicinum;</t>
  </si>
  <si>
    <t>Sphingobium rhizovicinum</t>
  </si>
  <si>
    <t>Bacteria;Bacillota;Bacilli;Bacillales;Paenibacillaceae;Paenibacillus;Paenibacillus ginsengihumi;</t>
  </si>
  <si>
    <t>Paenibacillus ginsengihumi</t>
  </si>
  <si>
    <t>Bacteria;Cyanobacteriota;Cyanophyceae;Synechococcales;Synechococcaceae;Synechococcus;Candidatus Synechococcus spongiarum;</t>
  </si>
  <si>
    <t>Synechococcaceae</t>
  </si>
  <si>
    <t>Synechococcus</t>
  </si>
  <si>
    <t>Candidatus Synechococcus spongiarum</t>
  </si>
  <si>
    <t>Bacteria;Verrucomicrobiota;Verrucomicrobiia;Verrucomicrobiales;Rubritaleaceae;Rubritalea;Rubritalea spongiae;</t>
  </si>
  <si>
    <t>Rubritaleaceae</t>
  </si>
  <si>
    <t>Rubritalea</t>
  </si>
  <si>
    <t>Rubritalea spongiae</t>
  </si>
  <si>
    <t>Bacteria;Bacteroidota;Sphingobacteriia;Sphingobacteriales;Sphingobacteriaceae;Pedobacter;Pedobacter steynii;</t>
  </si>
  <si>
    <t>Pedobacter steynii</t>
  </si>
  <si>
    <t>Bacteria;Pseudomonadota;Alphaproteobacteria;Acetobacterales;Roseomonadaceae;Falsiroseomonas;Falsiroseomonas tokyonensis;</t>
  </si>
  <si>
    <t>Falsiroseomonas tokyonensis</t>
  </si>
  <si>
    <t>Bacteria;Pseudomonadota;Alphaproteobacteria;Hyphomicrobiales;Devosiaceae;Devosia;Devosia albogilva;</t>
  </si>
  <si>
    <t>Devosia albogilva</t>
  </si>
  <si>
    <t>Bacteria;Pseudomonadota;Alphaproteobacteria;Sphingomonadales;Sphingomonadaceae;Novosphingobium;Novosphingobium panipatense;</t>
  </si>
  <si>
    <t>Novosphingobium panipatense</t>
  </si>
  <si>
    <t>Bacteria;Bacillota;Dethiobacteria;Dethiobacterales;Dethiobacteraceae;Dethiobacter;Dethiobacter alkaliphilus;</t>
  </si>
  <si>
    <t>Dethiobacteria</t>
  </si>
  <si>
    <t>Dethiobacterales</t>
  </si>
  <si>
    <t>Dethiobacteraceae</t>
  </si>
  <si>
    <t>Dethiobacter</t>
  </si>
  <si>
    <t>Dethiobacter alkaliphilus</t>
  </si>
  <si>
    <t>Bacteria;Pseudomonadota;Betaproteobacteria;Rhodocyclales;Rhodocyclaceae;Propionivibrio;uncultured Propionivibrio sp.;</t>
  </si>
  <si>
    <t>uncultured Propionivibrio sp.</t>
  </si>
  <si>
    <t>Bacteria;Bacteroidota;Flavobacteriia;Flavobacteriales;Flavobacteriaceae;Flavobacterium;Flavobacterium subsaxonicum;</t>
  </si>
  <si>
    <t>Flavobacterium subsaxonicum</t>
  </si>
  <si>
    <t>Bacteria;Bacillota;Clostridia;Peptostreptococcales;Natronincolaceae;Alkaliphilus;Alkaliphilus peptidifermentans;</t>
  </si>
  <si>
    <t>Alkaliphilus peptidifermentans</t>
  </si>
  <si>
    <t>Bacteria;Bacillota;Clostridia;Peptostreptococcales;Natronincolaceae;Natronincola;Natronincola peptidivorans;</t>
  </si>
  <si>
    <t>Natronincola</t>
  </si>
  <si>
    <t>Natronincola peptidivorans</t>
  </si>
  <si>
    <t>Bacteria;Pseudomonadota;Betaproteobacteria;Burkholderiales;NA;Thiomonas;Thiomonas arsenitoxydans;</t>
  </si>
  <si>
    <t>Thiomonas arsenitoxydans</t>
  </si>
  <si>
    <t>Bacteria;Pseudomonadota;Alphaproteobacteria;Hyphomicrobiales;Xanthobacteraceae;Labrys;Labrys wisconsinensis;</t>
  </si>
  <si>
    <t>Labrys</t>
  </si>
  <si>
    <t>Labrys wisconsinensis</t>
  </si>
  <si>
    <t>Bacteria;Bacteroidota;Sphingobacteriia;Sphingobacteriales;Sphingobacteriaceae;Pedobacter;Pedobacter hartonius;</t>
  </si>
  <si>
    <t>Pedobacter hartonius</t>
  </si>
  <si>
    <t>Bacteria;Bacteroidota;Sphingobacteriia;Sphingobacteriales;Sphingobacteriaceae;Pedobacter;Pedobacter metabolipauper;</t>
  </si>
  <si>
    <t>Pedobacter metabolipauper</t>
  </si>
  <si>
    <t>Bacteria;Bacteroidota;Sphingobacteriia;Sphingobacteriales;Sphingobacteriaceae;Pedobacter;Pedobacter westerhofensis;</t>
  </si>
  <si>
    <t>Pedobacter westerhofensis</t>
  </si>
  <si>
    <t>Bacteria;Bacteroidota;Sphingobacteriia;Sphingobacteriales;Sphingobacteriaceae;Pedobacter;Pedobacter duraquae;</t>
  </si>
  <si>
    <t>Pedobacter duraquae</t>
  </si>
  <si>
    <t>Bacteria;Bacillota;Clostridia;Lachnospirales;Cellulosilyticaceae;Cellulosilyticum;Cellulosilyticum ruminicola;</t>
  </si>
  <si>
    <t>Cellulosilyticum ruminicola</t>
  </si>
  <si>
    <t>Bacteria;Bacillota;Bacilli;Bacillales;Paenibacillaceae;Cohnella;Cohnella soli;</t>
  </si>
  <si>
    <t>Cohnella soli</t>
  </si>
  <si>
    <t>Bacteria;Pseudomonadota;Alphaproteobacteria;Acetobacterales;Acetobacteraceae;Neoroseomonas;Neoroseomonas terrae;</t>
  </si>
  <si>
    <t>Neoroseomonas terrae</t>
  </si>
  <si>
    <t>Bacteria;Pseudomonadota;Alphaproteobacteria;Caulobacterales;Caulobacteraceae;Brevundimonas;Brevundimonas lenta;</t>
  </si>
  <si>
    <t>Brevundimonas lenta</t>
  </si>
  <si>
    <t>Bacteria;Actinomycetota;Actinomycetes;Micrococcales;Microbacteriaceae;Microcella;Microcella frigidaquae;</t>
  </si>
  <si>
    <t>Microcella frigidaquae</t>
  </si>
  <si>
    <t>Bacteria;Pseudomonadota;Alphaproteobacteria;Acetobacterales;Roseomonadaceae;Roseomonas;Roseomonas vinacea;</t>
  </si>
  <si>
    <t>Roseomonas vinacea</t>
  </si>
  <si>
    <t>Bacteria;Bacteroidota;Sphingobacteriia;Sphingobacteriales;Sphingobacteriaceae;Mucilaginibacter;Mucilaginibacter paludis;</t>
  </si>
  <si>
    <t>Mucilaginibacter paludis</t>
  </si>
  <si>
    <t>Bacteria;Bacteroidota;Sphingobacteriia;Sphingobacteriales;Sphingobacteriaceae;Mucilaginibacter;Mucilaginibacter gracilis;</t>
  </si>
  <si>
    <t>Mucilaginibacter gracilis</t>
  </si>
  <si>
    <t>Bacteria;Bacteroidota;Flavobacteriia;Flavobacteriales;Weeksellaceae;Epilithonimonas;Epilithonimonas lactis;</t>
  </si>
  <si>
    <t>Epilithonimonas lactis</t>
  </si>
  <si>
    <t>Bacteria;Bacteroidota;Flavobacteriia;Flavobacteriales;Weeksellaceae;Chryseobacterium;Chryseobacterium oranimense;</t>
  </si>
  <si>
    <t>Chryseobacterium oranimense</t>
  </si>
  <si>
    <t>Bacteria;Pseudomonadota;Alphaproteobacteria;Sphingomonadales;Sphingomonadaceae;Sphingobium;Sphingobium olei;</t>
  </si>
  <si>
    <t>Sphingobium olei</t>
  </si>
  <si>
    <t>Bacteria;Pseudomonadota;Betaproteobacteria;Burkholderiales;Burkholderiaceae;Paraburkholderia;Paraburkholderia megapolitana;</t>
  </si>
  <si>
    <t>Paraburkholderia megapolitana</t>
  </si>
  <si>
    <t>Bacteria;Bacillota;Clostridia;Eubacteriales;Clostridiaceae;Clostridium;Clostridium tepidiprofundi;</t>
  </si>
  <si>
    <t>Clostridium tepidiprofundi</t>
  </si>
  <si>
    <t>Bacteria;Bacteroidota;Flavobacteriia;Flavobacteriales;Weeksellaceae;Epilithonimonas;Epilithonimonas hominis;</t>
  </si>
  <si>
    <t>Epilithonimonas hominis</t>
  </si>
  <si>
    <t>Bacteria;Pseudomonadota;Alphaproteobacteria;Hyphomicrobiales;Brucellaceae;Brucella;Brucella pseudogrignonensis;</t>
  </si>
  <si>
    <t>Brucella pseudogrignonensis</t>
  </si>
  <si>
    <t>Bacteria;Pseudomonadota;Gammaproteobacteria;Nevskiales;Nevskiaceae;Nevskia;Nevskia soli;</t>
  </si>
  <si>
    <t>Nevskia</t>
  </si>
  <si>
    <t>Nevskia soli</t>
  </si>
  <si>
    <t>Bacteria;Pseudomonadota;Betaproteobacteria;Rhodocyclales;Azonexaceae;Azonexus;Azonexus hydrophilus;</t>
  </si>
  <si>
    <t>Azonexus hydrophilus</t>
  </si>
  <si>
    <t>Bacteria;Bacillota;Clostridia;Lachnospirales;Lachnospiraceae;Blautia;Blautia wexlerae;</t>
  </si>
  <si>
    <t>Blautia wexlerae</t>
  </si>
  <si>
    <t>Bacteria;Pseudomonadota;Alphaproteobacteria;Hyphomicrobiales;Rhizobiaceae;Shinella;Shinella kummerowiae;</t>
  </si>
  <si>
    <t>Shinella kummerowiae</t>
  </si>
  <si>
    <t>Bacteria;Bacteroidota;Sphingobacteriia;Sphingobacteriales;Sphingobacteriaceae;Parapedobacter;Parapedobacter soli;</t>
  </si>
  <si>
    <t>Parapedobacter soli</t>
  </si>
  <si>
    <t>Bacteria;Bacillota;Negativicutes;Selenomonadales;Selenomonadaceae;Selenomonas;Selenomonas bovis;</t>
  </si>
  <si>
    <t>Selenomonas</t>
  </si>
  <si>
    <t>Selenomonas bovis</t>
  </si>
  <si>
    <t>Bacteria;Pseudomonadota;Alphaproteobacteria;Hyphomicrobiales;Rhizobiaceae;Shinella;Shinella yambaruensis;</t>
  </si>
  <si>
    <t>Shinella yambaruensis</t>
  </si>
  <si>
    <t>Bacteria;Pseudomonadota;Gammaproteobacteria;Nevskiales;Nevskiaceae;Solimonas;Solimonas flava;</t>
  </si>
  <si>
    <t>Solimonas</t>
  </si>
  <si>
    <t>Solimonas flava</t>
  </si>
  <si>
    <t>Bacteria;Verrucomicrobiota;Opitutia;Puniceicoccales;Pelagicoccaceae;Pelagicoccus;Pelagicoccus mobilis;</t>
  </si>
  <si>
    <t>Pelagicoccus mobilis</t>
  </si>
  <si>
    <t>Bacteria;Actinomycetota;Actinomycetes;Micrococcales;Microbacteriaceae;Microbacterium;Microbacterium lacus;</t>
  </si>
  <si>
    <t>Microbacterium lacus</t>
  </si>
  <si>
    <t>Bacteria;Actinomycetota;Actinomycetes;Micrococcales;Microbacteriaceae;Microbacterium;Microbacterium flavum;</t>
  </si>
  <si>
    <t>Microbacterium flavum</t>
  </si>
  <si>
    <t>Bacteria;Actinomycetota;Actinomycetes;Micrococcales;Microbacteriaceae;Microbacterium;Microbacterium fluvii;</t>
  </si>
  <si>
    <t>Microbacterium fluvii</t>
  </si>
  <si>
    <t>Bacteria;Actinomycetota;Actinomycetes;Micrococcales;Microbacteriaceae;Microbacterium;Microbacterium awajiense;</t>
  </si>
  <si>
    <t>Microbacterium awajiense</t>
  </si>
  <si>
    <t>Bacteria;Bacteroidota;Sphingobacteriia;Sphingobacteriales;Sphingobacteriaceae;Pedobacter;Pedobacter insulae;</t>
  </si>
  <si>
    <t>Pedobacter insulae</t>
  </si>
  <si>
    <t>Bacteria;Actinomycetota;Actinomycetes;Micrococcales;Microbacteriaceae;Microterricola;Microterricola viridarii;</t>
  </si>
  <si>
    <t>Microterricola</t>
  </si>
  <si>
    <t>Microterricola viridarii</t>
  </si>
  <si>
    <t>Bacteria;Actinomycetota;Actinomycetes;Micrococcales;Intrasporangiaceae;Humibacillus;Humibacillus xanthopallidus;</t>
  </si>
  <si>
    <t>Humibacillus xanthopallidus</t>
  </si>
  <si>
    <t>Bacteria;Pseudomonadota;Alphaproteobacteria;Hyphomicrobiales;Kaistiaceae;Kaistia;Kaistia defluvii;</t>
  </si>
  <si>
    <t>Kaistia defluvii</t>
  </si>
  <si>
    <t>Bacteria;Pseudomonadota;Alphaproteobacteria;Hyphomicrobiales;Kaistiaceae;Kaistia;Kaistia dalseonensis;</t>
  </si>
  <si>
    <t>Kaistia dalseonensis</t>
  </si>
  <si>
    <t>Bacteria;Pseudomonadota;Alphaproteobacteria;Hyphomicrobiales;Kaistiaceae;Kaistia;Kaistia geumhonensis;</t>
  </si>
  <si>
    <t>Kaistia geumhonensis</t>
  </si>
  <si>
    <t>Bacteria;Bacillota;Tissierellia;Tissierellales;Thermohalobacteraceae;Clostridiisalibacter;Clostridiisalibacter paucivorans;</t>
  </si>
  <si>
    <t>Clostridiisalibacter</t>
  </si>
  <si>
    <t>Clostridiisalibacter paucivorans</t>
  </si>
  <si>
    <t>Bacteria;Bacteroidota;Cytophagia;Cytophagales;Spirosomataceae;Dyadobacter;Dyadobacter koreensis;</t>
  </si>
  <si>
    <t>Dyadobacter koreensis</t>
  </si>
  <si>
    <t>Bacteria;Pseudomonadota;Betaproteobacteria;Burkholderiales;Comamonadaceae;Comamonas;Comamonas composti;</t>
  </si>
  <si>
    <t>Comamonas composti</t>
  </si>
  <si>
    <t>Bacteria;Pseudomonadota;Alphaproteobacteria;Hyphomicrobiales;Devosiaceae;Devosia;Devosia insulae;</t>
  </si>
  <si>
    <t>Devosia insulae</t>
  </si>
  <si>
    <t>Bacteria;Pseudomonadota;Alphaproteobacteria;Rhodobacterales;Paracoccaceae;Phaeovulum;Phaeovulum vinaykumarii;</t>
  </si>
  <si>
    <t>Phaeovulum vinaykumarii</t>
  </si>
  <si>
    <t>Bacteria;Pseudomonadota;Gammaproteobacteria;Cellvibrionales;Microbulbiferaceae;Microbulbifer;Microbulbifer pacificus;</t>
  </si>
  <si>
    <t>Microbulbifer pacificus</t>
  </si>
  <si>
    <t>Bacteria;Bacillota;Bacilli;Bacillales;Bacillaceae;Sediminibacillus;Sediminibacillus albus;</t>
  </si>
  <si>
    <t>Sediminibacillus</t>
  </si>
  <si>
    <t>Sediminibacillus albus</t>
  </si>
  <si>
    <t>Bacteria;Bacteroidota;Sphingobacteriia;Sphingobacteriales;Sphingobacteriaceae;Olivibacter;Olivibacter domesticus;</t>
  </si>
  <si>
    <t>Olivibacter domesticus</t>
  </si>
  <si>
    <t>Bacteria;Pseudomonadota;Alphaproteobacteria;Hyphomicrobiales;Boseaceae;Bosea;Bosea sp. WAO;</t>
  </si>
  <si>
    <t>Bosea sp. WAO</t>
  </si>
  <si>
    <t>Bacteria;Bacteroidota;Sphingobacteriia;Sphingobacteriales;Sphingobacteriaceae;Pedobacter;Pedobacter terrae;</t>
  </si>
  <si>
    <t>Pedobacter terrae</t>
  </si>
  <si>
    <t>Bacteria;Pseudomonadota;Gammaproteobacteria;Pseudomonadales;Pseudomonadaceae;Pseudomonas;Pseudomonas indoloxydans;</t>
  </si>
  <si>
    <t>Pseudomonas indoloxydans</t>
  </si>
  <si>
    <t>Bacteria;Actinomycetota;Actinomycetes;Micrococcales;Microbacteriaceae;Microbacterium;Microbacterium hatanonis;</t>
  </si>
  <si>
    <t>Microbacterium hatanonis</t>
  </si>
  <si>
    <t>Bacteria;Actinomycetota;Actinomycetes;Mycobacteriales;Corynebacteriaceae;Corynebacterium;Corynebacterium ureicelerivorans;</t>
  </si>
  <si>
    <t>Corynebacteriaceae</t>
  </si>
  <si>
    <t>Corynebacterium</t>
  </si>
  <si>
    <t>Corynebacterium ureicelerivorans</t>
  </si>
  <si>
    <t>Bacteria;Pseudomonadota;Alphaproteobacteria;Caulobacterales;Caulobacteraceae;Caulobacter;Caulobacter ginsengisoli;</t>
  </si>
  <si>
    <t>Caulobacter ginsengisoli</t>
  </si>
  <si>
    <t>Bacteria;Actinomycetota;Actinomycetes;Propionibacteriales;Nocardioidaceae;Nocardioides;Nocardioides panacihumi;</t>
  </si>
  <si>
    <t>Nocardioides panacihumi</t>
  </si>
  <si>
    <t>Bacteria;Pseudomonadota;Alphaproteobacteria;Hyphomicrobiales;Devosiaceae;Devosia;Devosia ginsengisoli;</t>
  </si>
  <si>
    <t>Devosia ginsengisoli</t>
  </si>
  <si>
    <t>Bacteria;Actinomycetota;Actinomycetes;Propionibacteriales;Propionibacteriaceae;Tessaracoccus;Tessaracoccus flavescens;</t>
  </si>
  <si>
    <t>Tessaracoccus flavescens</t>
  </si>
  <si>
    <t>Bacteria;Bacillota;Clostridia;Eubacteriales;Clostridiaceae;Proteiniclasticum;Proteiniclasticum ruminis;</t>
  </si>
  <si>
    <t>Proteiniclasticum ruminis</t>
  </si>
  <si>
    <t>Bacteria;Bacteroidota;Sphingobacteriia;Sphingobacteriales;Sphingobacteriaceae;Mucilaginibacter;Mucilaginibacter pocheonensis;</t>
  </si>
  <si>
    <t>Mucilaginibacter pocheonensis</t>
  </si>
  <si>
    <t>Bacteria;Bacteroidota;Sphingobacteriia;Sphingobacteriales;Sphingobacteriaceae;Mucilaginibacter;Mucilaginibacter daejeonensis;</t>
  </si>
  <si>
    <t>Mucilaginibacter daejeonensis</t>
  </si>
  <si>
    <t>Bacteria;Pseudomonadota;Alphaproteobacteria;Sphingomonadales;Sphingomonadaceae;Sphingomonas;Sphingomonas sanxanigenens;</t>
  </si>
  <si>
    <t>Sphingomonas sanxanigenens</t>
  </si>
  <si>
    <t>Bacteria;Pseudomonadota;Betaproteobacteria;Neisseriales;Chitinibacteraceae;Andreprevotia;Andreprevotia chitinilytica;</t>
  </si>
  <si>
    <t>Andreprevotia chitinilytica</t>
  </si>
  <si>
    <t>Bacteria;Bacteroidota;Flavobacteriia;Flavobacteriales;Weeksellaceae;Chryseobacterium;Chryseobacterium lathyri;</t>
  </si>
  <si>
    <t>Chryseobacterium lathyri</t>
  </si>
  <si>
    <t>Bacteria;Pseudomonadota;Gammaproteobacteria;Enterobacterales;Enterobacteriaceae;Phytobacter;Phytobacter diazotrophicus;</t>
  </si>
  <si>
    <t>Phytobacter diazotrophicus</t>
  </si>
  <si>
    <t>Bacteria;Bacteroidota;Flavobacteriia;Flavobacteriales;Flavobacteriaceae;Paenimyroides;Paenimyroides ceti;</t>
  </si>
  <si>
    <t>Paenimyroides</t>
  </si>
  <si>
    <t>Paenimyroides ceti</t>
  </si>
  <si>
    <t>Bacteria;Bacillota;Clostridia;Eubacteriales;Clostridiaceae;Clostridium;Clostridium taeniosporum;</t>
  </si>
  <si>
    <t>Clostridium taeniosporum</t>
  </si>
  <si>
    <t>Bacteria;Pseudomonadota;Gammaproteobacteria;Alteromonadales;Pseudoalteromonadaceae;Pseudoalteromonas;Pseudoalteromonas arctica;</t>
  </si>
  <si>
    <t>Pseudoalteromonas arctica</t>
  </si>
  <si>
    <t>Bacteria;Actinomycetota;Actinomycetes;Propionibacteriales;Nocardioidaceae;Nocardioides;Nocardioides insulae;</t>
  </si>
  <si>
    <t>Nocardioides insulae</t>
  </si>
  <si>
    <t>Bacteria;Pseudomonadota;Alphaproteobacteria;Sphingomonadales;Sphingomonadaceae;Parasphingorhabdus;Parasphingorhabdus marina;</t>
  </si>
  <si>
    <t>Parasphingorhabdus marina</t>
  </si>
  <si>
    <t>Bacteria;Bacteroidota;Flavobacteriia;Flavobacteriales;Flavobacteriaceae;Flavobacterium;Flavobacterium sp. YO64;</t>
  </si>
  <si>
    <t>Flavobacterium sp. YO64</t>
  </si>
  <si>
    <t>Bacteria;Bacteroidota;Bacteroidia;Bacteroidales;Porphyromonadaceae;Porphyromonas;Porphyromonas crevioricanis;</t>
  </si>
  <si>
    <t>Porphyromonadaceae</t>
  </si>
  <si>
    <t>Porphyromonas</t>
  </si>
  <si>
    <t>Porphyromonas crevioricanis</t>
  </si>
  <si>
    <t>Bacteria;Pseudomonadota;Gammaproteobacteria;Cellvibrionales;Microbulbiferaceae;Microbulbifer;Microbulbifer epialgicus;</t>
  </si>
  <si>
    <t>Microbulbifer epialgicus</t>
  </si>
  <si>
    <t>Bacteria;Bacillota;Clostridia;Peptostreptococcales;Natronincolaceae;Natronincola;Natronincola ferrireducens;</t>
  </si>
  <si>
    <t>Natronincola ferrireducens</t>
  </si>
  <si>
    <t>Bacteria;Pseudomonadota;Alphaproteobacteria;Rhodobacterales;Paracoccaceae;Roseinatronobacter;Roseinatronobacter monicus;</t>
  </si>
  <si>
    <t>Roseinatronobacter</t>
  </si>
  <si>
    <t>Roseinatronobacter monicus</t>
  </si>
  <si>
    <t>Bacteria;Actinomycetota;Actinomycetes;Micrococcales;Microbacteriaceae;Microterricola;Microterricola gilva;</t>
  </si>
  <si>
    <t>Microterricola gilva</t>
  </si>
  <si>
    <t>Bacteria;Bacillota;Bacilli;Bacillales;Paenibacillaceae;Paenibacillus;Paenibacillus thailandensis;</t>
  </si>
  <si>
    <t>Paenibacillus thailandensis</t>
  </si>
  <si>
    <t>Bacteria;Bacteroidota;Chitinophagia;Chitinophagales;Chitinophagaceae;Chitinophaga;Chitinophaga ginsengisegetis;</t>
  </si>
  <si>
    <t>Chitinophaga ginsengisegetis</t>
  </si>
  <si>
    <t>Bacteria;Pseudomonadota;Gammaproteobacteria;Pseudomonadales;Perlucidibacaceae;Perlucidibaca;Perlucidibaca piscinae;</t>
  </si>
  <si>
    <t>Perlucidibaca piscinae</t>
  </si>
  <si>
    <t>Bacteria;Pseudomonadota;Betaproteobacteria;Burkholderiales;Sphaerotilaceae;Aquincola;Aquincola tertiaricarbonis;</t>
  </si>
  <si>
    <t>Aquincola tertiaricarbonis</t>
  </si>
  <si>
    <t>Bacteria;Pseudomonadota;Alphaproteobacteria;Hyphomicrobiales;Methylocystaceae;Methylocystis;Methylocystis heyeri;</t>
  </si>
  <si>
    <t>Methylocystis heyeri</t>
  </si>
  <si>
    <t>Bacteria;Pseudomonadota;Alphaproteobacteria;Caulobacterales;Caulobacteraceae;Brevundimonas;Brevundimonas sp. BAL3;</t>
  </si>
  <si>
    <t>Brevundimonas sp. BAL3</t>
  </si>
  <si>
    <t>Bacteria;Pseudomonadota;Betaproteobacteria;Burkholderiales;Burkholderiaceae;Limnobacter;Limnobacter sp. MED105;</t>
  </si>
  <si>
    <t>Limnobacter sp. MED105</t>
  </si>
  <si>
    <t>Bacteria;Bacteroidota;Sphingobacteriia;Sphingobacteriales;Sphingobacteriaceae;Pedobacter;Pedobacter sp. BAL39;</t>
  </si>
  <si>
    <t>Pedobacter sp. BAL39</t>
  </si>
  <si>
    <t>Bacteria;Bacillota;Clostridia;Peptostreptococcales;Thermotaleaceae;Geosporobacter;Geosporobacter subterraneus;</t>
  </si>
  <si>
    <t>Geosporobacter subterraneus</t>
  </si>
  <si>
    <t>Bacteria;Bacteroidota;Sphingobacteriia;Sphingobacteriales;Sphingobacteriaceae;Pedobacter;Pedobacter soli;</t>
  </si>
  <si>
    <t>Pedobacter soli</t>
  </si>
  <si>
    <t>Bacteria;Bacteroidota;Sphingobacteriia;Sphingobacteriales;Sphingobacteriaceae;Pedobacter;Pedobacter rhizosphaerae;</t>
  </si>
  <si>
    <t>Pedobacter rhizosphaerae</t>
  </si>
  <si>
    <t>Bacteria;Actinomycetota;Actinomycetes;Micrococcales;Microbacteriaceae;Frondihabitans;Frondihabitans australicus;</t>
  </si>
  <si>
    <t>Frondihabitans australicus</t>
  </si>
  <si>
    <t>Bacteria;Pseudomonadota;Alphaproteobacteria;Hyphomicrobiales;Brucellaceae;Pseudochrobactrum;Pseudochrobactrum kiredjianiae;</t>
  </si>
  <si>
    <t>Pseudochrobactrum kiredjianiae</t>
  </si>
  <si>
    <t>Bacteria;Actinomycetota;Actinomycetes;Micrococcales;Microbacteriaceae;Salinibacterium;Salinibacterium xinjiangense;</t>
  </si>
  <si>
    <t>Salinibacterium xinjiangense</t>
  </si>
  <si>
    <t>Bacteria;Bacillota;Clostridia;Lachnospirales;Lachnospiraceae;Lacrimispora;Lacrimispora xylanisolvens;</t>
  </si>
  <si>
    <t>Lacrimispora xylanisolvens</t>
  </si>
  <si>
    <t>Bacteria;Pseudomonadota;Gammaproteobacteria;Nevskiales;Algiphilaceae;Algiphilus;Algiphilus aromaticivorans;</t>
  </si>
  <si>
    <t>Algiphilaceae</t>
  </si>
  <si>
    <t>Algiphilus</t>
  </si>
  <si>
    <t>Algiphilus aromaticivorans</t>
  </si>
  <si>
    <t>Bacteria;Actinomycetota;Actinomycetes;Micrococcales;Microbacteriaceae;Herbiconiux;Herbiconiux ginsengi;</t>
  </si>
  <si>
    <t>Herbiconiux ginsengi</t>
  </si>
  <si>
    <t>Bacteria;Pseudomonadota;Gammaproteobacteria;Nevskiales;Nevskiaceae;Panacagrimonas;Panacagrimonas perspica;</t>
  </si>
  <si>
    <t>Panacagrimonas</t>
  </si>
  <si>
    <t>Panacagrimonas perspica</t>
  </si>
  <si>
    <t>Bacteria;Pseudomonadota;Betaproteobacteria;Burkholderiales;Sphaerotilaceae;Methylibium;uncultured Methylibium sp.;</t>
  </si>
  <si>
    <t>uncultured Methylibium sp.</t>
  </si>
  <si>
    <t>Bacteria;Bacillota;Negativicutes;Selenomonadales;Sporomusaceae;Pelosinus;Pelosinus propionicus;</t>
  </si>
  <si>
    <t>Pelosinus propionicus</t>
  </si>
  <si>
    <t>Bacteria;Pseudomonadota;Gammaproteobacteria;Pseudomonadales;Pseudomonadaceae;Pseudomonas;Pseudomonas protegens;</t>
  </si>
  <si>
    <t>Pseudomonas protegens</t>
  </si>
  <si>
    <t>Bacteria;Bacteroidota;Chitinophagia;Chitinophagales;Chitinophagaceae;Niabella;Niabella aurantiaca;</t>
  </si>
  <si>
    <t>Niabella aurantiaca</t>
  </si>
  <si>
    <t>Bacteria;Pseudomonadota;Betaproteobacteria;Burkholderiales;Comamonadaceae;Comamonas;Comamonas odontotermitis;</t>
  </si>
  <si>
    <t>Comamonas odontotermitis</t>
  </si>
  <si>
    <t>Bacteria;Pseudomonadota;Alphaproteobacteria;Hyphomicrobiales;Rhizobiaceae;Allorhizobium;Allorhizobium pseudoryzae;</t>
  </si>
  <si>
    <t>Allorhizobium pseudoryzae</t>
  </si>
  <si>
    <t>Bacteria;Pseudomonadota;Alphaproteobacteria;Sphingomonadales;Sphingomonadaceae;Novosphingobium;Novosphingobium nitrogenifigens;</t>
  </si>
  <si>
    <t>Novosphingobium nitrogenifigens</t>
  </si>
  <si>
    <t>Bacteria;Bacillota;Bacilli;Bacillales;Alicyclobacillaceae;Tumebacillus;Tumebacillus permanentifrigoris;</t>
  </si>
  <si>
    <t>Tumebacillus permanentifrigoris</t>
  </si>
  <si>
    <t>Bacteria;Pseudomonadota;Alphaproteobacteria;Hyphomicrobiales;Boseaceae;Bosea;Bosea sp. CRIB-10;</t>
  </si>
  <si>
    <t>Bosea sp. CRIB-10</t>
  </si>
  <si>
    <t>Bacteria;Pseudomonadota;Betaproteobacteria;Burkholderiales;Comamonadaceae;Variovorax;Variovorax soli;</t>
  </si>
  <si>
    <t>Variovorax soli</t>
  </si>
  <si>
    <t>Bacteria;Pseudomonadota;Alphaproteobacteria;Acetobacterales;Acetobacteraceae;Gluconobacter;Gluconobacter japonicus;</t>
  </si>
  <si>
    <t>Gluconobacter</t>
  </si>
  <si>
    <t>Gluconobacter japonicus</t>
  </si>
  <si>
    <t>Bacteria;Bacteroidota;Sphingobacteriia;Sphingobacteriales;Sphingobacteriaceae;Olivibacter;Olivibacter sitiensis;</t>
  </si>
  <si>
    <t>Olivibacter sitiensis</t>
  </si>
  <si>
    <t>Bacteria;Pseudomonadota;Betaproteobacteria;Burkholderiales;Sphaerotilaceae;Caldimonas;Caldimonas aquatica;</t>
  </si>
  <si>
    <t>Caldimonas aquatica</t>
  </si>
  <si>
    <t>Bacteria;Pseudomonadota;Alphaproteobacteria;Hyphomicrobiales;Methylopilaceae;Hansschlegelia;Hansschlegelia plantiphila;</t>
  </si>
  <si>
    <t>Hansschlegelia plantiphila</t>
  </si>
  <si>
    <t>Bacteria;Bacteroidota;Flavobacteriia;Flavobacteriales;Weeksellaceae;Chryseobacterium;Chryseobacterium gambrini;</t>
  </si>
  <si>
    <t>Chryseobacterium gambrini</t>
  </si>
  <si>
    <t>Bacteria;Bacteroidota;Flavobacteriia;Flavobacteriales;Weeksellaceae;Epilithonimonas;Epilithonimonas pallida;</t>
  </si>
  <si>
    <t>Epilithonimonas pallida</t>
  </si>
  <si>
    <t>Bacteria;Bacteroidota;Flavobacteriia;Flavobacteriales;Weeksellaceae;Chryseobacterium;Chryseobacterium ureilyticum;</t>
  </si>
  <si>
    <t>Chryseobacterium ureilyticum</t>
  </si>
  <si>
    <t>Bacteria;Pseudomonadota;Alphaproteobacteria;Acetobacterales;Acetobacteraceae;Paeniroseomonas;Paeniroseomonas aquatica;</t>
  </si>
  <si>
    <t>Paeniroseomonas</t>
  </si>
  <si>
    <t>Paeniroseomonas aquatica</t>
  </si>
  <si>
    <t>Bacteria;Pseudomonadota;Alphaproteobacteria;Rhodobacterales;NA;Rhodobacter;Rhodobacter ferrooxidans;</t>
  </si>
  <si>
    <t>Rhodobacter ferrooxidans</t>
  </si>
  <si>
    <t>Bacteria;Bacillota;Bacilli;Bacillales;Bacillaceae;Gottfriedia;Gottfriedia acidiceleris;</t>
  </si>
  <si>
    <t>Gottfriedia acidiceleris</t>
  </si>
  <si>
    <t>Bacteria;Bacteroidota;Flavobacteriia;Flavobacteriales;Flavobacteriaceae;Flavobacterium;Flavobacterium defluvii;</t>
  </si>
  <si>
    <t>Flavobacterium defluvii</t>
  </si>
  <si>
    <t>Bacteria;Bacteroidota;Cytophagia;Cytophagales;Spirosomataceae;Runella;Runella limosa;</t>
  </si>
  <si>
    <t>Runella limosa</t>
  </si>
  <si>
    <t>Bacteria;Bacteroidota;Cytophagia;Cytophagales;Spirosomataceae;Runella;Runella defluvii;</t>
  </si>
  <si>
    <t>Runella defluvii</t>
  </si>
  <si>
    <t>Bacteria;Pseudomonadota;Alphaproteobacteria;Sphingomonadales;Sphingomonadaceae;Sphingomonas;Sphingomonas mucosissima;</t>
  </si>
  <si>
    <t>Sphingomonas mucosissima</t>
  </si>
  <si>
    <t>Bacteria;Actinomycetota;Actinomycetes;Micrococcales;Microbacteriaceae;Microbacterium;Microbacterium pygmaeum;</t>
  </si>
  <si>
    <t>Microbacterium pygmaeum</t>
  </si>
  <si>
    <t>Bacteria;Pseudomonadota;Alphaproteobacteria;Hyphomicrobiales;Aurantimonadaceae;Aureimonas;Aureimonas altamirensis;</t>
  </si>
  <si>
    <t>Aureimonas altamirensis</t>
  </si>
  <si>
    <t>Bacteria;Pseudomonadota;Alphaproteobacteria;Hyphomicrobiales;Brucellaceae;Brucella;Brucella pseudintermedia;</t>
  </si>
  <si>
    <t>Brucella pseudintermedia</t>
  </si>
  <si>
    <t>Bacteria;Thermodesulfobacteriota;Desulfovibrionia;Desulfovibrionales;Desulfovibrionaceae;Oceanidesulfovibrio;Oceanidesulfovibrio marinus;</t>
  </si>
  <si>
    <t>Oceanidesulfovibrio</t>
  </si>
  <si>
    <t>Oceanidesulfovibrio marinus</t>
  </si>
  <si>
    <t>Bacteria;Pseudomonadota;Betaproteobacteria;Burkholderiales;Comamonadaceae;Caenimonas;Caenimonas koreensis;</t>
  </si>
  <si>
    <t>Caenimonas koreensis</t>
  </si>
  <si>
    <t>Bacteria;Pseudomonadota;Gammaproteobacteria;Enterobacterales;Yersiniaceae;Yersinia;Yersinia similis;</t>
  </si>
  <si>
    <t>Yersinia similis</t>
  </si>
  <si>
    <t>Bacteria;Pseudomonadota;Alphaproteobacteria;Rhodobacterales;Paracoccaceae;Haematobacter;Haematobacter missouriensis;</t>
  </si>
  <si>
    <t>Haematobacter</t>
  </si>
  <si>
    <t>Haematobacter missouriensis</t>
  </si>
  <si>
    <t>Bacteria;Pseudomonadota;Gammaproteobacteria;Alteromonadales;Alteromonadaceae;Bowmanella;Bowmanella denitrificans;</t>
  </si>
  <si>
    <t>Bowmanella</t>
  </si>
  <si>
    <t>Bowmanella denitrificans</t>
  </si>
  <si>
    <t>Bacteria;Pseudomonadota;Gammaproteobacteria;Pseudomonadales;Pseudomonadaceae;Pseudomonas;Pseudomonas delhiensis;</t>
  </si>
  <si>
    <t>Pseudomonas delhiensis</t>
  </si>
  <si>
    <t>Bacteria;Bacillota;Bacilli;Bacillales;Paenibacillaceae;Paenibacillus;Paenibacillus forsythiae;</t>
  </si>
  <si>
    <t>Paenibacillus forsythiae</t>
  </si>
  <si>
    <t>Bacteria;Pseudomonadota;Alphaproteobacteria;Acetobacterales;Roseomonadaceae;Belnapia;Belnapia moabensis;</t>
  </si>
  <si>
    <t>Belnapia moabensis</t>
  </si>
  <si>
    <t>Bacteria;Bacteroidota;Cytophagia;Cytophagales;Spirosomataceae;Dyadobacter;Dyadobacter beijingensis;</t>
  </si>
  <si>
    <t>Dyadobacter beijingensis</t>
  </si>
  <si>
    <t>Bacteria;Bacillota;Negativicutes;Selenomonadales;Sporomusaceae;Pelosinus;Pelosinus fermentans;</t>
  </si>
  <si>
    <t>Pelosinus fermentans</t>
  </si>
  <si>
    <t>Bacteria;Pseudomonadota;Alphaproteobacteria;Sphingomonadales;Sphingomonadaceae;Sphingobium;Sphingobium aromaticiconvertens;</t>
  </si>
  <si>
    <t>Sphingobium aromaticiconvertens</t>
  </si>
  <si>
    <t>Bacteria;Pseudomonadota;Alphaproteobacteria;Rhodobacterales;Paracoccaceae;Rhodovulum;Rhodovulum imhoffii;</t>
  </si>
  <si>
    <t>Rhodovulum imhoffii</t>
  </si>
  <si>
    <t>Bacteria;Pseudomonadota;Betaproteobacteria;Burkholderiales;Comamonadaceae;Verminephrobacter;Verminephrobacter eiseniae;</t>
  </si>
  <si>
    <t>Verminephrobacter eiseniae</t>
  </si>
  <si>
    <t>Bacteria;Actinomycetota;Actinomycetes;Micrococcales;Intrasporangiaceae;Janibacter;Janibacter hoylei;</t>
  </si>
  <si>
    <t>Janibacter</t>
  </si>
  <si>
    <t>Janibacter hoylei</t>
  </si>
  <si>
    <t>Bacteria;Pseudomonadota;Alphaproteobacteria;Sphingomonadales;Sphingosinicellaceae;Sphingosinicella;Sphingosinicella xenopeptidilytica;</t>
  </si>
  <si>
    <t>Sphingosinicella</t>
  </si>
  <si>
    <t>Sphingosinicella xenopeptidilytica</t>
  </si>
  <si>
    <t>Bacteria;Pseudomonadota;Betaproteobacteria;Burkholderiales;Sphaerotilaceae;Azohydromonas;Azohydromonas australica;</t>
  </si>
  <si>
    <t>Azohydromonas australica</t>
  </si>
  <si>
    <t>Bacteria;Pseudomonadota;Betaproteobacteria;Burkholderiales;Comamonadaceae;Comamonas;Comamonas sp. E6;</t>
  </si>
  <si>
    <t>Comamonas sp. E6</t>
  </si>
  <si>
    <t>Bacteria;Pseudomonadota;Betaproteobacteria;Burkholderiales;Comamonadaceae;Comamonas;Comamonas thiooxydans;</t>
  </si>
  <si>
    <t>Comamonas thiooxydans</t>
  </si>
  <si>
    <t>Bacteria;Bacillota;Bacilli;Bacillales;Bacillaceae;Heyndrickxia;Heyndrickxia ginsengihumi;</t>
  </si>
  <si>
    <t>Heyndrickxia</t>
  </si>
  <si>
    <t>Heyndrickxia ginsengihumi</t>
  </si>
  <si>
    <t>Bacteria;Actinomycetota;Actinomycetes;Propionibacteriales;Nocardioidaceae;Nocardioides;Nocardioides ginsengisoli;</t>
  </si>
  <si>
    <t>Nocardioides ginsengisoli</t>
  </si>
  <si>
    <t>Bacteria;Actinomycetota;Actinomycetes;Propionibacteriales;Propionibacteriaceae;Microlunatus;Microlunatus ginsengisoli;</t>
  </si>
  <si>
    <t>Microlunatus ginsengisoli</t>
  </si>
  <si>
    <t>Bacteria;Bacteroidota;Flavobacteriia;Flavobacteriales;Weeksellaceae;Chryseobacterium;Chryseobacterium ginsengisoli;</t>
  </si>
  <si>
    <t>Chryseobacterium ginsengisoli</t>
  </si>
  <si>
    <t>Bacteria;Bacteroidota;Sphingobacteriia;Sphingobacteriales;Sphingobacteriaceae;Pedobacter;Pedobacter ginsengisoli;</t>
  </si>
  <si>
    <t>Pedobacter ginsengisoli</t>
  </si>
  <si>
    <t>Bacteria;Pseudomonadota;Betaproteobacteria;Burkholderiales;Comamonadaceae;Variovorax;Variovorax ginsengisoli;</t>
  </si>
  <si>
    <t>Variovorax ginsengisoli</t>
  </si>
  <si>
    <t>Bacteria;Pseudomonadota;Alphaproteobacteria;Sphingomonadales;Sphingomonadaceae;Sphingopyxis;Sphingopyxis panaciterrae;</t>
  </si>
  <si>
    <t>Sphingopyxis panaciterrae</t>
  </si>
  <si>
    <t>Bacteria;Actinomycetota;Thermoleophilia;Solirubrobacterales;Solirubrobacteraceae;Solirubrobacter;Solirubrobacter soli;</t>
  </si>
  <si>
    <t>Solirubrobacteraceae</t>
  </si>
  <si>
    <t>Solirubrobacter</t>
  </si>
  <si>
    <t>Solirubrobacter soli</t>
  </si>
  <si>
    <t>Bacteria;Actinomycetota;Actinomycetes;Nakamurellales;Nakamurellaceae;Nakamurella;Nakamurella flavida;</t>
  </si>
  <si>
    <t>Nakamurellales</t>
  </si>
  <si>
    <t>Nakamurellaceae</t>
  </si>
  <si>
    <t>Nakamurella</t>
  </si>
  <si>
    <t>Nakamurella flavida</t>
  </si>
  <si>
    <t>Bacteria;Pseudomonadota;Alphaproteobacteria;Hyphomicrobiales;Kaistiaceae;Kaistia;Kaistia granuli;</t>
  </si>
  <si>
    <t>Kaistia granuli</t>
  </si>
  <si>
    <t>Bacteria;Actinomycetota;Actinomycetes;Micrococcales;Microbacteriaceae;Microbacterium;Microbacterium thalassium;</t>
  </si>
  <si>
    <t>Microbacterium thalassium</t>
  </si>
  <si>
    <t>Bacteria;Bacteroidota;Flavobacteriia;Flavobacteriales;Flavobacteriaceae;Flavobacterium;Flavobacterium reichenbachii;</t>
  </si>
  <si>
    <t>Flavobacterium reichenbachii</t>
  </si>
  <si>
    <t>Bacteria;Bacteroidota;Flavobacteriia;Flavobacteriales;Flavobacteriaceae;Flavobacterium;Flavobacterium aquidurense;</t>
  </si>
  <si>
    <t>Flavobacterium aquidurense</t>
  </si>
  <si>
    <t>Bacteria;Bacillota;Clostridia;Eubacteriales;Clostridiaceae;Clostridium;Clostridium tagluense;</t>
  </si>
  <si>
    <t>Clostridium tagluense</t>
  </si>
  <si>
    <t>Bacteria;Chloroflexota;Anaerolineae;Anaerolineales;Anaerolineaceae;Longilinea;Longilinea arvoryzae;</t>
  </si>
  <si>
    <t>Anaerolineae</t>
  </si>
  <si>
    <t>Anaerolineales</t>
  </si>
  <si>
    <t>Anaerolineaceae</t>
  </si>
  <si>
    <t>Longilinea</t>
  </si>
  <si>
    <t>Longilinea arvoryzae</t>
  </si>
  <si>
    <t>Bacteria;Chloroflexota;Anaerolineae;Anaerolineales;Anaerolineaceae;Bellilinea;Bellilinea caldifistulae;</t>
  </si>
  <si>
    <t>Bellilinea</t>
  </si>
  <si>
    <t>Bellilinea caldifistulae</t>
  </si>
  <si>
    <t>Bacteria;Bacillota;Bacilli;Bacillales;Bacillaceae;Bacillus;Bacillus sp. CDB3;</t>
  </si>
  <si>
    <t>Bacillus sp. CDB3</t>
  </si>
  <si>
    <t>Bacteria;Pseudomonadota;Betaproteobacteria;Burkholderiales;NA;Tepidicella;Tepidicella xavieri;</t>
  </si>
  <si>
    <t>Tepidicella xavieri</t>
  </si>
  <si>
    <t>Bacteria;Planctomycetota;Planctomycetia;Planctomycetales;Planctomycetaceae;Schlesneria;Schlesneria paludicola;</t>
  </si>
  <si>
    <t>Schlesneria</t>
  </si>
  <si>
    <t>Schlesneria paludicola</t>
  </si>
  <si>
    <t>Bacteria;Planctomycetota;Planctomycetia;Gemmatales;Gemmataceae;Zavarzinella;Zavarzinella formosa;</t>
  </si>
  <si>
    <t>Zavarzinella</t>
  </si>
  <si>
    <t>Zavarzinella formosa</t>
  </si>
  <si>
    <t>Bacteria;Pseudomonadota;Gammaproteobacteria;Pseudomonadales;Pseudomonadaceae;Pseudomonas;Pseudomonas extremaustralis;</t>
  </si>
  <si>
    <t>Pseudomonas extremaustralis</t>
  </si>
  <si>
    <t>Bacteria;Bacillota;Clostridia;Lachnospirales;Lachnospiraceae;Enterocloster;Enterocloster aldenensis;</t>
  </si>
  <si>
    <t>Enterocloster</t>
  </si>
  <si>
    <t>Enterocloster aldenensis</t>
  </si>
  <si>
    <t>Bacteria;Bacteroidota;Flavobacteriia;Flavobacteriales;Weeksellaceae;Epilithonimonas;Epilithonimonas hispanica;</t>
  </si>
  <si>
    <t>Epilithonimonas hispanica</t>
  </si>
  <si>
    <t>Bacteria;Pseudomonadota;Betaproteobacteria;Burkholderiales;Comamonadaceae;Acidovorax;Acidovorax sp. KKS102;</t>
  </si>
  <si>
    <t>Acidovorax sp. KKS102</t>
  </si>
  <si>
    <t>Bacteria;Bacillota;Negativicutes;Selenomonadales;Sporomusaceae;Sporomusa;Sporomusa rhizae;</t>
  </si>
  <si>
    <t>Sporomusa rhizae</t>
  </si>
  <si>
    <t>Bacteria;Bacillota;Bacilli;Lactobacillales;Enterococcaceae;Enterococcus;Enterococcus lactis;</t>
  </si>
  <si>
    <t>Enterococcus lactis</t>
  </si>
  <si>
    <t>Bacteria;Pseudomonadota;Gammaproteobacteria;Enterobacterales;Enterobacteriaceae;Franconibacter;Franconibacter helveticus;</t>
  </si>
  <si>
    <t>Franconibacter</t>
  </si>
  <si>
    <t>Franconibacter helveticus</t>
  </si>
  <si>
    <t>Bacteria;Pseudomonadota;Betaproteobacteria;Neisseriales;Chitinibacteraceae;Chitinimonas;Chitinimonas koreensis;</t>
  </si>
  <si>
    <t>Chitinimonas koreensis</t>
  </si>
  <si>
    <t>Bacteria;Actinomycetota;Actinomycetes;Micrococcales;Microbacteriaceae;Microcella;Microcella alkalica;</t>
  </si>
  <si>
    <t>Microcella alkalica</t>
  </si>
  <si>
    <t>Bacteria;Bacteroidota;Sphingobacteriia;Sphingobacteriales;Sphingobacteriaceae;Mucilaginibacter;Mucilaginibacter lappiensis;</t>
  </si>
  <si>
    <t>Mucilaginibacter lappiensis</t>
  </si>
  <si>
    <t>Bacteria;Pseudomonadota;Alphaproteobacteria;Hyphomicrobiales;Brucellaceae;Pseudochrobactrum;Pseudochrobactrum saccharolyticum;</t>
  </si>
  <si>
    <t>Pseudochrobactrum saccharolyticum</t>
  </si>
  <si>
    <t>Bacteria;Pseudomonadota;Alphaproteobacteria;Hyphomicrobiales;Brucellaceae;Pseudochrobactrum;Pseudochrobactrum asaccharolyticum;</t>
  </si>
  <si>
    <t>Pseudochrobactrum asaccharolyticum</t>
  </si>
  <si>
    <t>Bacteria;Bacteroidota;Sphingobacteriia;Sphingobacteriales;Sphingobacteriaceae;Pedobacter;Pedobacter sandarakinus;</t>
  </si>
  <si>
    <t>Pedobacter sandarakinus</t>
  </si>
  <si>
    <t>Bacteria;Pseudomonadota;Alphaproteobacteria;Hyphomicrobiales;Rhizobiaceae;Shinella;Shinella zoogloeoides;</t>
  </si>
  <si>
    <t>Shinella zoogloeoides</t>
  </si>
  <si>
    <t>Bacteria;Pseudomonadota;Gammaproteobacteria;Enterobacterales;Morganellaceae;Xenorhabdus;Xenorhabdus hominickii;</t>
  </si>
  <si>
    <t>Xenorhabdus hominickii</t>
  </si>
  <si>
    <t>Bacteria;Pseudomonadota;Gammaproteobacteria;Enterobacterales;Morganellaceae;Xenorhabdus;Xenorhabdus kozodoii;</t>
  </si>
  <si>
    <t>Xenorhabdus kozodoii</t>
  </si>
  <si>
    <t>Bacteria;Thermodesulfobacteriota;Desulfuromonadia;Geobacterales;Geobacteraceae;Geotalea;Geotalea uraniireducens;</t>
  </si>
  <si>
    <t>Geotalea uraniireducens</t>
  </si>
  <si>
    <t>Bacteria;Pseudomonadota;Betaproteobacteria;Burkholderiales;Burkholderiaceae;Polynucleobacter;Polynucleobacter cosmopolitanus;</t>
  </si>
  <si>
    <t>Polynucleobacter cosmopolitanus</t>
  </si>
  <si>
    <t>Bacteria;Bacteroidota;Sphingobacteriia;Sphingobacteriales;Sphingobacteriaceae;Pedobacter;Pedobacter aquatilis;</t>
  </si>
  <si>
    <t>Pedobacter aquatilis</t>
  </si>
  <si>
    <t>Bacteria;Bacillota;Bacilli;Bacillales;Bacillaceae;Paucisalibacillus;Paucisalibacillus globulus;</t>
  </si>
  <si>
    <t>Paucisalibacillus</t>
  </si>
  <si>
    <t>Paucisalibacillus globulus</t>
  </si>
  <si>
    <t>Bacteria;Bacillota;Clostridia;Eubacteriales;Clostridiaceae;Clostridium;Clostridium sp. BL-8;</t>
  </si>
  <si>
    <t>Clostridium sp. BL-8</t>
  </si>
  <si>
    <t>Bacteria;Bacillota;Clostridia;Eubacteriales;Clostridiaceae;Clostridium;Clostridium hydrogeniformans;</t>
  </si>
  <si>
    <t>Clostridium hydrogeniformans</t>
  </si>
  <si>
    <t>Bacteria;Bacillota;Clostridia;Eubacteriales;Clostridiaceae;Clostridium;Clostridium cavendishii;</t>
  </si>
  <si>
    <t>Clostridium cavendishii</t>
  </si>
  <si>
    <t>Bacteria;Actinomycetota;Actinomycetes;Propionibacteriales;Nocardioidaceae;Nocardioides;Nocardioides kongjuensis;</t>
  </si>
  <si>
    <t>Nocardioides kongjuensis</t>
  </si>
  <si>
    <t>Bacteria;Pseudomonadota;Alphaproteobacteria;Caulobacterales;Caulobacteraceae;Phenylobacterium;uncultured Phenylobacterium sp.;</t>
  </si>
  <si>
    <t>uncultured Phenylobacterium sp.</t>
  </si>
  <si>
    <t>Bacteria;Bdellovibrionota;Bdellovibrionia;Bdellovibrionales;Pseudobdellovibrionaceae;Micavibrio;Micavibrio aeruginosavorus;</t>
  </si>
  <si>
    <t>Micavibrio</t>
  </si>
  <si>
    <t>Micavibrio aeruginosavorus</t>
  </si>
  <si>
    <t>Bacteria;Pseudomonadota;Alphaproteobacteria;Hyphomicrobiales;Xanthobacteraceae;Labrys;Labrys miyagiensis;</t>
  </si>
  <si>
    <t>Labrys miyagiensis</t>
  </si>
  <si>
    <t>Bacteria;Bacteroidota;Cytophagia;Cytophagales;Cyclobacteriaceae;Echinicola;Echinicola pacifica;</t>
  </si>
  <si>
    <t>Echinicola</t>
  </si>
  <si>
    <t>Echinicola pacifica</t>
  </si>
  <si>
    <t>Bacteria;Pseudomonadota;Betaproteobacteria;Burkholderiales;Oxalobacteraceae;Herbaspirillum;Herbaspirillum rhizosphaerae;</t>
  </si>
  <si>
    <t>Herbaspirillum rhizosphaerae</t>
  </si>
  <si>
    <t>Bacteria;Pseudomonadota;Alphaproteobacteria;Caulobacterales;Caulobacteraceae;Brevundimonas;Brevundimonas sp. SH203;</t>
  </si>
  <si>
    <t>Brevundimonas sp. SH203</t>
  </si>
  <si>
    <t>Bacteria;Pseudomonadota;Betaproteobacteria;Burkholderiales;Comamonadaceae;Variovorax;Variovorax dokdonensis;</t>
  </si>
  <si>
    <t>Variovorax dokdonensis</t>
  </si>
  <si>
    <t>Bacteria;Bacteroidota;Flavobacteriia;Flavobacteriales;Flavobacteriaceae;Flavobacterium;Flavobacterium soli;</t>
  </si>
  <si>
    <t>Flavobacterium soli</t>
  </si>
  <si>
    <t>Bacteria;Actinomycetota;Actinomycetes;Micrococcales;Microbacteriaceae;Microbacterium;Microbacterium aoyamense;</t>
  </si>
  <si>
    <t>Microbacterium aoyamense</t>
  </si>
  <si>
    <t>Bacteria;Actinomycetota;Actinomycetes;Micrococcales;Microbacteriaceae;Microbacterium;Microbacterium pumilum;</t>
  </si>
  <si>
    <t>Microbacterium pumilum</t>
  </si>
  <si>
    <t>Bacteria;Actinomycetota;Actinomycetes;Micrococcales;Microbacteriaceae;Microbacterium;Microbacterium deminutum;</t>
  </si>
  <si>
    <t>Microbacterium deminutum</t>
  </si>
  <si>
    <t>Bacteria;Actinomycetota;Actinomycetes;Micrococcales;Microbacteriaceae;Microbacterium;Microbacterium terricola;</t>
  </si>
  <si>
    <t>Microbacterium terricola</t>
  </si>
  <si>
    <t>Bacteria;Bacteroidota;Flavobacteriia;Flavobacteriales;Weeksellaceae;Empedobacter;Empedobacter falsenii;</t>
  </si>
  <si>
    <t>Empedobacter falsenii</t>
  </si>
  <si>
    <t>Bacteria;Bacillota;Bacilli;Bacillales;Paenibacillaceae;Paenibacillus;Paenibacillus barengoltzii;</t>
  </si>
  <si>
    <t>Paenibacillus barengoltzii</t>
  </si>
  <si>
    <t>Bacteria;Pseudomonadota;Betaproteobacteria;Burkholderiales;Comamonadaceae;Paenacidovorax;Paenacidovorax caeni;</t>
  </si>
  <si>
    <t>Paenacidovorax caeni</t>
  </si>
  <si>
    <t>Bacteria;Actinomycetota;Actinomycetes;Mycobacteriales;Mycobacteriaceae;Mycolicibacter;Mycolicibacter arupensis;</t>
  </si>
  <si>
    <t>Mycolicibacter</t>
  </si>
  <si>
    <t>Mycolicibacter arupensis</t>
  </si>
  <si>
    <t>Bacteria;Pseudomonadota;Betaproteobacteria;Burkholderiales;Oxalobacteraceae;Herbaspirillum;Herbaspirillum hiltneri;</t>
  </si>
  <si>
    <t>Herbaspirillum hiltneri</t>
  </si>
  <si>
    <t>Bacteria;Bacteroidota;Sphingobacteriia;Sphingobacteriales;Sphingobacteriaceae;Sphingobacterium;Sphingobacterium sp.;</t>
  </si>
  <si>
    <t>Sphingobacterium sp.</t>
  </si>
  <si>
    <t>Bacteria;Cyanobacteriota;Cyanophyceae;Nostocales;Nostocaceae;Nostoc;uncultured Nostoc sp.;</t>
  </si>
  <si>
    <t>uncultured Nostoc sp.</t>
  </si>
  <si>
    <t>Bacteria;Actinomycetota;Actinomycetes;Pseudonocardiales;Pseudonocardiaceae;Actinoalloteichus;Actinoalloteichus hymeniacidonis;</t>
  </si>
  <si>
    <t>Actinoalloteichus</t>
  </si>
  <si>
    <t>Actinoalloteichus hymeniacidonis</t>
  </si>
  <si>
    <t>Bacteria;Actinomycetota;Actinomycetes;Micrococcales;Microbacteriaceae;Leucobacter;Leucobacter luti;</t>
  </si>
  <si>
    <t>Leucobacter luti</t>
  </si>
  <si>
    <t>Bacteria;Pseudomonadota;Alphaproteobacteria;Hyphomicrobiales;Nitrobacteraceae;Tardiphaga;Tardiphaga alba;</t>
  </si>
  <si>
    <t>Tardiphaga alba</t>
  </si>
  <si>
    <t>Bacteria;Pseudomonadota;Alphaproteobacteria;Hyphomicrobiales;Alsobacteraceae;Alsobacter;Alsobacter metallidurans;</t>
  </si>
  <si>
    <t>Alsobacter metallidurans</t>
  </si>
  <si>
    <t>Bacteria;Bacillota;Clostridia;Eubacteriales;Clostridiaceae;Clostridium;Clostridium aciditolerans;</t>
  </si>
  <si>
    <t>Clostridium aciditolerans</t>
  </si>
  <si>
    <t>Bacteria;Bacillota;Clostridia;Eubacteriales;Clostridiaceae;Clostridium;Clostridium aestuarii;</t>
  </si>
  <si>
    <t>Clostridium aestuarii</t>
  </si>
  <si>
    <t>Bacteria;Actinomycetota;Actinomycetes;Micrococcales;Microbacteriaceae;Microbacterium;Microbacterium immunditiarum;</t>
  </si>
  <si>
    <t>Microbacterium immunditiarum</t>
  </si>
  <si>
    <t>Bacteria;Bacillota;Bacilli;Bacillales;Bacillaceae;Vulcanibacillus;Vulcanibacillus modesticaldus;</t>
  </si>
  <si>
    <t>Vulcanibacillus</t>
  </si>
  <si>
    <t>Vulcanibacillus modesticaldus</t>
  </si>
  <si>
    <t>Bacteria;Actinomycetota;Actinomycetes;Micrococcales;Microbacteriaceae;Microcella;Microcella putealis;</t>
  </si>
  <si>
    <t>Microcella putealis</t>
  </si>
  <si>
    <t>Bacteria;Bacteroidota;Sphingobacteriia;Sphingobacteriales;Sphingobacteriaceae;Pedobacter;Pedobacter roseus;</t>
  </si>
  <si>
    <t>Pedobacter roseus</t>
  </si>
  <si>
    <t>Bacteria;Pseudomonadota;Gammaproteobacteria;Enterobacterales;Thorselliaceae;Thorsellia;Thorsellia anophelis;</t>
  </si>
  <si>
    <t>Thorsellia anophelis</t>
  </si>
  <si>
    <t>Bacteria;Pseudomonadota;Alphaproteobacteria;Sphingomonadales;Sphingomonadaceae;Sphingobium;Sphingobium fuliginis;</t>
  </si>
  <si>
    <t>Sphingobium fuliginis</t>
  </si>
  <si>
    <t>Bacteria;Pseudomonadota;Betaproteobacteria;Burkholderiales;Comamonadaceae;Polaromonas;Polaromonas hydrogenivorans;</t>
  </si>
  <si>
    <t>Polaromonas hydrogenivorans</t>
  </si>
  <si>
    <t>Bacteria;Pseudomonadota;Betaproteobacteria;Burkholderiales;NA;Tepidimonas;Tepidimonas thermarum;</t>
  </si>
  <si>
    <t>Tepidimonas thermarum</t>
  </si>
  <si>
    <t>Bacteria;Bacillota;Bacilli;Bacillales;Bacillaceae;Gracilibacillus;Gracilibacillus orientalis;</t>
  </si>
  <si>
    <t>Gracilibacillus orientalis</t>
  </si>
  <si>
    <t>Bacteria;Bacteroidota;Sphingobacteriia;Sphingobacteriales;Sphingobacteriaceae;Pedobacter;Pedobacter suwonensis;</t>
  </si>
  <si>
    <t>Pedobacter suwonensis</t>
  </si>
  <si>
    <t>Bacteria;Bacteroidota;Sphingobacteriia;Sphingobacteriales;Sphingobacteriaceae;Parapedobacter;Parapedobacter koreensis;</t>
  </si>
  <si>
    <t>Parapedobacter koreensis</t>
  </si>
  <si>
    <t>Bacteria;Bacillota;Clostridia;Eubacteriales;Clostridiaceae;Clostridium;Clostridium drakei;</t>
  </si>
  <si>
    <t>Clostridium drakei</t>
  </si>
  <si>
    <t>Bacteria;Bacillota;Tissierellia;NA;NA;Dethiosulfatibacter;Dethiosulfatibacter aminovorans;</t>
  </si>
  <si>
    <t>Dethiosulfatibacter</t>
  </si>
  <si>
    <t>Dethiosulfatibacter aminovorans</t>
  </si>
  <si>
    <t>Bacteria;Pseudomonadota;Alphaproteobacteria;Hyphomicrobiales;Xanthobacteraceae;Pseudolabrys;Pseudolabrys taiwanensis;</t>
  </si>
  <si>
    <t>Pseudolabrys taiwanensis</t>
  </si>
  <si>
    <t>Bacteria;Actinomycetota;Actinomycetes;Micrococcales;Microbacteriaceae;Mycetocola;Mycetocola reblochoni;</t>
  </si>
  <si>
    <t>Mycetocola reblochoni</t>
  </si>
  <si>
    <t>Bacteria;Pseudomonadota;Alphaproteobacteria;Sphingomonadales;Sphingomonadaceae;Sphingomonas;Sphingomonas azotifigens;</t>
  </si>
  <si>
    <t>Sphingomonas azotifigens</t>
  </si>
  <si>
    <t>Bacteria;Nitrospirota;Nitrospiria;Nitrospirales;Nitrospiraceae;Nitrospira;Nitrospira defluvii;</t>
  </si>
  <si>
    <t>Nitrospirota</t>
  </si>
  <si>
    <t>Nitrospiria</t>
  </si>
  <si>
    <t>Nitrospirales</t>
  </si>
  <si>
    <t>Nitrospiraceae</t>
  </si>
  <si>
    <t>Nitrospira</t>
  </si>
  <si>
    <t>Nitrospira defluvii</t>
  </si>
  <si>
    <t>Bacteria;Pseudomonadota;Alphaproteobacteria;Rhodobacterales;Roseobacteraceae;Tateyamaria;Tateyamaria pelophila;</t>
  </si>
  <si>
    <t>Tateyamaria pelophila</t>
  </si>
  <si>
    <t>Bacteria;Bacillota;Bacilli;Bacillales;Bacillaceae;Metabacillus;Metabacillus idriensis;</t>
  </si>
  <si>
    <t>Metabacillus idriensis</t>
  </si>
  <si>
    <t>Bacteria;Pseudomonadota;Betaproteobacteria;Burkholderiales;Alcaligenaceae;Zwartia;Zwartia hollandica;</t>
  </si>
  <si>
    <t>Zwartia hollandica</t>
  </si>
  <si>
    <t>Bacteria;Actinomycetota;Actinomycetes;Micrococcales;Microbacteriaceae;Microbacterium;Microbacterium koreense;</t>
  </si>
  <si>
    <t>Microbacterium koreense</t>
  </si>
  <si>
    <t>Bacteria;Pseudomonadota;Alphaproteobacteria;Hyphomicrobiales;Rhizobiaceae;Shinella;Shinella granuli;</t>
  </si>
  <si>
    <t>Shinella granuli</t>
  </si>
  <si>
    <t>Bacteria;Bacteroidota;Cytophagia;Cytophagales;Hymenobacteraceae;Pontibacter;Pontibacter actiniarum;</t>
  </si>
  <si>
    <t>Pontibacter actiniarum</t>
  </si>
  <si>
    <t>Bacteria;Bacteroidota;Flavobacteriia;Flavobacteriales;Flavobacteriaceae;Aquimarina;Aquimarina brevivitae;</t>
  </si>
  <si>
    <t>Aquimarina brevivitae</t>
  </si>
  <si>
    <t>Bacteria;Pseudomonadota;Alphaproteobacteria;Caulobacterales;Caulobacteraceae;Brevundimonas;Brevundimonas kwangchunensis;</t>
  </si>
  <si>
    <t>Brevundimonas kwangchunensis</t>
  </si>
  <si>
    <t>Bacteria;Pseudomonadota;Gammaproteobacteria;Pseudomonadales;Pseudomonadaceae;Pseudomonas;Pseudomonas simiae;</t>
  </si>
  <si>
    <t>Pseudomonas simiae</t>
  </si>
  <si>
    <t>Bacteria;Bacillota;Clostridia;Halanaerobiales;Halarsenatibacteraceae;Halarsenatibacter;Halarsenatibacter silvermanii;</t>
  </si>
  <si>
    <t>Halarsenatibacteraceae</t>
  </si>
  <si>
    <t>Halarsenatibacter</t>
  </si>
  <si>
    <t>Halarsenatibacter silvermanii</t>
  </si>
  <si>
    <t>Bacteria;Actinomycetota;Actinomycetes;Mycobacteriales;Nocardiaceae;Williamsia;Williamsia deligens;</t>
  </si>
  <si>
    <t>Williamsia deligens</t>
  </si>
  <si>
    <t>Bacteria;Pseudomonadota;Gammaproteobacteria;Pseudomonadales;Pseudomonadaceae;Metapseudomonas;Metapseudomonas otitidis;</t>
  </si>
  <si>
    <t>Metapseudomonas otitidis</t>
  </si>
  <si>
    <t>Bacteria;Actinomycetota;Actinomycetes;Mycobacteriales;Mycobacteriaceae;Mycolicibacterium;Mycolicibacterium aubagnense;</t>
  </si>
  <si>
    <t>Mycolicibacterium aubagnense</t>
  </si>
  <si>
    <t>Bacteria;Bacillota;Clostridia;Eubacteriales;Clostridiaceae;Clostridium;Clostridium lundense;</t>
  </si>
  <si>
    <t>Clostridium lundense</t>
  </si>
  <si>
    <t>Bacteria;Bacteroidota;Flavobacteriia;Flavobacteriales;Flavobacteriaceae;Sediminicola;Sediminicola luteus;</t>
  </si>
  <si>
    <t>Sediminicola</t>
  </si>
  <si>
    <t>Sediminicola luteus</t>
  </si>
  <si>
    <t>Bacteria;Bacillota;Clostridia;Eubacteriales;Clostridiaceae;Clostridium;Clostridium sulfidigenes;</t>
  </si>
  <si>
    <t>Clostridium sulfidigenes</t>
  </si>
  <si>
    <t>Bacteria;Pseudomonadota;Gammaproteobacteria;Vibrionales;Vibrionaceae;Photobacterium;Photobacterium kishitanii;</t>
  </si>
  <si>
    <t>Photobacterium kishitanii</t>
  </si>
  <si>
    <t>Bacteria;Actinomycetota;Actinomycetes;Streptosporangiales;Streptosporangiaceae;Microbispora;Microbispora sp. ATCC PTA-5024;</t>
  </si>
  <si>
    <t>Microbispora</t>
  </si>
  <si>
    <t>Microbispora sp. ATCC PTA-5024</t>
  </si>
  <si>
    <t>Bacteria;Pseudomonadota;Gammaproteobacteria;Lysobacterales;Lysobacteraceae;Pseudoxanthomonas;Pseudoxanthomonas suwonensis;</t>
  </si>
  <si>
    <t>Pseudoxanthomonas suwonensis</t>
  </si>
  <si>
    <t>Bacteria;Pseudomonadota;Gammaproteobacteria;Alteromonadales;Pseudoalteromonadaceae;Pseudoalteromonas;Pseudoalteromonas tunicata;</t>
  </si>
  <si>
    <t>Pseudoalteromonas tunicata</t>
  </si>
  <si>
    <t>Bacteria;Pseudomonadota;Gammaproteobacteria;Pseudomonadales;Pseudomonadaceae;Pseudomonas;Pseudomonas entomophila;</t>
  </si>
  <si>
    <t>Pseudomonas entomophila</t>
  </si>
  <si>
    <t>Bacteria;Bacteroidota;Cytophagia;Cytophagales;Leadbetterellaceae;Emticicia;Emticicia oligotrophica;</t>
  </si>
  <si>
    <t>Emticicia oligotrophica</t>
  </si>
  <si>
    <t>Bacteria;Bacteroidota;Flavobacteriia;Flavobacteriales;Flavobacteriaceae;Flavobacterium;Flavobacterium indicum;</t>
  </si>
  <si>
    <t>Flavobacterium indicum</t>
  </si>
  <si>
    <t>Bacteria;Bacillota;Clostridia;Peptostreptococcales;Natronincolaceae;Anaerovirgula;Anaerovirgula multivorans;</t>
  </si>
  <si>
    <t>Anaerovirgula</t>
  </si>
  <si>
    <t>Anaerovirgula multivorans</t>
  </si>
  <si>
    <t>Bacteria;Bacillota;Clostridia;Eubacteriales;Clostridiaceae;Clostridium;Clostridium ganghwense;</t>
  </si>
  <si>
    <t>Clostridium ganghwense</t>
  </si>
  <si>
    <t>Bacteria;Bacteroidota;Flavobacteriia;Flavobacteriales;Weeksellaceae;Chryseobacterium;Chryseobacterium soldanellicola;</t>
  </si>
  <si>
    <t>Chryseobacterium soldanellicola</t>
  </si>
  <si>
    <t>Bacteria;Pseudomonadota;Betaproteobacteria;Burkholderiales;Burkholderiaceae;Paraburkholderia;Paraburkholderia terrae;</t>
  </si>
  <si>
    <t>Paraburkholderia terrae</t>
  </si>
  <si>
    <t>Bacteria;Bacillota;Bacilli;Bacillales;Bacillaceae;Halobacillus;Halobacillus yeomjeoni;</t>
  </si>
  <si>
    <t>Halobacillus</t>
  </si>
  <si>
    <t>Halobacillus yeomjeoni</t>
  </si>
  <si>
    <t>Bacteria;Pseudomonadota;Betaproteobacteria;Nitrosomonadales;Sterolibacteriaceae;Denitratisoma;Denitratisoma oestradiolicum;</t>
  </si>
  <si>
    <t>Denitratisoma</t>
  </si>
  <si>
    <t>Denitratisoma oestradiolicum</t>
  </si>
  <si>
    <t>Bacteria;Spirochaetota;Spirochaetia;Brachyspirales;Brachyspiraceae;Brachyspira;Brachyspira pulli;</t>
  </si>
  <si>
    <t>Brachyspirales</t>
  </si>
  <si>
    <t>Brachyspiraceae</t>
  </si>
  <si>
    <t>Brachyspira</t>
  </si>
  <si>
    <t>Brachyspira pulli</t>
  </si>
  <si>
    <t>Bacteria;Actinomycetota;Actinomycetes;Micromonosporales;Micromonosporaceae;Catellatospora;Catellatospora chokoriensis;</t>
  </si>
  <si>
    <t>Catellatospora chokoriensis</t>
  </si>
  <si>
    <t>Bacteria;Deinococcota;Deinococci;Deinococcales;Deinococcaceae;Deinococcus;Deinococcus yavapaiensis;</t>
  </si>
  <si>
    <t>Deinococcus yavapaiensis</t>
  </si>
  <si>
    <t>Bacteria;Bacteroidota;Flavobacteriia;Flavobacteriales;Flavobacteriaceae;Flavobacterium;Flavobacterium sp. 2;</t>
  </si>
  <si>
    <t>Flavobacterium sp. 2</t>
  </si>
  <si>
    <t>Bacteria;Bacillota;Bacilli;Bacillales;NA;Exiguobacterium;Exiguobacterium profundum;</t>
  </si>
  <si>
    <t>Exiguobacterium profundum</t>
  </si>
  <si>
    <t>Bacteria;Pseudomonadota;Betaproteobacteria;Burkholderiales;NA;Tepidimonas;Tepidimonas taiwanensis;</t>
  </si>
  <si>
    <t>Tepidimonas taiwanensis</t>
  </si>
  <si>
    <t>Bacteria;Bacillota;Bacilli;Bacillales;Paenibacillaceae;Paenibacillus;Paenibacillus gansuensis;</t>
  </si>
  <si>
    <t>Paenibacillus gansuensis</t>
  </si>
  <si>
    <t>Bacteria;Pseudomonadota;Gammaproteobacteria;Chromatiales;Chromatiaceae;Rheinheimera;Rheinheimera texasensis;</t>
  </si>
  <si>
    <t>Rheinheimera texasensis</t>
  </si>
  <si>
    <t>Bacteria;Actinomycetota;Actinomycetes;Catenulisporales;Actinospicaceae;Actinospica;Actinospica robiniae;</t>
  </si>
  <si>
    <t>Actinospica</t>
  </si>
  <si>
    <t>Actinospica robiniae</t>
  </si>
  <si>
    <t>Bacteria;Pseudomonadota;Alphaproteobacteria;Sphingomonadales;Sphingomonadaceae;Sphingomonas;Sphingomonas sp. IC081;</t>
  </si>
  <si>
    <t>Sphingomonas sp. IC081</t>
  </si>
  <si>
    <t>Bacteria;Pseudomonadota;Betaproteobacteria;Burkholderiales;Oxalobacteraceae;Herminiimonas;Herminiimonas fonticola;</t>
  </si>
  <si>
    <t>Herminiimonas fonticola</t>
  </si>
  <si>
    <t>Bacteria;Actinomycetota;Actinomycetes;Micrococcales;Cellulomonadaceae;Cellulomonas;Cellulomonas bogoriensis;</t>
  </si>
  <si>
    <t>Cellulomonas bogoriensis</t>
  </si>
  <si>
    <t>Bacteria;Pseudomonadota;Alphaproteobacteria;Sphingomonadales;Sphingomonadaceae;Sphingomonas;Sphingomonas oligophenolica;</t>
  </si>
  <si>
    <t>Sphingomonas oligophenolica</t>
  </si>
  <si>
    <t>Bacteria;Bacillota;Bacilli;Bacillales;Bacillaceae;Caldibacillus;Caldibacillus debilis;</t>
  </si>
  <si>
    <t>Caldibacillus</t>
  </si>
  <si>
    <t>Caldibacillus debilis</t>
  </si>
  <si>
    <t>Bacteria;Pseudomonadota;Gammaproteobacteria;Vibrionales;Vibrionaceae;Vibrio;Vibrio europaeus;</t>
  </si>
  <si>
    <t>Vibrio europaeus</t>
  </si>
  <si>
    <t>Bacteria;Pseudomonadota;Alphaproteobacteria;Hyphomicrobiales;Hyphomicrobiaceae;Hyphomicrobium;Hyphomicrobium sp. MC8b;</t>
  </si>
  <si>
    <t>Hyphomicrobium sp. MC8b</t>
  </si>
  <si>
    <t>Bacteria;Pseudomonadota;Gammaproteobacteria;Enterobacterales;Yersiniaceae;Serratia;Serratia ureilytica;</t>
  </si>
  <si>
    <t>Serratia ureilytica</t>
  </si>
  <si>
    <t>Bacteria;Actinomycetota;Actinomycetes;Micrococcales;Microbacteriaceae;Microbacterium;Microbacterium paludicola;</t>
  </si>
  <si>
    <t>Microbacterium paludicola</t>
  </si>
  <si>
    <t>Bacteria;Pseudomonadota;Gammaproteobacteria;Enterobacterales;Enterobacteriaceae;Enterobacter;Enterobacter ludwigii;</t>
  </si>
  <si>
    <t>Enterobacter ludwigii</t>
  </si>
  <si>
    <t>Bacteria;Bacteroidota;Cytophagia;Cytophagales;Hymenobacteraceae;Adhaeribacter;Adhaeribacter aquaticus;</t>
  </si>
  <si>
    <t>Adhaeribacter aquaticus</t>
  </si>
  <si>
    <t>Bacteria;Pseudomonadota;Gammaproteobacteria;Alteromonadales;Pseudoalteromonadaceae;Pseudoalteromonas;Pseudoalteromonas spongiae;</t>
  </si>
  <si>
    <t>Pseudoalteromonas spongiae</t>
  </si>
  <si>
    <t>Bacteria;Actinomycetota;Thermoleophilia;Solirubrobacterales;Patulibacteraceae;Patulibacter;Patulibacter minatonensis;</t>
  </si>
  <si>
    <t>Patulibacter minatonensis</t>
  </si>
  <si>
    <t>Bacteria;Bacteroidota;Flavobacteriia;Flavobacteriales;Weeksellaceae;Chryseobacterium;Chryseobacterium shigense;</t>
  </si>
  <si>
    <t>Chryseobacterium shigense</t>
  </si>
  <si>
    <t>Bacteria;Pseudomonadota;Betaproteobacteria;Burkholderiales;NA;Xylophilus;uncultured Xylophilus sp.;</t>
  </si>
  <si>
    <t>uncultured Xylophilus sp.</t>
  </si>
  <si>
    <t>Bacteria;Pseudomonadota;Betaproteobacteria;Burkholderiales;Comamonadaceae;Polaromonas;Polaromonas sp. JS666;</t>
  </si>
  <si>
    <t>Polaromonas sp. JS666</t>
  </si>
  <si>
    <t>Bacteria;Pseudomonadota;Alphaproteobacteria;Hyphomicrobiales;Rhizobiaceae;Rhizobium;Rhizobium lusitanum;</t>
  </si>
  <si>
    <t>Rhizobium lusitanum</t>
  </si>
  <si>
    <t>Bacteria;Actinomycetota;Actinomycetes;Micrococcales;Microbacteriaceae;Agromyces;Agromyces subbeticus;</t>
  </si>
  <si>
    <t>Agromyces subbeticus</t>
  </si>
  <si>
    <t>Bacteria;Bacillota;Bacilli;Bacillales;Bacillaceae;Bacillus;Bacillus altitudinis;</t>
  </si>
  <si>
    <t>Bacillus altitudinis</t>
  </si>
  <si>
    <t>Bacteria;Actinomycetota;Actinomycetes;Micrococcales;Microbacteriaceae;Plantibacter;uncultured Plantibacter sp.;</t>
  </si>
  <si>
    <t>uncultured Plantibacter sp.</t>
  </si>
  <si>
    <t>Bacteria;Pseudomonadota;Alphaproteobacteria;Hyphomicrobiales;Aurantimonadaceae;Martelella;Martelella mediterranea;</t>
  </si>
  <si>
    <t>Martelella mediterranea</t>
  </si>
  <si>
    <t>Bacteria;Spirochaetota;Spirochaetia;Leptospirales;Leptospiraceae;Leptospira;Leptospira yanagawae;</t>
  </si>
  <si>
    <t>Leptospirales</t>
  </si>
  <si>
    <t>Leptospiraceae</t>
  </si>
  <si>
    <t>Leptospira</t>
  </si>
  <si>
    <t>Leptospira yanagawae</t>
  </si>
  <si>
    <t>Bacteria;Pseudomonadota;Alphaproteobacteria;Sphingomonadales;Sphingomonadaceae;Novosphingobium;uncultured Novosphingobium sp.;</t>
  </si>
  <si>
    <t>uncultured Novosphingobium sp.</t>
  </si>
  <si>
    <t>Bacteria;Pseudomonadota;Gammaproteobacteria;Pseudomonadales;Pseudomonadaceae;Stutzerimonas;Stutzerimonas azotifigens;</t>
  </si>
  <si>
    <t>Stutzerimonas azotifigens</t>
  </si>
  <si>
    <t>Bacteria;Bacteroidota;Cytophagia;Cytophagales;Cyclobacteriaceae;Algoriphagus;Algoriphagus yeomjeoni;</t>
  </si>
  <si>
    <t>Algoriphagus yeomjeoni</t>
  </si>
  <si>
    <t>Bacteria;Pseudomonadota;Betaproteobacteria;Burkholderiales;Comamonadaceae;Comamonas;Comamonas granuli;</t>
  </si>
  <si>
    <t>Comamonas granuli</t>
  </si>
  <si>
    <t>Bacteria;Pseudomonadota;Gammaproteobacteria;Pseudomonadales;Pseudomonadaceae;Pseudomonas;Pseudomonas argentinensis;</t>
  </si>
  <si>
    <t>Pseudomonas argentinensis</t>
  </si>
  <si>
    <t>Bacteria;Pseudomonadota;Gammaproteobacteria;Pseudomonadales;Pseudomonadaceae;Pseudomonas;Pseudomonas borbori;</t>
  </si>
  <si>
    <t>Pseudomonas borbori</t>
  </si>
  <si>
    <t>Bacteria;Pseudomonadota;Alphaproteobacteria;Hyphomicrobiales;Devosiaceae;Devosia;Devosia limi;</t>
  </si>
  <si>
    <t>Devosia limi</t>
  </si>
  <si>
    <t>Bacteria;Bacillota;Clostridia;Lutisporales;Lutisporaceae;Lutispora;Lutispora thermophila;</t>
  </si>
  <si>
    <t>Lutispora thermophila</t>
  </si>
  <si>
    <t>Bacteria;Pseudomonadota;Betaproteobacteria;Burkholderiales;Alcaligenaceae;Bordetella;Bordetella ansorpii;</t>
  </si>
  <si>
    <t>Bordetella ansorpii</t>
  </si>
  <si>
    <t>Bacteria;Pseudomonadota;Alphaproteobacteria;Acetobacterales;Acetobacteraceae;Neoroseomonas;Neoroseomonas lacus;</t>
  </si>
  <si>
    <t>Neoroseomonas lacus</t>
  </si>
  <si>
    <t>Bacteria;Bacteroidota;Flavobacteriia;Flavobacteriales;Flavobacteriaceae;Salegentibacter;Salegentibacter flavus;</t>
  </si>
  <si>
    <t>Salegentibacter</t>
  </si>
  <si>
    <t>Salegentibacter flavus</t>
  </si>
  <si>
    <t>Bacteria;Bacillota;Clostridia;Lachnospirales;Lachnospiraceae;Dorea;uncultured Dorea sp.;</t>
  </si>
  <si>
    <t>Dorea</t>
  </si>
  <si>
    <t>uncultured Dorea sp.</t>
  </si>
  <si>
    <t>Bacteria;Bacillota;Bacilli;Bacillales;Bacillaceae;Mesobacillus;Mesobacillus subterraneus;</t>
  </si>
  <si>
    <t>Mesobacillus subterraneus</t>
  </si>
  <si>
    <t>Bacteria;Actinomycetota;Actinomycetes;Kitasatosporales;Streptomycetaceae;Kitasatospora;Kitasatospora cinereorecta;</t>
  </si>
  <si>
    <t>Kitasatospora cinereorecta</t>
  </si>
  <si>
    <t>Bacteria;Bacillota;Bacilli;Bacillales;Bacillaceae;Priestia;Priestia koreensis;</t>
  </si>
  <si>
    <t>Priestia</t>
  </si>
  <si>
    <t>Priestia koreensis</t>
  </si>
  <si>
    <t>Bacteria;Pseudomonadota;Alphaproteobacteria;Caulobacterales;Caulobacteraceae;Phenylobacterium;Phenylobacterium zucineum;</t>
  </si>
  <si>
    <t>Phenylobacterium zucineum</t>
  </si>
  <si>
    <t>Bacteria;Actinomycetota;Actinomycetes;Micrococcales;Microbacteriaceae;Leucobacter;Leucobacter aridicollis;</t>
  </si>
  <si>
    <t>Leucobacter aridicollis</t>
  </si>
  <si>
    <t>Bacteria;Bacillota;Bacilli;Bacillales;Bacillaceae;Metabacillus;Metabacillus herbersteinensis;</t>
  </si>
  <si>
    <t>Metabacillus herbersteinensis</t>
  </si>
  <si>
    <t>Bacteria;Pseudomonadota;Betaproteobacteria;Burkholderiales;Comamonadaceae;Variovorax;Variovorax sp. SRS16;</t>
  </si>
  <si>
    <t>Variovorax sp. SRS16</t>
  </si>
  <si>
    <t>Bacteria;Actinomycetota;Actinomycetes;Propionibacteriales;Nocardioidaceae;Nocardioides;Nocardioides alkalitolerans;</t>
  </si>
  <si>
    <t>Nocardioides alkalitolerans</t>
  </si>
  <si>
    <t>Bacteria;Pseudomonadota;Alphaproteobacteria;Hyphomicrobiales;Xanthobacteraceae;Azorhizobium;Azorhizobium doebereinerae;</t>
  </si>
  <si>
    <t>Azorhizobium doebereinerae</t>
  </si>
  <si>
    <t>Bacteria;Pseudomonadota;Alphaproteobacteria;Hyphomicrobiales;Nitrobacteraceae;Bradyrhizobium;Bradyrhizobium jicamae;</t>
  </si>
  <si>
    <t>Bradyrhizobium jicamae</t>
  </si>
  <si>
    <t>Bacteria;Actinomycetota;Actinomycetes;Streptosporangiales;Nocardiopsidaceae;Nocardiopsis;Nocardiopsis chromatogenes;</t>
  </si>
  <si>
    <t>Nocardiopsidaceae</t>
  </si>
  <si>
    <t>Nocardiopsis</t>
  </si>
  <si>
    <t>Nocardiopsis chromatogenes</t>
  </si>
  <si>
    <t>Bacteria;Pseudomonadota;Gammaproteobacteria;Moraxellales;Moraxellaceae;Acinetobacter;Acinetobacter courvalinii;</t>
  </si>
  <si>
    <t>Acinetobacter courvalinii</t>
  </si>
  <si>
    <t>Bacteria;Pseudomonadota;Gammaproteobacteria;Moraxellales;Moraxellaceae;Acinetobacter;Acinetobacter colistiniresistens;</t>
  </si>
  <si>
    <t>Acinetobacter colistiniresistens</t>
  </si>
  <si>
    <t>Bacteria;Bacillota;Bacilli;Bacillales;Bacillaceae;Mesobacillus;Mesobacillus foraminis;</t>
  </si>
  <si>
    <t>Mesobacillus foraminis</t>
  </si>
  <si>
    <t>Bacteria;Actinomycetota;Actinomycetes;Micrococcales;Microbacteriaceae;Agromyces;Agromyces humatus;</t>
  </si>
  <si>
    <t>Agromyces humatus</t>
  </si>
  <si>
    <t>Bacteria;Actinomycetota;Actinomycetes;Micrococcales;Microbacteriaceae;Agromyces;Agromyces italicus;</t>
  </si>
  <si>
    <t>Agromyces italicus</t>
  </si>
  <si>
    <t>Bacteria;Pseudomonadota;Alphaproteobacteria;Sphingomonadales;Sphingomonadaceae;Novosphingopyxis;Novosphingopyxis baekryungensis;</t>
  </si>
  <si>
    <t>Novosphingopyxis</t>
  </si>
  <si>
    <t>Novosphingopyxis baekryungensis</t>
  </si>
  <si>
    <t>Bacteria;Pseudomonadota;Alphaproteobacteria;Hyphomicrobiales;Rhizobiaceae;Hoeflea;Hoeflea marina;</t>
  </si>
  <si>
    <t>Hoeflea</t>
  </si>
  <si>
    <t>Hoeflea marina</t>
  </si>
  <si>
    <t>Bacteria;Actinomycetota;Actinomycetes;Micrococcales;Microbacteriaceae;Microbacterium;Microbacterium hydrocarbonoxydans;</t>
  </si>
  <si>
    <t>Microbacterium hydrocarbonoxydans</t>
  </si>
  <si>
    <t>Bacteria;Actinomycetota;Actinomycetes;Micrococcales;Microbacteriaceae;Microbacterium;Microbacterium oleivorans;</t>
  </si>
  <si>
    <t>Microbacterium oleivorans</t>
  </si>
  <si>
    <t>Bacteria;Pseudomonadota;Alphaproteobacteria;Sphingomonadales;Sphingomonadaceae;Novosphingobium;Novosphingobium naphthalenivorans;</t>
  </si>
  <si>
    <t>Novosphingobium naphthalenivorans</t>
  </si>
  <si>
    <t>Bacteria;Pseudomonadota;Gammaproteobacteria;Alteromonadales;Shewanellaceae;Shewanella;Shewanella canadensis;</t>
  </si>
  <si>
    <t>Shewanella canadensis</t>
  </si>
  <si>
    <t>Bacteria;Pseudomonadota;Betaproteobacteria;Burkholderiales;Sphaerotilaceae;Roseateles;Roseateles toxinivorans;</t>
  </si>
  <si>
    <t>Roseateles toxinivorans</t>
  </si>
  <si>
    <t>Bacteria;Pseudomonadota;Alphaproteobacteria;Acetobacterales;Roseomonadaceae;Rhodovarius;Rhodovarius lipocyclicus;</t>
  </si>
  <si>
    <t>Rhodovarius lipocyclicus</t>
  </si>
  <si>
    <t>Bacteria;Pseudomonadota;Alphaproteobacteria;Rhodobacterales;Roseobacteraceae;Thalassobacter;Thalassobacter stenotrophicus;</t>
  </si>
  <si>
    <t>Thalassobacter</t>
  </si>
  <si>
    <t>Thalassobacter stenotrophicus</t>
  </si>
  <si>
    <t>Bacteria;Pseudomonadota;Gammaproteobacteria;Cellvibrionales;Microbulbiferaceae;Microbulbifer;Microbulbifer variabilis;</t>
  </si>
  <si>
    <t>Microbulbifer variabilis</t>
  </si>
  <si>
    <t>Bacteria;Pseudomonadota;Gammaproteobacteria;Lysobacterales;Lysobacteraceae;Lysobacter;Lysobacter koreensis;</t>
  </si>
  <si>
    <t>Lysobacter koreensis</t>
  </si>
  <si>
    <t>Bacteria;Pseudomonadota;Alphaproteobacteria;Hyphomicrobiales;Xanthobacteraceae;Ancylobacter;Ancylobacter koreensis;</t>
  </si>
  <si>
    <t>Ancylobacter koreensis</t>
  </si>
  <si>
    <t>Bacteria;Pseudomonadota;Gammaproteobacteria;Lysobacterales;Lysobacteraceae;Pseudoxanthomonas;Pseudoxanthomonas daejeonensis;</t>
  </si>
  <si>
    <t>Pseudoxanthomonas daejeonensis</t>
  </si>
  <si>
    <t>Bacteria;Pseudomonadota;Betaproteobacteria;Nitrosomonadales;Methylophilaceae;Methylovorus;Methylovorus glucosotrophus;</t>
  </si>
  <si>
    <t>Methylovorus</t>
  </si>
  <si>
    <t>Methylovorus glucosotrophus</t>
  </si>
  <si>
    <t>Bacteria;Pseudomonadota;Gammaproteobacteria;Lysobacterales;Rhodanobacteraceae;Aquimonas;Aquimonas voraii;</t>
  </si>
  <si>
    <t>Aquimonas voraii</t>
  </si>
  <si>
    <t>Bacteria;Bacillota;Erysipelotrichia;Erysipelotrichales;Erysipelotrichaceae;Breznakia;Breznakia pachnodae;</t>
  </si>
  <si>
    <t>Erysipelotrichaceae</t>
  </si>
  <si>
    <t>Breznakia</t>
  </si>
  <si>
    <t>Breznakia pachnodae</t>
  </si>
  <si>
    <t>Bacteria;Actinomycetota;Actinomycetes;Mycobacteriales;Gordoniaceae;Millisia;Millisia brevis;</t>
  </si>
  <si>
    <t>Millisia</t>
  </si>
  <si>
    <t>Millisia brevis</t>
  </si>
  <si>
    <t>Bacteria;Pseudomonadota;Gammaproteobacteria;Enterobacterales;Yersiniaceae;Yersinia;Yersinia aleksiciae;</t>
  </si>
  <si>
    <t>Yersinia aleksiciae</t>
  </si>
  <si>
    <t>Bacteria;Pseudomonadota;Gammaproteobacteria;Aeromonadales;Aeromonadaceae;Tolumonas;uncultured Tolumonas sp.;</t>
  </si>
  <si>
    <t>Tolumonas</t>
  </si>
  <si>
    <t>uncultured Tolumonas sp.</t>
  </si>
  <si>
    <t>Bacteria;Pseudomonadota;Betaproteobacteria;Burkholderiales;Comamonadaceae;Malikia;Malikia granosa;</t>
  </si>
  <si>
    <t>Malikia granosa</t>
  </si>
  <si>
    <t>Bacteria;Pseudomonadota;Gammaproteobacteria;Moraxellales;Moraxellaceae;Acinetobacter;Acinetobacter beijerinckii;</t>
  </si>
  <si>
    <t>Acinetobacter beijerinckii</t>
  </si>
  <si>
    <t>Bacteria;Pseudomonadota;Gammaproteobacteria;Lysobacterales;Lysobacteraceae;Lysobacter;Lysobacter brunescens;</t>
  </si>
  <si>
    <t>Lysobacter brunescens</t>
  </si>
  <si>
    <t>Bacteria;Bacteroidota;Flavobacteriia;Flavobacteriales;Flavobacteriaceae;Flavobacterium;Flavobacterium frigidimaris;</t>
  </si>
  <si>
    <t>Flavobacterium frigidimaris</t>
  </si>
  <si>
    <t>Bacteria;Bacillota;Clostridia;Peptostreptococcales;Peptostreptococcaceae;Intestinibacter;Intestinibacter bartlettii;</t>
  </si>
  <si>
    <t>Intestinibacter bartlettii</t>
  </si>
  <si>
    <t>Bacteria;Pseudomonadota;Betaproteobacteria;Burkholderiales;Comamonadaceae;Ramlibacter;uncultured Ramlibacter sp.;</t>
  </si>
  <si>
    <t>uncultured Ramlibacter sp.</t>
  </si>
  <si>
    <t>Bacteria;Pseudomonadota;Alphaproteobacteria;Caulobacterales;Caulobacteraceae;Asticcacaulis;Asticcacaulis taihuensis;</t>
  </si>
  <si>
    <t>Asticcacaulis taihuensis</t>
  </si>
  <si>
    <t>Bacteria;Bacteroidota;Flavobacteriia;Flavobacteriales;Weeksellaceae;Chryseobacterium;uncultured Chryseobacterium sp.;</t>
  </si>
  <si>
    <t>uncultured Chryseobacterium sp.</t>
  </si>
  <si>
    <t>Bacteria;Bacillota;Clostridia;Lachnospirales;Lachnospiraceae;Anaerocolumna;Anaerocolumna jejuensis;</t>
  </si>
  <si>
    <t>Anaerocolumna jejuensis</t>
  </si>
  <si>
    <t>Bacteria;Bacillota;Clostridia;Eubacteriales;Desulfotomaculaceae;Pelotomaculum;Pelotomaculum propionicicum;</t>
  </si>
  <si>
    <t>Pelotomaculum</t>
  </si>
  <si>
    <t>Pelotomaculum propionicicum</t>
  </si>
  <si>
    <t>Bacteria;Pseudomonadota;Gammaproteobacteria;Oceanospirillales;Halomonadaceae;Halomonas;Halomonas organivorans;</t>
  </si>
  <si>
    <t>Halomonas organivorans</t>
  </si>
  <si>
    <t>Bacteria;Pseudomonadota;Alphaproteobacteria;Sphingomonadales;Sphingomonadaceae;Sphingomonas;Sphingomonas phyllosphaerae;</t>
  </si>
  <si>
    <t>Sphingomonas phyllosphaerae</t>
  </si>
  <si>
    <t>Bacteria;Pseudomonadota;Alphaproteobacteria;Sphingomonadales;Erythrobacteraceae;Qipengyuania;Qipengyuania aquimaris;</t>
  </si>
  <si>
    <t>Qipengyuania</t>
  </si>
  <si>
    <t>Qipengyuania aquimaris</t>
  </si>
  <si>
    <t>Bacteria;Bacillota;Clostridia;Eubacteriales;Oscillospiraceae;Acetivibrio;Acetivibrio straminisolvens;</t>
  </si>
  <si>
    <t>Acetivibrio straminisolvens</t>
  </si>
  <si>
    <t>Bacteria;Bacillota;Bacilli;Bacillales;Bacillaceae;Pallidibacillus;Pallidibacillus thermolactis;</t>
  </si>
  <si>
    <t>Pallidibacillus</t>
  </si>
  <si>
    <t>Pallidibacillus thermolactis</t>
  </si>
  <si>
    <t>Bacteria;Pseudomonadota;Betaproteobacteria;Burkholderiales;Comamonadaceae;Hydrogenophaga;Hydrogenophaga defluvii;</t>
  </si>
  <si>
    <t>Hydrogenophaga defluvii</t>
  </si>
  <si>
    <t>Bacteria;Pseudomonadota;Betaproteobacteria;Burkholderiales;Comamonadaceae;Hydrogenophaga;Hydrogenophaga atypica;</t>
  </si>
  <si>
    <t>Hydrogenophaga atypica</t>
  </si>
  <si>
    <t>Bacteria;Bacteroidota;Bacteroidia;Bacteroidales;Bacteroidaceae;Bacteroides;Bacteroides cellulosilyticus;</t>
  </si>
  <si>
    <t>Bacteroides cellulosilyticus</t>
  </si>
  <si>
    <t>Bacteria;Bacillota;Bacilli;Bacillales;Bacillaceae;Metabacillus;Metabacillus indicus;</t>
  </si>
  <si>
    <t>Metabacillus indicus</t>
  </si>
  <si>
    <t>Bacteria;Bacteroidota;Sphingobacteriia;Sphingobacteriales;Sphingobacteriaceae;Pedobacter;uncultured Pedobacter sp.;</t>
  </si>
  <si>
    <t>uncultured Pedobacter sp.</t>
  </si>
  <si>
    <t>Bacteria;Pseudomonadota;Alphaproteobacteria;Rhodobacterales;Roseobacteraceae;Loktanella;Loktanella fryxellensis;</t>
  </si>
  <si>
    <t>Loktanella</t>
  </si>
  <si>
    <t>Loktanella fryxellensis</t>
  </si>
  <si>
    <t>Bacteria;Actinomycetota;Actinomycetes;Micrococcales;Microbacteriaceae;Klugiella;Klugiella xanthotipulae;</t>
  </si>
  <si>
    <t>Klugiella</t>
  </si>
  <si>
    <t>Klugiella xanthotipulae</t>
  </si>
  <si>
    <t>Bacteria;Pseudomonadota;Gammaproteobacteria;Pseudomonadales;Pseudomonadaceae;Pseudomonas;Pseudomonas lurida;</t>
  </si>
  <si>
    <t>Pseudomonas lurida</t>
  </si>
  <si>
    <t>Bacteria;Pseudomonadota;Gammaproteobacteria;Enterobacterales;Enterobacteriaceae;Klebsiella;Klebsiella variicola;</t>
  </si>
  <si>
    <t>Klebsiella variicola</t>
  </si>
  <si>
    <t>Bacteria;Pseudomonadota;Betaproteobacteria;Burkholderiales;Burkholderiaceae;Burkholderia;Candidatus Burkholderia verschuerenii;</t>
  </si>
  <si>
    <t>Candidatus Burkholderia verschuerenii</t>
  </si>
  <si>
    <t>Bacteria;Pseudomonadota;Alphaproteobacteria;Hyphomicrobiales;Rhizobiaceae;Rhizobium;Rhizobium daejeonense;</t>
  </si>
  <si>
    <t>Rhizobium daejeonense</t>
  </si>
  <si>
    <t>Bacteria;Pseudomonadota;Betaproteobacteria;Neisseriales;Chitinibacteraceae;Chitinimonas;Chitinimonas taiwanensis;</t>
  </si>
  <si>
    <t>Chitinimonas taiwanensis</t>
  </si>
  <si>
    <t>Bacteria;Actinomycetota;Actinomycetes;Mycobacteriales;Mycobacteriaceae;Mycobacterium;Mycobacterium parascrofulaceum;</t>
  </si>
  <si>
    <t>Mycobacterium parascrofulaceum</t>
  </si>
  <si>
    <t>Bacteria;Bdellovibrionota;Bdellovibrionia;Bdellovibrionales;Pseudobdellovibrionaceae;Bdellovibrio;uncultured Bdellovibrio sp.;</t>
  </si>
  <si>
    <t>uncultured Bdellovibrio sp.</t>
  </si>
  <si>
    <t>Bacteria;Bacillota;Clostridia;Eubacteriales;Clostridiaceae;Clostridium;Clostridium estertheticum;</t>
  </si>
  <si>
    <t>Clostridium estertheticum</t>
  </si>
  <si>
    <t>Bacteria;Bacteroidota;Flavobacteriia;Flavobacteriales;Weeksellaceae;Cloacibacterium;Cloacibacterium normanense;</t>
  </si>
  <si>
    <t>Cloacibacterium normanense</t>
  </si>
  <si>
    <t>Bacteria;Actinomycetota;Actinomycetes;Propionibacteriales;Kribbellaceae;Kribbella;Kribbella jejuensis;</t>
  </si>
  <si>
    <t>Kribbella jejuensis</t>
  </si>
  <si>
    <t>Bacteria;Actinomycetota;Actinomycetes;Kitasatosporales;Streptomycetaceae;Streptacidiphilus;Streptacidiphilus jiangxiensis;</t>
  </si>
  <si>
    <t>Streptacidiphilus jiangxiensis</t>
  </si>
  <si>
    <t>Bacteria;Pseudomonadota;Gammaproteobacteria;Lysobacterales;Rhodanobacteraceae;Dyella;Dyella japonica;</t>
  </si>
  <si>
    <t>Dyella japonica</t>
  </si>
  <si>
    <t>Archaea;Methanobacteriota;Methanobacteria;Methanobacteriales;Methanobacteriaceae;Methanobrevibacter;Methanobrevibacter millerae;</t>
  </si>
  <si>
    <t>Methanobacteria</t>
  </si>
  <si>
    <t>Methanobacteriales</t>
  </si>
  <si>
    <t>Methanobacteriaceae</t>
  </si>
  <si>
    <t>Methanobrevibacter</t>
  </si>
  <si>
    <t>Methanobrevibacter millerae</t>
  </si>
  <si>
    <t>Bacteria;Pseudomonadota;Betaproteobacteria;Burkholderiales;Comamonadaceae;Curvibacter;Curvibacter gracilis;</t>
  </si>
  <si>
    <t>Curvibacter gracilis</t>
  </si>
  <si>
    <t>Bacteria;Pseudomonadota;Gammaproteobacteria;Enterobacterales;Morganellaceae;Photorhabdus;Photorhabdus thracensis;</t>
  </si>
  <si>
    <t>Photorhabdus thracensis</t>
  </si>
  <si>
    <t>Bacteria;Chloroflexota;Anaerolineae;Anaerolineales;Anaerolineaceae;Levilinea;Levilinea saccharolytica;</t>
  </si>
  <si>
    <t>Levilinea</t>
  </si>
  <si>
    <t>Levilinea saccharolytica</t>
  </si>
  <si>
    <t>Bacteria;Bacillota;Clostridia;Peptostreptococcales;Peptostreptococcaceae;Tepidibacter;Tepidibacter formicigenes;</t>
  </si>
  <si>
    <t>Tepidibacter formicigenes</t>
  </si>
  <si>
    <t>Bacteria;Pseudomonadota;Gammaproteobacteria;Pseudomonadales;Pseudomonadaceae;Pseudomonas;Pseudomonas batumici;</t>
  </si>
  <si>
    <t>Pseudomonas batumici</t>
  </si>
  <si>
    <t>Bacteria;Pseudomonadota;Betaproteobacteria;Burkholderiales;Comamonadaceae;Comamonas;Comamonas kerstersii;</t>
  </si>
  <si>
    <t>Comamonas kerstersii</t>
  </si>
  <si>
    <t>Bacteria;Pseudomonadota;Betaproteobacteria;Burkholderiales;Comamonadaceae;Comamonas;Comamonas aquatica;</t>
  </si>
  <si>
    <t>Comamonas aquatica</t>
  </si>
  <si>
    <t>Bacteria;Bacillota;Clostridia;Eubacteriales;Clostridiaceae;Clostridium;Clostridium chromiireducens;</t>
  </si>
  <si>
    <t>Clostridium chromiireducens</t>
  </si>
  <si>
    <t>Bacteria;Pseudomonadota;Alphaproteobacteria;Hyphomicrobiales;NA;Enhydrobacter;Enhydrobacter aerosaccus;</t>
  </si>
  <si>
    <t>Enhydrobacter aerosaccus</t>
  </si>
  <si>
    <t>Bacteria;Bacillota;Clostridia;Eubacteriales;Clostridiaceae;Clostridium;Clostridium diolis;</t>
  </si>
  <si>
    <t>Clostridium diolis</t>
  </si>
  <si>
    <t>Bacteria;Pseudomonadota;Gammaproteobacteria;Oceanospirillales;Halomonadaceae;Chromohalobacter;Chromohalobacter japonicus;</t>
  </si>
  <si>
    <t>Chromohalobacter</t>
  </si>
  <si>
    <t>Chromohalobacter japonicus</t>
  </si>
  <si>
    <t>Bacteria;Pseudomonadota;Alphaproteobacteria;Hyphomicrobiales;Xanthobacteraceae;Ancylobacter;Ancylobacter polymorphus;</t>
  </si>
  <si>
    <t>Ancylobacter polymorphus</t>
  </si>
  <si>
    <t>Bacteria;Pseudomonadota;Alphaproteobacteria;Hyphomicrobiales;Xanthobacteraceae;Ancylobacter;Ancylobacter vacuolatus;</t>
  </si>
  <si>
    <t>Ancylobacter vacuolatus</t>
  </si>
  <si>
    <t>Bacteria;Pseudomonadota;Betaproteobacteria;Burkholderiales;Comamonadaceae;Rhodoferax;uncultured Rhodoferax sp.;</t>
  </si>
  <si>
    <t>uncultured Rhodoferax sp.</t>
  </si>
  <si>
    <t>Bacteria;Spirochaetota;Spirochaetia;Brachyspirales;Brachyspiraceae;Brachyspira;uncultured Brachyspira sp.;</t>
  </si>
  <si>
    <t>uncultured Brachyspira sp.</t>
  </si>
  <si>
    <t>Bacteria;Cyanobacteriota;Cyanophyceae;Nostocales;Symphyonemataceae;Mastigocladopsis;Mastigocladopsis repens;</t>
  </si>
  <si>
    <t>Symphyonemataceae</t>
  </si>
  <si>
    <t>Mastigocladopsis</t>
  </si>
  <si>
    <t>Mastigocladopsis repens</t>
  </si>
  <si>
    <t>Bacteria;Bacillota;Bacilli;Bacillales;Bacillaceae;Neobacillus;Neobacillus soli;</t>
  </si>
  <si>
    <t>Neobacillus soli</t>
  </si>
  <si>
    <t>Bacteria;Bacillota;Bacilli;Bacillales;Bacillaceae;Neobacillus;Neobacillus vireti;</t>
  </si>
  <si>
    <t>Neobacillus vireti</t>
  </si>
  <si>
    <t>Bacteria;Bacillota;Bacilli;Bacillales;Bacillaceae;Neobacillus;Neobacillus bataviensis;</t>
  </si>
  <si>
    <t>Neobacillus bataviensis</t>
  </si>
  <si>
    <t>Bacteria;Pseudomonadota;Alphaproteobacteria;Rhodobacterales;Paracoccaceae;Gemmobacter;Gemmobacter nectariphilus;</t>
  </si>
  <si>
    <t>Gemmobacter nectariphilus</t>
  </si>
  <si>
    <t>Bacteria;Bacillota;Clostridia;Eubacteriales;Clostridiaceae;Clostridium;Clostridium tunisiense;</t>
  </si>
  <si>
    <t>Clostridium tunisiense</t>
  </si>
  <si>
    <t>Bacteria;Pseudomonadota;Betaproteobacteria;Burkholderiales;Comamonadaceae;Ottowia;Ottowia thiooxydans;</t>
  </si>
  <si>
    <t>Ottowia thiooxydans</t>
  </si>
  <si>
    <t>Bacteria;Pseudomonadota;Gammaproteobacteria;Aeromonadales;Aeromonadaceae;Aeromonas;Aeromonas simiae;</t>
  </si>
  <si>
    <t>Aeromonas simiae</t>
  </si>
  <si>
    <t>Bacteria;Bacillota;Clostridia;Eubacteriales;Clostridiaceae;Clostridium;Clostridium carboxidivorans;</t>
  </si>
  <si>
    <t>Clostridium carboxidivorans</t>
  </si>
  <si>
    <t>Bacteria;Pseudomonadota;Alphaproteobacteria;Hyphomicrobiales;Xanthobacteraceae;Ancylobacter;Ancylobacter amanitiformis;</t>
  </si>
  <si>
    <t>Ancylobacter amanitiformis</t>
  </si>
  <si>
    <t>Bacteria;Pseudomonadota;Alphaproteobacteria;Hyphomicrobiales;Xanthobacteraceae;Ancylobacter;Ancylobacter tetraedralis;</t>
  </si>
  <si>
    <t>Ancylobacter tetraedralis</t>
  </si>
  <si>
    <t>Bacteria;Pseudomonadota;Alphaproteobacteria;Hyphomicrobiales;Xanthobacteraceae;Labrys;Labrys monachus;</t>
  </si>
  <si>
    <t>Labrys monachus</t>
  </si>
  <si>
    <t>Bacteria;Bacteroidota;Flavobacteriia;Flavobacteriales;Weeksellaceae;Epilithonimonas;Epilithonimonas mollis;</t>
  </si>
  <si>
    <t>Epilithonimonas mollis</t>
  </si>
  <si>
    <t>Bacteria;Pseudomonadota;Gammaproteobacteria;Lysobacterales;Lysobacteraceae;Stenotrophomonas;Stenotrophomonas rhizophila;</t>
  </si>
  <si>
    <t>Stenotrophomonas rhizophila</t>
  </si>
  <si>
    <t>Bacteria;Pseudomonadota;Betaproteobacteria;Burkholderiales;Comamonadaceae;Polaromonas;Polaromonas naphthalenivorans;</t>
  </si>
  <si>
    <t>Polaromonas naphthalenivorans</t>
  </si>
  <si>
    <t>Bacteria;Spirochaetota;Spirochaetia;Spirochaetales;Breznakiellaceae;Gracilinema;Gracilinema caldarium;</t>
  </si>
  <si>
    <t>Gracilinema</t>
  </si>
  <si>
    <t>Gracilinema caldarium</t>
  </si>
  <si>
    <t>Bacteria;Pseudomonadota;Betaproteobacteria;Burkholderiales;Sphaerotilaceae;Caldimonas;Caldimonas thermodepolymerans;</t>
  </si>
  <si>
    <t>Caldimonas thermodepolymerans</t>
  </si>
  <si>
    <t>Bacteria;Bacillota;Clostridia;Peptostreptococcales;Peptostreptococcaceae;Peptostreptococcus;Peptostreptococcus russellii;</t>
  </si>
  <si>
    <t>Peptostreptococcus</t>
  </si>
  <si>
    <t>Peptostreptococcus russellii</t>
  </si>
  <si>
    <t>Bacteria;Bacillota;Clostridia;Peptostreptococcales;Peptostreptococcaceae;Tepidibacter;Tepidibacter thalassicus;</t>
  </si>
  <si>
    <t>Tepidibacter thalassicus</t>
  </si>
  <si>
    <t>Bacteria;Bacteroidota;Flavobacteriia;Flavobacteriales;Flavobacteriaceae;Flavobacterium;Flavobacterium sp. B11;</t>
  </si>
  <si>
    <t>Flavobacterium sp. B11</t>
  </si>
  <si>
    <t>Bacteria;Pseudomonadota;Gammaproteobacteria;Lysobacterales;Lysobacteraceae;Thermomonas;Thermomonas hydrothermalis;</t>
  </si>
  <si>
    <t>Thermomonas hydrothermalis</t>
  </si>
  <si>
    <t>Bacteria;Pseudomonadota;Alphaproteobacteria;Caulobacterales;Caulobacteraceae;Brevundimonas;uncultured Brevundimonas sp.;</t>
  </si>
  <si>
    <t>uncultured Brevundimonas sp.</t>
  </si>
  <si>
    <t>Bacteria;Pseudomonadota;Betaproteobacteria;Burkholderiales;Oxalobacteraceae;Herbaspirillum;Herbaspirillum lusitanum;</t>
  </si>
  <si>
    <t>Herbaspirillum lusitanum</t>
  </si>
  <si>
    <t>Bacteria;Bacillota;Bacilli;Bacillales;Caryophanaceae;Paenisporosarcina;Paenisporosarcina macmurdoensis;</t>
  </si>
  <si>
    <t>Paenisporosarcina</t>
  </si>
  <si>
    <t>Paenisporosarcina macmurdoensis</t>
  </si>
  <si>
    <t>Bacteria;Pseudomonadota;Betaproteobacteria;Burkholderiales;Oxalobacteraceae;Herbaspirillum;Herbaspirillum chlorophenolicum;</t>
  </si>
  <si>
    <t>Herbaspirillum chlorophenolicum</t>
  </si>
  <si>
    <t>Bacteria;Pseudomonadota;Alphaproteobacteria;Hyphomicrobiales;Boseaceae;Bosea;uncultured Bosea sp.;</t>
  </si>
  <si>
    <t>uncultured Bosea sp.</t>
  </si>
  <si>
    <t>Bacteria;Bacillota;Clostridia;Peptostreptococcales;Natronincolaceae;Alkaliphilus;Alkaliphilus metalliredigens;</t>
  </si>
  <si>
    <t>Alkaliphilus metalliredigens</t>
  </si>
  <si>
    <t>Bacteria;Pseudomonadota;Gammaproteobacteria;Enterobacterales;Enterobacteriaceae;Enterobacter;Enterobacter kobei;</t>
  </si>
  <si>
    <t>Enterobacter kobei</t>
  </si>
  <si>
    <t>Bacteria;Pseudomonadota;Gammaproteobacteria;Enterobacterales;Enterobacteriaceae;Kosakonia;Kosakonia cowanii;</t>
  </si>
  <si>
    <t>Kosakonia cowanii</t>
  </si>
  <si>
    <t>Bacteria;Cyanobacteriota;Cyanophyceae;Oscillatoriales;Microcoleaceae;Lyngbya;Lyngbya confervoides;</t>
  </si>
  <si>
    <t>Lyngbya</t>
  </si>
  <si>
    <t>Lyngbya confervoides</t>
  </si>
  <si>
    <t>Bacteria;Cyanobacteriota;Cyanophyceae;Oscillatoriales;Oscillatoriaceae;Moorena;Moorena bouillonii;</t>
  </si>
  <si>
    <t>Moorena bouillonii</t>
  </si>
  <si>
    <t>Bacteria;Pseudomonadota;Alphaproteobacteria;Acetobacterales;Roseomonadaceae;Roseomonas;Roseomonas mucosa;</t>
  </si>
  <si>
    <t>Roseomonas mucosa</t>
  </si>
  <si>
    <t>Bacteria;Actinomycetota;Actinomycetes;Micrococcales;Microbacteriaceae;Agromyces;Agromyces albus;</t>
  </si>
  <si>
    <t>Agromyces albus</t>
  </si>
  <si>
    <t>Bacteria;Bacillota;Clostridia;Eubacteriales;Clostridiaceae;Clostridium;Clostridium lacusfryxellense;</t>
  </si>
  <si>
    <t>Clostridium lacusfryxellense</t>
  </si>
  <si>
    <t>Bacteria;Bacillota;Clostridia;Eubacteriales;Clostridiaceae;Clostridium;Clostridium frigoris;</t>
  </si>
  <si>
    <t>Clostridium frigoris</t>
  </si>
  <si>
    <t>Bacteria;Pseudomonadota;Alphaproteobacteria;Acetobacterales;Acetobacteraceae;Pseudoroseomonas;Pseudoroseomonas cervicalis;</t>
  </si>
  <si>
    <t>Pseudoroseomonas cervicalis</t>
  </si>
  <si>
    <t>Bacteria;Pseudomonadota;Gammaproteobacteria;Enterobacterales;Pectobacteriaceae;Dickeya;Dickeya dianthicola;</t>
  </si>
  <si>
    <t>Dickeya dianthicola</t>
  </si>
  <si>
    <t>Bacteria;Pseudomonadota;Gammaproteobacteria;Enterobacterales;Pectobacteriaceae;Dickeya;Dickeya dadantii;</t>
  </si>
  <si>
    <t>Dickeya dadantii</t>
  </si>
  <si>
    <t>Bacteria;Pseudomonadota;Betaproteobacteria;Burkholderiales;Alcaligenaceae;Derxia;Derxia gummosa;</t>
  </si>
  <si>
    <t>Derxia gummosa</t>
  </si>
  <si>
    <t>Bacteria;Pseudomonadota;Gammaproteobacteria;Moraxellales;Moraxellaceae;Acinetobacter;Acinetobacter tandoii;</t>
  </si>
  <si>
    <t>Acinetobacter tandoii</t>
  </si>
  <si>
    <t>Bacteria;Bacillota;Bacilli;Bacillales;NA;Exiguobacterium;uncultured Exiguobacterium sp.;</t>
  </si>
  <si>
    <t>uncultured Exiguobacterium sp.</t>
  </si>
  <si>
    <t>Bacteria;Actinomycetota;Actinomycetes;Propionibacteriales;Nocardioidaceae;Nocardioides;Nocardioides aromaticivorans;</t>
  </si>
  <si>
    <t>Nocardioides aromaticivorans</t>
  </si>
  <si>
    <t>Bacteria;Bacteroidota;Flavobacteriia;Flavobacteriales;Crocinitomicaceae;Brumimicrobium;Brumimicrobium glaciale;</t>
  </si>
  <si>
    <t>Brumimicrobium glaciale</t>
  </si>
  <si>
    <t>Bacteria;Pseudomonadota;Gammaproteobacteria;Pseudomonadales;Pseudomonadaceae;Pseudomonas;Pseudomonas poae;</t>
  </si>
  <si>
    <t>Pseudomonas poae</t>
  </si>
  <si>
    <t>Bacteria;Actinomycetota;Actinomycetes;Micrococcales;Microbacteriaceae;Plantibacter;Plantibacter cousiniae;</t>
  </si>
  <si>
    <t>Plantibacter cousiniae</t>
  </si>
  <si>
    <t>Bacteria;Pseudomonadota;Betaproteobacteria;Burkholderiales;Comamonadaceae;Hydrogenophaga;uncultured Hydrogenophaga sp.;</t>
  </si>
  <si>
    <t>uncultured Hydrogenophaga sp.</t>
  </si>
  <si>
    <t>Bacteria;Pseudomonadota;Alphaproteobacteria;Hyphomicrobiales;Beijerinckiaceae;Methylocella;Methylocella silvestris;</t>
  </si>
  <si>
    <t>Methylocella silvestris</t>
  </si>
  <si>
    <t>Bacteria;Bacillota;Bacilli;Bacillales;Bacillaceae;Halalkalibacter;Halalkalibacter krulwichiae;</t>
  </si>
  <si>
    <t>Halalkalibacter</t>
  </si>
  <si>
    <t>Halalkalibacter krulwichiae</t>
  </si>
  <si>
    <t>Bacteria;Pseudomonadota;Gammaproteobacteria;Pseudomonadales;Pseudomonadaceae;Pseudomonas;Pseudomonas koreensis;</t>
  </si>
  <si>
    <t>Pseudomonas koreensis</t>
  </si>
  <si>
    <t>Bacteria;Actinomycetota;Actinomycetes;Propionibacteriales;Nocardioidaceae;Nocardioides;uncultured Nocardioides sp.;</t>
  </si>
  <si>
    <t>uncultured Nocardioides sp.</t>
  </si>
  <si>
    <t>Bacteria;Bacillota;Clostridia;Eubacteriales;Clostridiaceae;Clostridium;Clostridium algoriphilum;</t>
  </si>
  <si>
    <t>Clostridium algoriphilum</t>
  </si>
  <si>
    <t>Bacteria;Pseudomonadota;Alphaproteobacteria;Candidatus Pelagibacterales;Candidatus Pelagibacteraceae;Candidatus Pelagibacter;Candidatus Pelagibacter ubique;</t>
  </si>
  <si>
    <t>Candidatus Pelagibacterales</t>
  </si>
  <si>
    <t>Candidatus Pelagibacteraceae</t>
  </si>
  <si>
    <t>Candidatus Pelagibacter</t>
  </si>
  <si>
    <t>Candidatus Pelagibacter ubique</t>
  </si>
  <si>
    <t>Bacteria;Pseudomonadota;Alphaproteobacteria;Acetobacterales;Acetobacteraceae;Pseudoroseomonas;Pseudoroseomonas ludipueritiae;</t>
  </si>
  <si>
    <t>Pseudoroseomonas ludipueritiae</t>
  </si>
  <si>
    <t>Bacteria;Pseudomonadota;Alphaproteobacteria;Acetobacterales;Roseomonadaceae;Roseomonas;Roseomonas rosea;</t>
  </si>
  <si>
    <t>Roseomonas rosea</t>
  </si>
  <si>
    <t>Bacteria;Pseudomonadota;Gammaproteobacteria;Aeromonadales;Aeromonadaceae;Aeromonas;Aeromonas dhakensis;</t>
  </si>
  <si>
    <t>Aeromonas dhakensis</t>
  </si>
  <si>
    <t>Bacteria;Cyanobacteriota;Cyanophyceae;Synechococcales;Synechococcaceae;Synechococcus;Synechococcus sp. PCC 7336;</t>
  </si>
  <si>
    <t>Synechococcus sp. PCC 7336</t>
  </si>
  <si>
    <t>Bacteria;Pseudomonadota;Alphaproteobacteria;Hyphomicrobiales;Hyphomicrobiaceae;Hyphomicrobium;uncultured Hyphomicrobium sp.;</t>
  </si>
  <si>
    <t>uncultured Hyphomicrobium sp.</t>
  </si>
  <si>
    <t>Bacteria;Bacteroidota;Flavobacteriia;Flavobacteriales;Crocinitomicaceae;Fluviicola;Fluviicola taffensis;</t>
  </si>
  <si>
    <t>Fluviicola taffensis</t>
  </si>
  <si>
    <t>Bacteria;Bacteroidota;Flavobacteriia;Flavobacteriales;Weeksellaceae;Epilithonimonas;Epilithonimonas tenax;</t>
  </si>
  <si>
    <t>Epilithonimonas tenax</t>
  </si>
  <si>
    <t>Bacteria;Pseudomonadota;Alphaproteobacteria;Rhodobacterales;Roseobacteraceae;Sulfitobacter;uncultured Sulfitobacter sp.;</t>
  </si>
  <si>
    <t>Sulfitobacter</t>
  </si>
  <si>
    <t>uncultured Sulfitobacter sp.</t>
  </si>
  <si>
    <t>Bacteria;Pseudomonadota;Betaproteobacteria;Burkholderiales;Comamonadaceae;Delftia;uncultured Delftia sp.;</t>
  </si>
  <si>
    <t>uncultured Delftia sp.</t>
  </si>
  <si>
    <t>Bacteria;Actinomycetota;Actinomycetes;Micrococcales;Microbacteriaceae;Microbacterium;uncultured Microbacterium sp.;</t>
  </si>
  <si>
    <t>uncultured Microbacterium sp.</t>
  </si>
  <si>
    <t>Bacteria;Bacillota;Clostridia;Peptostreptococcales;Caminicellaceae;Paramaledivibacter;Paramaledivibacter caminithermalis;</t>
  </si>
  <si>
    <t>Caminicellaceae</t>
  </si>
  <si>
    <t>Paramaledivibacter</t>
  </si>
  <si>
    <t>Paramaledivibacter caminithermalis</t>
  </si>
  <si>
    <t>Bacteria;Bacillota;Bacilli;Bacillales;Paenibacillaceae;Paenibacillus;Paenibacillus elgii;</t>
  </si>
  <si>
    <t>Paenibacillus elgii</t>
  </si>
  <si>
    <t>Bacteria;Actinomycetota;Actinomycetes;Micrococcales;Cellulomonadaceae;Cellulomonas;uncultured Cellulomonas sp.;</t>
  </si>
  <si>
    <t>uncultured Cellulomonas sp.</t>
  </si>
  <si>
    <t>Bacteria;Bacillota;Bacilli;Bacillales;Paenibacillaceae;Paenibacillus;Paenibacillus graminis;</t>
  </si>
  <si>
    <t>Paenibacillus graminis</t>
  </si>
  <si>
    <t>Bacteria;Bacillota;Bacilli;Bacillales;Bacillaceae;Rossellomorea;Rossellomorea aquimaris;</t>
  </si>
  <si>
    <t>Rossellomorea aquimaris</t>
  </si>
  <si>
    <t>Bacteria;Bacillota;Bacilli;Bacillales;Bacillaceae;Rossellomorea;Rossellomorea marisflavi;</t>
  </si>
  <si>
    <t>Rossellomorea marisflavi</t>
  </si>
  <si>
    <t>Bacteria;Bacteroidota;Sphingobacteriia;Sphingobacteriales;Sphingobacteriaceae;Pedobacter;Pedobacter cryoconitis;</t>
  </si>
  <si>
    <t>Pedobacter cryoconitis</t>
  </si>
  <si>
    <t>Bacteria;Pseudomonadota;Betaproteobacteria;Burkholderiales;Comamonadaceae;Paracidovorax;Paracidovorax valerianellae;</t>
  </si>
  <si>
    <t>Paracidovorax valerianellae</t>
  </si>
  <si>
    <t>Bacteria;Pseudomonadota;Gammaproteobacteria;Pseudomonadales;Marinobacteraceae;Marinobacter;uncultured Marinobacter sp.;</t>
  </si>
  <si>
    <t>uncultured Marinobacter sp.</t>
  </si>
  <si>
    <t>Bacteria;Bacillota;Bacilli;Bacillales;Anoxybacillaceae;Parageobacillus;Parageobacillus thermantarcticus;</t>
  </si>
  <si>
    <t>Anoxybacillaceae</t>
  </si>
  <si>
    <t>Parageobacillus</t>
  </si>
  <si>
    <t>Parageobacillus thermantarcticus</t>
  </si>
  <si>
    <t>Bacteria;Pseudomonadota;Alphaproteobacteria;Sphingomonadales;Sphingomonadaceae;Sphingomonas;Sphingomonas faeni;</t>
  </si>
  <si>
    <t>Sphingomonas faeni</t>
  </si>
  <si>
    <t>Bacteria;Bacteroidota;Bacteroidia;Bacteroidales;Paludibacteraceae;Paludibacter;Paludibacter propionicigenes;</t>
  </si>
  <si>
    <t>Paludibacteraceae</t>
  </si>
  <si>
    <t>Paludibacter</t>
  </si>
  <si>
    <t>Paludibacter propionicigenes</t>
  </si>
  <si>
    <t>Bacteria;Actinomycetota;Actinomycetes;Propionibacteriales;Nocardioidaceae;Propionicimonas;Propionicimonas paludicola;</t>
  </si>
  <si>
    <t>Propionicimonas paludicola</t>
  </si>
  <si>
    <t>Bacteria;Actinomycetota;Actinomycetes;Actinomycetales;Actinomycetaceae;Schaalia;Schaalia vaccimaxillae;</t>
  </si>
  <si>
    <t>Schaalia</t>
  </si>
  <si>
    <t>Schaalia vaccimaxillae</t>
  </si>
  <si>
    <t>Bacteria;Pseudomonadota;Betaproteobacteria;Burkholderiales;Comamonadaceae;Macromonas;Macromonas bipunctata;</t>
  </si>
  <si>
    <t>Macromonas bipunctata</t>
  </si>
  <si>
    <t>Bacteria;Bacillota;Clostridia;Eubacteriales;Clostridiaceae;Clostridium;Clostridium isatidis;</t>
  </si>
  <si>
    <t>Clostridium isatidis</t>
  </si>
  <si>
    <t>Bacteria;Bacteroidota;Sphingobacteriia;Sphingobacteriales;Sphingobacteriaceae;Sphingobacterium;uncultured Sphingobacterium sp.;</t>
  </si>
  <si>
    <t>uncultured Sphingobacterium sp.</t>
  </si>
  <si>
    <t>Bacteria;Pseudomonadota;Alphaproteobacteria;Acetobacterales;Roseomonadaceae;Rubritepida;Rubritepida flocculans;</t>
  </si>
  <si>
    <t>Rubritepida</t>
  </si>
  <si>
    <t>Rubritepida flocculans</t>
  </si>
  <si>
    <t>Bacteria;Pseudomonadota;Betaproteobacteria;Rhodocyclales;Rhodocyclaceae;Aromatoleum;Aromatoleum anaerobium;</t>
  </si>
  <si>
    <t>Aromatoleum</t>
  </si>
  <si>
    <t>Aromatoleum anaerobium</t>
  </si>
  <si>
    <t>Bacteria;Pseudomonadota;Gammaproteobacteria;Enterobacterales;Pectobacteriaceae;Pectobacterium;Pectobacterium brasiliense;</t>
  </si>
  <si>
    <t>Pectobacterium brasiliense</t>
  </si>
  <si>
    <t>Bacteria;Pseudomonadota;Betaproteobacteria;Burkholderiales;Comamonadaceae;Delftia;Delftia tsuruhatensis;</t>
  </si>
  <si>
    <t>Delftia tsuruhatensis</t>
  </si>
  <si>
    <t>Bacteria;Pseudomonadota;Betaproteobacteria;Burkholderiales;Comamonadaceae;Giesbergeria;Giesbergeria anulus;</t>
  </si>
  <si>
    <t>Giesbergeria anulus</t>
  </si>
  <si>
    <t>Bacteria;Fusobacteriota;Fusobacteriia;Fusobacteriales;Fusobacteriaceae;Cetobacterium;Cetobacterium ceti;</t>
  </si>
  <si>
    <t>Cetobacterium ceti</t>
  </si>
  <si>
    <t>Bacteria;Pseudomonadota;Betaproteobacteria;Burkholderiales;Comamonadaceae;Alicycliphilus;Alicycliphilus denitrificans;</t>
  </si>
  <si>
    <t>Alicycliphilus</t>
  </si>
  <si>
    <t>Alicycliphilus denitrificans</t>
  </si>
  <si>
    <t>Bacteria;Actinomycetota;Actinomycetes;Micrococcales;Microbacteriaceae;Microbacterium;Microbacterium ulmi;</t>
  </si>
  <si>
    <t>Microbacterium ulmi</t>
  </si>
  <si>
    <t>Bacteria;Pseudomonadota;Gammaproteobacteria;Lysobacterales;Lysobacteraceae;Pseudoxanthomonas;Pseudoxanthomonas taiwanensis;</t>
  </si>
  <si>
    <t>Pseudoxanthomonas taiwanensis</t>
  </si>
  <si>
    <t>Bacteria;Bacteroidota;Flavobacteriia;Flavobacteriales;Flavobacteriaceae;Polaribacter;uncultured Polaribacter sp.;</t>
  </si>
  <si>
    <t>uncultured Polaribacter sp.</t>
  </si>
  <si>
    <t>Bacteria;Pseudomonadota;Alphaproteobacteria;Sphingomonadales;Sphingomonadaceae;Novosphingobium;Novosphingobium hassiacum;</t>
  </si>
  <si>
    <t>Novosphingobium hassiacum</t>
  </si>
  <si>
    <t>Bacteria;Pseudomonadota;Alphaproteobacteria;Hyphomicrobiales;Nitrobacteraceae;Bradyrhizobium;Bradyrhizobium sp. th.b2;</t>
  </si>
  <si>
    <t>Bradyrhizobium sp. th.b2</t>
  </si>
  <si>
    <t>Bacteria;Bacteroidota;Flavobacteriia;Flavobacteriales;Weeksellaceae;Elizabethkingia;Elizabethkingia miricola;</t>
  </si>
  <si>
    <t>Elizabethkingia</t>
  </si>
  <si>
    <t>Elizabethkingia miricola</t>
  </si>
  <si>
    <t>Bacteria;Pseudomonadota;Alphaproteobacteria;Caulobacterales;Caulobacteraceae;Brevundimonas;Brevundimonas nasdae;</t>
  </si>
  <si>
    <t>Brevundimonas nasdae</t>
  </si>
  <si>
    <t>Bacteria;Pseudomonadota;Alphaproteobacteria;Rhodospirillales;Rhodospirillaceae;Inquilinus;Inquilinus limosus;</t>
  </si>
  <si>
    <t>Inquilinus limosus</t>
  </si>
  <si>
    <t>Bacteria;Pseudomonadota;Gammaproteobacteria;Enterobacterales;Morganellaceae;Photorhabdus;Photorhabdus akhurstii;</t>
  </si>
  <si>
    <t>Photorhabdus akhurstii</t>
  </si>
  <si>
    <t>Archaea;Methanobacteriota;Methanomicrobia;Methanosarcinales;Methanosarcinaceae;Methanosarcina;Methanosarcina lacustris;</t>
  </si>
  <si>
    <t>Methanosarcina lacustris</t>
  </si>
  <si>
    <t>Bacteria;Bacillota;Bacilli;Bacillales;Paenibacillaceae;Paenibacillus;Paenibacillus stellifer;</t>
  </si>
  <si>
    <t>Paenibacillus stellifer</t>
  </si>
  <si>
    <t>Bacteria;Bacillota;Clostridia;Eubacteriales;Clostridiaceae;Clostridium;Clostridium saccharobutylicum;</t>
  </si>
  <si>
    <t>Clostridium saccharobutylicum</t>
  </si>
  <si>
    <t>Bacteria;Pseudomonadota;Gammaproteobacteria;Pseudomonadales;Pseudomonadaceae;Pseudomonas;Pseudomonas extremorientalis;</t>
  </si>
  <si>
    <t>Pseudomonas extremorientalis</t>
  </si>
  <si>
    <t>Bacteria;Bacillota;Bacilli;Bacillales;NA;Exiguobacterium;Exiguobacterium undae;</t>
  </si>
  <si>
    <t>Exiguobacterium undae</t>
  </si>
  <si>
    <t>Bacteria;Pseudomonadota;Betaproteobacteria;Neisseriales;Aquaspirillaceae;Laribacter;Laribacter hongkongensis;</t>
  </si>
  <si>
    <t>Aquaspirillaceae</t>
  </si>
  <si>
    <t>Laribacter</t>
  </si>
  <si>
    <t>Laribacter hongkongensis</t>
  </si>
  <si>
    <t>Bacteria;Pseudomonadota;Alphaproteobacteria;Hyphomicrobiales;Kaistiaceae;Kaistia;Kaistia adipata;</t>
  </si>
  <si>
    <t>Kaistia adipata</t>
  </si>
  <si>
    <t>Bacteria;Bacillota;Clostridia;Peptostreptococcales;Caminicellaceae;Caminicella;Caminicella sporogenes;</t>
  </si>
  <si>
    <t>Caminicella</t>
  </si>
  <si>
    <t>Caminicella sporogenes</t>
  </si>
  <si>
    <t>Bacteria;Actinomycetota;Actinomycetes;Micrococcales;Microbacteriaceae;Agromyces;Agromyces aurantiacus;</t>
  </si>
  <si>
    <t>Agromyces aurantiacus</t>
  </si>
  <si>
    <t>Bacteria;Bacillota;Tissierellia;Tissierellales;Sporanaerobacteraceae;Sporanaerobacter;Sporanaerobacter acetigenes;</t>
  </si>
  <si>
    <t>Sporanaerobacter acetigenes</t>
  </si>
  <si>
    <t>Bacteria;Pseudomonadota;Gammaproteobacteria;Lysobacterales;Lysobacteraceae;Stenotrophomonas;uncultured Stenotrophomonas sp.;</t>
  </si>
  <si>
    <t>uncultured Stenotrophomonas sp.</t>
  </si>
  <si>
    <t>Bacteria;Bacteroidota;Flavobacteriia;Flavobacteriales;Flavobacteriaceae;Flavobacterium;uncultured Flavobacterium sp.;</t>
  </si>
  <si>
    <t>uncultured Flavobacterium sp.</t>
  </si>
  <si>
    <t>Bacteria;Pseudomonadota;Betaproteobacteria;Rhodocyclales;Zoogloeaceae;Thauera;Thauera aminoaromatica;</t>
  </si>
  <si>
    <t>Thauera aminoaromatica</t>
  </si>
  <si>
    <t>Bacteria;Pseudomonadota;Gammaproteobacteria;Alteromonadales;Pseudoalteromonadaceae;Algicola;Algicola sagamiensis;</t>
  </si>
  <si>
    <t>Algicola</t>
  </si>
  <si>
    <t>Algicola sagamiensis</t>
  </si>
  <si>
    <t>Bacteria;Bacteroidota;Bacteroidia;Bacteroidales;Dysgonomonadaceae;Dysgonomonas;Dysgonomonas mossii;</t>
  </si>
  <si>
    <t>Dysgonomonas mossii</t>
  </si>
  <si>
    <t>Bacteria;Actinomycetota;Actinomycetes;Streptosporangiales;Thermomonosporaceae;Actinomadura;Actinomadura latina;</t>
  </si>
  <si>
    <t>Actinomadura latina</t>
  </si>
  <si>
    <t>Bacteria;Actinomycetota;Actinomycetes;Micrococcales;Microbacteriaceae;Microbacterium;Microbacterium hominis;</t>
  </si>
  <si>
    <t>Microbacterium hominis</t>
  </si>
  <si>
    <t>Bacteria;Actinomycetota;Actinomycetes;Micrococcales;Microbacteriaceae;Microbacterium;Microbacterium aurantiacum;</t>
  </si>
  <si>
    <t>Microbacterium aurantiacum</t>
  </si>
  <si>
    <t>Bacteria;Bacteroidota;Bacteroidia;Bacteroidales;Bacteroidaceae;Bacteroides;uncultured Bacteroides sp.;</t>
  </si>
  <si>
    <t>uncultured Bacteroides sp.</t>
  </si>
  <si>
    <t>Bacteria;Pseudomonadota;Betaproteobacteria;Burkholderiales;Comamonadaceae;Comamonas;Comamonas koreensis;</t>
  </si>
  <si>
    <t>Comamonas koreensis</t>
  </si>
  <si>
    <t>Bacteria;Bacillota;Bacilli;Bacillales;Paenibacillaceae;Paenibacillus;Paenibacillus borealis;</t>
  </si>
  <si>
    <t>Paenibacillus borealis</t>
  </si>
  <si>
    <t>Bacteria;Pseudomonadota;Alphaproteobacteria;Sphingomonadales;Sphingomonadaceae;Rhizorhabdus;Rhizorhabdus wittichii;</t>
  </si>
  <si>
    <t>Rhizorhabdus wittichii</t>
  </si>
  <si>
    <t>Bacteria;Pseudomonadota;Alphaproteobacteria;Hyphomicrobiales;Rhizobiaceae;Agrobacterium;Agrobacterium larrymoorei;</t>
  </si>
  <si>
    <t>Agrobacterium larrymoorei</t>
  </si>
  <si>
    <t>Bacteria;Actinomycetota;Actinomycetes;Mycobacteriales;Corynebacteriaceae;Corynebacterium;Corynebacterium casei;</t>
  </si>
  <si>
    <t>Corynebacterium casei</t>
  </si>
  <si>
    <t>Bacteria;Actinomycetota;Actinomycetes;Mycobacteriales;Corynebacteriaceae;Corynebacterium;uncultured Corynebacterium sp.;</t>
  </si>
  <si>
    <t>uncultured Corynebacterium sp.</t>
  </si>
  <si>
    <t>Bacteria;Fusobacteriota;Fusobacteriia;Fusobacteriales;Leptotrichiaceae;Leptotrichia;uncultured Leptotrichia sp.;</t>
  </si>
  <si>
    <t>uncultured Leptotrichia sp.</t>
  </si>
  <si>
    <t>Bacteria;Fusobacteriota;Fusobacteriia;Fusobacteriales;Fusobacteriaceae;Fusobacterium;uncultured Fusobacterium sp.;</t>
  </si>
  <si>
    <t>Fusobacterium</t>
  </si>
  <si>
    <t>uncultured Fusobacterium sp.</t>
  </si>
  <si>
    <t>Bacteria;Pseudomonadota;Gammaproteobacteria;Enterobacterales;Enterobacteriaceae;Enterobacter;Enterobacter hormaechei;</t>
  </si>
  <si>
    <t>Enterobacter hormaechei</t>
  </si>
  <si>
    <t>Bacteria;Pseudomonadota;Alphaproteobacteria;Sphingomonadales;Sphingomonadaceae;Sphingomonas;uncultured Sphingomonas sp.;</t>
  </si>
  <si>
    <t>uncultured Sphingomonas sp.</t>
  </si>
  <si>
    <t>Bacteria;Pseudomonadota;Betaproteobacteria;Burkholderiales;NA;Aquabacterium;uncultured Aquabacterium sp.;</t>
  </si>
  <si>
    <t>uncultured Aquabacterium sp.</t>
  </si>
  <si>
    <t>Bacteria;Pseudomonadota;Betaproteobacteria;Burkholderiales;Comamonadaceae;Acidovorax;uncultured Acidovorax sp.;</t>
  </si>
  <si>
    <t>uncultured Acidovorax sp.</t>
  </si>
  <si>
    <t>Bacteria;Pseudomonadota;Alphaproteobacteria;Caulobacterales;Caulobacteraceae;Caulobacter;uncultured Caulobacter sp.;</t>
  </si>
  <si>
    <t>uncultured Caulobacter sp.</t>
  </si>
  <si>
    <t>Bacteria;Pseudomonadota;Alphaproteobacteria;Sphingomonadales;Sphingomonadaceae;Novosphingobium;Novosphingobium resinovorum;</t>
  </si>
  <si>
    <t>Novosphingobium resinovorum</t>
  </si>
  <si>
    <t>Bacteria;Pseudomonadota;Gammaproteobacteria;Pseudomonadales;Pseudomonadaceae;Pseudomonas;Pseudomonas thermotolerans;</t>
  </si>
  <si>
    <t>Pseudomonas thermotolerans</t>
  </si>
  <si>
    <t>Bacteria;Pseudomonadota;Gammaproteobacteria;Pseudomonadales;Pseudomonadaceae;Pseudomonas;Pseudomonas cremoricolorata;</t>
  </si>
  <si>
    <t>Pseudomonas cremoricolorata</t>
  </si>
  <si>
    <t>Bacteria;Fusobacteriota;Fusobacteriia;Fusobacteriales;Leptotrichiaceae;Leptotrichia;Leptotrichia wadei;</t>
  </si>
  <si>
    <t>Leptotrichia wadei</t>
  </si>
  <si>
    <t>Bacteria;Bacillota;Bacilli;Lactobacillales;Carnobacteriaceae;Trichococcus;Trichococcus collinsii;</t>
  </si>
  <si>
    <t>Trichococcus</t>
  </si>
  <si>
    <t>Trichococcus collinsii</t>
  </si>
  <si>
    <t>Bacteria;Actinomycetota;Actinomycetes;Micrococcales;Cellulomonadaceae;Cellulomonas;Cellulomonas hominis;</t>
  </si>
  <si>
    <t>Cellulomonas hominis</t>
  </si>
  <si>
    <t>Bacteria;Actinomycetota;Actinomycetes;Micrococcales;Microbacteriaceae;Microbacterium;Microbacterium resistens;</t>
  </si>
  <si>
    <t>Microbacterium resistens</t>
  </si>
  <si>
    <t>Bacteria;Bacteroidota;Bacteroidia;Bacteroidales;Dysgonomonadaceae;Dysgonomonas;Dysgonomonas gadei;</t>
  </si>
  <si>
    <t>Dysgonomonas gadei</t>
  </si>
  <si>
    <t>Bacteria;Cyanobacteriota;Cyanophyceae;Chroococcidiopsidales;Chroococcidiopsidaceae;Chroococcidiopsis;Chroococcidiopsis sp. CCMEE 29;</t>
  </si>
  <si>
    <t>Chroococcidiopsis sp. CCMEE 29</t>
  </si>
  <si>
    <t>Bacteria;Pseudomonadota;Alphaproteobacteria;Caulobacterales;Caulobacteraceae;Caulobacter;Caulobacter vibrioides;</t>
  </si>
  <si>
    <t>Caulobacter vibrioides</t>
  </si>
  <si>
    <t>Bacteria;Bacillota;Bacilli;Bacillales;Bacillaceae;Bacillus;Bacillus toyonensis;</t>
  </si>
  <si>
    <t>Bacillus toyonensis</t>
  </si>
  <si>
    <t>Bacteria;Bacillota;Bacilli;Lactobacillales;Enterococcaceae;Enterococcus;Enterococcus phoeniculicola;</t>
  </si>
  <si>
    <t>Enterococcus phoeniculicola</t>
  </si>
  <si>
    <t>Bacteria;Bacillota;Erysipelotrichia;Erysipelotrichales;Turicibacteraceae;Turicibacter;Turicibacter sanguinis;</t>
  </si>
  <si>
    <t>Turicibacter sanguinis</t>
  </si>
  <si>
    <t>Bacteria;Actinomycetota;Actinomycetes;Mycobacteriales;Mycobacteriaceae;Mycobacterium;Mycobacterium palustre;</t>
  </si>
  <si>
    <t>Mycobacterium palustre</t>
  </si>
  <si>
    <t>Bacteria;Bacillota;Bacilli;Bacillales;Anoxybacillaceae;Parageobacillus;Parageobacillus toebii;</t>
  </si>
  <si>
    <t>Parageobacillus toebii</t>
  </si>
  <si>
    <t>Bacteria;Pseudomonadota;Betaproteobacteria;Burkholderiales;Burkholderiaceae;Burkholderia;Burkholderia ambifaria;</t>
  </si>
  <si>
    <t>Burkholderia ambifaria</t>
  </si>
  <si>
    <t>Bacteria;Bacillota;Bacilli;Bacillales;Bacillaceae;Metabacillus;Metabacillus litoralis;</t>
  </si>
  <si>
    <t>Metabacillus litoralis</t>
  </si>
  <si>
    <t>Bacteria;Bacteroidota;Sphingobacteriia;Sphingobacteriales;Sphingobacteriaceae;Pedobacter;Pedobacter africanus;</t>
  </si>
  <si>
    <t>Pedobacter africanus</t>
  </si>
  <si>
    <t>Bacteria;Pseudomonadota;Betaproteobacteria;Burkholderiales;Alcaligenaceae;Pigmentiphaga;Pigmentiphaga kullae;</t>
  </si>
  <si>
    <t>Pigmentiphaga kullae</t>
  </si>
  <si>
    <t>Bacteria;Pseudomonadota;Betaproteobacteria;Burkholderiales;Burkholderiaceae;Cupriavidus;Cupriavidus laharis;</t>
  </si>
  <si>
    <t>Cupriavidus laharis</t>
  </si>
  <si>
    <t>Bacteria;Pseudomonadota;Alphaproteobacteria;Hyphomicrobiales;Boseaceae;Bosea;Bosea eneae;</t>
  </si>
  <si>
    <t>Bosea eneae</t>
  </si>
  <si>
    <t>Bacteria;Pseudomonadota;Alphaproteobacteria;Hyphomicrobiales;Boseaceae;Bosea;Bosea massiliensis;</t>
  </si>
  <si>
    <t>Bosea massiliensis</t>
  </si>
  <si>
    <t>Bacteria;Pseudomonadota;Alphaproteobacteria;Hyphomicrobiales;Boseaceae;Bosea;Bosea vestrisii;</t>
  </si>
  <si>
    <t>Bosea vestrisii</t>
  </si>
  <si>
    <t>Bacteria;Actinomycetota;Actinomycetes;Micrococcales;Microbacteriaceae;Agreia;Agreia pratensis;</t>
  </si>
  <si>
    <t>Agreia pratensis</t>
  </si>
  <si>
    <t>Bacteria;Bacillota;Clostridia;Halanaerobiales;Halobacteroidaceae;Halonatronum;Halonatronum saccharophilum;</t>
  </si>
  <si>
    <t>Halonatronum</t>
  </si>
  <si>
    <t>Halonatronum saccharophilum</t>
  </si>
  <si>
    <t>Bacteria;Actinomycetota;Actinomycetes;Micrococcales;Microbacteriaceae;Leifsonia;Leifsonia shinshuensis;</t>
  </si>
  <si>
    <t>Leifsonia shinshuensis</t>
  </si>
  <si>
    <t>Bacteria;Pseudomonadota;Betaproteobacteria;Rhodocyclales;Azonexaceae;Azonexus;Azonexus fungiphilus;</t>
  </si>
  <si>
    <t>Azonexus fungiphilus</t>
  </si>
  <si>
    <t>Bacteria;Pseudomonadota;Betaproteobacteria;Rhodocyclales;Rhodocyclaceae;Azospira;Azospira oryzae;</t>
  </si>
  <si>
    <t>Azospira</t>
  </si>
  <si>
    <t>Azospira oryzae</t>
  </si>
  <si>
    <t>Bacteria;Pseudomonadota;Gammaproteobacteria;Pasteurellales;Pasteurellaceae;Phocoenobacter;Phocoenobacter uteri;</t>
  </si>
  <si>
    <t>Phocoenobacter</t>
  </si>
  <si>
    <t>Phocoenobacter uteri</t>
  </si>
  <si>
    <t>Bacteria;Actinomycetota;Actinomycetes;Micrococcales;Microbacteriaceae;Frigoribacterium;Frigoribacterium faeni;</t>
  </si>
  <si>
    <t>Frigoribacterium faeni</t>
  </si>
  <si>
    <t>Bacteria;Actinomycetota;Actinomycetes;Micrococcales;Microbacteriaceae;Rathayibacter;Rathayibacter toxicus;</t>
  </si>
  <si>
    <t>Rathayibacter toxicus</t>
  </si>
  <si>
    <t>Bacteria;Pseudomonadota;Alphaproteobacteria;Sphingomonadales;Sphingomonadaceae;Novosphingobium;Novosphingobium lentum;</t>
  </si>
  <si>
    <t>Novosphingobium lentum</t>
  </si>
  <si>
    <t>Bacteria;Actinomycetota;Actinomycetes;Micrococcales;Microbacteriaceae;Leifsonia;Leifsonia aquatica;</t>
  </si>
  <si>
    <t>Leifsonia aquatica</t>
  </si>
  <si>
    <t>Bacteria;Bacillota;Clostridia;Eubacteriales;Desulfitobacteriaceae;Desulfitobacterium;Desulfitobacterium metallireducens;</t>
  </si>
  <si>
    <t>Desulfitobacterium</t>
  </si>
  <si>
    <t>Desulfitobacterium metallireducens</t>
  </si>
  <si>
    <t>Bacteria;Cyanobacteriota;Cyanophyceae;Nostocales;Nostocaceae;Cylindrospermum;Cylindrospermum stagnale;</t>
  </si>
  <si>
    <t>Cylindrospermum</t>
  </si>
  <si>
    <t>Cylindrospermum stagnale</t>
  </si>
  <si>
    <t>Bacteria;Actinomycetota;Actinomycetes;Mycobacteriales;Mycobacteriaceae;Mycobacterium;Mycobacterium lentiflavum;</t>
  </si>
  <si>
    <t>Mycobacterium lentiflavum</t>
  </si>
  <si>
    <t>Bacteria;Campylobacterota;Epsilonproteobacteria;Campylobacterales;Helicobacteraceae;Helicobacter;Helicobacter cetorum;</t>
  </si>
  <si>
    <t>Helicobacteraceae</t>
  </si>
  <si>
    <t>Helicobacter</t>
  </si>
  <si>
    <t>Helicobacter cetorum</t>
  </si>
  <si>
    <t>Bacteria;Pseudomonadota;Betaproteobacteria;Rhodocyclales;Azonexaceae;Quatrionicoccus;Quatrionicoccus australiensis;</t>
  </si>
  <si>
    <t>Quatrionicoccus</t>
  </si>
  <si>
    <t>Quatrionicoccus australiensis</t>
  </si>
  <si>
    <t>Bacteria;Pseudomonadota;Gammaproteobacteria;Enterobacterales;Yersiniaceae;Serratia;Serratia symbiotica;</t>
  </si>
  <si>
    <t>Serratia symbiotica</t>
  </si>
  <si>
    <t>Bacteria;Bacillota;Bacilli;Bacillales;Bacillaceae;Ectobacillus;Ectobacillus funiculus;</t>
  </si>
  <si>
    <t>Ectobacillus funiculus</t>
  </si>
  <si>
    <t>Bacteria;Pseudomonadota;Betaproteobacteria;Burkholderiales;Sphaerotilaceae;Ideonella;Ideonella sp. B508-1;</t>
  </si>
  <si>
    <t>Ideonella sp. B508-1</t>
  </si>
  <si>
    <t>Bacteria;Pseudomonadota;Gammaproteobacteria;Pseudomonadales;Pseudomonadaceae;Pseudomonas;Pseudomonas indica;</t>
  </si>
  <si>
    <t>Pseudomonas indica</t>
  </si>
  <si>
    <t>Bacteria;Pseudomonadota;Gammaproteobacteria;Alteromonadales;Colwelliaceae;Thalassomonas;Thalassomonas viridans;</t>
  </si>
  <si>
    <t>Colwelliaceae</t>
  </si>
  <si>
    <t>Thalassomonas</t>
  </si>
  <si>
    <t>Thalassomonas viridans</t>
  </si>
  <si>
    <t>Bacteria;Pseudomonadota;Alphaproteobacteria;Sphingomonadales;Sphingomonadaceae;Sphingobium;Sphingobium amiense;</t>
  </si>
  <si>
    <t>Sphingobium amiense</t>
  </si>
  <si>
    <t>Bacteria;Actinomycetota;Actinomycetes;Mycobacteriales;Mycobacteriaceae;Mycolicibacterium;Mycolicibacterium goodii;</t>
  </si>
  <si>
    <t>Mycolicibacterium goodii</t>
  </si>
  <si>
    <t>Bacteria;Actinomycetota;Actinomycetes;Mycobacteriales;Mycobacteriaceae;Mycobacterium;Mycobacterium shottsii;</t>
  </si>
  <si>
    <t>Mycobacterium shottsii</t>
  </si>
  <si>
    <t>Bacteria;Pseudomonadota;Alphaproteobacteria;Sphingomonadales;Sphingomonadaceae;Sphingomonas;Sphingomonas sp. SRS2;</t>
  </si>
  <si>
    <t>Sphingomonas sp. SRS2</t>
  </si>
  <si>
    <t>Bacteria;Bacillota;Clostridia;Eubacteriales;Eubacteriaceae;Acetobacterium;Acetobacterium tundrae;</t>
  </si>
  <si>
    <t>Acetobacterium</t>
  </si>
  <si>
    <t>Acetobacterium tundrae</t>
  </si>
  <si>
    <t>Bacteria;Bacillota;Clostridia;Eubacteriales;Clostridiaceae;Clostridium;Clostridium psychrophilum;</t>
  </si>
  <si>
    <t>Clostridium psychrophilum</t>
  </si>
  <si>
    <t>Bacteria;Bacillota;Clostridia;Eubacteriales;Clostridiaceae;Clostridium;Clostridium bowmanii;</t>
  </si>
  <si>
    <t>Clostridium bowmanii</t>
  </si>
  <si>
    <t>Bacteria;Bacillota;Bacilli;Bacillales;NA;Exiguobacterium;Exiguobacterium antarcticum;</t>
  </si>
  <si>
    <t>Exiguobacterium antarcticum</t>
  </si>
  <si>
    <t>Bacteria;Actinomycetota;Actinomycetes;Mycobacteriales;Nocardiaceae;Rhodococcus;Rhodococcus jostii;</t>
  </si>
  <si>
    <t>Rhodococcus jostii</t>
  </si>
  <si>
    <t>Bacteria;Thermodesulfobacteriota;Desulfovibrionia;Desulfovibrionales;Desulfomicrobiaceae;Desulfomicrobium;Desulfomicrobium orale;</t>
  </si>
  <si>
    <t>Desulfomicrobiaceae</t>
  </si>
  <si>
    <t>Desulfomicrobium</t>
  </si>
  <si>
    <t>Desulfomicrobium orale</t>
  </si>
  <si>
    <t>Bacteria;Bacillota;Tissierellia;NA;NA;Sedimentibacter;Sedimentibacter saalensis;</t>
  </si>
  <si>
    <t>Sedimentibacter saalensis</t>
  </si>
  <si>
    <t>Bacteria;Pseudomonadota;Alphaproteobacteria;Hyphomicrobiales;Boseaceae;Bosea;Bosea minatitlanensis;</t>
  </si>
  <si>
    <t>Bosea minatitlanensis</t>
  </si>
  <si>
    <t>Bacteria;Pseudomonadota;Gammaproteobacteria;Lysobacterales;Lysobacteraceae;Stenotrophomonas;Stenotrophomonas acidaminiphila;</t>
  </si>
  <si>
    <t>Stenotrophomonas acidaminiphila</t>
  </si>
  <si>
    <t>Bacteria;Bacillota;Bacilli;Bacillales;Paenibacillaceae;Paenibacillus;Paenibacillus glycanilyticus;</t>
  </si>
  <si>
    <t>Paenibacillus glycanilyticus</t>
  </si>
  <si>
    <t>Bacteria;Pseudomonadota;Betaproteobacteria;Burkholderiales;Alcaligenaceae;Bordetella;Bordetella trematum;</t>
  </si>
  <si>
    <t>Bordetella trematum</t>
  </si>
  <si>
    <t>Bacteria;Pseudomonadota;Alphaproteobacteria;Sphingomonadales;Sphingomonadaceae;Sphingobium;Sphingobium xenophagum;</t>
  </si>
  <si>
    <t>Sphingobium xenophagum</t>
  </si>
  <si>
    <t>Bacteria;Actinomycetota;Actinomycetes;Micrococcales;Micrococcaceae;Pseudarthrobacter;Pseudarthrobacter sulfonivorans;</t>
  </si>
  <si>
    <t>Pseudarthrobacter sulfonivorans</t>
  </si>
  <si>
    <t>Bacteria;Actinomycetota;Acidimicrobiia;Acidimicrobiales;Acidimicrobiaceae;Ferrimicrobium;Ferrimicrobium acidiphilum;</t>
  </si>
  <si>
    <t>Acidimicrobiaceae</t>
  </si>
  <si>
    <t>Ferrimicrobium</t>
  </si>
  <si>
    <t>Ferrimicrobium acidiphilum</t>
  </si>
  <si>
    <t>Bacteria;Actinomycetota;Actinomycetes;Mycobacteriales;Mycobacteriaceae;Mycobacterium;Mycobacterium kubicae;</t>
  </si>
  <si>
    <t>Mycobacterium kubicae</t>
  </si>
  <si>
    <t>Bacteria;Actinomycetota;Actinomycetes;Micrococcales;Microbacteriaceae;Subtercola;Subtercola boreus;</t>
  </si>
  <si>
    <t>Subtercola boreus</t>
  </si>
  <si>
    <t>Bacteria;Pseudomonadota;Alphaproteobacteria;Sphingomonadales;Sphingomonadaceae;Sphingobium;Sphingobium cloacae;</t>
  </si>
  <si>
    <t>Sphingobium cloacae</t>
  </si>
  <si>
    <t>Bacteria;Pseudomonadota;Gammaproteobacteria;Oceanospirillales;Oceanospirillaceae;Marinomonas;Marinomonas mediterranea;</t>
  </si>
  <si>
    <t>Marinomonas mediterranea</t>
  </si>
  <si>
    <t>Bacteria;Bacillota;Bacilli;Bacillales;Bacillaceae;Bacillus;Bacillus sonorensis;</t>
  </si>
  <si>
    <t>Bacillus sonorensis</t>
  </si>
  <si>
    <t>Bacteria;Bacillota;Clostridia;Eubacteriales;Clostridiaceae;Clostridium;Clostridium uliginosum;</t>
  </si>
  <si>
    <t>Clostridium uliginosum</t>
  </si>
  <si>
    <t>Bacteria;Bacillota;Erysipelotrichia;Erysipelotrichales;Erysipelotrichaceae;Anaerorhabdus;Anaerorhabdus furcosa;</t>
  </si>
  <si>
    <t>Anaerorhabdus</t>
  </si>
  <si>
    <t>Anaerorhabdus furcosa</t>
  </si>
  <si>
    <t>Bacteria;Pseudomonadota;Gammaproteobacteria;Pseudomonadales;Pseudomonadaceae;Pseudomonas;Pseudomonas gingeri;</t>
  </si>
  <si>
    <t>Pseudomonas gingeri</t>
  </si>
  <si>
    <t>Bacteria;Actinomycetota;Actinomycetes;Mycobacteriales;Mycobacteriaceae;Mycolicibacterium;Mycolicibacterium frederiksbergense;</t>
  </si>
  <si>
    <t>Mycolicibacterium frederiksbergense</t>
  </si>
  <si>
    <t>Bacteria;Bacillota;Clostridia;Lachnospirales;Lachnospiraceae;Parasporobacterium;Parasporobacterium paucivorans;</t>
  </si>
  <si>
    <t>Parasporobacterium</t>
  </si>
  <si>
    <t>Parasporobacterium paucivorans</t>
  </si>
  <si>
    <t>Bacteria;Pseudomonadota;Betaproteobacteria;Burkholderiales;Comamonadaceae;Comamonas;uncultured Comamonas sp.;</t>
  </si>
  <si>
    <t>uncultured Comamonas sp.</t>
  </si>
  <si>
    <t>Bacteria;Pseudomonadota;Betaproteobacteria;Burkholderiales;Comamonadaceae;Variovorax;uncultured Variovorax sp.;</t>
  </si>
  <si>
    <t>uncultured Variovorax sp.</t>
  </si>
  <si>
    <t>Bacteria;Pseudomonadota;Gammaproteobacteria;Pseudomonadales;Pseudomonadaceae;Pseudomonas;uncultured Pseudomonas sp.;</t>
  </si>
  <si>
    <t>uncultured Pseudomonas sp.</t>
  </si>
  <si>
    <t>Bacteria;Bacillota;Clostridia;Peptostreptococcales;Natronincolaceae;Alkaliphilus;Alkaliphilus transvaalensis;</t>
  </si>
  <si>
    <t>Alkaliphilus transvaalensis</t>
  </si>
  <si>
    <t>Bacteria;Actinomycetota;Actinomycetes;Micromonosporales;Micromonosporaceae;Actinoplanes;Actinoplanes rectilineatus;</t>
  </si>
  <si>
    <t>Actinoplanes rectilineatus</t>
  </si>
  <si>
    <t>Bacteria;Bacillota;Negativicutes;Selenomonadales;Sporomusaceae;Propionispora;Propionispora vibrioides;</t>
  </si>
  <si>
    <t>Propionispora</t>
  </si>
  <si>
    <t>Propionispora vibrioides</t>
  </si>
  <si>
    <t>Bacteria;Bacillota;Negativicutes;Selenomonadales;Sporomusaceae;Sporomusa;Sporomusa malonica;</t>
  </si>
  <si>
    <t>Sporomusa malonica</t>
  </si>
  <si>
    <t>Bacteria;Actinomycetota;Actinomycetes;Micrococcales;Microbacteriaceae;Agreia;Agreia bicolorata;</t>
  </si>
  <si>
    <t>Agreia bicolorata</t>
  </si>
  <si>
    <t>Bacteria;Actinomycetota;Actinomycetes;Micrococcales;Microbacteriaceae;Leifsonia;Leifsonia poae;</t>
  </si>
  <si>
    <t>Leifsonia poae</t>
  </si>
  <si>
    <t>Bacteria;Pseudomonadota;Alphaproteobacteria;Hyphomicrobiales;Rhizobiaceae;Sinorhizobium;Sinorhizobium terangae;</t>
  </si>
  <si>
    <t>Sinorhizobium terangae</t>
  </si>
  <si>
    <t>Bacteria;Pseudomonadota;Alphaproteobacteria;Hyphomicrobiales;Rhizobiaceae;Sinorhizobium;Sinorhizobium medicae;</t>
  </si>
  <si>
    <t>Sinorhizobium medicae</t>
  </si>
  <si>
    <t>Bacteria;Bacillota;Clostridia;Peptostreptococcales;Anaerovoracaceae;Anaerovorax;Anaerovorax odorimutans;</t>
  </si>
  <si>
    <t>Anaerovorax</t>
  </si>
  <si>
    <t>Anaerovorax odorimutans</t>
  </si>
  <si>
    <t>Bacteria;Pseudomonadota;Betaproteobacteria;Burkholderiales;Comamonadaceae;Comamonas;Comamonas nitrativorans;</t>
  </si>
  <si>
    <t>Comamonas nitrativorans</t>
  </si>
  <si>
    <t>Bacteria;Bacillota;Clostridia;Eubacteriales;Proteinivoraceae;Anaerobranca;Anaerobranca gottschalkii;</t>
  </si>
  <si>
    <t>Anaerobranca</t>
  </si>
  <si>
    <t>Anaerobranca gottschalkii</t>
  </si>
  <si>
    <t>Bacteria;Pseudomonadota;Alphaproteobacteria;Hyphomicrobiales;Methylobacteriaceae;Methylobacterium;Methylobacterium fujisawaense;</t>
  </si>
  <si>
    <t>Methylobacterium fujisawaense</t>
  </si>
  <si>
    <t>Bacteria;Pseudomonadota;Gammaproteobacteria;Alteromonadales;Pseudoalteromonadaceae;Pseudoalteromonas;Pseudoalteromonas ulvae;</t>
  </si>
  <si>
    <t>Pseudoalteromonas ulvae</t>
  </si>
  <si>
    <t>Bacteria;Pseudomonadota;Gammaproteobacteria;Moraxellales;Moraxellaceae;Acinetobacter;Acinetobacter guillouiae;</t>
  </si>
  <si>
    <t>Acinetobacter guillouiae</t>
  </si>
  <si>
    <t>Bacteria;Pseudomonadota;Alphaproteobacteria;Hyphomicrobiales;Rhizobiaceae;Ensifer;Ensifer adhaerens;</t>
  </si>
  <si>
    <t>Ensifer adhaerens</t>
  </si>
  <si>
    <t>Bacteria;Pseudomonadota;Betaproteobacteria;Burkholderiales;Burkholderiaceae;Cupriavidus;Cupriavidus necator;</t>
  </si>
  <si>
    <t>Cupriavidus necator</t>
  </si>
  <si>
    <t>Bacteria;Pseudomonadota;Betaproteobacteria;Burkholderiales;Alcaligenaceae;Pelistega;Pelistega europaea;</t>
  </si>
  <si>
    <t>Pelistega europaea</t>
  </si>
  <si>
    <t>Bacteria;Pseudomonadota;Gammaproteobacteria;Aeromonadales;Aeromonadaceae;Aeromonas;Aeromonas bestiarum;</t>
  </si>
  <si>
    <t>Aeromonas bestiarum</t>
  </si>
  <si>
    <t>Bacteria;Pseudomonadota;Betaproteobacteria;Burkholderiales;Sphaerotilaceae;Methylibium;Methylibium petroleiphilum;</t>
  </si>
  <si>
    <t>Methylibium petroleiphilum</t>
  </si>
  <si>
    <t>Bacteria;Pseudomonadota;Betaproteobacteria;Burkholderiales;Burkholderiaceae;Ralstonia;Ralstonia mannitolilytica;</t>
  </si>
  <si>
    <t>Ralstonia mannitolilytica</t>
  </si>
  <si>
    <t>Bacteria;Campylobacterota;Epsilonproteobacteria;Campylobacterales;Helicobacteraceae;Helicobacter;Helicobacter suis;</t>
  </si>
  <si>
    <t>Helicobacter suis</t>
  </si>
  <si>
    <t>Bacteria;Pseudomonadota;Alphaproteobacteria;Acetobacterales;Acetobacteraceae;Acetobacter;Acetobacter tropicalis;</t>
  </si>
  <si>
    <t>Acetobacter tropicalis</t>
  </si>
  <si>
    <t>Bacteria;Actinomycetota;Actinomycetes;Streptosporangiales;Streptosporangiaceae;Thermopolyspora;Thermopolyspora flexuosa;</t>
  </si>
  <si>
    <t>Thermopolyspora</t>
  </si>
  <si>
    <t>Thermopolyspora flexuosa</t>
  </si>
  <si>
    <t>Bacteria;Pseudomonadota;Betaproteobacteria;Burkholderiales;Burkholderiaceae;Burkholderia;Burkholderia ubonensis;</t>
  </si>
  <si>
    <t>Burkholderia ubonensis</t>
  </si>
  <si>
    <t>Bacteria;Actinomycetota;Actinomycetes;Micrococcales;Dermatophilaceae;Austwickia;Austwickia chelonae;</t>
  </si>
  <si>
    <t>Austwickia chelonae</t>
  </si>
  <si>
    <t>Bacteria;Bacillota;Clostridia;Eubacteriales;Oscillospiraceae;Papillibacter;Papillibacter cinnamivorans;</t>
  </si>
  <si>
    <t>Papillibacter</t>
  </si>
  <si>
    <t>Papillibacter cinnamivorans</t>
  </si>
  <si>
    <t>Bacteria;Bacillota;Clostridia;Eubacteriales;Clostridiaceae;Clostridium;Clostridium peptidivorans;</t>
  </si>
  <si>
    <t>Clostridium peptidivorans</t>
  </si>
  <si>
    <t>Bacteria;Bacillota;Clostridia;Lachnospirales;Lachnospiraceae;Anaerocolumna;Anaerocolumna xylanovorans;</t>
  </si>
  <si>
    <t>Anaerocolumna xylanovorans</t>
  </si>
  <si>
    <t>Bacteria;Bacillota;Clostridia;Eubacteriales;Clostridiaceae;Clostridium;Clostridium putrefaciens;</t>
  </si>
  <si>
    <t>Clostridium putrefaciens</t>
  </si>
  <si>
    <t>Bacteria;Bacillota;Clostridia;Lachnospirales;Lachnospiraceae;Lachnoclostridium;[Clostridium] fimetarium;</t>
  </si>
  <si>
    <t>[Clostridium] fimetarium</t>
  </si>
  <si>
    <t>Bacteria;Bacillota;Tissierellia;Tissierellales;Thermohalobacteraceae;Thermohalobacter;Thermohalobacter berrensis;</t>
  </si>
  <si>
    <t>Thermohalobacter</t>
  </si>
  <si>
    <t>Thermohalobacter berrensis</t>
  </si>
  <si>
    <t>Bacteria;Actinomycetota;Actinomycetes;Micrococcales;Intrasporangiaceae;Nostocoides;Nostocoides japonicum;</t>
  </si>
  <si>
    <t>Nostocoides</t>
  </si>
  <si>
    <t>Nostocoides japonicum</t>
  </si>
  <si>
    <t>Bacteria;Pseudomonadota;Alphaproteobacteria;Caulobacterales;Caulobacteraceae;Phenylobacterium;Phenylobacterium haematophilum;</t>
  </si>
  <si>
    <t>Phenylobacterium haematophilum</t>
  </si>
  <si>
    <t>Bacteria;Pseudomonadota;Gammaproteobacteria;Pasteurellales;Pasteurellaceae;Pasteurella;Pasteurella skyensis;</t>
  </si>
  <si>
    <t>Pasteurella</t>
  </si>
  <si>
    <t>Pasteurella skyensis</t>
  </si>
  <si>
    <t>Bacteria;Pseudomonadota;Gammaproteobacteria;Methylococcales;Methylococcaceae;Methylobacter;Methylobacter psychrophilus;</t>
  </si>
  <si>
    <t>Methylobacter psychrophilus</t>
  </si>
  <si>
    <t>Bacteria;Actinomycetota;Actinomycetes;Micrococcales;Microbacteriaceae;Microbacterium;Microbacterium sp. B19;</t>
  </si>
  <si>
    <t>Microbacterium sp. B19</t>
  </si>
  <si>
    <t>Bacteria;Bacteroidota;Flavobacteriia;Flavobacteriales;Flavobacteriaceae;Flavobacterium;Flavobacterium psychrophilum;</t>
  </si>
  <si>
    <t>Flavobacterium psychrophilum</t>
  </si>
  <si>
    <t>Bacteria;Pseudomonadota;Gammaproteobacteria;Methylococcales;Methylococcaceae;Methylotuvimicrobium;Methylotuvimicrobium buryatense;</t>
  </si>
  <si>
    <t>Methylotuvimicrobium</t>
  </si>
  <si>
    <t>Methylotuvimicrobium buryatense</t>
  </si>
  <si>
    <t>Bacteria;Pseudomonadota;Alphaproteobacteria;Rhodospirillales;Azospirillaceae;Azospirillum;Azospirillum sp. B4;</t>
  </si>
  <si>
    <t>Azospirillum sp. B4</t>
  </si>
  <si>
    <t>Bacteria;Bacillota;Clostridia;Eubacteriales;Clostridiaceae;Clostridium;Clostridium gasigenes;</t>
  </si>
  <si>
    <t>Clostridium gasigenes</t>
  </si>
  <si>
    <t>Bacteria;Pseudomonadota;Alphaproteobacteria;Hyphomicrobiales;Brucellaceae;Brucella;Brucella intermedia;</t>
  </si>
  <si>
    <t>Brucella intermedia</t>
  </si>
  <si>
    <t>Bacteria;Bacteroidota;Cytophagia;Cytophagales;Spirosomataceae;Runella;Runella zeae;</t>
  </si>
  <si>
    <t>Runella zeae</t>
  </si>
  <si>
    <t>Bacteria;Pseudomonadota;Betaproteobacteria;Burkholderiales;Comamonadaceae;Ramlibacter;Ramlibacter tataouinensis;</t>
  </si>
  <si>
    <t>Ramlibacter tataouinensis</t>
  </si>
  <si>
    <t>Bacteria;Pseudomonadota;Betaproteobacteria;Burkholderiales;Burkholderiaceae;Pandoraea;Pandoraea norimbergensis;</t>
  </si>
  <si>
    <t>Pandoraea norimbergensis</t>
  </si>
  <si>
    <t>Bacteria;Pseudomonadota;Alphaproteobacteria;Sphingomonadales;Sphingomonadaceae;Sphingomonas;Sphingomonas koreensis;</t>
  </si>
  <si>
    <t>Sphingomonas koreensis</t>
  </si>
  <si>
    <t>Bacteria;Pseudomonadota;Alphaproteobacteria;Rhodobacterales;Roseobacteraceae;Ketogulonicigenium;Ketogulonicigenium vulgare;</t>
  </si>
  <si>
    <t>Ketogulonicigenium</t>
  </si>
  <si>
    <t>Ketogulonicigenium vulgare</t>
  </si>
  <si>
    <t>Bacteria;Cyanobacteriota;Cyanophyceae;Nostocales;Nostocaceae;Nostoc;Nostoc linckia;</t>
  </si>
  <si>
    <t>Nostoc linckia</t>
  </si>
  <si>
    <t>Bacteria;Pseudomonadota;Alphaproteobacteria;Rhodospirillales;Azospirillaceae;Azospirillum;Azospirillum doebereinerae;</t>
  </si>
  <si>
    <t>Azospirillum doebereinerae</t>
  </si>
  <si>
    <t>Bacteria;Pseudomonadota;Gammaproteobacteria;Enterobacterales;Erwiniaceae;Pantoea;Pantoea endophytica;</t>
  </si>
  <si>
    <t>Pantoea endophytica</t>
  </si>
  <si>
    <t>Bacteria;Pseudomonadota;Gammaproteobacteria;Thiotrichales;Thiotrichaceae;Thiothrix;Thiothrix eikelboomii;</t>
  </si>
  <si>
    <t>Thiothrix eikelboomii</t>
  </si>
  <si>
    <t>Bacteria;Pseudomonadota;Betaproteobacteria;Rhodocyclales;Rhodocyclaceae;Aromatoleum;Aromatoleum toluclasticum;</t>
  </si>
  <si>
    <t>Aromatoleum toluclasticum</t>
  </si>
  <si>
    <t>Bacteria;Bacillota;Clostridia;Eubacteriales;Clostridiaceae;Clostridium;Clostridium acidisoli;</t>
  </si>
  <si>
    <t>Clostridium acidisoli</t>
  </si>
  <si>
    <t>Bacteria;Bacillota;Clostridia;Eubacteriales;Clostridiaceae;Clostridium;Clostridium akagii;</t>
  </si>
  <si>
    <t>Clostridium akagii</t>
  </si>
  <si>
    <t>Bacteria;Pseudomonadota;Gammaproteobacteria;Pseudomonadales;Pseudomonadaceae;Pseudomonas;Pseudomonas sp. MIS38;</t>
  </si>
  <si>
    <t>Pseudomonas sp. MIS38</t>
  </si>
  <si>
    <t>Bacteria;Thermodesulfobacteriota;Desulfobacteria;Desulfobacterales;Desulfosarcinaceae;Desulfosarcina;Desulfosarcina cetonica;</t>
  </si>
  <si>
    <t>Desulfosarcina cetonica</t>
  </si>
  <si>
    <t>Bacteria;Pseudomonadota;Alphaproteobacteria;Caulobacterales;Caulobacteraceae;Caulobacter;Caulobacter segnis;</t>
  </si>
  <si>
    <t>Caulobacter segnis</t>
  </si>
  <si>
    <t>Bacteria;Actinomycetota;Actinomycetes;Micrococcales;Microbacteriaceae;Agromyces;Agromyces rhizosphaerae;</t>
  </si>
  <si>
    <t>Agromyces rhizosphaerae</t>
  </si>
  <si>
    <t>Bacteria;Pseudomonadota;Betaproteobacteria;Burkholderiales;Burkholderiaceae;Burkholderia;Burkholderia multivorans;</t>
  </si>
  <si>
    <t>Burkholderia multivorans</t>
  </si>
  <si>
    <t>Bacteria;Pseudomonadota;Alphaproteobacteria;Rhodobacterales;Paracoccaceae;Natronohydrobacter;Natronohydrobacter thiooxidans;</t>
  </si>
  <si>
    <t>Natronohydrobacter</t>
  </si>
  <si>
    <t>Natronohydrobacter thiooxidans</t>
  </si>
  <si>
    <t>Bacteria;Bacillota;Bacilli;Bacillales;Caryophanaceae;Jeotgalibacillus;Jeotgalibacillus marinus;</t>
  </si>
  <si>
    <t>Jeotgalibacillus marinus</t>
  </si>
  <si>
    <t>Bacteria;Pseudomonadota;Gammaproteobacteria;Lysobacterales;Lysobacteraceae;Stenotrophomonas;Stenotrophomonas geniculata;</t>
  </si>
  <si>
    <t>Stenotrophomonas geniculata</t>
  </si>
  <si>
    <t>Bacteria;Pseudomonadota;Gammaproteobacteria;Lysobacterales;Lysobacteraceae;Stenotrophomonas;Stenotrophomonas pictorum;</t>
  </si>
  <si>
    <t>Stenotrophomonas pictorum</t>
  </si>
  <si>
    <t>Bacteria;Pseudomonadota;Betaproteobacteria;Burkholderiales;Comamonadaceae;Curvibacter;Curvibacter lanceolatus;</t>
  </si>
  <si>
    <t>Curvibacter lanceolatus</t>
  </si>
  <si>
    <t>Bacteria;Pseudomonadota;Betaproteobacteria;Burkholderiales;Comamonadaceae;Malikia;Malikia spinosa;</t>
  </si>
  <si>
    <t>Malikia spinosa</t>
  </si>
  <si>
    <t>Bacteria;Pseudomonadota;Gammaproteobacteria;Pseudomonadales;Pseudomonadaceae;Halopseudomonas;Halopseudomonas pertucinogena;</t>
  </si>
  <si>
    <t>Halopseudomonas pertucinogena</t>
  </si>
  <si>
    <t>Bacteria;Pseudomonadota;Betaproteobacteria;Burkholderiales;Alcaligenaceae;Achromobacter;Achromobacter xylosoxidans;</t>
  </si>
  <si>
    <t>Achromobacter xylosoxidans</t>
  </si>
  <si>
    <t>Bacteria;Actinomycetota;Actinomycetes;Mycobacteriales;Mycobacteriaceae;Mycobacterium;Mycobacterium botniense;</t>
  </si>
  <si>
    <t>Mycobacterium botniense</t>
  </si>
  <si>
    <t>Bacteria;Bacillota;Clostridia;Eubacteriales;Clostridiaceae;Clostridium;Clostridium frigidicarnis;</t>
  </si>
  <si>
    <t>Clostridium frigidicarnis</t>
  </si>
  <si>
    <t>Bacteria;Bacillota;Bacilli;Bacillales;Bacillaceae;Bacillus;Bacillus sp. GL1;</t>
  </si>
  <si>
    <t>Bacillus sp. GL1</t>
  </si>
  <si>
    <t>Bacteria;Bacillota;Bacilli;Bacillales;Bacillaceae;Virgibacillus;Virgibacillus proomii;</t>
  </si>
  <si>
    <t>Virgibacillus proomii</t>
  </si>
  <si>
    <t>Bacteria;Campylobacterota;Desulfurellia;Desulfurellales;Hippeaceae;Hippea;Hippea maritima;</t>
  </si>
  <si>
    <t>Desulfurellia</t>
  </si>
  <si>
    <t>Desulfurellales</t>
  </si>
  <si>
    <t>Hippeaceae</t>
  </si>
  <si>
    <t>Hippea</t>
  </si>
  <si>
    <t>Hippea maritima</t>
  </si>
  <si>
    <t>Bacteria;Actinomycetota;Actinomycetes;Micrococcales;Microbacteriaceae;Microbacterium;Microbacterium chocolatum;</t>
  </si>
  <si>
    <t>Microbacterium chocolatum</t>
  </si>
  <si>
    <t>Bacteria;Bacillota;Clostridia;Eubacteriales;Clostridiaceae;Clostridium;Clostridium thermosuccinogenes;</t>
  </si>
  <si>
    <t>Clostridium thermosuccinogenes</t>
  </si>
  <si>
    <t>Bacteria;Bacillota;Clostridia;Eubacteriales;Clostridiaceae;Clostridium;Clostridium sartagoforme;</t>
  </si>
  <si>
    <t>Clostridium sartagoforme</t>
  </si>
  <si>
    <t>Bacteria;Bacillota;Clostridia;Eubacteriales;Clostridiaceae;Clostridium;Clostridium haemolyticum;</t>
  </si>
  <si>
    <t>Clostridium haemolyticum</t>
  </si>
  <si>
    <t>Bacteria;Bacillota;Clostridia;Eubacteriales;Clostridiaceae;Clostridium;Clostridium disporicum;</t>
  </si>
  <si>
    <t>Clostridium disporicum</t>
  </si>
  <si>
    <t>Bacteria;Bacillota;Clostridia;Eubacteriales;Clostridiaceae;Clostridium;Clostridium autoethanogenum;</t>
  </si>
  <si>
    <t>Clostridium autoethanogenum</t>
  </si>
  <si>
    <t>Bacteria;Bacillota;Clostridia;Eubacteriales;Clostridiaceae;Clostridium;Clostridium aceticum;</t>
  </si>
  <si>
    <t>Clostridium aceticum</t>
  </si>
  <si>
    <t>Bacteria;Pseudomonadota;Gammaproteobacteria;Aeromonadales;Succinivibrionaceae;Succinivibrio;Succinivibrio dextrinosolvens;</t>
  </si>
  <si>
    <t>Succinivibrionaceae</t>
  </si>
  <si>
    <t>Succinivibrio</t>
  </si>
  <si>
    <t>Succinivibrio dextrinosolvens</t>
  </si>
  <si>
    <t>Bacteria;Bacillota;Clostridia;Eubacteriales;Eubacteriaceae;Eubacterium;Eubacterium multiforme;</t>
  </si>
  <si>
    <t>Eubacterium multiforme</t>
  </si>
  <si>
    <t>Bacteria;Pseudomonadota;Gammaproteobacteria;Enterobacterales;Yersiniaceae;Serratia;Serratia plymuthica;</t>
  </si>
  <si>
    <t>Serratia plymuthica</t>
  </si>
  <si>
    <t>Bacteria;Pseudomonadota;Gammaproteobacteria;Enterobacterales;Enterobacteriaceae;Buttiauxella;Buttiauxella izardii;</t>
  </si>
  <si>
    <t>Buttiauxella</t>
  </si>
  <si>
    <t>Buttiauxella izardii</t>
  </si>
  <si>
    <t>Bacteria;Pseudomonadota;Gammaproteobacteria;Enterobacterales;Enterobacteriaceae;Buttiauxella;Buttiauxella ferragutiae;</t>
  </si>
  <si>
    <t>Buttiauxella ferragutiae</t>
  </si>
  <si>
    <t>Bacteria;Pseudomonadota;Gammaproteobacteria;Enterobacterales;Budviciaceae;Pragia;Pragia fontium;</t>
  </si>
  <si>
    <t>Pragia</t>
  </si>
  <si>
    <t>Pragia fontium</t>
  </si>
  <si>
    <t>Bacteria;Pseudomonadota;Gammaproteobacteria;Enterobacterales;Hafniaceae;Obesumbacterium;Obesumbacterium proteus;</t>
  </si>
  <si>
    <t>Obesumbacterium</t>
  </si>
  <si>
    <t>Obesumbacterium proteus</t>
  </si>
  <si>
    <t>Bacteria;Pseudomonadota;Gammaproteobacteria;Enterobacterales;Enterobacteriaceae;Buttiauxella;Buttiauxella agrestis;</t>
  </si>
  <si>
    <t>Buttiauxella agrestis</t>
  </si>
  <si>
    <t>Bacteria;Pseudomonadota;Betaproteobacteria;Burkholderiales;Burkholderiaceae;Cupriavidus;Cupriavidus gilardii;</t>
  </si>
  <si>
    <t>Cupriavidus gilardii</t>
  </si>
  <si>
    <t>Bacteria;Actinomycetota;Actinomycetes;Micrococcales;Microbacteriaceae;Microbacterium;Microbacterium oxydans;</t>
  </si>
  <si>
    <t>Microbacterium oxydans</t>
  </si>
  <si>
    <t>Bacteria;Pseudomonadota;Alphaproteobacteria;Hyphomicrobiales;Kaistiaceae;Prosthecomicrobium;Prosthecomicrobium pneumaticum;</t>
  </si>
  <si>
    <t>Prosthecomicrobium pneumaticum</t>
  </si>
  <si>
    <t>Bacteria;Bacillota;Bacilli;Bacillales;Anoxybacillaceae;Saccharococcus;Saccharococcus caldoxylosilyticus;</t>
  </si>
  <si>
    <t>Saccharococcus</t>
  </si>
  <si>
    <t>Saccharococcus caldoxylosilyticus</t>
  </si>
  <si>
    <t>Bacteria;Pseudomonadota;Betaproteobacteria;Burkholderiales;Comamonadaceae;Simplicispira;Simplicispira psychrophila;</t>
  </si>
  <si>
    <t>Simplicispira psychrophila</t>
  </si>
  <si>
    <t>Bacteria;Pseudomonadota;Betaproteobacteria;Burkholderiales;Comamonadaceae;Hylemonella;Hylemonella gracilis;</t>
  </si>
  <si>
    <t>Hylemonella gracilis</t>
  </si>
  <si>
    <t>Bacteria;Pseudomonadota;Betaproteobacteria;Burkholderiales;Comamonadaceae;Curvibacter;Curvibacter delicatus;</t>
  </si>
  <si>
    <t>Curvibacter delicatus</t>
  </si>
  <si>
    <t>Bacteria;Pseudomonadota;Betaproteobacteria;Burkholderiales;Comamonadaceae;Acidovorax;Acidovorax temperans;</t>
  </si>
  <si>
    <t>Acidovorax temperans</t>
  </si>
  <si>
    <t>Bacteria;Pseudomonadota;Betaproteobacteria;Burkholderiales;Comamonadaceae;Paracidovorax;Paracidovorax avenae;</t>
  </si>
  <si>
    <t>Paracidovorax avenae</t>
  </si>
  <si>
    <t>Bacteria;Pseudomonadota;Betaproteobacteria;Burkholderiales;Comamonadaceae;Delftia;Delftia acidovorans;</t>
  </si>
  <si>
    <t>Delftia acidovorans</t>
  </si>
  <si>
    <t>Bacteria;Myxococcota;NA;Haliangiales;Kofleriaceae;Haliangium;Haliangium ochraceum;</t>
  </si>
  <si>
    <t>Haliangiales</t>
  </si>
  <si>
    <t>Kofleriaceae</t>
  </si>
  <si>
    <t>Haliangium</t>
  </si>
  <si>
    <t>Haliangium ochraceum</t>
  </si>
  <si>
    <t>Bacteria;Bacillota;Bacilli;Bacillales;Bacillaceae;Sutcliffiella;Sutcliffiella horikoshii;</t>
  </si>
  <si>
    <t>Sutcliffiella horikoshii</t>
  </si>
  <si>
    <t>Bacteria;Bacillota;Clostridia;Eubacteriales;Desulfitobacteriaceae;Desulfosporosinus;Desulfosporosinus meridiei;</t>
  </si>
  <si>
    <t>Desulfosporosinus meridiei</t>
  </si>
  <si>
    <t>Bacteria;Pseudomonadota;Gammaproteobacteria;Pseudomonadales;Pseudomonadaceae;Pseudomonas;Pseudomonas mosselii;</t>
  </si>
  <si>
    <t>Pseudomonas mosselii</t>
  </si>
  <si>
    <t>Bacteria;Pseudomonadota;Betaproteobacteria;Burkholderiales;Comamonadaceae;Paracidovorax;Paracidovorax anthurii;</t>
  </si>
  <si>
    <t>Paracidovorax anthurii</t>
  </si>
  <si>
    <t>Bacteria;Pseudomonadota;Alphaproteobacteria;Acetobacterales;Roseomonadaceae;Paracraurococcus;Paracraurococcus ruber;</t>
  </si>
  <si>
    <t>Paracraurococcus ruber</t>
  </si>
  <si>
    <t>Bacteria;Pseudomonadota;Gammaproteobacteria;Alteromonadales;Pseudoalteromonadaceae;Pseudoalteromonas;Pseudoalteromonas distincta;</t>
  </si>
  <si>
    <t>Pseudoalteromonas distincta</t>
  </si>
  <si>
    <t>Bacteria;Pseudomonadota;Alphaproteobacteria;Acetobacterales;Acetobacteraceae;Craurococcus;Craurococcus roseus;</t>
  </si>
  <si>
    <t>Craurococcus</t>
  </si>
  <si>
    <t>Craurococcus roseus</t>
  </si>
  <si>
    <t>Bacteria;Pseudomonadota;Alphaproteobacteria;Rhodobacterales;Paracoccaceae;Pseudorhodobacter;Pseudorhodobacter ferrugineus;</t>
  </si>
  <si>
    <t>Pseudorhodobacter</t>
  </si>
  <si>
    <t>Pseudorhodobacter ferrugineus</t>
  </si>
  <si>
    <t>Bacteria;Pseudomonadota;Alphaproteobacteria;Sphingomonadales;Sphingomonadaceae;Novosphingobium;Novosphingobium rosa;</t>
  </si>
  <si>
    <t>Novosphingobium rosa</t>
  </si>
  <si>
    <t>Bacteria;Actinomycetota;Actinomycetes;Micrococcales;Cellulomonadaceae;Cellulomonas;Cellulomonas iranensis;</t>
  </si>
  <si>
    <t>Cellulomonas iranensis</t>
  </si>
  <si>
    <t>Bacteria;Pseudomonadota;Gammaproteobacteria;Pseudomonadales;Pseudomonadaceae;Pseudomonas;Pseudomonas monteilii;</t>
  </si>
  <si>
    <t>Pseudomonas monteilii</t>
  </si>
  <si>
    <t>Bacteria;Pseudomonadota;Alphaproteobacteria;Hyphomicrobiales;Rhizobiaceae;Sinorhizobium;Sinorhizobium kostiense;</t>
  </si>
  <si>
    <t>Sinorhizobium kostiense</t>
  </si>
  <si>
    <t>Bacteria;Pseudomonadota;Betaproteobacteria;Burkholderiales;Sphaerotilaceae;Roseateles;Roseateles depolymerans;</t>
  </si>
  <si>
    <t>Roseateles depolymerans</t>
  </si>
  <si>
    <t>Bacteria;Bacillota;Clostridia;Eubacteriales;Clostridiaceae;Clostridium;Clostridium acetireducens;</t>
  </si>
  <si>
    <t>Clostridium acetireducens</t>
  </si>
  <si>
    <t>Bacteria;Pseudomonadota;Betaproteobacteria;Rhodocyclales;Azonexaceae;Ferribacterium;Ferribacterium limneticum;</t>
  </si>
  <si>
    <t>Ferribacterium</t>
  </si>
  <si>
    <t>Ferribacterium limneticum</t>
  </si>
  <si>
    <t>Bacteria;Pseudomonadota;Betaproteobacteria;Rhodocyclales;Rhodocyclaceae;Aromatoleum;Aromatoleum petrolei;</t>
  </si>
  <si>
    <t>Aromatoleum petrolei</t>
  </si>
  <si>
    <t>Bacteria;Pseudomonadota;Betaproteobacteria;Burkholderiales;Oxalobacteraceae;Duganella;Duganella zoogloeoides;</t>
  </si>
  <si>
    <t>Duganella zoogloeoides</t>
  </si>
  <si>
    <t>Bacteria;Actinomycetota;Actinomycetes;Propionibacteriales;Nocardioidaceae;Micropruina;Micropruina glycogenica;</t>
  </si>
  <si>
    <t>Micropruina</t>
  </si>
  <si>
    <t>Micropruina glycogenica</t>
  </si>
  <si>
    <t>Bacteria;Pseudomonadota;Gammaproteobacteria;Pseudomonadales;Pseudomonadaceae;Stutzerimonas;Stutzerimonas balearica;</t>
  </si>
  <si>
    <t>Stutzerimonas balearica</t>
  </si>
  <si>
    <t>Bacteria;Pseudomonadota;Alphaproteobacteria;Caulobacterales;Caulobacteraceae;Brevundimonas;Brevundimonas staleyi;</t>
  </si>
  <si>
    <t>Brevundimonas staleyi</t>
  </si>
  <si>
    <t>Bacteria;Pseudomonadota;Alphaproteobacteria;Caulobacterales;Caulobacteraceae;Brevundimonas;Brevundimonas aurantiaca;</t>
  </si>
  <si>
    <t>Brevundimonas aurantiaca</t>
  </si>
  <si>
    <t>Bacteria;Pseudomonadota;Alphaproteobacteria;Caulobacterales;Caulobacteraceae;Brevundimonas;Brevundimonas intermedia;</t>
  </si>
  <si>
    <t>Brevundimonas intermedia</t>
  </si>
  <si>
    <t>Bacteria;Pseudomonadota;Alphaproteobacteria;Caulobacterales;Caulobacteraceae;Brevundimonas;Brevundimonas alba;</t>
  </si>
  <si>
    <t>Brevundimonas alba</t>
  </si>
  <si>
    <t>Bacteria;Pseudomonadota;Alphaproteobacteria;Caulobacterales;Caulobacteraceae;Brevundimonas;Brevundimonas subvibrioides;</t>
  </si>
  <si>
    <t>Brevundimonas subvibrioides</t>
  </si>
  <si>
    <t>Bacteria;Pseudomonadota;Alphaproteobacteria;Caulobacterales;Caulobacteraceae;Brevundimonas;Brevundimonas variabilis;</t>
  </si>
  <si>
    <t>Brevundimonas variabilis</t>
  </si>
  <si>
    <t>Bacteria;Pseudomonadota;Alphaproteobacteria;Caulobacterales;Caulobacteraceae;Brevundimonas;Brevundimonas bacteroides;</t>
  </si>
  <si>
    <t>Brevundimonas bacteroides</t>
  </si>
  <si>
    <t>Bacteria;Actinomycetota;Actinomycetes;Mycobacteriales;Nocardiaceae;Williamsia;Williamsia maris;</t>
  </si>
  <si>
    <t>Williamsia maris</t>
  </si>
  <si>
    <t>Bacteria;Pseudomonadota;Alphaproteobacteria;Sphingomonadales;Sphingomonadaceae;Citromicrobium;Citromicrobium bathyomarinum;</t>
  </si>
  <si>
    <t>Citromicrobium</t>
  </si>
  <si>
    <t>Citromicrobium bathyomarinum</t>
  </si>
  <si>
    <t>Bacteria;Bacillota;Bacilli;Lactobacillales;Enterococcaceae;Enterococcus;Enterococcus malodoratus;</t>
  </si>
  <si>
    <t>Enterococcus malodoratus</t>
  </si>
  <si>
    <t>Bacteria;Pseudomonadota;Alphaproteobacteria;Hyphomicrobiales;Stappiaceae;Stappia;Stappia stellulata;</t>
  </si>
  <si>
    <t>Stappia</t>
  </si>
  <si>
    <t>Stappia stellulata</t>
  </si>
  <si>
    <t>Bacteria;Bacteroidota;Cytophagia;Cytophagales;Flammeovirgaceae;Flexithrix;Flexithrix dorotheae;</t>
  </si>
  <si>
    <t>Flexithrix</t>
  </si>
  <si>
    <t>Flexithrix dorotheae</t>
  </si>
  <si>
    <t>Bacteria;Pseudomonadota;Betaproteobacteria;Burkholderiales;NA;Aquabacterium;Aquabacterium commune;</t>
  </si>
  <si>
    <t>Aquabacterium commune</t>
  </si>
  <si>
    <t>Bacteria;Pseudomonadota;Betaproteobacteria;Burkholderiales;NA;Aquabacterium;Aquabacterium parvum;</t>
  </si>
  <si>
    <t>Aquabacterium parvum</t>
  </si>
  <si>
    <t>Bacteria;Pseudomonadota;Gammaproteobacteria;Moraxellales;Moraxellaceae;Acinetobacter;Acinetobacter dispersus;</t>
  </si>
  <si>
    <t>Acinetobacter dispersus</t>
  </si>
  <si>
    <t>Bacteria;Pseudomonadota;Gammaproteobacteria;Moraxellales;Moraxellaceae;Acinetobacter;Acinetobacter higginsii;</t>
  </si>
  <si>
    <t>Acinetobacter higginsii</t>
  </si>
  <si>
    <t>Bacteria;Pseudomonadota;Gammaproteobacteria;Moraxellales;Moraxellaceae;Acinetobacter;Acinetobacter variabilis;</t>
  </si>
  <si>
    <t>Acinetobacter variabilis</t>
  </si>
  <si>
    <t>Bacteria;Pseudomonadota;Gammaproteobacteria;Pseudomonadales;Pseudomonadaceae;Azotobacter;Azotobacter salinestris;</t>
  </si>
  <si>
    <t>Azotobacter salinestris</t>
  </si>
  <si>
    <t>Bacteria;Pseudomonadota;Gammaproteobacteria;Pseudomonadales;Pseudomonadaceae;Azorhizophilus;Azorhizophilus paspali;</t>
  </si>
  <si>
    <t>Azorhizophilus</t>
  </si>
  <si>
    <t>Azorhizophilus paspali</t>
  </si>
  <si>
    <t>Bacteria;Bacillota;Clostridia;Peptostreptococcales;Tindalliaceae;Tindallia;Tindallia magadiensis;</t>
  </si>
  <si>
    <t>Tindalliaceae</t>
  </si>
  <si>
    <t>Tindallia</t>
  </si>
  <si>
    <t>Tindallia magadiensis</t>
  </si>
  <si>
    <t>Bacteria;Pseudomonadota;Alphaproteobacteria;Caulobacterales;Caulobacteraceae;Caulobacter;Caulobacter mirabilis;</t>
  </si>
  <si>
    <t>Caulobacter mirabilis</t>
  </si>
  <si>
    <t>Bacteria;Pseudomonadota;Alphaproteobacteria;Caulobacterales;Caulobacteraceae;Caulobacter;Caulobacter sp. FWC26;</t>
  </si>
  <si>
    <t>Caulobacter sp. FWC26</t>
  </si>
  <si>
    <t>Bacteria;Pseudomonadota;Alphaproteobacteria;Caulobacterales;Caulobacteraceae;Caulobacter;Caulobacter sp. FWC2;</t>
  </si>
  <si>
    <t>Caulobacter sp. FWC2</t>
  </si>
  <si>
    <t>Bacteria;Pseudomonadota;Alphaproteobacteria;Caulobacterales;Caulobacteraceae;Caulobacter;Caulobacter henricii;</t>
  </si>
  <si>
    <t>Caulobacter henricii</t>
  </si>
  <si>
    <t>Bacteria;Pseudomonadota;Gammaproteobacteria;Enterobacterales;Erwiniaceae;Pantoea;Pantoea sp.;</t>
  </si>
  <si>
    <t>Pantoea sp.</t>
  </si>
  <si>
    <t>Bacteria;Pseudomonadota;Gammaproteobacteria;Lysobacterales;Lysobacteraceae;Stenotrophomonas;Stenotrophomonas sp.;</t>
  </si>
  <si>
    <t>Stenotrophomonas sp.</t>
  </si>
  <si>
    <t>Bacteria;Actinomycetota;Actinomycetes;Micrococcales;Microbacteriaceae;Curtobacterium;Curtobacterium pusillum;</t>
  </si>
  <si>
    <t>Curtobacterium pusillum</t>
  </si>
  <si>
    <t>Bacteria;Actinomycetota;Actinomycetes;Micrococcales;Microbacteriaceae;Luethyella;Luethyella okanaganae;</t>
  </si>
  <si>
    <t>Luethyella</t>
  </si>
  <si>
    <t>Luethyella okanaganae</t>
  </si>
  <si>
    <t>Bacteria;Actinomycetota;Actinomycetes;Micrococcales;Microbacteriaceae;Microbacterium;Microbacterium trichothecenolyticum;</t>
  </si>
  <si>
    <t>Microbacterium trichothecenolyticum</t>
  </si>
  <si>
    <t>Bacteria;Actinomycetota;Actinomycetes;Micrococcales;Microbacteriaceae;Microbacterium;Microbacterium flavescens;</t>
  </si>
  <si>
    <t>Microbacterium flavescens</t>
  </si>
  <si>
    <t>Bacteria;Actinomycetota;Actinomycetes;Micrococcales;Microbacteriaceae;Microbacterium;Microbacterium arabinogalactanolyticum;</t>
  </si>
  <si>
    <t>Microbacterium arabinogalactanolyticum</t>
  </si>
  <si>
    <t>Bacteria;Actinomycetota;Actinomycetes;Micrococcales;Microbacteriaceae;Microbacterium;Microbacterium terregens;</t>
  </si>
  <si>
    <t>Microbacterium terregens</t>
  </si>
  <si>
    <t>Bacteria;Pseudomonadota;Alphaproteobacteria;Hyphomicrobiales;Phyllobacteriaceae;Aquamicrobium;Aquamicrobium defluvii;</t>
  </si>
  <si>
    <t>Aquamicrobium defluvii</t>
  </si>
  <si>
    <t>Bacteria;Pseudomonadota;Gammaproteobacteria;Enterobacterales;Enterobacteriaceae;Lelliottia;Lelliottia nimipressuralis;</t>
  </si>
  <si>
    <t>Lelliottia nimipressuralis</t>
  </si>
  <si>
    <t>Bacteria;Pseudomonadota;Gammaproteobacteria;Enterobacterales;Enterobacteriaceae;Enterobacter;Enterobacter cancerogenus;</t>
  </si>
  <si>
    <t>Enterobacter cancerogenus</t>
  </si>
  <si>
    <t>Bacteria;Bacillota;Clostridia;Eubacteriales;Clostridiaceae;Clostridium;Clostridium polyendosporum;</t>
  </si>
  <si>
    <t>Clostridium polyendosporum</t>
  </si>
  <si>
    <t>Bacteria;Pseudomonadota;Betaproteobacteria;Burkholderiales;Burkholderiaceae;Cupriavidus;Cupriavidus basilensis;</t>
  </si>
  <si>
    <t>Cupriavidus basilensis</t>
  </si>
  <si>
    <t>Bacteria;Bacillota;Bacilli;Lactobacillales;Streptococcaceae;Streptococcus;Streptococcus peroris;</t>
  </si>
  <si>
    <t>Streptococcaceae</t>
  </si>
  <si>
    <t>Streptococcus</t>
  </si>
  <si>
    <t>Streptococcus peroris</t>
  </si>
  <si>
    <t>Bacteria;Pseudomonadota;Alphaproteobacteria;Sphingomonadales;Sphingomonadaceae;Sphingomonas;Sphingomonas leidyi;</t>
  </si>
  <si>
    <t>Sphingomonas leidyi</t>
  </si>
  <si>
    <t>Bacteria;Actinomycetota;Actinomycetes;Kitasatosporales;Streptomycetaceae;Streptomyces;Streptomyces xantholiticus;</t>
  </si>
  <si>
    <t>Streptomyces xantholiticus</t>
  </si>
  <si>
    <t>Bacteria;Actinomycetota;Actinomycetes;Kitasatosporales;Streptomycetaceae;Streptomyces;Streptomyces viridiviolaceus;</t>
  </si>
  <si>
    <t>Streptomyces viridiviolaceus</t>
  </si>
  <si>
    <t>Bacteria;Actinomycetota;Actinomycetes;Kitasatosporales;Streptomycetaceae;Streptomyces;Streptomyces mirabilis;</t>
  </si>
  <si>
    <t>Streptomyces mirabilis</t>
  </si>
  <si>
    <t>Bacteria;Actinomycetota;Actinomycetes;Kitasatosporales;Streptomycetaceae;Streptomyces;Streptomyces djakartensis;</t>
  </si>
  <si>
    <t>Streptomyces djakartensis</t>
  </si>
  <si>
    <t>Bacteria;Pseudomonadota;Gammaproteobacteria;Enterobacterales;Enterobacteriaceae;Citrobacter;Citrobacter werkmanii;</t>
  </si>
  <si>
    <t>Citrobacter werkmanii</t>
  </si>
  <si>
    <t>Bacteria;Actinomycetota;Actinomycetes;Micrococcales;Microbacteriaceae;Microbacterium;Microbacterium keratanolyticum;</t>
  </si>
  <si>
    <t>Microbacterium keratanolyticum</t>
  </si>
  <si>
    <t>Bacteria;Actinomycetota;Actinomycetes;Kitasatosporales;Streptomycetaceae;Streptomyces;Streptomyces narbonensis;</t>
  </si>
  <si>
    <t>Streptomyces narbonensis</t>
  </si>
  <si>
    <t>Bacteria;Actinomycetota;Actinomycetes;Kitasatosporales;Streptomycetaceae;Streptomyces;Streptomyces bobili;</t>
  </si>
  <si>
    <t>Streptomyces bobili</t>
  </si>
  <si>
    <t>Bacteria;Actinomycetota;Actinomycetes;Mycobacteriales;Mycobacteriaceae;Mycolicibacterium;Mycolicibacterium alvei;</t>
  </si>
  <si>
    <t>Mycolicibacterium alvei</t>
  </si>
  <si>
    <t>Bacteria;Actinomycetota;Actinomycetes;Kitasatosporales;Streptomycetaceae;Streptomyces;Streptomyces catenulae;</t>
  </si>
  <si>
    <t>Streptomyces catenulae</t>
  </si>
  <si>
    <t>Bacteria;Pseudomonadota;Gammaproteobacteria;Enterobacterales;Erwiniaceae;Pantoea;Pantoea stewartii;</t>
  </si>
  <si>
    <t>Pantoea stewartii</t>
  </si>
  <si>
    <t>Bacteria;Bacillota;Clostridia;Lachnospirales;Lachnospiraceae;Lachnoclostridium;Lachnoclostridium phytofermentans;</t>
  </si>
  <si>
    <t>Lachnoclostridium phytofermentans</t>
  </si>
  <si>
    <t>Bacteria;Pseudomonadota;Betaproteobacteria;Burkholderiales;Comamonadaceae;Hydrogenophaga;Hydrogenophaga intermedia;</t>
  </si>
  <si>
    <t>Hydrogenophaga intermedia</t>
  </si>
  <si>
    <t>Bacteria;Pseudomonadota;Gammaproteobacteria;Enterobacterales;Erwiniaceae;Erwinia;Erwinia tracheiphila;</t>
  </si>
  <si>
    <t>Erwinia tracheiphila</t>
  </si>
  <si>
    <t>Bacteria;Pseudomonadota;Betaproteobacteria;Burkholderiales;Comamonadaceae;Hydrogenophaga;Hydrogenophaga flava;</t>
  </si>
  <si>
    <t>Hydrogenophaga flava</t>
  </si>
  <si>
    <t>Bacteria;Pseudomonadota;Betaproteobacteria;Burkholderiales;Comamonadaceae;Hydrogenophaga;Hydrogenophaga taeniospiralis;</t>
  </si>
  <si>
    <t>Hydrogenophaga taeniospiralis</t>
  </si>
  <si>
    <t>Bacteria;Pseudomonadota;Betaproteobacteria;Burkholderiales;Comamonadaceae;Hydrogenophaga;Hydrogenophaga palleronii;</t>
  </si>
  <si>
    <t>Hydrogenophaga palleronii</t>
  </si>
  <si>
    <t>Bacteria;Thermodesulfobacteriota;Desulfobulbia;Desulfobulbales;Desulfocapsaceae;Desulfocapsa;Desulfocapsa sulfexigens;</t>
  </si>
  <si>
    <t>Desulfocapsa</t>
  </si>
  <si>
    <t>Desulfocapsa sulfexigens</t>
  </si>
  <si>
    <t>Bacteria;Bacillota;Clostridia;Peptostreptococcales;Acidaminobacteraceae;Acidaminobacter;Acidaminobacter hydrogenoformans;</t>
  </si>
  <si>
    <t>Acidaminobacter hydrogenoformans</t>
  </si>
  <si>
    <t>Bacteria;Bacillota;Bacilli;Bacillales;Bacillaceae;Bacillus;Bacillus pseudomycoides;</t>
  </si>
  <si>
    <t>Bacillus pseudomycoides</t>
  </si>
  <si>
    <t>Bacteria;Pseudomonadota;Gammaproteobacteria;Enterobacterales;Yersiniaceae;Serratia;Serratia ficaria;</t>
  </si>
  <si>
    <t>Serratia ficaria</t>
  </si>
  <si>
    <t>Bacteria;Pseudomonadota;Gammaproteobacteria;Enterobacterales;Enterobacteriaceae;Enterobacter;Enterobacter asburiae;</t>
  </si>
  <si>
    <t>Enterobacter asburiae</t>
  </si>
  <si>
    <t>Bacteria;Pseudomonadota;Gammaproteobacteria;Chromatiales;Chromatiaceae;Chromatium;Chromatium okenii;</t>
  </si>
  <si>
    <t>Chromatium</t>
  </si>
  <si>
    <t>Chromatium okenii</t>
  </si>
  <si>
    <t>Bacteria;Actinomycetota;Actinomycetes;Pseudonocardiales;Pseudonocardiaceae;Pseudonocardia;Pseudonocardia sp.;</t>
  </si>
  <si>
    <t>Pseudonocardia sp.</t>
  </si>
  <si>
    <t>Bacteria;Pseudomonadota;Betaproteobacteria;Burkholderiales;Burkholderiaceae;Burkholderia;Burkholderia pyrrocinia;</t>
  </si>
  <si>
    <t>Burkholderia pyrrocinia</t>
  </si>
  <si>
    <t>Bacteria;Actinomycetota;Actinomycetes;Propionibacteriales;Nocardioidaceae;Nocardioides;Nocardioides nitrophenolicus;</t>
  </si>
  <si>
    <t>Nocardioides nitrophenolicus</t>
  </si>
  <si>
    <t>Bacteria;Pseudomonadota;Gammaproteobacteria;Moraxellales;Moraxellaceae;Moraxella;Moraxella equi;</t>
  </si>
  <si>
    <t>Moraxella equi</t>
  </si>
  <si>
    <t>Bacteria;Actinomycetota;Actinomycetes;Mycobacteriales;Mycobacteriaceae;Mycolicibacterium;Mycolicibacterium novocastrense;</t>
  </si>
  <si>
    <t>Mycolicibacterium novocastrense</t>
  </si>
  <si>
    <t>Bacteria;Bacillota;Clostridia;Eubacteriales;Clostridiaceae;Clostridium;uncultured Clostridium sp.;</t>
  </si>
  <si>
    <t>uncultured Clostridium sp.</t>
  </si>
  <si>
    <t>Bacteria;Bacillota;Clostridia;Eubacteriales;Peptococcaceae;Desulforamulus;Desulforamulus reducens;</t>
  </si>
  <si>
    <t>Desulforamulus reducens</t>
  </si>
  <si>
    <t>Bacteria;Actinomycetota;Actinomycetes;Streptosporangiales;Thermomonosporaceae;Actinocorallia;Actinocorallia herbida;</t>
  </si>
  <si>
    <t>Actinocorallia</t>
  </si>
  <si>
    <t>Actinocorallia herbida</t>
  </si>
  <si>
    <t>Bacteria;Pseudomonadota;Gammaproteobacteria;Enterobacterales;Enterobacteriaceae;Citrobacter;Citrobacter braakii;</t>
  </si>
  <si>
    <t>Citrobacter braakii</t>
  </si>
  <si>
    <t>Bacteria;Actinomycetota;Actinomycetes;Micrococcales;Microbacteriaceae;Microbacterium;Microbacterium esteraromaticum;</t>
  </si>
  <si>
    <t>Microbacterium esteraromaticum</t>
  </si>
  <si>
    <t>Bacteria;Pseudomonadota;Gammaproteobacteria;Lysobacterales;Lysobacteraceae;Xanthomonas;Xanthomonas hortorum;</t>
  </si>
  <si>
    <t>Xanthomonas hortorum</t>
  </si>
  <si>
    <t>Bacteria;Pseudomonadota;Gammaproteobacteria;Lysobacterales;Lysobacteraceae;Xanthomonas;Xanthomonas arboricola;</t>
  </si>
  <si>
    <t>Xanthomonas arboricola</t>
  </si>
  <si>
    <t>Bacteria;Pseudomonadota;Alphaproteobacteria;Sphingomonadales;Sphingomonadaceae;Sphingomonas;Sphingomonas ursincola;</t>
  </si>
  <si>
    <t>Sphingomonas ursincola</t>
  </si>
  <si>
    <t>Bacteria;Pseudomonadota;Gammaproteobacteria;Vibrionales;Vibrionaceae;Vibrio;Vibrio anguillarum;</t>
  </si>
  <si>
    <t>Vibrio anguillarum</t>
  </si>
  <si>
    <t>Bacteria;Actinomycetota;Actinomycetes;Actinomycetales;Actinomycetaceae;Actinomyces;Actinomyces graevenitzii;</t>
  </si>
  <si>
    <t>Actinomyces graevenitzii</t>
  </si>
  <si>
    <t>Bacteria;Pseudomonadota;Gammaproteobacteria;Enterobacterales;Erwiniaceae;Erwinia;Erwinia persicina;</t>
  </si>
  <si>
    <t>Erwinia persicina</t>
  </si>
  <si>
    <t>Bacteria;Bacillota;NA;Caldicellulosiruptorales;Caldicellulosiruptoraceae;Caldicellulosiruptor;Caldicellulosiruptor owensensis;</t>
  </si>
  <si>
    <t>Caldicellulosiruptorales</t>
  </si>
  <si>
    <t>Caldicellulosiruptoraceae</t>
  </si>
  <si>
    <t>Caldicellulosiruptor</t>
  </si>
  <si>
    <t>Caldicellulosiruptor owensensis</t>
  </si>
  <si>
    <t>Bacteria;Bacteroidota;Flavobacteriia;Flavobacteriales;Flavobacteriaceae;Flavobacterium;Flavobacterium branchiophilum;</t>
  </si>
  <si>
    <t>Flavobacterium branchiophilum</t>
  </si>
  <si>
    <t>Bacteria;Bacillota;Bacilli;Bacillales;Paenibacillaceae;Brevibacillus;Brevibacillus centrosporus;</t>
  </si>
  <si>
    <t>Brevibacillus centrosporus</t>
  </si>
  <si>
    <t>Bacteria;Bacillota;Clostridia;Eubacteriales;Syntrophomonadaceae;Thermosyntropha;Thermosyntropha lipolytica;</t>
  </si>
  <si>
    <t>Syntrophomonadaceae</t>
  </si>
  <si>
    <t>Thermosyntropha</t>
  </si>
  <si>
    <t>Thermosyntropha lipolytica</t>
  </si>
  <si>
    <t>Bacteria;Pseudomonadota;Betaproteobacteria;Burkholderiales;NA;Xylophilus;Xylophilus ampelinus;</t>
  </si>
  <si>
    <t>Xylophilus ampelinus</t>
  </si>
  <si>
    <t>Bacteria;Actinomycetota;Actinomycetes;Pseudonocardiales;Pseudonocardiaceae;Pseudonocardia;Pseudonocardia asaccharolytica;</t>
  </si>
  <si>
    <t>Pseudonocardia asaccharolytica</t>
  </si>
  <si>
    <t>Bacteria;Actinomycetota;Actinomycetes;Nakamurellales;Nakamurellaceae;Nakamurella;Nakamurella multipartita;</t>
  </si>
  <si>
    <t>Nakamurella multipartita</t>
  </si>
  <si>
    <t>Bacteria;Actinomycetota;Actinomycetes;Micrococcales;Intrasporangiaceae;Janibacter;Janibacter limosus;</t>
  </si>
  <si>
    <t>Janibacter limosus</t>
  </si>
  <si>
    <t>Bacteria;Bacillota;Clostridia;Eubacteriales;Clostridiaceae;Thermobrachium;Thermobrachium celere;</t>
  </si>
  <si>
    <t>Thermobrachium</t>
  </si>
  <si>
    <t>Thermobrachium celere</t>
  </si>
  <si>
    <t>Bacteria;Pseudomonadota;Gammaproteobacteria;Lysobacterales;Lysobacteraceae;Xanthomonas;Xanthomonas populi;</t>
  </si>
  <si>
    <t>Xanthomonas populi</t>
  </si>
  <si>
    <t>Bacteria;Pseudomonadota;Gammaproteobacteria;Pseudomonadales;Pseudomonadaceae;Pseudomonas;Pseudomonas anguilliseptica;</t>
  </si>
  <si>
    <t>Pseudomonas anguilliseptica</t>
  </si>
  <si>
    <t>Bacteria;Actinomycetota;Actinomycetes;Propionibacteriales;Propionibacteriaceae;Microlunatus;Microlunatus antarcticus;</t>
  </si>
  <si>
    <t>Microlunatus antarcticus</t>
  </si>
  <si>
    <t>Bacteria;Actinomycetota;Actinomycetes;Mycobacteriales;Mycobacteriaceae;Mycobacterium;Mycobacterium paraffinicum;</t>
  </si>
  <si>
    <t>Mycobacterium paraffinicum</t>
  </si>
  <si>
    <t>Bacteria;Actinomycetota;Actinomycetes;Micrococcales;Intrasporangiaceae;Intrasporangium;Intrasporangium calvum;</t>
  </si>
  <si>
    <t>Intrasporangium</t>
  </si>
  <si>
    <t>Intrasporangium calvum</t>
  </si>
  <si>
    <t>Bacteria;Thermodesulfobacteriota;Desulfobacteria;Desulfobacterales;Desulfobacteraceae;Desulfospira;Desulfospira joergensenii;</t>
  </si>
  <si>
    <t>Desulfobacteraceae</t>
  </si>
  <si>
    <t>Desulfospira</t>
  </si>
  <si>
    <t>Desulfospira joergensenii</t>
  </si>
  <si>
    <t>Bacteria;Pseudomonadota;Alphaproteobacteria;Sphingomonadales;Sphingomonadaceae;Sphingomonas;Sphingomonas trueperi;</t>
  </si>
  <si>
    <t>Sphingomonas trueperi</t>
  </si>
  <si>
    <t>Bacteria;Pseudomonadota;Alphaproteobacteria;Hyphomicrobiales;Boseaceae;Bosea;Bosea thiooxidans;</t>
  </si>
  <si>
    <t>Bosea thiooxidans</t>
  </si>
  <si>
    <t>Bacteria;Bacillota;Clostridia;Eubacteriales;Clostridiaceae;Clostridium;Clostridium vincentii;</t>
  </si>
  <si>
    <t>Clostridium vincentii</t>
  </si>
  <si>
    <t>Bacteria;Actinomycetota;Actinomycetes;Propionibacteriales;Nocardioidaceae;Aeromicrobium;Aeromicrobium fastidiosum;</t>
  </si>
  <si>
    <t>Aeromicrobium fastidiosum</t>
  </si>
  <si>
    <t>Bacteria;Actinomycetota;Actinomycetes;Pseudonocardiales;Pseudonocardiaceae;Saccharomonospora;Saccharomonospora iraqiensis;</t>
  </si>
  <si>
    <t>Saccharomonospora</t>
  </si>
  <si>
    <t>Saccharomonospora iraqiensis</t>
  </si>
  <si>
    <t>Bacteria;Bacillota;Clostridia;Eubacteriales;Eubacteriaceae;Acetobacterium;Acetobacterium paludosum;</t>
  </si>
  <si>
    <t>Acetobacterium paludosum</t>
  </si>
  <si>
    <t>Bacteria;Actinomycetota;Actinomycetes;Micrococcales;Microbacteriaceae;Microbacterium;Microbacterium sp.;</t>
  </si>
  <si>
    <t>Microbacterium sp.</t>
  </si>
  <si>
    <t>Bacteria;Pseudomonadota;Gammaproteobacteria;Pasteurellales;Pasteurellaceae;Actinobacillus;Actinobacillus porcinus;</t>
  </si>
  <si>
    <t>Actinobacillus</t>
  </si>
  <si>
    <t>Actinobacillus porcinus</t>
  </si>
  <si>
    <t>Bacteria;Pseudomonadota;Betaproteobacteria;Burkholderiales;Comamonadaceae;Rhodoferax;Rhodoferax sp.;</t>
  </si>
  <si>
    <t>Rhodoferax sp.</t>
  </si>
  <si>
    <t>Bacteria;Pseudomonadota;Alphaproteobacteria;Hyphomicrobiales;Rhizobiaceae;Rhizobium;Rhizobium sullae;</t>
  </si>
  <si>
    <t>Rhizobium sullae</t>
  </si>
  <si>
    <t>Bacteria;Bacillota;Clostridia;Eubacteriales;Desulfitobacteriaceae;Desulfitobacterium;Desulfitobacterium sp.;</t>
  </si>
  <si>
    <t>Desulfitobacterium sp.</t>
  </si>
  <si>
    <t>Bacteria;Bacillota;Clostridia;Eubacteriales;Desulfitobacteriaceae;Desulfitobacterium;Desulfitobacterium hafniense;</t>
  </si>
  <si>
    <t>Desulfitobacterium hafniense</t>
  </si>
  <si>
    <t>Bacteria;Pseudomonadota;Betaproteobacteria;Rhodocyclales;Zoogloeaceae;Zoogloea;Zoogloea sp.;</t>
  </si>
  <si>
    <t>Zoogloea</t>
  </si>
  <si>
    <t>Zoogloea sp.</t>
  </si>
  <si>
    <t>Bacteria;Pseudomonadota;Alphaproteobacteria;Sphingomonadales;Sphingomonadaceae;Novosphingobium;Novosphingobium aromaticivorans;</t>
  </si>
  <si>
    <t>Novosphingobium aromaticivorans</t>
  </si>
  <si>
    <t>Bacteria;Verrucomicrobiota;Verrucomicrobiia;Verrucomicrobiales;Verrucomicrobiaceae;Prosthecobacter;Prosthecobacter vanneervenii;</t>
  </si>
  <si>
    <t>Prosthecobacter vanneervenii</t>
  </si>
  <si>
    <t>Bacteria;Bacillota;Clostridia;Eubacteriales;Oscillospiraceae;Ruminiclostridium;Ruminiclostridium hungatei;</t>
  </si>
  <si>
    <t>Ruminiclostridium hungatei</t>
  </si>
  <si>
    <t>Bacteria;Pseudomonadota;Gammaproteobacteria;Vibrionales;Vibrionaceae;Vibrio;Vibrio cyclitrophicus;</t>
  </si>
  <si>
    <t>Vibrio cyclitrophicus</t>
  </si>
  <si>
    <t>Bacteria;Pseudomonadota;Betaproteobacteria;Burkholderiales;Comamonadaceae;Acidovorax;Acidovorax delafieldii;</t>
  </si>
  <si>
    <t>Acidovorax delafieldii</t>
  </si>
  <si>
    <t>Bacteria;Pseudomonadota;Gammaproteobacteria;Enterobacterales;Yersiniaceae;Serratia;Serratia fonticola;</t>
  </si>
  <si>
    <t>Serratia fonticola</t>
  </si>
  <si>
    <t>Bacteria;Pseudomonadota;Gammaproteobacteria;Pseudomonadales;Pseudomonadaceae;Pseudomonas;Pseudomonas oryzihabitans;</t>
  </si>
  <si>
    <t>Pseudomonas oryzihabitans</t>
  </si>
  <si>
    <t>Bacteria;Pseudomonadota;Gammaproteobacteria;Pseudomonadales;Pseudomonadaceae;Pseudomonas;Pseudomonas taetrolens;</t>
  </si>
  <si>
    <t>Pseudomonas taetrolens</t>
  </si>
  <si>
    <t>Bacteria;Pseudomonadota;Gammaproteobacteria;Pseudomonadales;Pseudomonadaceae;Pseudomonas;Pseudomonas fulva;</t>
  </si>
  <si>
    <t>Pseudomonas fulva</t>
  </si>
  <si>
    <t>Bacteria;Pseudomonadota;Gammaproteobacteria;Pseudomonadales;Pseudomonadaceae;Pseudomonas;Pseudomonas azotoformans;</t>
  </si>
  <si>
    <t>Pseudomonas azotoformans</t>
  </si>
  <si>
    <t>Bacteria;Actinomycetota;Actinomycetes;Micromonosporales;Micromonosporaceae;Micromonospora;Micromonospora echinofusca;</t>
  </si>
  <si>
    <t>Micromonospora echinofusca</t>
  </si>
  <si>
    <t>Bacteria;Actinomycetota;Actinomycetes;Micromonosporales;Micromonosporaceae;Micromonospora;Micromonospora echinaurantiaca;</t>
  </si>
  <si>
    <t>Micromonospora echinaurantiaca</t>
  </si>
  <si>
    <t>Bacteria;Actinomycetota;Actinomycetes;Kitasatosporales;Streptomycetaceae;Streptomyces;Streptomyces aurantiacus;</t>
  </si>
  <si>
    <t>Streptomyces aurantiacus</t>
  </si>
  <si>
    <t>Bacteria;Pseudomonadota;Betaproteobacteria;Burkholderiales;Comamonadaceae;Hydrogenophaga;Hydrogenophaga pseudoflava;</t>
  </si>
  <si>
    <t>Hydrogenophaga pseudoflava</t>
  </si>
  <si>
    <t>Bacteria;Thermodesulfobacteriota;Desulfovibrionia;Desulfovibrionales;Desulfovibrionaceae;Maridesulfovibrio;Maridesulfovibrio bastinii;</t>
  </si>
  <si>
    <t>Maridesulfovibrio bastinii</t>
  </si>
  <si>
    <t>Bacteria;Pseudomonadota;Alphaproteobacteria;Hyphomicrobiales;Devosiaceae;Devosia;Devosia riboflavina;</t>
  </si>
  <si>
    <t>Devosia riboflavina</t>
  </si>
  <si>
    <t>Bacteria;Bacillota;Clostridia;Eubacteriales;Clostridiaceae;Clostridium;Clostridium chauvoei;</t>
  </si>
  <si>
    <t>Clostridium chauvoei</t>
  </si>
  <si>
    <t>Bacteria;Pseudomonadota;Gammaproteobacteria;Pseudomonadales;Pseudomonadaceae;Pseudomonas;Pseudomonas mucidolens;</t>
  </si>
  <si>
    <t>Pseudomonas mucidolens</t>
  </si>
  <si>
    <t>Bacteria;Bacillota;Clostridia;Eubacteriales;Clostridiaceae;Clostridium;Clostridium pascui;</t>
  </si>
  <si>
    <t>Clostridium pascui</t>
  </si>
  <si>
    <t>Bacteria;Actinomycetota;Actinomycetes;Mycobacteriales;Mycobacteriaceae;Mycolicibacterium;Mycolicibacterium hassiacum;</t>
  </si>
  <si>
    <t>Mycolicibacterium hassiacum</t>
  </si>
  <si>
    <t>Bacteria;Bacillota;Bacilli;Bacillales;Bacillaceae;Heyndrickxia;Heyndrickxia sporothermodurans;</t>
  </si>
  <si>
    <t>Heyndrickxia sporothermodurans</t>
  </si>
  <si>
    <t>Bacteria;Pseudomonadota;Betaproteobacteria;Burkholderiales;Sphaerotilaceae;Azohydromonas;Azohydromonas lata;</t>
  </si>
  <si>
    <t>Azohydromonas lata</t>
  </si>
  <si>
    <t>Bacteria;Thermodesulfobacteriota;Desulfovibrionia;Desulfovibrionales;Desulfohalobiaceae;Desulfohalobium;Desulfohalobium retbaense;</t>
  </si>
  <si>
    <t>Desulfohalobiaceae</t>
  </si>
  <si>
    <t>Desulfohalobium</t>
  </si>
  <si>
    <t>Desulfohalobium retbaense</t>
  </si>
  <si>
    <t>Bacteria;Thermodesulfobacteriota;Desulfobacteria;Desulfobacterales;Desulfococcaceae;Desulfonema;Desulfonema magnum;</t>
  </si>
  <si>
    <t>Desulfococcaceae</t>
  </si>
  <si>
    <t>Desulfonema</t>
  </si>
  <si>
    <t>Desulfonema magnum</t>
  </si>
  <si>
    <t>Bacteria;Fusobacteriota;Fusobacteriia;Fusobacteriales;Fusobacteriaceae;Propionigenium;Propionigenium maris;</t>
  </si>
  <si>
    <t>Propionigenium</t>
  </si>
  <si>
    <t>Propionigenium maris</t>
  </si>
  <si>
    <t>Bacteria;Bacillota;Tissierellia;Tissierellales;Tepidimicrobiaceae;Schnuerera;Schnuerera ultunensis;</t>
  </si>
  <si>
    <t>Schnuerera</t>
  </si>
  <si>
    <t>Schnuerera ultunensis</t>
  </si>
  <si>
    <t>Bacteria;Bacillota;Clostridia;Eubacteriales;Oscillospiraceae;Sporobacter;Sporobacter termitidis;</t>
  </si>
  <si>
    <t>Sporobacter</t>
  </si>
  <si>
    <t>Sporobacter termitidis</t>
  </si>
  <si>
    <t>Bacteria;Cyanobacteriota;Cyanophyceae;Oscillatoriales;Microcoleaceae;Microcoleus;Microcoleus sp.;</t>
  </si>
  <si>
    <t>Microcoleus sp.</t>
  </si>
  <si>
    <t>Bacteria;Pseudomonadota;Alphaproteobacteria;Hyphomicrobiales;Nitrobacteraceae;Bradyrhizobium;Bradyrhizobium liaoningense;</t>
  </si>
  <si>
    <t>Bradyrhizobium liaoningense</t>
  </si>
  <si>
    <t>Bacteria;Actinomycetota;Actinomycetes;Mycobacteriales;Nocardiaceae;Prescottella;Prescottella equi;</t>
  </si>
  <si>
    <t>Prescottella</t>
  </si>
  <si>
    <t>Prescottella equi</t>
  </si>
  <si>
    <t>Bacteria;Actinomycetota;Actinomycetes;Micrococcales;Micrococcaceae;Paeniglutamicibacter;Paeniglutamicibacter sulfureus;</t>
  </si>
  <si>
    <t>Paeniglutamicibacter</t>
  </si>
  <si>
    <t>Paeniglutamicibacter sulfureus</t>
  </si>
  <si>
    <t>Bacteria;Pseudomonadota;Gammaproteobacteria;Alteromonadales;Pseudoalteromonadaceae;Pseudoalteromonas;Pseudoalteromonas denitrificans;</t>
  </si>
  <si>
    <t>Pseudoalteromonas denitrificans</t>
  </si>
  <si>
    <t>Bacteria;Pseudomonadota;Gammaproteobacteria;Alteromonadales;Pseudoalteromonadaceae;Pseudoalteromonas;Pseudoalteromonas aurantia;</t>
  </si>
  <si>
    <t>Pseudoalteromonas aurantia</t>
  </si>
  <si>
    <t>Bacteria;Actinomycetota;Actinomycetes;Mycobacteriales;Mycobacteriaceae;Mycolicibacterium;Mycolicibacterium peregrinum;</t>
  </si>
  <si>
    <t>Mycolicibacterium peregrinum</t>
  </si>
  <si>
    <t>Bacteria;Pseudomonadota;Gammaproteobacteria;Pseudomonadales;Pseudomonadaceae;Aquipseudomonas;Aquipseudomonas alcaligenes;</t>
  </si>
  <si>
    <t>Aquipseudomonas alcaligenes</t>
  </si>
  <si>
    <t>Bacteria;Pseudomonadota;Gammaproteobacteria;Enterobacterales;Yersiniaceae;Serratia;Serratia entomophila;</t>
  </si>
  <si>
    <t>Serratia entomophila</t>
  </si>
  <si>
    <t>Bacteria;Mycoplasmatota;NA;Mycoplasmoidales;Mycoplasmoidaceae;Ureaplasma;Ureaplasma canigenitalium;</t>
  </si>
  <si>
    <t>Mycoplasmoidales</t>
  </si>
  <si>
    <t>Mycoplasmoidaceae</t>
  </si>
  <si>
    <t>Ureaplasma</t>
  </si>
  <si>
    <t>Ureaplasma canigenitalium</t>
  </si>
  <si>
    <t>Bacteria;Actinomycetota;Actinomycetes;Micrococcales;Microbacteriaceae;Cryobacterium;Cryobacterium psychrophilum;</t>
  </si>
  <si>
    <t>Cryobacterium psychrophilum</t>
  </si>
  <si>
    <t>Bacteria;Actinomycetota;Actinomycetes;Micrococcales;Microbacteriaceae;Agromyces;Agromyces mediolanus;</t>
  </si>
  <si>
    <t>Agromyces mediolanus</t>
  </si>
  <si>
    <t>Bacteria;Bacillota;Clostridia;Eubacteriales;Oscillospiraceae;Ruminococcus;Ruminococcus sp.;</t>
  </si>
  <si>
    <t>Ruminococcus</t>
  </si>
  <si>
    <t>Ruminococcus sp.</t>
  </si>
  <si>
    <t>Bacteria;Pseudomonadota;Alphaproteobacteria;Caulobacterales;Caulobacteraceae;Brevundimonas;Brevundimonas vesicularis;</t>
  </si>
  <si>
    <t>Brevundimonas vesicularis</t>
  </si>
  <si>
    <t>Bacteria;Bacillota;Tissierellia;Tissierellales;Tissierellaceae;Tissierella;Tissierella sp.;</t>
  </si>
  <si>
    <t>Tissierella sp.</t>
  </si>
  <si>
    <t>Bacteria;Bacillota;Bacilli;Bacillales;NA;Exiguobacterium;Exiguobacterium acetylicum;</t>
  </si>
  <si>
    <t>Exiguobacterium acetylicum</t>
  </si>
  <si>
    <t>Bacteria;Pseudomonadota;Alphaproteobacteria;Sphingomonadales;Sphingomonadaceae;Sphingomonas;Sphingomonas mali;</t>
  </si>
  <si>
    <t>Sphingomonas mali</t>
  </si>
  <si>
    <t>Bacteria;Pseudomonadota;Gammaproteobacteria;Enterobacterales;Morganellaceae;Xenorhabdus;Xenorhabdus bovienii;</t>
  </si>
  <si>
    <t>Xenorhabdus bovienii</t>
  </si>
  <si>
    <t>Bacteria;Bacillota;Clostridia;Eubacteriales;Clostridiaceae;Clostridium;Clostridium grantii;</t>
  </si>
  <si>
    <t>Clostridium grantii</t>
  </si>
  <si>
    <t>Bacteria;Fusobacteriota;Fusobacteriia;Fusobacteriales;Leptotrichiaceae;Sneathia;Sneathia sanguinegens;</t>
  </si>
  <si>
    <t>Sneathia</t>
  </si>
  <si>
    <t>Sneathia sanguinegens</t>
  </si>
  <si>
    <t>Bacteria;Bacillota;Clostridia;Eubacteriales;Oscillospiraceae;Ruminococcus;Ruminococcus callidus;</t>
  </si>
  <si>
    <t>Ruminococcus callidus</t>
  </si>
  <si>
    <t>Bacteria;Actinomycetota;Actinomycetes;Mycobacteriales;Gordoniaceae;Gordonia;Gordonia hydrophobica;</t>
  </si>
  <si>
    <t>Gordonia hydrophobica</t>
  </si>
  <si>
    <t>Bacteria;Pseudomonadota;Gammaproteobacteria;Lysobacterales;Lysobacteraceae;Stenotrophomonas;Stenotrophomonas maltophilia;</t>
  </si>
  <si>
    <t>Stenotrophomonas maltophilia</t>
  </si>
  <si>
    <t>Bacteria;Pseudomonadota;Gammaproteobacteria;Moraxellales;Moraxellaceae;Acinetobacter;Acinetobacter johnsonii;</t>
  </si>
  <si>
    <t>Acinetobacter johnsonii</t>
  </si>
  <si>
    <t>Bacteria;Pseudomonadota;Alphaproteobacteria;Hyphomicrobiales;Nitrobacteraceae;Afipia;Afipia carboxidovorans;</t>
  </si>
  <si>
    <t>Afipia</t>
  </si>
  <si>
    <t>Afipia carboxidovorans</t>
  </si>
  <si>
    <t>Bacteria;Actinomycetota;Actinomycetes;Mycobacteriales;Mycobacteriaceae;Mycolicibacterium;Mycolicibacterium poriferae;</t>
  </si>
  <si>
    <t>Mycolicibacterium poriferae</t>
  </si>
  <si>
    <t>Bacteria;Actinomycetota;Actinomycetes;Mycobacteriales;Mycobacteriaceae;Mycolicibacterium;Mycolicibacterium parafortuitum;</t>
  </si>
  <si>
    <t>Mycolicibacterium parafortuitum</t>
  </si>
  <si>
    <t>Bacteria;Actinomycetota;Actinomycetes;Mycobacteriales;Mycobacteriaceae;Mycolicibacterium;Mycolicibacterium moriokaense;</t>
  </si>
  <si>
    <t>Mycolicibacterium moriokaense</t>
  </si>
  <si>
    <t>Bacteria;Actinomycetota;Actinomycetes;Mycobacteriales;Mycobacteriaceae;Mycolicibacterium;Mycolicibacterium austroafricanum;</t>
  </si>
  <si>
    <t>Mycolicibacterium austroafricanum</t>
  </si>
  <si>
    <t>Bacteria;Bacillota;Clostridia;Eubacteriales;Clostridiaceae;Clostridium;Clostridium tarantellae;</t>
  </si>
  <si>
    <t>Clostridium tarantellae</t>
  </si>
  <si>
    <t>Bacteria;Bacillota;Clostridia;Eubacteriales;Clostridiaceae;Clostridium;Clostridium moniliforme;</t>
  </si>
  <si>
    <t>Clostridium moniliforme</t>
  </si>
  <si>
    <t>Bacteria;Bacillota;Tissierellia;Tissierellales;Gottschalkiaceae;Andreesenia;Andreesenia angusta;</t>
  </si>
  <si>
    <t>Gottschalkiaceae</t>
  </si>
  <si>
    <t>Andreesenia</t>
  </si>
  <si>
    <t>Andreesenia angusta</t>
  </si>
  <si>
    <t>Bacteria;Pseudomonadota;Gammaproteobacteria;Alteromonadales;Shewanellaceae;Shewanella;Shewanella algae;</t>
  </si>
  <si>
    <t>Shewanella algae</t>
  </si>
  <si>
    <t>Bacteria;Bacteroidota;Flavobacteriia;Flavobacteriales;Flavobacteriaceae;Flavobacterium;Flavobacterium hibernum;</t>
  </si>
  <si>
    <t>Flavobacterium hibernum</t>
  </si>
  <si>
    <t>Bacteria;Bacillota;Clostridia;Eubacteriales;Clostridiaceae;Clostridium;Clostridium algidicarnis;</t>
  </si>
  <si>
    <t>Clostridium algidicarnis</t>
  </si>
  <si>
    <t>Bacteria;Pseudomonadota;Betaproteobacteria;Burkholderiales;Comamonadaceae;Polaromonas;Polaromonas vacuolata;</t>
  </si>
  <si>
    <t>Polaromonas vacuolata</t>
  </si>
  <si>
    <t>Bacteria;Actinomycetota;Actinomycetes;Mycobacteriales;Nocardiaceae;Nocardia;Nocardia nova;</t>
  </si>
  <si>
    <t>Nocardia nova</t>
  </si>
  <si>
    <t>Bacteria;Actinomycetota;Actinomycetes;Mycobacteriales;Nocardiaceae;Nocardia;Nocardia brevicatena;</t>
  </si>
  <si>
    <t>Nocardia brevicatena</t>
  </si>
  <si>
    <t>Bacteria;Pseudomonadota;Alphaproteobacteria;Hyphomicrobiales;Rhizobiaceae;Sinorhizobium;Sinorhizobium saheli;</t>
  </si>
  <si>
    <t>Sinorhizobium saheli</t>
  </si>
  <si>
    <t>Bacteria;Bacillota;Clostridia;Eubacteriales;Clostridiaceae;Oxobacter;Oxobacter pfennigii;</t>
  </si>
  <si>
    <t>Oxobacter</t>
  </si>
  <si>
    <t>Oxobacter pfennigii</t>
  </si>
  <si>
    <t>Bacteria;Bacillota;Clostridia;Eubacteriales;Clostridiaceae;Clostridium;Clostridium intestinale;</t>
  </si>
  <si>
    <t>Clostridium intestinale</t>
  </si>
  <si>
    <t>Bacteria;Bacillota;Clostridia;Eubacteriales;Clostridiaceae;Clostridium;Clostridium homopropionicum;</t>
  </si>
  <si>
    <t>Clostridium homopropionicum</t>
  </si>
  <si>
    <t>Bacteria;Bacillota;Clostridia;Peptostreptococcales;Caminicellaceae;Maledivibacter;Maledivibacter halophilus;</t>
  </si>
  <si>
    <t>Maledivibacter</t>
  </si>
  <si>
    <t>Maledivibacter halophilus</t>
  </si>
  <si>
    <t>Bacteria;Bacillota;Clostridia;Peptostreptococcales;Peptostreptococcaceae;Terrisporobacter;Terrisporobacter glycolicus;</t>
  </si>
  <si>
    <t>Terrisporobacter glycolicus</t>
  </si>
  <si>
    <t>Bacteria;Bacillota;Clostridia;Eubacteriales;Clostridiaceae;Clostridium;Clostridium felsineum;</t>
  </si>
  <si>
    <t>Clostridium felsineum</t>
  </si>
  <si>
    <t>Bacteria;Bacillota;Clostridia;Lachnospirales;Lachnospiraceae;Tyzzerella;[Clostridium] colinum;</t>
  </si>
  <si>
    <t>Tyzzerella</t>
  </si>
  <si>
    <t>[Clostridium] colinum</t>
  </si>
  <si>
    <t>Bacteria;Bacillota;Clostridia;Eubacteriales;Clostridiaceae;Clostridium;Clostridium celatum;</t>
  </si>
  <si>
    <t>Clostridium celatum</t>
  </si>
  <si>
    <t>Bacteria;Actinomycetota;Actinomycetes;Mycobacteriales;Mycobacteriaceae;Mycolicibacterium;Mycolicibacterium rhodesiae;</t>
  </si>
  <si>
    <t>Mycolicibacterium rhodesiae</t>
  </si>
  <si>
    <t>Bacteria;Actinomycetota;Actinomycetes;Mycobacteriales;Mycobacteriaceae;Mycobacteroides;Mycobacteroides abscessus;</t>
  </si>
  <si>
    <t>Mycobacteroides</t>
  </si>
  <si>
    <t>Mycobacteroides abscessus</t>
  </si>
  <si>
    <t>Bacteria;Actinomycetota;Actinomycetes;Micrococcales;Microbacteriaceae;Microbacterium;Microbacterium aurum;</t>
  </si>
  <si>
    <t>Microbacterium aurum</t>
  </si>
  <si>
    <t>Bacteria;Pseudomonadota;Gammaproteobacteria;Pseudomonadales;Pseudomonadaceae;Pseudomonas;Pseudomonas cichorii;</t>
  </si>
  <si>
    <t>Pseudomonas cichorii</t>
  </si>
  <si>
    <t>Bacteria;Bacillota;Clostridia;Eubacteriales;Clostridiaceae;Clostridium;Clostridium saccharoperbutylacetonicum;</t>
  </si>
  <si>
    <t>Clostridium saccharoperbutylacetonicum</t>
  </si>
  <si>
    <t>Bacteria;Bacillota;Clostridia;Eubacteriales;Oscillospiraceae;Acetivibrio;Acetivibrio cellulolyticus;</t>
  </si>
  <si>
    <t>Acetivibrio cellulolyticus</t>
  </si>
  <si>
    <t>Bacteria;Bacillota;Clostridia;Eubacteriales;Oscillospiraceae;Pseudobacteroides;Pseudobacteroides cellulosolvens;</t>
  </si>
  <si>
    <t>Pseudobacteroides cellulosolvens</t>
  </si>
  <si>
    <t>Bacteria;Pseudomonadota;Alphaproteobacteria;Acetobacterales;Roseomonadaceae;Roseococcus;Roseococcus thiosulfatophilus;</t>
  </si>
  <si>
    <t>Roseococcus thiosulfatophilus</t>
  </si>
  <si>
    <t>Bacteria;Actinomycetota;Actinomycetes;Propionibacteriales;Nocardioidaceae;Nocardioides;Nocardioides sp.;</t>
  </si>
  <si>
    <t>Nocardioides sp.</t>
  </si>
  <si>
    <t>Bacteria;Pseudomonadota;Gammaproteobacteria;Enterobacterales;Enterobacteriaceae;Citrobacter;Citrobacter amalonaticus;</t>
  </si>
  <si>
    <t>Citrobacter amalonaticus</t>
  </si>
  <si>
    <t>Bacteria;Bacillota;Clostridia;Eubacteriales;Heliobacteriaceae;Heliophilum;Heliophilum fasciatum;</t>
  </si>
  <si>
    <t>Heliophilum</t>
  </si>
  <si>
    <t>Heliophilum fasciatum</t>
  </si>
  <si>
    <t>Bacteria;Pseudomonadota;Betaproteobacteria;Burkholderiales;Sphaerotilaceae;Sphaerotilus;Sphaerotilus natans;</t>
  </si>
  <si>
    <t>Sphaerotilus natans</t>
  </si>
  <si>
    <t>Bacteria;Bacteroidota;Sphingobacteriia;Sphingobacteriales;Sphingobacteriaceae;Pedobacter;Pedobacter antarcticus;</t>
  </si>
  <si>
    <t>Pedobacter antarcticus</t>
  </si>
  <si>
    <t>Bacteria;Cyanobacteriota;Cyanophyceae;Nostocales;Scytonemataceae;Scytonema;Scytonema hofmannii;</t>
  </si>
  <si>
    <t>Scytonema hofmannii</t>
  </si>
  <si>
    <t>Bacteria;Pseudomonadota;Betaproteobacteria;Burkholderiales;Comamonadaceae;Variovorax;Variovorax paradoxus;</t>
  </si>
  <si>
    <t>Variovorax paradoxus</t>
  </si>
  <si>
    <t>Bacteria;Thermodesulfobacteriota;Desulfobulbia;Desulfobulbales;Desulfobulbaceae;Desulfobulbus;Desulfobulbus rhabdoformis;</t>
  </si>
  <si>
    <t>Desulfobulbus</t>
  </si>
  <si>
    <t>Desulfobulbus rhabdoformis</t>
  </si>
  <si>
    <t>Bacteria;Pseudomonadota;Betaproteobacteria;Burkholderiales;Comamonadaceae;Comamonas;Comamonas sp.;</t>
  </si>
  <si>
    <t>Comamonas sp.</t>
  </si>
  <si>
    <t>Bacteria;Pseudomonadota;Alphaproteobacteria;Sphingomonadales;Sphingomonadaceae;Blastomonas;Blastomonas natatoria;</t>
  </si>
  <si>
    <t>Blastomonas natatoria</t>
  </si>
  <si>
    <t>Bacteria;Pseudomonadota;Alphaproteobacteria;Hyphomicrobiales;Rhizobiaceae;Pararhizobium;Pararhizobium capsulatum;</t>
  </si>
  <si>
    <t>Pararhizobium capsulatum</t>
  </si>
  <si>
    <t>Bacteria;Pseudomonadota;Alphaproteobacteria;Hyphomicrobiales;Rhizobiaceae;Peteryoungia;Peteryoungia aggregata;</t>
  </si>
  <si>
    <t>Peteryoungia aggregata</t>
  </si>
  <si>
    <t>Bacteria;Pseudomonadota;Alphaproteobacteria;Acetobacterales;Acetobacteraceae;Gluconacetobacter;Gluconacetobacter diazotrophicus;</t>
  </si>
  <si>
    <t>Gluconacetobacter</t>
  </si>
  <si>
    <t>Gluconacetobacter diazotrophicus</t>
  </si>
  <si>
    <t>Bacteria;Bacillota;Bacilli;Bacillales;NA;Exiguobacterium;Exiguobacterium aurantiacum;</t>
  </si>
  <si>
    <t>Exiguobacterium aurantiacum</t>
  </si>
  <si>
    <t>Bacteria;Bacillota;Clostridia;Eubacteriales;Clostridiaceae;Clostridium;Clostridium magnum;</t>
  </si>
  <si>
    <t>Clostridium magnum</t>
  </si>
  <si>
    <t>Bacteria;Actinomycetota;Actinomycetes;Micrococcales;Microbacteriaceae;Microbacterium;Microbacterium maritypicum;</t>
  </si>
  <si>
    <t>Microbacterium maritypicum</t>
  </si>
  <si>
    <t>Bacteria;Actinomycetota;Actinomycetes;Micrococcales;Microbacteriaceae;Microbacterium;Microbacterium lacticum;</t>
  </si>
  <si>
    <t>Microbacterium lacticum</t>
  </si>
  <si>
    <t>Bacteria;Actinomycetota;Actinomycetes;Micrococcales;Microbacteriaceae;Agromyces;Agromyces cerinus;</t>
  </si>
  <si>
    <t>Agromyces cerinus</t>
  </si>
  <si>
    <t>Bacteria;Actinomycetota;Actinomycetes;Micromonosporales;Micromonosporaceae;Catenuloplanes;Catenuloplanes japonicus;</t>
  </si>
  <si>
    <t>Catenuloplanes</t>
  </si>
  <si>
    <t>Catenuloplanes japonicus</t>
  </si>
  <si>
    <t>Bacteria;Pseudomonadota;Gammaproteobacteria;Pseudomonadales;Pseudomonadaceae;Pseudomonas;Pseudomonas viridiflava;</t>
  </si>
  <si>
    <t>Pseudomonas viridiflava</t>
  </si>
  <si>
    <t>Bacteria;Bacillota;Clostridia;Lachnospirales;Lachnospiraceae;Mediterraneibacter;Mediterraneibacter gnavus;</t>
  </si>
  <si>
    <t>Mediterraneibacter</t>
  </si>
  <si>
    <t>Mediterraneibacter gnavus</t>
  </si>
  <si>
    <t>Bacteria;Cyanobacteriota;Cyanophyceae;Nostocales;Calotrichaceae;Dulcicalothrix;Dulcicalothrix desertica;</t>
  </si>
  <si>
    <t>Dulcicalothrix</t>
  </si>
  <si>
    <t>Dulcicalothrix desertica</t>
  </si>
  <si>
    <t>Bacteria;Cyanobacteriota;Cyanophyceae;Synechococcales;Synechococcaceae;Synechococcus;Synechococcus elongatus;</t>
  </si>
  <si>
    <t>Synechococcus elongatus</t>
  </si>
  <si>
    <t>Bacteria;Pseudomonadota;Betaproteobacteria;Burkholderiales;Comamonadaceae;Comamonas;Comamonas terrigena;</t>
  </si>
  <si>
    <t>Comamonas terrigena</t>
  </si>
  <si>
    <t>Bacteria;Mycoplasmatota;NA;Mycoplasmoidales;Metamycoplasmataceae;Mesomycoplasma;Mesomycoplasma ovipneumoniae;</t>
  </si>
  <si>
    <t>Metamycoplasmataceae</t>
  </si>
  <si>
    <t>Mesomycoplasma</t>
  </si>
  <si>
    <t>Mesomycoplasma ovipneumoniae</t>
  </si>
  <si>
    <t>Bacteria;Mycoplasmatota;Mollicutes;Acholeplasmatales;Acholeplasmataceae;Haploplasma;Haploplasma axanthum;</t>
  </si>
  <si>
    <t>Acholeplasmatales</t>
  </si>
  <si>
    <t>Acholeplasmataceae</t>
  </si>
  <si>
    <t>Haploplasma</t>
  </si>
  <si>
    <t>Haploplasma axanthum</t>
  </si>
  <si>
    <t>Bacteria;Pseudomonadota;Betaproteobacteria;Nitrosomonadales;Methylophilaceae;Methylophilus;Methylophilus sp.;</t>
  </si>
  <si>
    <t>Methylophilus sp.</t>
  </si>
  <si>
    <t>Bacteria;Bacteroidota;Flavobacteriia;Flavobacteriales;Flavobacteriaceae;Flavobacterium;Flavobacterium succinicans;</t>
  </si>
  <si>
    <t>Flavobacterium succinicans</t>
  </si>
  <si>
    <t>Bacteria;Bacteroidota;Flavobacteriia;Flavobacteriales;Flavobacteriaceae;Flavobacterium;Flavobacterium saccharophilum;</t>
  </si>
  <si>
    <t>Flavobacterium saccharophilum</t>
  </si>
  <si>
    <t>Bacteria;Bacteroidota;Flavobacteriia;Flavobacteriales;Flavobacteriaceae;Flavobacterium;Flavobacterium pectinovorum;</t>
  </si>
  <si>
    <t>Flavobacterium pectinovorum</t>
  </si>
  <si>
    <t>Bacteria;Pseudomonadota;Gammaproteobacteria;Vibrionales;Vibrionaceae;Vibrio;Vibrio tubiashii;</t>
  </si>
  <si>
    <t>Vibrio tubiashii</t>
  </si>
  <si>
    <t>Bacteria;Pseudomonadota;Gammaproteobacteria;Aeromonadales;Aeromonadaceae;Aeromonas;Aeromonas enteropelogenes;</t>
  </si>
  <si>
    <t>Aeromonas enteropelogenes</t>
  </si>
  <si>
    <t>Bacteria;Pseudomonadota;Gammaproteobacteria;Enterobacterales;Yersiniaceae;Yersinia;Yersinia ruckeri;</t>
  </si>
  <si>
    <t>Yersinia ruckeri</t>
  </si>
  <si>
    <t>Bacteria;Pseudomonadota;Gammaproteobacteria;Enterobacterales;Yersiniaceae;Yersinia;Yersinia frederiksenii;</t>
  </si>
  <si>
    <t>Yersinia frederiksenii</t>
  </si>
  <si>
    <t>Bacteria;Pseudomonadota;Gammaproteobacteria;Enterobacterales;Yersiniaceae;Yersinia;Yersinia aldovae;</t>
  </si>
  <si>
    <t>Yersinia aldovae</t>
  </si>
  <si>
    <t>Bacteria;Pseudomonadota;Gammaproteobacteria;Enterobacterales;Pectobacteriaceae;Pectobacterium;Pectobacterium atrosepticum;</t>
  </si>
  <si>
    <t>Pectobacterium atrosepticum</t>
  </si>
  <si>
    <t>Bacteria;Bacillota;Negativicutes;Veillonellales;Veillonellaceae;Veillonella;Veillonella parvula;</t>
  </si>
  <si>
    <t>Veillonella</t>
  </si>
  <si>
    <t>Veillonella parvula</t>
  </si>
  <si>
    <t>Bacteria;Pseudomonadota;Alphaproteobacteria;Hyphomicrobiales;Nitrobacteraceae;Bradyrhizobium;Bradyrhizobium elkanii;</t>
  </si>
  <si>
    <t>Bradyrhizobium elkanii</t>
  </si>
  <si>
    <t>Bacteria;Pseudomonadota;Gammaproteobacteria;Lysobacterales;Lysobacteraceae;Xanthomonas;Xanthomonas sp.;</t>
  </si>
  <si>
    <t>Xanthomonas sp.</t>
  </si>
  <si>
    <t>Bacteria;Pseudomonadota;Gammaproteobacteria;Pseudomonadales;Pseudomonadaceae;Pseudomonas;Pseudomonas tolaasii;</t>
  </si>
  <si>
    <t>Pseudomonas tolaasii</t>
  </si>
  <si>
    <t>Bacteria;Pseudomonadota;Gammaproteobacteria;Legionellales;Legionellaceae;Legionella;Legionella oakridgensis;</t>
  </si>
  <si>
    <t>Legionellales</t>
  </si>
  <si>
    <t>Legionellaceae</t>
  </si>
  <si>
    <t>Legionella</t>
  </si>
  <si>
    <t>Legionella oakridgensis</t>
  </si>
  <si>
    <t>Bacteria;Pseudomonadota;Alphaproteobacteria;Hyphomicrobiales;Hyphomicrobiaceae;Rhodoplanes;Rhodoplanes roseus;</t>
  </si>
  <si>
    <t>Rhodoplanes roseus</t>
  </si>
  <si>
    <t>Bacteria;Pseudomonadota;Alphaproteobacteria;Hyphomicrobiales;Hyphomicrobiaceae;Rhodoplanes;Rhodoplanes elegans;</t>
  </si>
  <si>
    <t>Rhodoplanes elegans</t>
  </si>
  <si>
    <t>Bacteria;Actinomycetota;Actinomycetes;Propionibacteriales;Propionibacteriaceae;Microlunatus;Microlunatus phosphovorus;</t>
  </si>
  <si>
    <t>Microlunatus phosphovorus</t>
  </si>
  <si>
    <t>Bacteria;Bacillota;Bacilli;Bacillales;Staphylococcaceae;Staphylococcus;Staphylococcus saprophyticus;</t>
  </si>
  <si>
    <t>Staphylococcus saprophyticus</t>
  </si>
  <si>
    <t>Bacteria;Bacillota;Clostridia;Eubacteriales;Clostridiaceae;Clostridium;Clostridium thermobutyricum;</t>
  </si>
  <si>
    <t>Clostridium thermobutyricum</t>
  </si>
  <si>
    <t>Bacteria;Bacillota;Clostridia;Eubacteriales;Clostridiaceae;Clostridium;Clostridium sardiniense;</t>
  </si>
  <si>
    <t>Clostridium sardiniense</t>
  </si>
  <si>
    <t>Bacteria;Bacillota;Clostridia;Eubacteriales;Clostridiaceae;Clostridium;Clostridium puniceum;</t>
  </si>
  <si>
    <t>Clostridium puniceum</t>
  </si>
  <si>
    <t>Bacteria;Bacillota;Clostridia;Eubacteriales;Clostridiaceae;Hathewaya;Hathewaya proteolytica;</t>
  </si>
  <si>
    <t>Hathewaya proteolytica</t>
  </si>
  <si>
    <t>Bacteria;Bacillota;Clostridia;Eubacteriales;Clostridiaceae;Clostridium;Clostridium paraputrificum;</t>
  </si>
  <si>
    <t>Clostridium paraputrificum</t>
  </si>
  <si>
    <t>Bacteria;Bacillota;Clostridia;Eubacteriales;Oscillospiraceae;Ruminiclostridium;Ruminiclostridium papyrosolvens;</t>
  </si>
  <si>
    <t>Ruminiclostridium papyrosolvens</t>
  </si>
  <si>
    <t>Bacteria;Bacillota;Clostridia;Lachnospirales;Cellulosilyticaceae;Cellulosilyticum;Cellulosilyticum lentocellum;</t>
  </si>
  <si>
    <t>Cellulosilyticum lentocellum</t>
  </si>
  <si>
    <t>Bacteria;Bacillota;Clostridia;Peptostreptococcales;Peptostreptococcaceae;Paraclostridium;Paraclostridium ghonii;</t>
  </si>
  <si>
    <t>Paraclostridium</t>
  </si>
  <si>
    <t>Paraclostridium ghonii</t>
  </si>
  <si>
    <t>Bacteria;Bacillota;Clostridia;Eubacteriales;Clostridiaceae;Clostridium;Clostridium collagenovorans;</t>
  </si>
  <si>
    <t>Clostridium collagenovorans</t>
  </si>
  <si>
    <t>Bacteria;Bacillota;Clostridia;Eubacteriales;Oscillospiraceae;Ruminiclostridium;Ruminiclostridium cellobioparum;</t>
  </si>
  <si>
    <t>Ruminiclostridium cellobioparum</t>
  </si>
  <si>
    <t>Bacteria;Bacillota;Clostridia;Peptostreptococcales;Tepidibacteraceae;Alkalithermobacter;Alkalithermobacter paradoxus;</t>
  </si>
  <si>
    <t>Tepidibacteraceae</t>
  </si>
  <si>
    <t>Alkalithermobacter</t>
  </si>
  <si>
    <t>Alkalithermobacter paradoxus</t>
  </si>
  <si>
    <t>Bacteria;Bacillota;Clostridia;Peptostreptococcales;Tepidibacteraceae;Alkalithermobacter;Alkalithermobacter thermoalcaliphilus;</t>
  </si>
  <si>
    <t>Alkalithermobacter thermoalcaliphilus</t>
  </si>
  <si>
    <t>Bacteria;Bacillota;Clostridia;Eubacteriales;Clostridiaceae;Caloramator;Caloramator fervidus;</t>
  </si>
  <si>
    <t>Caloramator fervidus</t>
  </si>
  <si>
    <t>Bacteria;Bacillota;Clostridia;Eubacteriales;Clostridiaceae;Clostridium;Clostridium argentinense;</t>
  </si>
  <si>
    <t>Clostridium argentinense</t>
  </si>
  <si>
    <t>Bacteria;Actinomycetota;Actinomycetes;Mycobacteriales;Mycobacteriaceae;Mycobacterium;Mycobacterium haemophilum;</t>
  </si>
  <si>
    <t>Mycobacterium haemophilum</t>
  </si>
  <si>
    <t>Bacteria;Pseudomonadota;Gammaproteobacteria;Enterobacterales;Enterobacteriaceae;Salmonella;Salmonella enterica;</t>
  </si>
  <si>
    <t>Salmonella enterica</t>
  </si>
  <si>
    <t>Bacteria;Pseudomonadota;Betaproteobacteria;Burkholderiales;Burkholderiaceae;Burkholderia;Burkholderia pseudomallei;</t>
  </si>
  <si>
    <t>Burkholderia pseudomallei</t>
  </si>
  <si>
    <t>Bacteria;Pseudomonadota;Alphaproteobacteria;Sphingomonadales;Sphingomonadaceae;Sphingomonas;Sphingomonas sp.;</t>
  </si>
  <si>
    <t>Sphingomonas sp.</t>
  </si>
  <si>
    <t>Bacteria;Pseudomonadota;Alphaproteobacteria;Hyphomicrobiales;Chelatococcaceae;Chelatococcus;Chelatococcus asaccharovorans;</t>
  </si>
  <si>
    <t>Chelatococcus asaccharovorans</t>
  </si>
  <si>
    <t>Bacteria;Bdellovibrionota;Bacteriovoracia;Bacteriovoracales;Bacteriovoracaceae;Peredibacter;Peredibacter starrii;</t>
  </si>
  <si>
    <t>Peredibacter starrii</t>
  </si>
  <si>
    <t>Bacteria;Bdellovibrionota;Bdellovibrionia;Bdellovibrionales;Pseudobdellovibrionaceae;Bdellovibrio;Bdellovibrio sp.;</t>
  </si>
  <si>
    <t>Bdellovibrio sp.</t>
  </si>
  <si>
    <t>Bacteria;Spirochaetota;Spirochaetia;Leptospirales;Leptospiraceae;Leptospira;Leptospira santarosai;</t>
  </si>
  <si>
    <t>Leptospira santarosai</t>
  </si>
  <si>
    <t>Bacteria;Spirochaetota;Spirochaetia;Leptospirales;Leptospiraceae;Leptospira;Leptospira noguchii;</t>
  </si>
  <si>
    <t>Leptospira noguchii</t>
  </si>
  <si>
    <t>Bacteria;Pseudomonadota;Gammaproteobacteria;Vibrionales;Vibrionaceae;Vibrio;Vibrio orientalis;</t>
  </si>
  <si>
    <t>Vibrio orientalis</t>
  </si>
  <si>
    <t>Bacteria;Pseudomonadota;Gammaproteobacteria;Enterobacterales;Yersiniaceae;Serratia;Serratia proteamaculans;</t>
  </si>
  <si>
    <t>Serratia proteamaculans</t>
  </si>
  <si>
    <t>Bacteria;Pseudomonadota;Betaproteobacteria;Burkholderiales;Burkholderiaceae;Burkholderia;Burkholderia gladioli;</t>
  </si>
  <si>
    <t>Burkholderia gladioli</t>
  </si>
  <si>
    <t>Bacteria;Pseudomonadota;Gammaproteobacteria;Moraxellales;Moraxellaceae;Acinetobacter;Acinetobacter lwoffii;</t>
  </si>
  <si>
    <t>Acinetobacter lwoffii</t>
  </si>
  <si>
    <t>Bacteria;Pseudomonadota;Gammaproteobacteria;Legionellales;Legionellaceae;Legionella;Legionella sainthelensi;</t>
  </si>
  <si>
    <t>Legionella sainthelensi</t>
  </si>
  <si>
    <t>Bacteria;Pseudomonadota;Betaproteobacteria;Burkholderiales;Sphaerotilaceae;Rubrivivax;Rubrivivax gelatinosus;</t>
  </si>
  <si>
    <t>Rubrivivax gelatinosus</t>
  </si>
  <si>
    <t>Bacteria;Pseudomonadota;Betaproteobacteria;Burkholderiales;Comamonadaceae;Rhodoferax;Rhodoferax fermentans;</t>
  </si>
  <si>
    <t>Rhodoferax fermentans</t>
  </si>
  <si>
    <t>Bacteria;Actinomycetota;Actinomycetes;Mycobacteriales;Mycobacteriaceae;Mycolicibacterium;Mycolicibacterium confluentis;</t>
  </si>
  <si>
    <t>Mycolicibacterium confluentis</t>
  </si>
  <si>
    <t>Bacteria;Bacillota;Clostridia;Eubacteriales;Clostridiales Family XVII. Incertae Sedis;Sulfobacillus;Sulfobacillus thermosulfidooxidans;</t>
  </si>
  <si>
    <t>Sulfobacillus thermosulfidooxidans</t>
  </si>
  <si>
    <t>Bacteria;Bacillota;Bacilli;Bacillales;Bacillaceae;Lysinibacillus;Lysinibacillus fusiformis;</t>
  </si>
  <si>
    <t>Lysinibacillus fusiformis</t>
  </si>
  <si>
    <t>Bacteria;Actinomycetota;Actinomycetes;Bifidobacteriales;Bifidobacteriaceae;Bifidobacterium;Bifidobacterium animalis;</t>
  </si>
  <si>
    <t>Bifidobacteriales</t>
  </si>
  <si>
    <t>Bifidobacteriaceae</t>
  </si>
  <si>
    <t>Bifidobacterium</t>
  </si>
  <si>
    <t>Bifidobacterium animalis</t>
  </si>
  <si>
    <t>Bacteria;Pseudomonadota;Alphaproteobacteria;Sphingomonadales;Sphingomonadaceae;Sphingobium;Sphingobium yanoikuyae;</t>
  </si>
  <si>
    <t>Sphingobium yanoikuyae</t>
  </si>
  <si>
    <t>Bacteria;Spirochaetota;Spirochaetia;Brachyspirales;Brachyspiraceae;Brachyspira;Brachyspira innocens;</t>
  </si>
  <si>
    <t>Brachyspira innocens</t>
  </si>
  <si>
    <t>Bacteria;Pseudomonadota;Alphaproteobacteria;Caulobacterales;Caulobacteraceae;Brevundimonas;Brevundimonas bullata;</t>
  </si>
  <si>
    <t>Brevundimonas bullata</t>
  </si>
  <si>
    <t>Bacteria;Bacillota;Negativicutes;Selenomonadales;Sporomusaceae;Sporomusa;Sporomusa termitida;</t>
  </si>
  <si>
    <t>Sporomusa termitida</t>
  </si>
  <si>
    <t>Bacteria;Bacillota;Negativicutes;NA;Acetonemataceae;Acetonema;Acetonema longum;</t>
  </si>
  <si>
    <t>Acetonemataceae</t>
  </si>
  <si>
    <t>Acetonema</t>
  </si>
  <si>
    <t>Acetonema longum</t>
  </si>
  <si>
    <t>Bacteria;Pseudomonadota;Gammaproteobacteria;Lysobacterales;Lysobacteraceae;Xylella;Xylella fastidiosa;</t>
  </si>
  <si>
    <t>Xylella</t>
  </si>
  <si>
    <t>Xylella fastidiosa</t>
  </si>
  <si>
    <t>Bacteria;Mycoplasmatota;NA;Mycoplasmoidales;Metamycoplasmataceae;Mycoplasmopsis;Mycoplasmopsis arginini;</t>
  </si>
  <si>
    <t>Mycoplasmopsis</t>
  </si>
  <si>
    <t>Mycoplasmopsis arginini</t>
  </si>
  <si>
    <t>Bacteria;Actinomycetota;Actinomycetes;Propionibacteriales;Nocardioidaceae;Pimelobacter;Pimelobacter simplex;</t>
  </si>
  <si>
    <t>Pimelobacter</t>
  </si>
  <si>
    <t>Pimelobacter simplex</t>
  </si>
  <si>
    <t>Bacteria;Actinomycetota;Actinomycetes;Micrococcales;Microbacteriaceae;Microbacterium;Microbacterium testaceum;</t>
  </si>
  <si>
    <t>Microbacterium testaceum</t>
  </si>
  <si>
    <t>Bacteria;Actinomycetota;Actinomycetes;Streptosporangiales;Thermomonosporaceae;Actinomadura;Actinomadura rugatobispora;</t>
  </si>
  <si>
    <t>Actinomadura rugatobispora</t>
  </si>
  <si>
    <t>Bacteria;Actinomycetota;Actinomycetes;Kitasatosporales;Streptomycetaceae;Streptomyces;Streptomyces halstedii;</t>
  </si>
  <si>
    <t>Streptomyces halstedii</t>
  </si>
  <si>
    <t>Bacteria;Actinomycetota;Actinomycetes;Kitasatosporales;Streptomycetaceae;Streptomyces;Streptomyces scabiei;</t>
  </si>
  <si>
    <t>Streptomyces scabiei</t>
  </si>
  <si>
    <t>Bacteria;Actinomycetota;Actinomycetes;Kitasatosporales;Streptomycetaceae;Streptomyces;Streptomyces griseus;</t>
  </si>
  <si>
    <t>Streptomyces griseus</t>
  </si>
  <si>
    <t>Bacteria;Actinomycetota;Actinomycetes;Kitasatosporales;Streptomycetaceae;Streptomyces;Streptomyces fradiae;</t>
  </si>
  <si>
    <t>Streptomyces fradiae</t>
  </si>
  <si>
    <t>Bacteria;Actinomycetota;Actinomycetes;Mycobacteriales;Mycobacteriaceae;Mycolicibacterium;Mycolicibacterium vaccae;</t>
  </si>
  <si>
    <t>Mycolicibacterium vaccae</t>
  </si>
  <si>
    <t>Bacteria;Actinomycetota;Actinomycetes;Mycobacteriales;Mycobacteriaceae;Mycolicibacterium;Mycolicibacterium diernhoferi;</t>
  </si>
  <si>
    <t>Mycolicibacterium diernhoferi</t>
  </si>
  <si>
    <t>Bacteria;Actinomycetota;Actinomycetes;Mycobacteriales;Mycobacteriaceae;Mycolicibacterium;Mycolicibacterium chubuense;</t>
  </si>
  <si>
    <t>Mycolicibacterium chubuense</t>
  </si>
  <si>
    <t>Bacteria;Actinomycetota;Actinomycetes;Mycobacteriales;Mycobacteriaceae;Mycolicibacterium;Mycolicibacterium aichiense;</t>
  </si>
  <si>
    <t>Mycolicibacterium aichiense</t>
  </si>
  <si>
    <t>Bacteria;Actinomycetota;Actinomycetes;Mycobacteriales;Mycobacteriaceae;Mycolicibacterium;Mycolicibacterium chitae;</t>
  </si>
  <si>
    <t>Mycolicibacterium chitae</t>
  </si>
  <si>
    <t>Bacteria;Actinomycetota;Actinomycetes;Mycobacteriales;Mycobacteriaceae;Mycobacterium;Mycobacterium asiaticum;</t>
  </si>
  <si>
    <t>Mycobacterium asiaticum</t>
  </si>
  <si>
    <t>Bacteria;Actinomycetota;Actinomycetes;Mycobacteriales;Mycobacteriaceae;Mycolicibacterium;Mycolicibacterium sphagni;</t>
  </si>
  <si>
    <t>Mycolicibacterium sphagni</t>
  </si>
  <si>
    <t>Bacteria;Actinomycetota;Actinomycetes;Mycobacteriales;Mycobacteriaceae;Mycobacterium;Mycobacterium sp.;</t>
  </si>
  <si>
    <t>Mycobacterium sp.</t>
  </si>
  <si>
    <t>Bacteria;Actinomycetota;Actinomycetes;Mycobacteriales;Mycobacteriaceae;Mycobacterium;Mycobacterium marinum;</t>
  </si>
  <si>
    <t>Mycobacterium marinum</t>
  </si>
  <si>
    <t>Bacteria;Actinomycetota;Actinomycetes;Mycobacteriales;Mycobacteriaceae;Mycolicibacterium;Mycolicibacterium komossense;</t>
  </si>
  <si>
    <t>Mycolicibacterium komossense</t>
  </si>
  <si>
    <t>Bacteria;Actinomycetota;Actinomycetes;Mycobacteriales;Mycobacteriaceae;Mycobacterium;Mycobacterium gordonae;</t>
  </si>
  <si>
    <t>Mycobacterium gordonae</t>
  </si>
  <si>
    <t>Bacteria;Actinomycetota;Actinomycetes;Mycobacteriales;Mycobacteriaceae;Mycobacterium;Mycobacterium tuberculosis;</t>
  </si>
  <si>
    <t>Mycobacterium tuberculosis</t>
  </si>
  <si>
    <t>Bacteria;Actinomycetota;Actinomycetes;Mycobacteriales;Mycobacteriaceae;Mycolicibacterium;Mycolicibacterium smegmatis;</t>
  </si>
  <si>
    <t>Mycolicibacterium smegmatis</t>
  </si>
  <si>
    <t>Bacteria;Actinomycetota;Actinomycetes;Mycobacteriales;Mycobacteriaceae;Mycobacterium;Mycobacterium kansasii;</t>
  </si>
  <si>
    <t>Mycobacterium kansasii</t>
  </si>
  <si>
    <t>Bacteria;Actinomycetota;Actinomycetes;Mycobacteriales;Mycobacteriaceae;Mycobacterium;Mycobacterium intracellulare;</t>
  </si>
  <si>
    <t>Mycobacterium intracellulare</t>
  </si>
  <si>
    <t>Bacteria;Actinomycetota;Actinomycetes;Mycobacteriales;Mycobacteriaceae;Mycolicibacterium;Mycolicibacterium fortuitum;</t>
  </si>
  <si>
    <t>Mycolicibacterium fortuitum</t>
  </si>
  <si>
    <t>Bacteria;Bacillota;Clostridia;Peptostreptococcales;Peptostreptococcaceae;Paraclostridium;Paraclostridium tenue;</t>
  </si>
  <si>
    <t>Paraclostridium tenue</t>
  </si>
  <si>
    <t>Bacteria;Bacillota;Clostridia;Peptostreptococcales;Peptoclostridiaceae;Peptoclostridium;Peptoclostridium acidaminophilum;</t>
  </si>
  <si>
    <t>Peptoclostridiaceae</t>
  </si>
  <si>
    <t>Peptoclostridium</t>
  </si>
  <si>
    <t>Peptoclostridium acidaminophilum</t>
  </si>
  <si>
    <t>Bacteria;Actinomycetota;Actinomycetes;Mycobacteriales;Corynebacteriaceae;Corynebacterium;Corynebacterium variabile;</t>
  </si>
  <si>
    <t>Corynebacterium variabile</t>
  </si>
  <si>
    <t>Bacteria;Actinomycetota;Actinomycetes;Micrococcales;Cellulomonadaceae;Cellulomonas;Cellulomonas gelida;</t>
  </si>
  <si>
    <t>Cellulomonas gelida</t>
  </si>
  <si>
    <t>Bacteria;Actinomycetota;Actinomycetes;Mycobacteriales;Corynebacteriaceae;Corynebacterium;Corynebacterium stationis;</t>
  </si>
  <si>
    <t>Corynebacterium stationis</t>
  </si>
  <si>
    <t>Bacteria;Actinomycetota;Actinomycetes;Micrococcales;Micrococcaceae;Pseudarthrobacter;Pseudarthrobacter polychromogenes;</t>
  </si>
  <si>
    <t>Pseudarthrobacter polychromogenes</t>
  </si>
  <si>
    <t>Bacteria;Bacillota;Bacilli;Bacillales;Listeriaceae;Listeria;Listeria grayi;</t>
  </si>
  <si>
    <t>Listeria grayi</t>
  </si>
  <si>
    <t>Bacteria;Bacillota;Bacilli;Bacillales;Listeriaceae;Listeria;Listeria monocytogenes;</t>
  </si>
  <si>
    <t>Listeria monocytogenes</t>
  </si>
  <si>
    <t>Bacteria;Bacillota;Bacilli;Lactobacillales;Lactobacillaceae;Ligilactobacillus;Ligilactobacillus animalis;</t>
  </si>
  <si>
    <t>Ligilactobacillus</t>
  </si>
  <si>
    <t>Ligilactobacillus animalis</t>
  </si>
  <si>
    <t>Bacteria;Bacillota;Bacilli;Lactobacillales;Lactobacillaceae;Weissella;Weissella confusa;</t>
  </si>
  <si>
    <t>Weissella</t>
  </si>
  <si>
    <t>Weissella confusa</t>
  </si>
  <si>
    <t>Bacteria;Bacillota;Clostridia;Eubacteriales;Desulfitobacteriaceae;Desulfosporosinus;Desulfosporosinus orientis;</t>
  </si>
  <si>
    <t>Desulfosporosinus orientis</t>
  </si>
  <si>
    <t>Bacteria;Bacillota;Clostridia;Eubacteriales;Clostridiaceae;Clostridium;Clostridium baratii;</t>
  </si>
  <si>
    <t>Clostridium baratii</t>
  </si>
  <si>
    <t>Bacteria;Bacillota;Clostridia;Eubacteriales;Clostridiaceae;Clostridium;Clostridium tertium;</t>
  </si>
  <si>
    <t>Clostridium tertium</t>
  </si>
  <si>
    <t>Bacteria;Bacillota;Clostridia;Peptostreptococcales;Peptoclostridiaceae;Peptoclostridium;Peptoclostridium litorale;</t>
  </si>
  <si>
    <t>Peptoclostridium litorale</t>
  </si>
  <si>
    <t>Bacteria;Bacillota;Tissierellia;Tissierellales;Gottschalkiaceae;Gottschalkia;Gottschalkia acidurici;</t>
  </si>
  <si>
    <t>Gottschalkia</t>
  </si>
  <si>
    <t>Gottschalkia acidurici</t>
  </si>
  <si>
    <t>Bacteria;Bacillota;Clostridia;Eubacteriales;Clostridiaceae;Clostridium;Clostridium tetanomorphum;</t>
  </si>
  <si>
    <t>Clostridium tetanomorphum</t>
  </si>
  <si>
    <t>Bacteria;Bacillota;Clostridia;Eubacteriales;Clostridiaceae;Clostridium;Clostridium subterminale;</t>
  </si>
  <si>
    <t>Clostridium subterminale</t>
  </si>
  <si>
    <t>Bacteria;Bacillota;Clostridia;Eubacteriales;Clostridiaceae;Clostridium;Clostridium scatologenes;</t>
  </si>
  <si>
    <t>Clostridium scatologenes</t>
  </si>
  <si>
    <t>Bacteria;Bacillota;Clostridia;Eubacteriales;Clostridiaceae;Clostridium;Clostridium oceanicum;</t>
  </si>
  <si>
    <t>Clostridium oceanicum</t>
  </si>
  <si>
    <t>Bacteria;Bacillota;Clostridia;Eubacteriales;Clostridiaceae;Clostridium;Clostridium novyi;</t>
  </si>
  <si>
    <t>Clostridium novyi</t>
  </si>
  <si>
    <t>Bacteria;Bacillota;Clostridia;Peptostreptococcales;Peptostreptococcaceae;Terrisporobacter;Terrisporobacter mayombei;</t>
  </si>
  <si>
    <t>Terrisporobacter mayombei</t>
  </si>
  <si>
    <t>Bacteria;Bacillota;Clostridia;Peptostreptococcales;Peptostreptococcaceae;Metaclostridioides;Metaclostridioides mangenotii;</t>
  </si>
  <si>
    <t>Metaclostridioides</t>
  </si>
  <si>
    <t>Metaclostridioides mangenotii</t>
  </si>
  <si>
    <t>Bacteria;Bacillota;Clostridia;Eubacteriales;Clostridiaceae;Clostridium;Clostridium malenominatum;</t>
  </si>
  <si>
    <t>Clostridium malenominatum</t>
  </si>
  <si>
    <t>Bacteria;Bacillota;Clostridia;Eubacteriales;Clostridiaceae;Clostridium;Clostridium ljungdahlii;</t>
  </si>
  <si>
    <t>Clostridium ljungdahlii</t>
  </si>
  <si>
    <t>Bacteria;Bacillota;Clostridia;Peptostreptococcales;Peptostreptococcaceae;Romboutsia;Romboutsia lituseburensis;</t>
  </si>
  <si>
    <t>Romboutsia lituseburensis</t>
  </si>
  <si>
    <t>Bacteria;Bacillota;Clostridia;Eubacteriales;Clostridiaceae;Hathewaya;Hathewaya limosa;</t>
  </si>
  <si>
    <t>Hathewaya limosa</t>
  </si>
  <si>
    <t>Bacteria;Bacillota;Clostridia;Eubacteriales;Clostridiaceae;Clostridium;Clostridium kluyveri;</t>
  </si>
  <si>
    <t>Clostridium kluyveri</t>
  </si>
  <si>
    <t>Bacteria;Bacillota;Clostridia;Eubacteriales;Clostridiaceae;Clostridium;Clostridium fallax;</t>
  </si>
  <si>
    <t>Clostridium fallax</t>
  </si>
  <si>
    <t>Bacteria;Bacillota;Clostridia;Eubacteriales;Clostridiaceae;Clostridium;Clostridium cadaveris;</t>
  </si>
  <si>
    <t>Clostridium cadaveris</t>
  </si>
  <si>
    <t>Bacteria;Bacillota;Clostridia;Eubacteriales;Oscillospiraceae;Ruminiclostridium;Ruminiclostridium cellulolyticum;</t>
  </si>
  <si>
    <t>Ruminiclostridium cellulolyticum</t>
  </si>
  <si>
    <t>Bacteria;Bacillota;Clostridia;Eubacteriales;Clostridiaceae;Clostridium;Clostridium beijerinckii;</t>
  </si>
  <si>
    <t>Clostridium beijerinckii</t>
  </si>
  <si>
    <t>Bacteria;Bacillota;Clostridia;Eubacteriales;Clostridiaceae;Clostridium;Clostridium tyrobutyricum;</t>
  </si>
  <si>
    <t>Clostridium tyrobutyricum</t>
  </si>
  <si>
    <t>Bacteria;Bacillota;Clostridia;Thermoanaerobacterales;Thermoanaerobacteraceae;Thermoanaerobacterium;Thermoanaerobacterium thermosaccharolyticum;</t>
  </si>
  <si>
    <t>Thermoanaerobacterium thermosaccharolyticum</t>
  </si>
  <si>
    <t>Bacteria;Bacillota;Clostridia;Eubacteriales;Clostridiaceae;Clostridium;Clostridium tetani;</t>
  </si>
  <si>
    <t>Clostridium tetani</t>
  </si>
  <si>
    <t>Bacteria;Bacillota;Clostridia;Eubacteriales;Clostridiaceae;Clostridium;Clostridium sporogenes;</t>
  </si>
  <si>
    <t>Clostridium sporogenes</t>
  </si>
  <si>
    <t>Bacteria;Bacillota;Clostridia;Eubacteriales;Clostridiaceae;Clostridium;Clostridium sp.;</t>
  </si>
  <si>
    <t>Clostridium sp.</t>
  </si>
  <si>
    <t>Bacteria;Bacillota;Clostridia;Peptostreptococcales;Peptostreptococcaceae;Paraclostridium;Paraclostridium sordellii;</t>
  </si>
  <si>
    <t>Paraclostridium sordellii</t>
  </si>
  <si>
    <t>Bacteria;Bacillota;Clostridia;Eubacteriales;Clostridiaceae;Clostridium;Clostridium septicum;</t>
  </si>
  <si>
    <t>Clostridium septicum</t>
  </si>
  <si>
    <t>Bacteria;Bacillota;Tissierellia;Tissierellales;Gottschalkiaceae;Gottschalkia;Gottschalkia purinilytica;</t>
  </si>
  <si>
    <t>Gottschalkia purinilytica</t>
  </si>
  <si>
    <t>Bacteria;Bacillota;Clostridia;Eubacteriales;Clostridiaceae;Clostridium;Clostridium perfringens;</t>
  </si>
  <si>
    <t>Clostridium perfringens</t>
  </si>
  <si>
    <t>Bacteria;Bacillota;Clostridia;Eubacteriales;Clostridiaceae;Clostridium;Clostridium pasteurianum;</t>
  </si>
  <si>
    <t>Clostridium pasteurianum</t>
  </si>
  <si>
    <t>Bacteria;Bacillota;Clostridia;Eubacteriales;Oscillospiraceae;Ruminiclostridium;Ruminiclostridium josui;</t>
  </si>
  <si>
    <t>Ruminiclostridium josui</t>
  </si>
  <si>
    <t>Bacteria;Bacillota;Clostridia;Eubacteriales;Clostridiaceae;Hathewaya;Hathewaya histolytica;</t>
  </si>
  <si>
    <t>Hathewaya histolytica</t>
  </si>
  <si>
    <t>Bacteria;Bacillota;Clostridia;Eubacteriales;Clostridiaceae;Clostridium;Clostridium formicaceticum;</t>
  </si>
  <si>
    <t>Clostridium formicaceticum</t>
  </si>
  <si>
    <t>Bacteria;Bacillota;Clostridia;Peptostreptococcales;Peptostreptococcaceae;Clostridioides;Clostridioides difficile;</t>
  </si>
  <si>
    <t>Clostridioides</t>
  </si>
  <si>
    <t>Clostridioides difficile</t>
  </si>
  <si>
    <t>Bacteria;Bacillota;Clostridia;Eubacteriales;Clostridiaceae;Clostridium;Clostridium cylindrosporum;</t>
  </si>
  <si>
    <t>Clostridium cylindrosporum</t>
  </si>
  <si>
    <t>Bacteria;Bacillota;Clostridia;Eubacteriales;Clostridiaceae;Clostridium;Clostridium cochlearium;</t>
  </si>
  <si>
    <t>Clostridium cochlearium</t>
  </si>
  <si>
    <t>Bacteria;Bacillota;Clostridia;Eubacteriales;Clostridiaceae;Clostridium;Clostridium cellulovorans;</t>
  </si>
  <si>
    <t>Clostridium cellulovorans</t>
  </si>
  <si>
    <t>Bacteria;Bacillota;Clostridia;Eubacteriales;Clostridiaceae;Clostridium;Clostridium butyricum;</t>
  </si>
  <si>
    <t>Clostridium butyricum</t>
  </si>
  <si>
    <t>Bacteria;Bacillota;Clostridia;Eubacteriales;Clostridiaceae;Clostridium;Clostridium botulinum;</t>
  </si>
  <si>
    <t>Clostridium botulinum</t>
  </si>
  <si>
    <t>Bacteria;Bacillota;Clostridia;Peptostreptococcales;Peptostreptococcaceae;Paraclostridium;Paraclostridium bifermentans;</t>
  </si>
  <si>
    <t>Paraclostridium bifermentans</t>
  </si>
  <si>
    <t>Bacteria;Bacillota;Bacilli;Bacillales;Bacillaceae;Metabacillus;Metabacillus fastidiosus;</t>
  </si>
  <si>
    <t>Metabacillus fastidiosus</t>
  </si>
  <si>
    <t>Bacteria;Bacillota;Bacilli;Bacillales;Bacillaceae;Schinkia;Schinkia azotoformans;</t>
  </si>
  <si>
    <t>Schinkia</t>
  </si>
  <si>
    <t>Schinkia azotoformans</t>
  </si>
  <si>
    <t>Bacteria;Bacillota;Bacilli;Bacillales;Paenibacillaceae;Paenibacillus;Paenibacillus amylolyticus;</t>
  </si>
  <si>
    <t>Paenibacillus amylolyticus</t>
  </si>
  <si>
    <t>Bacteria;Bacillota;Bacilli;Bacillales;Bacillaceae;Alkalihalobacillus;Alkalihalobacillus alcalophilus;</t>
  </si>
  <si>
    <t>Alkalihalobacillus alcalophilus</t>
  </si>
  <si>
    <t>Bacteria;Bacillota;Bacilli;Bacillales;Bacillaceae;Bacillus;Bacillus thuringiensis;</t>
  </si>
  <si>
    <t>Bacillus thuringiensis</t>
  </si>
  <si>
    <t>Bacteria;Bacillota;Bacilli;Bacillales;Bacillaceae;Bacillus;Bacillus subtilis;</t>
  </si>
  <si>
    <t>Bacillus subtilis</t>
  </si>
  <si>
    <t>Bacteria;Bacillota;Bacilli;Bacillales;Bacillaceae;Lysinibacillus;Lysinibacillus sphaericus;</t>
  </si>
  <si>
    <t>Lysinibacillus sphaericus</t>
  </si>
  <si>
    <t>Bacteria;Bacillota;Bacilli;Bacillales;Bacillaceae;Caldalkalibacillus;Caldalkalibacillus mannanilyticus;</t>
  </si>
  <si>
    <t>Caldalkalibacillus</t>
  </si>
  <si>
    <t>Caldalkalibacillus mannanilyticus</t>
  </si>
  <si>
    <t>Bacteria;Bacillota;Bacilli;Bacillales;Bacillaceae;Bacillus;Bacillus mycoides;</t>
  </si>
  <si>
    <t>Bacillus mycoides</t>
  </si>
  <si>
    <t>Bacteria;Bacillota;Bacilli;Bacillales;Bacillaceae;Priestia;Priestia megaterium;</t>
  </si>
  <si>
    <t>Priestia megaterium</t>
  </si>
  <si>
    <t>Bacteria;Bacillota;Bacilli;Bacillales;Paenibacillaceae;Paenibacillus;Paenibacillus lautus;</t>
  </si>
  <si>
    <t>Paenibacillus lautus</t>
  </si>
  <si>
    <t>Bacteria;Bacillota;Bacilli;Bacillales;Bacillaceae;Cytobacillus;Cytobacillus firmus;</t>
  </si>
  <si>
    <t>Cytobacillus firmus</t>
  </si>
  <si>
    <t>Bacteria;Bacillota;Bacilli;Bacillales;Bacillaceae;Bacillus;Bacillus cereus;</t>
  </si>
  <si>
    <t>Bacillus cereus</t>
  </si>
  <si>
    <t>Bacteria;Bacillota;Bacilli;Bacillales;Paenibacillaceae;Brevibacillus;Brevibacillus brevis;</t>
  </si>
  <si>
    <t>Brevibacillus brevis</t>
  </si>
  <si>
    <t>Bacteria;Bacillota;Bacilli;Bacillales;Bacillaceae;Bacillus;Bacillus anthracis;</t>
  </si>
  <si>
    <t>Bacillus anthracis</t>
  </si>
  <si>
    <t>Bacteria;Bacillota;Bacilli;Lactobacillales;Streptococcaceae;Lactococcus;Lactococcus garvieae;</t>
  </si>
  <si>
    <t>Lactococcus</t>
  </si>
  <si>
    <t>Lactococcus garvieae</t>
  </si>
  <si>
    <t>Bacteria;Bacillota;Bacilli;Lactobacillales;Enterococcaceae;Enterococcus;Enterococcus faecium;</t>
  </si>
  <si>
    <t>Enterococcus faecium</t>
  </si>
  <si>
    <t>Bacteria;Bacillota;Bacilli;Lactobacillales;Enterococcaceae;Enterococcus;Enterococcus faecalis;</t>
  </si>
  <si>
    <t>Enterococcus faecalis</t>
  </si>
  <si>
    <t>Bacteria;Bacillota;Bacilli;Lactobacillales;Streptococcaceae;Streptococcus;Streptococcus equi;</t>
  </si>
  <si>
    <t>Streptococcus equi</t>
  </si>
  <si>
    <t>Bacteria;Bacillota;Bacilli;Lactobacillales;Streptococcaceae;Streptococcus;Streptococcus suis;</t>
  </si>
  <si>
    <t>Streptococcus suis</t>
  </si>
  <si>
    <t>Bacteria;Bacillota;Bacilli;Bacillales;Staphylococcaceae;Staphylococcus;Staphylococcus haemolyticus;</t>
  </si>
  <si>
    <t>Staphylococcus haemolyticus</t>
  </si>
  <si>
    <t>Bacteria;Bacillota;Bacilli;Bacillales;Staphylococcaceae;Staphylococcus;Staphylococcus aureus;</t>
  </si>
  <si>
    <t>Staphylococcus aureus</t>
  </si>
  <si>
    <t>Bacteria;Bacillota;Clostridia;Eubacteriales;Clostridiaceae;Sarcina;Sarcina ventriculi;</t>
  </si>
  <si>
    <t>Sarcina</t>
  </si>
  <si>
    <t>Sarcina ventriculi</t>
  </si>
  <si>
    <t>Bacteria;Bacillota;Bacilli;Lactobacillales;Lactobacillaceae;Leuconostoc;Leuconostoc carnosum;</t>
  </si>
  <si>
    <t>Leuconostoc</t>
  </si>
  <si>
    <t>Leuconostoc carnosum</t>
  </si>
  <si>
    <t>Bacteria;Cyanobacteriota;Cyanophyceae;Nostocales;Nostocaceae;Nostoc;Nostoc sp.;</t>
  </si>
  <si>
    <t>Nostoc sp.</t>
  </si>
  <si>
    <t>Bacteria;Cyanobacteriota;Cyanophyceae;Chroococcales;Microcystaceae;Microcystis;Microcystis aeruginosa;</t>
  </si>
  <si>
    <t>Microcystis aeruginosa</t>
  </si>
  <si>
    <t>Bacteria;Pseudomonadota;Alphaproteobacteria;Rhodospirillales;Rhodospirillaceae;Magnetospirillum;Magnetospirillum molischianum;</t>
  </si>
  <si>
    <t>Magnetospirillum</t>
  </si>
  <si>
    <t>Magnetospirillum molischianum</t>
  </si>
  <si>
    <t>Bacteria;Pseudomonadota;Alphaproteobacteria;Hyphomicrobiales;Nitrobacteraceae;Rhodopseudomonas;Rhodopseudomonas sp.;</t>
  </si>
  <si>
    <t>Rhodopseudomonas sp.</t>
  </si>
  <si>
    <t>Bacteria;Pseudomonadota;Alphaproteobacteria;Hyphomicrobiales;Rhodoblastaceae;Rhodoblastus;Rhodoblastus acidophilus;</t>
  </si>
  <si>
    <t>Rhodoblastus acidophilus</t>
  </si>
  <si>
    <t>Bacteria;Pseudomonadota;Betaproteobacteria;Rhodocyclales;Rhodocyclaceae;Rhodocyclus;Rhodocyclus tenuis;</t>
  </si>
  <si>
    <t>Rhodocyclus</t>
  </si>
  <si>
    <t>Rhodocyclus tenuis</t>
  </si>
  <si>
    <t>Bacteria;Pseudomonadota;Alphaproteobacteria;Rhodobacterales;NA;Rhodobacter;Rhodobacter capsulatus;</t>
  </si>
  <si>
    <t>Rhodobacter capsulatus</t>
  </si>
  <si>
    <t>Bacteria;Pseudomonadota;Gammaproteobacteria;Chromatiales;Ectothiorhodospiraceae;Ectothiorhodospira;Ectothiorhodospira shaposhnikovii;</t>
  </si>
  <si>
    <t>Ectothiorhodospiraceae</t>
  </si>
  <si>
    <t>Ectothiorhodospira</t>
  </si>
  <si>
    <t>Ectothiorhodospira shaposhnikovii</t>
  </si>
  <si>
    <t>Bacteria;Pseudomonadota;Alphaproteobacteria;Sphingomonadales;Erythrobacteraceae;Erythrobacter;Erythrobacter sp.;</t>
  </si>
  <si>
    <t>Erythrobacter sp.</t>
  </si>
  <si>
    <t>Bacteria;Pseudomonadota;Alphaproteobacteria;Hyphomicrobiales;Nitrobacteraceae;Afipia;Afipia clevelandensis;</t>
  </si>
  <si>
    <t>Afipia clevelandensis</t>
  </si>
  <si>
    <t>Bacteria;Bacteroidota;Cytophagia;Cytophagales;Thermoflexibacteraceae;Thermoflexibacter;Thermoflexibacter ruber;</t>
  </si>
  <si>
    <t>Thermoflexibacteraceae</t>
  </si>
  <si>
    <t>Thermoflexibacter</t>
  </si>
  <si>
    <t>Thermoflexibacter ruber</t>
  </si>
  <si>
    <t>Bacteria;Bacteroidota;Flavobacteriia;Flavobacteriales;Flavobacteriaceae;Flavobacterium;Flavobacterium johnsoniae;</t>
  </si>
  <si>
    <t>Flavobacterium johnsoniae</t>
  </si>
  <si>
    <t>Bacteria;Bacteroidota;Flavobacteriia;Flavobacteriales;Flavobacteriaceae;Flavobacterium;Flavobacterium flevense;</t>
  </si>
  <si>
    <t>Flavobacterium flevense</t>
  </si>
  <si>
    <t>Bacteria;Bdellovibrionota;Bacteriovoracia;Bacteriovoracales;Bacteriovoracaceae;Bacteriovorax;Bacteriovorax stolpii;</t>
  </si>
  <si>
    <t>Bacteriovorax stolpii</t>
  </si>
  <si>
    <t>Bacteria;Bdellovibrionota;Bdellovibrionia;Bdellovibrionales;Pseudobdellovibrionaceae;Bdellovibrio;Bdellovibrio bacteriovorus;</t>
  </si>
  <si>
    <t>Bdellovibrio bacteriovorus</t>
  </si>
  <si>
    <t>Bacteria;Pseudomonadota;Betaproteobacteria;Burkholderiales;NA;Thiomonas;Thiomonas intermedia;</t>
  </si>
  <si>
    <t>Thiomonas intermedia</t>
  </si>
  <si>
    <t>Bacteria;Pseudomonadota;Betaproteobacteria;Nitrosomonadales;Nitrosomonadaceae;Nitrosomonas;Nitrosomonas eutropha;</t>
  </si>
  <si>
    <t>Nitrosomonadaceae</t>
  </si>
  <si>
    <t>Nitrosomonas</t>
  </si>
  <si>
    <t>Nitrosomonas eutropha</t>
  </si>
  <si>
    <t>Bacteria;Pseudomonadota;Alphaproteobacteria;Hyphomicrobiales;Nitrobacteraceae;Nitrobacter;Nitrobacter hamburgensis;</t>
  </si>
  <si>
    <t>Nitrobacter</t>
  </si>
  <si>
    <t>Nitrobacter hamburgensis</t>
  </si>
  <si>
    <t>Bacteria;Bacillota;Negativicutes;Acidaminococcales;Acidaminococcaceae;Acidaminococcus;Acidaminococcus fermentans;</t>
  </si>
  <si>
    <t>Acidaminococcus</t>
  </si>
  <si>
    <t>Acidaminococcus fermentans</t>
  </si>
  <si>
    <t>Bacteria;Bacillota;Clostridia;Eubacteriales;Oscillospiraceae;Faecalibacterium;Faecalibacterium prausnitzii;</t>
  </si>
  <si>
    <t>Faecalibacterium prausnitzii</t>
  </si>
  <si>
    <t>Bacteria;Bacteroidota;Bacteroidia;Bacteroidales;Tannerellaceae;Parabacteroides;Parabacteroides distasonis;</t>
  </si>
  <si>
    <t>Parabacteroides distasonis</t>
  </si>
  <si>
    <t>Bacteria;Bacteroidota;Bacteroidia;Bacteroidales;Bacteroidaceae;Bacteroides;Bacteroides thetaiotaomicron;</t>
  </si>
  <si>
    <t>Bacteroides thetaiotaomicron</t>
  </si>
  <si>
    <t>Bacteria;Pseudomonadota;Gammaproteobacteria;Pasteurellales;Pasteurellaceae;Pasteurella;Pasteurella bettyae;</t>
  </si>
  <si>
    <t>Pasteurella bettyae</t>
  </si>
  <si>
    <t>Bacteria;Pseudomonadota;Gammaproteobacteria;Pasteurellales;Pasteurellaceae;Haemophilus;Haemophilus influenzae;</t>
  </si>
  <si>
    <t>Haemophilus</t>
  </si>
  <si>
    <t>Haemophilus influenzae</t>
  </si>
  <si>
    <t>Bacteria;Pseudomonadota;Gammaproteobacteria;Pasteurellales;Pasteurellaceae;Aggregatibacter;Aggregatibacter actinomycetemcomitans;</t>
  </si>
  <si>
    <t>Aggregatibacter</t>
  </si>
  <si>
    <t>Aggregatibacter actinomycetemcomitans</t>
  </si>
  <si>
    <t>Bacteria;Pseudomonadota;Gammaproteobacteria;Enterobacterales;Enterobacteriaceae;Plesiomonas;Plesiomonas shigelloides;</t>
  </si>
  <si>
    <t>Plesiomonas</t>
  </si>
  <si>
    <t>Plesiomonas shigelloides</t>
  </si>
  <si>
    <t>Bacteria;Pseudomonadota;Gammaproteobacteria;Vibrionales;Vibrionaceae;Vibrio;Vibrio campbellii;</t>
  </si>
  <si>
    <t>Vibrio campbellii</t>
  </si>
  <si>
    <t>Bacteria;Pseudomonadota;Gammaproteobacteria;Vibrionales;Vibrionaceae;Vibrio;Vibrio vulnificus;</t>
  </si>
  <si>
    <t>Vibrio vulnificus</t>
  </si>
  <si>
    <t>Bacteria;Pseudomonadota;Gammaproteobacteria;Vibrionales;Vibrionaceae;Vibrio;Vibrio parahaemolyticus;</t>
  </si>
  <si>
    <t>Vibrio parahaemolyticus</t>
  </si>
  <si>
    <t>Bacteria;Pseudomonadota;Gammaproteobacteria;Vibrionales;Vibrionaceae;Vibrio;Vibrio harveyi;</t>
  </si>
  <si>
    <t>Vibrio harveyi</t>
  </si>
  <si>
    <t>Bacteria;Pseudomonadota;Gammaproteobacteria;Vibrionales;Vibrionaceae;Vibrio;Vibrio cholerae;</t>
  </si>
  <si>
    <t>Vibrio cholerae</t>
  </si>
  <si>
    <t>Bacteria;Pseudomonadota;Gammaproteobacteria;Vibrionales;Vibrionaceae;Vibrio;Vibrio alginolyticus;</t>
  </si>
  <si>
    <t>Vibrio alginolyticus</t>
  </si>
  <si>
    <t>Bacteria;Pseudomonadota;Gammaproteobacteria;Aeromonadales;Aeromonadaceae;Aeromonas;Aeromonas allosaccharophila;</t>
  </si>
  <si>
    <t>Aeromonas allosaccharophila</t>
  </si>
  <si>
    <t>Bacteria;Pseudomonadota;Gammaproteobacteria;Aeromonadales;Aeromonadaceae;Aeromonas;Aeromonas veronii;</t>
  </si>
  <si>
    <t>Aeromonas veronii</t>
  </si>
  <si>
    <t>Bacteria;Pseudomonadota;Gammaproteobacteria;Aeromonadales;Aeromonadaceae;Aeromonas;Aeromonas media;</t>
  </si>
  <si>
    <t>Aeromonas media</t>
  </si>
  <si>
    <t>Bacteria;Pseudomonadota;Gammaproteobacteria;Aeromonadales;Aeromonadaceae;Aeromonas;Aeromonas jandaei;</t>
  </si>
  <si>
    <t>Aeromonas jandaei</t>
  </si>
  <si>
    <t>Bacteria;Pseudomonadota;Gammaproteobacteria;Aeromonadales;Aeromonadaceae;Aeromonas;Aeromonas eucrenophila;</t>
  </si>
  <si>
    <t>Aeromonas eucrenophila</t>
  </si>
  <si>
    <t>Bacteria;Pseudomonadota;Gammaproteobacteria;Aeromonadales;Aeromonadaceae;Aeromonas;Aeromonas caviae;</t>
  </si>
  <si>
    <t>Aeromonas caviae</t>
  </si>
  <si>
    <t>Bacteria;Pseudomonadota;Gammaproteobacteria;Aeromonadales;Aeromonadaceae;Aeromonas;Aeromonas sobria;</t>
  </si>
  <si>
    <t>Aeromonas sobria</t>
  </si>
  <si>
    <t>Bacteria;Pseudomonadota;Gammaproteobacteria;Aeromonadales;Aeromonadaceae;Aeromonas;Aeromonas salmonicida;</t>
  </si>
  <si>
    <t>Aeromonas salmonicida</t>
  </si>
  <si>
    <t>Bacteria;Pseudomonadota;Gammaproteobacteria;Aeromonadales;Aeromonadaceae;Aeromonas;Aeromonas hydrophila;</t>
  </si>
  <si>
    <t>Aeromonas hydrophila</t>
  </si>
  <si>
    <t>Bacteria;Pseudomonadota;Gammaproteobacteria;Enterobacterales;Hafniaceae;Edwardsiella;Edwardsiella tarda;</t>
  </si>
  <si>
    <t>Edwardsiella</t>
  </si>
  <si>
    <t>Edwardsiella tarda</t>
  </si>
  <si>
    <t>Bacteria;Pseudomonadota;Gammaproteobacteria;Enterobacterales;Yersiniaceae;Yersinia;Yersinia pestis;</t>
  </si>
  <si>
    <t>Yersinia pestis</t>
  </si>
  <si>
    <t>Bacteria;Pseudomonadota;Gammaproteobacteria;Enterobacterales;Yersiniaceae;Yersinia;Yersinia intermedia;</t>
  </si>
  <si>
    <t>Yersinia intermedia</t>
  </si>
  <si>
    <t>Bacteria;Pseudomonadota;Gammaproteobacteria;Enterobacterales;Yersiniaceae;Yersinia;Yersinia enterocolitica;</t>
  </si>
  <si>
    <t>Yersinia enterocolitica</t>
  </si>
  <si>
    <t>Bacteria;Pseudomonadota;Gammaproteobacteria;Enterobacterales;Morganellaceae;Xenorhabdus;Xenorhabdus nematophila;</t>
  </si>
  <si>
    <t>Xenorhabdus nematophila</t>
  </si>
  <si>
    <t>Bacteria;Pseudomonadota;Gammaproteobacteria;Enterobacterales;Enterobacteriaceae;Shigella;Shigella sonnei;</t>
  </si>
  <si>
    <t>Shigella</t>
  </si>
  <si>
    <t>Shigella sonnei</t>
  </si>
  <si>
    <t>Bacteria;Pseudomonadota;Gammaproteobacteria;Enterobacterales;Yersiniaceae;Serratia;Serratia odorifera;</t>
  </si>
  <si>
    <t>Serratia odorifera</t>
  </si>
  <si>
    <t>Bacteria;Pseudomonadota;Gammaproteobacteria;Enterobacterales;Yersiniaceae;Serratia;Serratia marcescens;</t>
  </si>
  <si>
    <t>Serratia marcescens</t>
  </si>
  <si>
    <t>Bacteria;Pseudomonadota;Gammaproteobacteria;Enterobacterales;Yersiniaceae;Serratia;Serratia liquefaciens;</t>
  </si>
  <si>
    <t>Serratia liquefaciens</t>
  </si>
  <si>
    <t>Bacteria;Pseudomonadota;Gammaproteobacteria;Enterobacterales;Morganellaceae;Providencia;Providencia stuartii;</t>
  </si>
  <si>
    <t>Providencia stuartii</t>
  </si>
  <si>
    <t>Bacteria;Pseudomonadota;Gammaproteobacteria;Enterobacterales;Morganellaceae;Proteus;Proteus mirabilis;</t>
  </si>
  <si>
    <t>Proteus</t>
  </si>
  <si>
    <t>Proteus mirabilis</t>
  </si>
  <si>
    <t>Bacteria;Pseudomonadota;Gammaproteobacteria;Enterobacterales;Morganellaceae;Morganella;Morganella morganii;</t>
  </si>
  <si>
    <t>Morganella</t>
  </si>
  <si>
    <t>Morganella morganii</t>
  </si>
  <si>
    <t>Bacteria;Pseudomonadota;Gammaproteobacteria;Enterobacterales;Enterobacteriaceae;Klebsiella;Klebsiella pneumoniae;</t>
  </si>
  <si>
    <t>Klebsiella pneumoniae</t>
  </si>
  <si>
    <t>Bacteria;Pseudomonadota;Gammaproteobacteria;Enterobacterales;Enterobacteriaceae;Klebsiella;Klebsiella oxytoca;</t>
  </si>
  <si>
    <t>Klebsiella oxytoca</t>
  </si>
  <si>
    <t>Bacteria;Pseudomonadota;Gammaproteobacteria;Enterobacterales;Hafniaceae;Hafnia;Hafnia alvei;</t>
  </si>
  <si>
    <t>Hafnia alvei</t>
  </si>
  <si>
    <t>Bacteria;Pseudomonadota;Gammaproteobacteria;Enterobacterales;Enterobacteriaceae;Escherichia;Escherichia coli;</t>
  </si>
  <si>
    <t>Escherichia</t>
  </si>
  <si>
    <t>Escherichia coli</t>
  </si>
  <si>
    <t>Bacteria;Pseudomonadota;Gammaproteobacteria;Enterobacterales;Pectobacteriaceae;Pectobacterium;Pectobacterium carotovorum;</t>
  </si>
  <si>
    <t>Pectobacterium carotovorum</t>
  </si>
  <si>
    <t>Bacteria;Pseudomonadota;Gammaproteobacteria;Enterobacterales;Erwiniaceae;Erwinia;Erwinia amylovora;</t>
  </si>
  <si>
    <t>Erwinia amylovora</t>
  </si>
  <si>
    <t>Bacteria;Pseudomonadota;Gammaproteobacteria;Enterobacterales;Erwiniaceae;Pantoea;Pantoea agglomerans;</t>
  </si>
  <si>
    <t>Pantoea agglomerans</t>
  </si>
  <si>
    <t>Bacteria;Pseudomonadota;Gammaproteobacteria;Enterobacterales;Enterobacteriaceae;Klebsiella;Klebsiella aerogenes;</t>
  </si>
  <si>
    <t>Klebsiella aerogenes</t>
  </si>
  <si>
    <t>Bacteria;Pseudomonadota;Gammaproteobacteria;Enterobacterales;Enterobacteriaceae;Citrobacter;Citrobacter freundii;</t>
  </si>
  <si>
    <t>Citrobacter freundii</t>
  </si>
  <si>
    <t>Bacteria;Pseudomonadota;Gammaproteobacteria;Enterobacterales;Enterobacteriaceae;Citrobacter;Citrobacter koseri;</t>
  </si>
  <si>
    <t>Citrobacter koseri</t>
  </si>
  <si>
    <t>Bacteria;Pseudomonadota;Betaproteobacteria;Neisseriales;Chromobacteriaceae;Chromobacterium;Chromobacterium violaceum;</t>
  </si>
  <si>
    <t>Chromobacterium violaceum</t>
  </si>
  <si>
    <t>Bacteria;Pseudomonadota;Alphaproteobacteria;Hyphomicrobiales;Brucellaceae;Brucella;Brucella anthropi;</t>
  </si>
  <si>
    <t>Brucella anthropi</t>
  </si>
  <si>
    <t>Bacteria;Pseudomonadota;Alphaproteobacteria;Acetobacterales;Acidocellaceae;Acidocella;Acidocella facilis;</t>
  </si>
  <si>
    <t>Acidocella</t>
  </si>
  <si>
    <t>Acidocella facilis</t>
  </si>
  <si>
    <t>Bacteria;Pseudomonadota;Betaproteobacteria;Burkholderiales;Alcaligenaceae;Bordetella;Bordetella avium;</t>
  </si>
  <si>
    <t>Bordetella avium</t>
  </si>
  <si>
    <t>Bacteria;Pseudomonadota;Betaproteobacteria;Burkholderiales;Alcaligenaceae;Bordetella;Bordetella bronchiseptica;</t>
  </si>
  <si>
    <t>Bordetella bronchiseptica</t>
  </si>
  <si>
    <t>Bacteria;Pseudomonadota;Betaproteobacteria;Burkholderiales;Alcaligenaceae;Alcaligenes;Alcaligenes faecalis;</t>
  </si>
  <si>
    <t>Alcaligenes faecalis</t>
  </si>
  <si>
    <t>Bacteria;Pseudomonadota;Betaproteobacteria;Neisseriales;Neisseriaceae;Kingella;Kingella kingae;</t>
  </si>
  <si>
    <t>Kingella</t>
  </si>
  <si>
    <t>Kingella kingae</t>
  </si>
  <si>
    <t>Bacteria;Pseudomonadota;Betaproteobacteria;Neisseriales;Neisseriaceae;Neisseria;Neisseria meningitidis;</t>
  </si>
  <si>
    <t>Neisseria meningitidis</t>
  </si>
  <si>
    <t>Bacteria;Pseudomonadota;Betaproteobacteria;Neisseriales;Neisseriaceae;Neisseria;Neisseria gonorrhoeae;</t>
  </si>
  <si>
    <t>Neisseria gonorrhoeae</t>
  </si>
  <si>
    <t>Bacteria;Pseudomonadota;Gammaproteobacteria;Moraxellales;Moraxellaceae;Moraxella;Moraxella lacunata;</t>
  </si>
  <si>
    <t>Moraxella lacunata</t>
  </si>
  <si>
    <t>Bacteria;Pseudomonadota;Gammaproteobacteria;Moraxellales;Moraxellaceae;Acinetobacter;Acinetobacter baumannii;</t>
  </si>
  <si>
    <t>Acinetobacter baumannii</t>
  </si>
  <si>
    <t>Bacteria;Pseudomonadota;Gammaproteobacteria;Legionellales;Legionellaceae;Legionella;Legionella israelensis;</t>
  </si>
  <si>
    <t>Legionella israelensis</t>
  </si>
  <si>
    <t>Bacteria;Pseudomonadota;Gammaproteobacteria;Legionellales;Legionellaceae;Legionella;Legionella pneumophila;</t>
  </si>
  <si>
    <t>Legionella pneumophila</t>
  </si>
  <si>
    <t>Bacteria;Pseudomonadota;Alphaproteobacteria;Hyphomicrobiales;Methylobacteriaceae;Methylobacterium;Methylobacterium sp.;</t>
  </si>
  <si>
    <t>Methylobacterium sp.</t>
  </si>
  <si>
    <t>Bacteria;Pseudomonadota;Betaproteobacteria;Nitrosomonadales;Methylophilaceae;Methylobacillus;Methylobacillus glycogenes;</t>
  </si>
  <si>
    <t>Methylobacillus</t>
  </si>
  <si>
    <t>Methylobacillus glycogenes</t>
  </si>
  <si>
    <t>Bacteria;Pseudomonadota;Alphaproteobacteria;Hyphomicrobiales;Rhizobiaceae;Neorhizobium;Neorhizobium galegae;</t>
  </si>
  <si>
    <t>Neorhizobium galegae</t>
  </si>
  <si>
    <t>Bacteria;Pseudomonadota;Alphaproteobacteria;Hyphomicrobiales;Rhizobiaceae;Rhizobium;Rhizobium phaseoli;</t>
  </si>
  <si>
    <t>Rhizobium phaseoli</t>
  </si>
  <si>
    <t>Bacteria;Pseudomonadota;Alphaproteobacteria;Hyphomicrobiales;Rhizobiaceae;Rhizobium;Rhizobium sp.;</t>
  </si>
  <si>
    <t>Rhizobium sp.</t>
  </si>
  <si>
    <t>Bacteria;Pseudomonadota;Alphaproteobacteria;Hyphomicrobiales;Rhizobiaceae;Rhizobium;Rhizobium leguminosarum;</t>
  </si>
  <si>
    <t>Rhizobium leguminosarum</t>
  </si>
  <si>
    <t>Bacteria;Pseudomonadota;Alphaproteobacteria;Hyphomicrobiales;Rhizobiaceae;Sinorhizobium;Sinorhizobium meliloti;</t>
  </si>
  <si>
    <t>Sinorhizobium meliloti</t>
  </si>
  <si>
    <t>Bacteria;Pseudomonadota;Alphaproteobacteria;Hyphomicrobiales;Phyllobacteriaceae;Mesorhizobium;Mesorhizobium loti;</t>
  </si>
  <si>
    <t>Mesorhizobium loti</t>
  </si>
  <si>
    <t>Bacteria;Pseudomonadota;Alphaproteobacteria;Hyphomicrobiales;Nitrobacteraceae;Bradyrhizobium;Bradyrhizobium sp.;</t>
  </si>
  <si>
    <t>Bradyrhizobium sp.</t>
  </si>
  <si>
    <t>Bacteria;Pseudomonadota;Alphaproteobacteria;Hyphomicrobiales;Nitrobacteraceae;Bradyrhizobium;Bradyrhizobium japonicum;</t>
  </si>
  <si>
    <t>Bradyrhizobium japonicum</t>
  </si>
  <si>
    <t>Bacteria;Pseudomonadota;Alphaproteobacteria;Hyphomicrobiales;Rhizobiaceae;Agrobacterium;Agrobacterium vitis;</t>
  </si>
  <si>
    <t>Agrobacterium vitis</t>
  </si>
  <si>
    <t>Bacteria;Pseudomonadota;Alphaproteobacteria;Hyphomicrobiales;Rhizobiaceae;Rhizobium;Rhizobium rhizogenes;</t>
  </si>
  <si>
    <t>Rhizobium rhizogenes</t>
  </si>
  <si>
    <t>Bacteria;Pseudomonadota;Alphaproteobacteria;Hyphomicrobiales;Rhizobiaceae;Agrobacterium;Agrobacterium tumefaciens;</t>
  </si>
  <si>
    <t>Agrobacterium tumefaciens</t>
  </si>
  <si>
    <t>Bacteria;Pseudomonadota;Gammaproteobacteria;Pseudomonadales;Pseudomonadaceae;Azotobacter;Azotobacter vinelandii;</t>
  </si>
  <si>
    <t>Azotobacter vinelandii</t>
  </si>
  <si>
    <t>Bacteria;Pseudomonadota;Gammaproteobacteria;Pseudomonadales;Pseudomonadaceae;Azotobacter;Azotobacter chroococcum;</t>
  </si>
  <si>
    <t>Azotobacter chroococcum</t>
  </si>
  <si>
    <t>Bacteria;Pseudomonadota;Gammaproteobacteria;Lysobacterales;Lysobacteraceae;Xanthomonas;Xanthomonas oryzae;</t>
  </si>
  <si>
    <t>Xanthomonas oryzae</t>
  </si>
  <si>
    <t>Bacteria;Pseudomonadota;Gammaproteobacteria;Lysobacterales;Lysobacteraceae;Xanthomonas;Xanthomonas citri;</t>
  </si>
  <si>
    <t>Xanthomonas citri</t>
  </si>
  <si>
    <t>Bacteria;Pseudomonadota;Gammaproteobacteria;Lysobacterales;Lysobacteraceae;Xanthomonas;Xanthomonas campestris;</t>
  </si>
  <si>
    <t>Xanthomonas campestris</t>
  </si>
  <si>
    <t>Bacteria;Pseudomonadota;Gammaproteobacteria;Pseudomonadales;Pseudomonadaceae;Pseudomonas;Pseudomonas syringae;</t>
  </si>
  <si>
    <t>Pseudomonas syringae</t>
  </si>
  <si>
    <t>Bacteria;Pseudomonadota;Gammaproteobacteria;Pseudomonadales;Pseudomonadaceae;Stutzerimonas;Stutzerimonas stutzeri;</t>
  </si>
  <si>
    <t>Stutzerimonas stutzeri</t>
  </si>
  <si>
    <t>Bacteria;Pseudomonadota;Gammaproteobacteria;Pseudomonadales;Pseudomonadaceae;Pseudomonas;Pseudomonas sp.;</t>
  </si>
  <si>
    <t>Pseudomonas sp.</t>
  </si>
  <si>
    <t>Bacteria;Pseudomonadota;Betaproteobacteria;Burkholderiales;Burkholderiaceae;Ralstonia;Ralstonia solanacearum;</t>
  </si>
  <si>
    <t>Ralstonia solanacearum</t>
  </si>
  <si>
    <t>Bacteria;Pseudomonadota;Gammaproteobacteria;Pseudomonadales;Pseudomonadaceae;Pseudomonas;Pseudomonas putida;</t>
  </si>
  <si>
    <t>Pseudomonas putida</t>
  </si>
  <si>
    <t>Bacteria;Pseudomonadota;Gammaproteobacteria;Pseudomonadales;Pseudomonadaceae;Ectopseudomonas;Ectopseudomonas mendocina;</t>
  </si>
  <si>
    <t>Ectopseudomonas mendocina</t>
  </si>
  <si>
    <t>Bacteria;Pseudomonadota;Gammaproteobacteria;Pseudomonadales;Pseudomonadaceae;Pseudomonas;Pseudomonas fragi;</t>
  </si>
  <si>
    <t>Pseudomonas fragi</t>
  </si>
  <si>
    <t>Bacteria;Pseudomonadota;Gammaproteobacteria;Pseudomonadales;Pseudomonadaceae;Pseudomonas;Pseudomonas fluorescens;</t>
  </si>
  <si>
    <t>Pseudomonas fluorescens</t>
  </si>
  <si>
    <t>Bacteria;Pseudomonadota;Alphaproteobacteria;Caulobacterales;Caulobacteraceae;Brevundimonas;Brevundimonas diminuta;</t>
  </si>
  <si>
    <t>Brevundimonas diminuta</t>
  </si>
  <si>
    <t>Bacteria;Pseudomonadota;Betaproteobacteria;Burkholderiales;Burkholderiaceae;Burkholderia;Burkholderia cepacia;</t>
  </si>
  <si>
    <t>Burkholderia cepacia</t>
  </si>
  <si>
    <t>Bacteria;Pseudomonadota;Gammaproteobacteria;Pseudomonadales;Pseudomonadaceae;Pseudomonas;Pseudomonas aeruginosa;</t>
  </si>
  <si>
    <t>Pseudomonas aeruginosa</t>
  </si>
  <si>
    <t>Bacteria;Pseudomonadota;Betaproteobacteria;Burkholderiales;Comamonadaceae;Comamonas;Comamonas testosteroni;</t>
  </si>
  <si>
    <t>Comamonas testosteroni</t>
  </si>
  <si>
    <t>Bacteria;Pseudomonadota;Alphaproteobacteria;Hyphomicrobiales;Xanthobacteraceae;Xanthobacter;Xanthobacter flavus;</t>
  </si>
  <si>
    <t>Xanthobacter flavus</t>
  </si>
  <si>
    <t>Bacteria;Pseudomonadota;Alphaproteobacteria;Rhodobacterales;Paracoccaceae;Paracoccus;Paracoccus sp. (in: a-proteobacteria);</t>
  </si>
  <si>
    <t>Paracoccus sp. (in: a-proteobacteria)</t>
  </si>
  <si>
    <t>Bacteria;Pseudomonadota;Gammaproteobacteria;Thiotrichales;Francisellaceae;Francisella;Francisella tularensis;</t>
  </si>
  <si>
    <t>Francisellaceae</t>
  </si>
  <si>
    <t>Francisella</t>
  </si>
  <si>
    <t>Francisella tularensis</t>
  </si>
  <si>
    <t>Bacteria;Bacteroidota;Sphingobacteriia;Sphingobacteriales;Sphingobacteriaceae;Sphingobacterium;Sphingobacterium spiritivorum;</t>
  </si>
  <si>
    <t>Sphingobacterium spiritivorum</t>
  </si>
  <si>
    <t>Bacteria;Bacteroidota;Flavobacteriia;Flavobacteriales;Flavobacteriaceae;Flavobacterium;Flavobacterium aquatile;</t>
  </si>
  <si>
    <t>Flavobacterium aquatile</t>
  </si>
  <si>
    <t>Bacteria;Bacteroidota;Flavobacteriia;Flavobacteriales;Flavobacteriaceae;Flavobacterium;Flavobacterium sp.;</t>
  </si>
  <si>
    <t>Flavobacterium sp.</t>
  </si>
  <si>
    <t>Bacteria;Bacteroidota;Flavobacteriia;Flavobacteriales;Weeksellaceae;Elizabethkingia;Elizabethkingia meningoseptica;</t>
  </si>
  <si>
    <t>Elizabethkingia meningoseptica</t>
  </si>
  <si>
    <t>Bacteria;Pseudomonadota;Gammaproteobacteria;Alteromonadales;Pseudoalteromonadaceae;Pseudoalteromonas;Pseudoalteromonas carrageenovora;</t>
  </si>
  <si>
    <t>Pseudoalteromonas carrageenovora</t>
  </si>
  <si>
    <t>Bacteria;Campylobacterota;Epsilonproteobacteria;Campylobacterales;Helicobacteraceae;Helicobacter;Helicobacter pylori;</t>
  </si>
  <si>
    <t>Helicobacter pylori</t>
  </si>
  <si>
    <t>Bacteria;Campylobacterota;Epsilonproteobacteria;Campylobacterales;Campylobacteraceae;Campylobacter;Campylobacter concisus;</t>
  </si>
  <si>
    <t>Campylobacter concisus</t>
  </si>
  <si>
    <t>Bacteria;Campylobacterota;Epsilonproteobacteria;Campylobacterales;Campylobacteraceae;Campylobacter;Campylobacter jejuni;</t>
  </si>
  <si>
    <t>Campylobacter jejuni</t>
  </si>
  <si>
    <t>Bacteria;Pseudomonadota;Alphaproteobacteria;Rhodospirillales;Azospirillaceae;Azospirillum;Azospirillum brasilense;</t>
  </si>
  <si>
    <t>Azospirillum brasilense</t>
  </si>
  <si>
    <t>Bacteria;Pseudomonadota;Alphaproteobacteria;Rhodospirillales;Novispirillaceae;Novispirillum;Novispirillum itersonii;</t>
  </si>
  <si>
    <t>Novispirillaceae</t>
  </si>
  <si>
    <t>Novispirillum</t>
  </si>
  <si>
    <t>Novispirillum itersonii</t>
  </si>
  <si>
    <t>Bacteria;Spirochaetota;Spirochaetia;Leptospirales;Leptospiraceae;Leptospira;Leptospira interrogans;</t>
  </si>
  <si>
    <t>Leptospira interrogans</t>
  </si>
  <si>
    <t>Bacteria;Planctomycetota;Planctomycetia;Planctomycetales;Planctomycetaceae;Planctopirus;Planctopirus limnophila;</t>
  </si>
  <si>
    <t>Planctopirus</t>
  </si>
  <si>
    <t>Planctopirus limnophila</t>
  </si>
  <si>
    <t>Bacteria;Bacteroidota;Cytophagia;Cytophagales;Spirosomataceae;Runella;Runella slithyformis;</t>
  </si>
  <si>
    <t>Runella slithyformis</t>
  </si>
  <si>
    <t>Bacteria;Pseudomonadota;Alphaproteobacteria;Hyphomicrobiales;Xanthobacteraceae;Ancylobacter;Ancylobacter aquaticus;</t>
  </si>
  <si>
    <t>Ancylobacter aquaticus</t>
  </si>
  <si>
    <t>Bacteria;Pseudomonadota;Betaproteobacteria;Burkholderiales;Sphaerotilaceae;Leptothrix;Leptothrix discophora;</t>
  </si>
  <si>
    <t>Leptothrix</t>
  </si>
  <si>
    <t>Leptothrix discophora</t>
  </si>
  <si>
    <t>Bacteria;Pseudomonadota;Alphaproteobacteria;Hyphomonadales;Hyphomonadaceae;Hyphomonas;Hyphomonas sp.;</t>
  </si>
  <si>
    <t>Hyphomonas</t>
  </si>
  <si>
    <t>Hyphomonas sp.</t>
  </si>
  <si>
    <t>Bacteria;Pseudomonadota;Alphaproteobacteria;Hyphomonadales;Hyphomonadaceae;Hyphomonas;Hyphomonas jannaschiana;</t>
  </si>
  <si>
    <t>Hyphomonas jannaschiana</t>
  </si>
  <si>
    <t>Bacteria;Pseudomonadota;Alphaproteobacteria;Hyphomicrobiales;Hyphomicrobiaceae;Hyphomicrobium;Hyphomicrobium sp.;</t>
  </si>
  <si>
    <t>Hyphomicrobium sp.</t>
  </si>
  <si>
    <t>Bacteria;Pseudomonadota;Alphaproteobacteria;Caulobacterales;Caulobacteraceae;Caulobacter;Caulobacter sp.;</t>
  </si>
  <si>
    <t>Caulobacter sp.</t>
  </si>
  <si>
    <t>Bacteria;Pseudomonadota;Betaproteobacteria;Neisseriales;Neisseriaceae;Simonsiella;Simonsiella muelleri;</t>
  </si>
  <si>
    <t>Simonsiella</t>
  </si>
  <si>
    <t>Simonsiella muelleri</t>
  </si>
  <si>
    <t>Bacteria;Pseudomonadota;Gammaproteobacteria;Lysobacterales;Lysobacteraceae;Lysobacter;Lysobacter enzymogenes;</t>
  </si>
  <si>
    <t>Lysobacter enzymogenes</t>
  </si>
  <si>
    <t>Bacteria;Pseudomonadota;Betaproteobacteria;Neisseriales;Neisseriaceae;Vitreoscilla;Vitreoscilla filiformis;</t>
  </si>
  <si>
    <t>Vitreoscilla</t>
  </si>
  <si>
    <t>Vitreoscilla filiformis</t>
  </si>
  <si>
    <t>Bacteria;Myxococcota;Myxococcia;Myxococcales;Archangiaceae;Stigmatella;Stigmatella aurantiaca;</t>
  </si>
  <si>
    <t>Stigmatella</t>
  </si>
  <si>
    <t>Stigmatella aurantiaca</t>
  </si>
  <si>
    <t>Bacteria;Pseudomonadota;Gammaproteobacteria;Alteromonadales;Shewanellaceae;Shewanella;Shewanella putrefaciens;</t>
  </si>
  <si>
    <t>Shewanella putrefaciens</t>
  </si>
  <si>
    <t>Bacteria;Pseudomonadota;Gammaproteobacteria;Alteromonadales;Shewanellaceae;Shewanella;Shewanella colwelliana;</t>
  </si>
  <si>
    <t>Shewanella colwelliana</t>
  </si>
  <si>
    <t>Bacteria;Pseudomonadota;Alphaproteobacteria;Caulobacterales;Caulobacteraceae;Phenylobacterium;Phenylobacterium immobile;</t>
  </si>
  <si>
    <t>Phenylobacterium immobile</t>
  </si>
  <si>
    <t>Bacteria;Pseudomonadota;Gammaproteobacteria;Enterobacterales;Erwiniaceae;Buchnera;Buchnera aphidicola;</t>
  </si>
  <si>
    <t>Buchnera</t>
  </si>
  <si>
    <t>Buchnera aphidicola</t>
  </si>
  <si>
    <t>H(2384)</t>
  </si>
  <si>
    <t>G(2451)</t>
  </si>
  <si>
    <t>T(1799)</t>
  </si>
  <si>
    <t>Sum of h1</t>
  </si>
  <si>
    <t>Sum of h2</t>
  </si>
  <si>
    <t>Sum of h3</t>
  </si>
  <si>
    <t>Sum of g1</t>
  </si>
  <si>
    <t>Sum of g2</t>
  </si>
  <si>
    <t>Sum of g3</t>
  </si>
  <si>
    <t>Sum of t1</t>
  </si>
  <si>
    <t>Sum of t2</t>
  </si>
  <si>
    <t>Sum of t3</t>
  </si>
  <si>
    <t>Normalize to relative abundance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</si>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</sst>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E+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  <font>
      <sz val="9"/>
      <color theme="1"/>
      <name val="Arial"/>
      <family val="2"/>
    </font>
    <font>
      <sz val="9"/>
      <name val="Arial"/>
      <family val="2"/>
    </font>
    <font>
      <sz val="9"/>
      <color rgb="FF000000"/>
      <name val="Aptos Narrow"/>
      <family val="2"/>
    </font>
    <font>
      <sz val="9"/>
      <color theme="1"/>
      <name val="Aptos Narrow"/>
      <family val="2"/>
      <scheme val="minor"/>
    </font>
    <font>
      <sz val="9"/>
      <name val="Aptos Narrow"/>
      <family val="2"/>
    </font>
    <font>
      <sz val="20"/>
      <color rgb="FFFF0000"/>
      <name val="Aptos Narrow"/>
      <family val="2"/>
      <scheme val="minor"/>
    </font>
    <font>
      <sz val="12"/>
      <color rgb="FF000000"/>
      <name val="Calibri"/>
      <family val="2"/>
    </font>
    <font>
      <sz val="12"/>
      <color rgb="FF000000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2"/>
      <color rgb="FF000000"/>
      <name val="Aptos Narrow"/>
      <family val="2"/>
    </font>
    <font>
      <b/>
      <sz val="11"/>
      <color rgb="FF000000"/>
      <name val="Lucida Grande"/>
      <family val="2"/>
    </font>
    <font>
      <sz val="11"/>
      <color rgb="FF000000"/>
      <name val="Lucida Grande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3" fontId="1" fillId="0" borderId="0" xfId="0" applyNumberFormat="1" applyFont="1" applyAlignment="1">
      <alignment horizontal="center" vertical="center" wrapText="1"/>
    </xf>
    <xf numFmtId="10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0" fontId="3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3" fontId="7" fillId="0" borderId="0" xfId="0" applyNumberFormat="1" applyFont="1" applyAlignment="1">
      <alignment horizontal="center" vertical="center" wrapText="1"/>
    </xf>
    <xf numFmtId="10" fontId="7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2" fontId="8" fillId="0" borderId="0" xfId="0" applyNumberFormat="1" applyFont="1"/>
    <xf numFmtId="0" fontId="9" fillId="0" borderId="0" xfId="0" applyFont="1" applyAlignment="1">
      <alignment vertical="center"/>
    </xf>
    <xf numFmtId="2" fontId="10" fillId="0" borderId="0" xfId="0" applyNumberFormat="1" applyFont="1"/>
    <xf numFmtId="0" fontId="11" fillId="0" borderId="0" xfId="0" applyFont="1"/>
    <xf numFmtId="0" fontId="12" fillId="0" borderId="0" xfId="0" applyFont="1"/>
    <xf numFmtId="0" fontId="0" fillId="2" borderId="0" xfId="0" applyFill="1"/>
    <xf numFmtId="0" fontId="13" fillId="0" borderId="0" xfId="0" applyFont="1"/>
    <xf numFmtId="0" fontId="4" fillId="2" borderId="0" xfId="0" applyFont="1" applyFill="1"/>
    <xf numFmtId="0" fontId="14" fillId="0" borderId="0" xfId="0" applyFont="1"/>
    <xf numFmtId="0" fontId="15" fillId="0" borderId="0" xfId="0" applyFont="1"/>
    <xf numFmtId="0" fontId="12" fillId="2" borderId="0" xfId="0" applyFont="1" applyFill="1"/>
    <xf numFmtId="0" fontId="15" fillId="2" borderId="0" xfId="0" applyFont="1" applyFill="1"/>
    <xf numFmtId="0" fontId="16" fillId="0" borderId="0" xfId="0" applyFont="1"/>
    <xf numFmtId="0" fontId="17" fillId="0" borderId="0" xfId="0" applyFont="1"/>
    <xf numFmtId="0" fontId="4" fillId="0" borderId="0" xfId="0" applyFont="1"/>
    <xf numFmtId="164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C5797-3007-D844-83CF-4821ABBF45A0}">
  <dimension ref="A1:H13"/>
  <sheetViews>
    <sheetView workbookViewId="0">
      <selection activeCell="B30" sqref="B30"/>
    </sheetView>
  </sheetViews>
  <sheetFormatPr baseColWidth="10" defaultColWidth="11" defaultRowHeight="16" x14ac:dyDescent="0.2"/>
  <cols>
    <col min="1" max="1" width="15.1640625" customWidth="1"/>
  </cols>
  <sheetData>
    <row r="1" spans="1:8" x14ac:dyDescent="0.2">
      <c r="A1" s="33" t="s">
        <v>0</v>
      </c>
      <c r="B1" s="33" t="s">
        <v>1</v>
      </c>
      <c r="C1" s="33" t="s">
        <v>2</v>
      </c>
      <c r="D1" s="33"/>
      <c r="E1" s="33" t="s">
        <v>3</v>
      </c>
      <c r="F1" s="33"/>
      <c r="G1" s="33"/>
      <c r="H1" s="33"/>
    </row>
    <row r="2" spans="1:8" x14ac:dyDescent="0.2">
      <c r="A2" s="33"/>
      <c r="B2" s="33"/>
      <c r="C2" s="31" t="s">
        <v>4</v>
      </c>
      <c r="D2" s="31"/>
      <c r="E2" s="32" t="s">
        <v>5</v>
      </c>
      <c r="F2" s="32"/>
      <c r="G2" s="32" t="s">
        <v>6</v>
      </c>
      <c r="H2" s="32"/>
    </row>
    <row r="3" spans="1:8" ht="17" x14ac:dyDescent="0.2">
      <c r="A3" s="33"/>
      <c r="B3" s="33"/>
      <c r="C3" s="4" t="s">
        <v>7</v>
      </c>
      <c r="D3" s="5" t="s">
        <v>8</v>
      </c>
      <c r="E3" s="5" t="s">
        <v>8</v>
      </c>
      <c r="F3" s="5" t="s">
        <v>9</v>
      </c>
      <c r="G3" s="5" t="s">
        <v>8</v>
      </c>
      <c r="H3" s="5" t="s">
        <v>9</v>
      </c>
    </row>
    <row r="4" spans="1:8" x14ac:dyDescent="0.2">
      <c r="A4" s="6" t="s">
        <v>10</v>
      </c>
      <c r="B4" s="4">
        <v>1</v>
      </c>
      <c r="C4" s="4" t="s">
        <v>11</v>
      </c>
      <c r="D4" s="1">
        <v>206732</v>
      </c>
      <c r="E4" s="1">
        <v>206264</v>
      </c>
      <c r="F4" s="2">
        <v>0.99770000000000003</v>
      </c>
      <c r="G4" s="5">
        <v>468</v>
      </c>
      <c r="H4" s="2">
        <v>2.3E-3</v>
      </c>
    </row>
    <row r="5" spans="1:8" x14ac:dyDescent="0.2">
      <c r="A5" s="6" t="s">
        <v>12</v>
      </c>
      <c r="B5" s="4">
        <v>2</v>
      </c>
      <c r="C5" s="4" t="s">
        <v>13</v>
      </c>
      <c r="D5" s="1">
        <v>355996</v>
      </c>
      <c r="E5" s="1">
        <v>355216</v>
      </c>
      <c r="F5" s="2">
        <v>0.99780000000000002</v>
      </c>
      <c r="G5" s="5">
        <v>780</v>
      </c>
      <c r="H5" s="2">
        <v>2.2000000000000001E-3</v>
      </c>
    </row>
    <row r="6" spans="1:8" x14ac:dyDescent="0.2">
      <c r="A6" s="6"/>
      <c r="B6" s="4">
        <v>3</v>
      </c>
      <c r="C6" s="4" t="s">
        <v>14</v>
      </c>
      <c r="D6" s="1">
        <v>808403</v>
      </c>
      <c r="E6" s="1">
        <v>807274</v>
      </c>
      <c r="F6" s="2">
        <v>0.99860000000000004</v>
      </c>
      <c r="G6" s="1">
        <v>1129</v>
      </c>
      <c r="H6" s="2">
        <v>1.4E-3</v>
      </c>
    </row>
    <row r="7" spans="1:8" x14ac:dyDescent="0.2">
      <c r="A7" s="3"/>
      <c r="B7" s="4">
        <v>4</v>
      </c>
      <c r="C7" s="4" t="s">
        <v>15</v>
      </c>
      <c r="D7" s="1">
        <v>400901</v>
      </c>
      <c r="E7" s="1">
        <v>400078</v>
      </c>
      <c r="F7" s="2">
        <v>0.99790000000000001</v>
      </c>
      <c r="G7" s="5">
        <v>823</v>
      </c>
      <c r="H7" s="2">
        <v>2.0999999999999999E-3</v>
      </c>
    </row>
    <row r="8" spans="1:8" x14ac:dyDescent="0.2">
      <c r="B8" s="7" t="s">
        <v>16</v>
      </c>
      <c r="H8" s="8">
        <f>AVERAGE(H4:H7)</f>
        <v>2E-3</v>
      </c>
    </row>
    <row r="9" spans="1:8" x14ac:dyDescent="0.2">
      <c r="A9" s="6" t="s">
        <v>10</v>
      </c>
      <c r="B9" s="4">
        <v>1</v>
      </c>
      <c r="C9" s="4" t="s">
        <v>17</v>
      </c>
      <c r="D9" s="1">
        <v>105230</v>
      </c>
      <c r="E9" s="1">
        <v>102711</v>
      </c>
      <c r="F9" s="2">
        <v>0.97609999999999997</v>
      </c>
      <c r="G9" s="1">
        <v>2519</v>
      </c>
      <c r="H9" s="2">
        <v>2.3900000000000001E-2</v>
      </c>
    </row>
    <row r="10" spans="1:8" x14ac:dyDescent="0.2">
      <c r="A10" s="6" t="s">
        <v>18</v>
      </c>
      <c r="B10" s="4">
        <v>2</v>
      </c>
      <c r="C10" s="4" t="s">
        <v>19</v>
      </c>
      <c r="D10" s="1">
        <v>185124</v>
      </c>
      <c r="E10" s="1">
        <v>180430</v>
      </c>
      <c r="F10" s="2">
        <v>0.97460000000000002</v>
      </c>
      <c r="G10" s="1">
        <v>4694</v>
      </c>
      <c r="H10" s="2">
        <v>2.5399999999999999E-2</v>
      </c>
    </row>
    <row r="11" spans="1:8" x14ac:dyDescent="0.2">
      <c r="A11" s="6"/>
      <c r="B11" s="4">
        <v>3</v>
      </c>
      <c r="C11" s="4" t="s">
        <v>20</v>
      </c>
      <c r="D11" s="1">
        <v>368692</v>
      </c>
      <c r="E11" s="1">
        <v>362112</v>
      </c>
      <c r="F11" s="2">
        <v>0.98219999999999996</v>
      </c>
      <c r="G11" s="1">
        <v>6580</v>
      </c>
      <c r="H11" s="2">
        <v>1.78E-2</v>
      </c>
    </row>
    <row r="12" spans="1:8" x14ac:dyDescent="0.2">
      <c r="A12" s="3"/>
      <c r="B12" s="4">
        <v>4</v>
      </c>
      <c r="C12" s="4" t="s">
        <v>21</v>
      </c>
      <c r="D12" s="1">
        <v>192345</v>
      </c>
      <c r="E12" s="1">
        <v>187680</v>
      </c>
      <c r="F12" s="2">
        <v>0.97570000000000001</v>
      </c>
      <c r="G12" s="1">
        <v>4665</v>
      </c>
      <c r="H12" s="2">
        <v>2.4299999999999999E-2</v>
      </c>
    </row>
    <row r="13" spans="1:8" x14ac:dyDescent="0.2">
      <c r="B13" s="7" t="s">
        <v>16</v>
      </c>
      <c r="H13" s="8">
        <f>AVERAGE(H9:H12)</f>
        <v>2.2849999999999999E-2</v>
      </c>
    </row>
  </sheetData>
  <mergeCells count="7">
    <mergeCell ref="C2:D2"/>
    <mergeCell ref="E2:F2"/>
    <mergeCell ref="G2:H2"/>
    <mergeCell ref="A1:A3"/>
    <mergeCell ref="B1:B3"/>
    <mergeCell ref="C1:D1"/>
    <mergeCell ref="E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880F5-DAE9-9E40-B751-80DEF61C927D}">
  <dimension ref="A2:N45"/>
  <sheetViews>
    <sheetView workbookViewId="0">
      <selection activeCell="C19" sqref="C19"/>
    </sheetView>
  </sheetViews>
  <sheetFormatPr baseColWidth="10" defaultRowHeight="16" x14ac:dyDescent="0.2"/>
  <sheetData>
    <row r="2" spans="1:14" x14ac:dyDescent="0.2">
      <c r="D2" s="34" t="s">
        <v>22</v>
      </c>
      <c r="E2" s="34"/>
      <c r="F2" s="35" t="s">
        <v>3</v>
      </c>
      <c r="G2" s="35"/>
      <c r="H2" s="35"/>
      <c r="I2" s="35"/>
      <c r="J2" s="36" t="s">
        <v>23</v>
      </c>
      <c r="K2" s="36"/>
      <c r="L2" s="36"/>
      <c r="M2" s="36"/>
      <c r="N2" s="36"/>
    </row>
    <row r="3" spans="1:14" x14ac:dyDescent="0.2">
      <c r="D3" s="37" t="s">
        <v>22</v>
      </c>
      <c r="E3" s="37"/>
      <c r="F3" s="37" t="s">
        <v>3</v>
      </c>
      <c r="G3" s="37"/>
      <c r="H3" s="37"/>
      <c r="I3" s="37"/>
      <c r="J3" s="37" t="s">
        <v>23</v>
      </c>
      <c r="K3" s="37"/>
      <c r="L3" s="37"/>
      <c r="M3" s="37"/>
      <c r="N3" s="37"/>
    </row>
    <row r="4" spans="1:14" x14ac:dyDescent="0.2">
      <c r="B4" s="38" t="s">
        <v>1</v>
      </c>
      <c r="C4" s="38" t="s">
        <v>24</v>
      </c>
      <c r="D4" s="10" t="s">
        <v>4</v>
      </c>
      <c r="E4" s="39" t="s">
        <v>25</v>
      </c>
      <c r="F4" s="39" t="s">
        <v>5</v>
      </c>
      <c r="G4" s="39"/>
      <c r="H4" s="39" t="s">
        <v>6</v>
      </c>
      <c r="I4" s="39"/>
      <c r="J4" s="38" t="s">
        <v>26</v>
      </c>
      <c r="K4" s="38"/>
      <c r="L4" s="38" t="s">
        <v>27</v>
      </c>
      <c r="M4" s="38"/>
      <c r="N4" s="38"/>
    </row>
    <row r="5" spans="1:14" x14ac:dyDescent="0.2">
      <c r="B5" s="38"/>
      <c r="C5" s="38"/>
      <c r="D5" s="10" t="s">
        <v>28</v>
      </c>
      <c r="E5" s="39"/>
      <c r="F5" s="11" t="s">
        <v>8</v>
      </c>
      <c r="G5" s="11" t="s">
        <v>9</v>
      </c>
      <c r="H5" s="11" t="s">
        <v>8</v>
      </c>
      <c r="I5" s="11" t="s">
        <v>9</v>
      </c>
      <c r="J5" s="9" t="s">
        <v>29</v>
      </c>
      <c r="K5" s="9" t="s">
        <v>30</v>
      </c>
      <c r="L5" s="9" t="s">
        <v>31</v>
      </c>
      <c r="M5" s="9" t="s">
        <v>32</v>
      </c>
      <c r="N5" s="9" t="s">
        <v>33</v>
      </c>
    </row>
    <row r="6" spans="1:14" x14ac:dyDescent="0.2">
      <c r="A6" t="s">
        <v>34</v>
      </c>
      <c r="B6" s="9" t="s">
        <v>10</v>
      </c>
      <c r="C6" s="9">
        <v>1</v>
      </c>
      <c r="D6" s="10" t="s">
        <v>35</v>
      </c>
      <c r="E6" s="12">
        <v>1144590</v>
      </c>
      <c r="F6" s="12">
        <v>1133791</v>
      </c>
      <c r="G6" s="13">
        <v>0.99060000000000004</v>
      </c>
      <c r="H6" s="12">
        <v>10799</v>
      </c>
      <c r="I6" s="13">
        <v>9.4000000000000004E-3</v>
      </c>
      <c r="J6" s="14">
        <v>363278</v>
      </c>
      <c r="K6" s="14">
        <v>260282</v>
      </c>
      <c r="L6" s="14">
        <v>49297</v>
      </c>
      <c r="M6" s="14">
        <f t="shared" ref="M6:M22" si="0">J6-K6-L6</f>
        <v>53699</v>
      </c>
      <c r="N6" s="15">
        <v>14.776451</v>
      </c>
    </row>
    <row r="7" spans="1:14" x14ac:dyDescent="0.2">
      <c r="B7" s="9" t="s">
        <v>12</v>
      </c>
      <c r="C7" s="9">
        <v>2</v>
      </c>
      <c r="D7" s="10" t="s">
        <v>36</v>
      </c>
      <c r="E7" s="12">
        <v>1655526</v>
      </c>
      <c r="F7" s="12">
        <v>1637056</v>
      </c>
      <c r="G7" s="13">
        <v>0.98880000000000001</v>
      </c>
      <c r="H7" s="12">
        <v>18470</v>
      </c>
      <c r="I7" s="13">
        <v>1.12E-2</v>
      </c>
      <c r="J7" s="14">
        <v>531763</v>
      </c>
      <c r="K7" s="14">
        <v>373889</v>
      </c>
      <c r="L7" s="14">
        <v>78776</v>
      </c>
      <c r="M7" s="14">
        <f t="shared" si="0"/>
        <v>79098</v>
      </c>
      <c r="N7" s="15">
        <v>14.871561</v>
      </c>
    </row>
    <row r="8" spans="1:14" x14ac:dyDescent="0.2">
      <c r="B8" s="9" t="s">
        <v>37</v>
      </c>
      <c r="C8" s="9">
        <v>3</v>
      </c>
      <c r="D8" s="10" t="s">
        <v>38</v>
      </c>
      <c r="E8" s="12">
        <v>2224327</v>
      </c>
      <c r="F8" s="12">
        <v>2195525</v>
      </c>
      <c r="G8" s="13">
        <v>0.98709999999999998</v>
      </c>
      <c r="H8" s="12">
        <v>28802</v>
      </c>
      <c r="I8" s="13">
        <v>1.29E-2</v>
      </c>
      <c r="J8" s="14">
        <v>756429</v>
      </c>
      <c r="K8" s="14">
        <v>486872</v>
      </c>
      <c r="L8" s="14">
        <v>150959</v>
      </c>
      <c r="M8" s="14">
        <f t="shared" si="0"/>
        <v>118598</v>
      </c>
      <c r="N8" s="15">
        <v>15.6745</v>
      </c>
    </row>
    <row r="9" spans="1:14" x14ac:dyDescent="0.2">
      <c r="B9" s="16"/>
      <c r="C9" s="9">
        <v>4</v>
      </c>
      <c r="D9" s="10" t="s">
        <v>39</v>
      </c>
      <c r="E9" s="12">
        <v>1896218</v>
      </c>
      <c r="F9" s="12">
        <v>1867859</v>
      </c>
      <c r="G9" s="13">
        <v>0.98499999999999999</v>
      </c>
      <c r="H9" s="12">
        <v>28359</v>
      </c>
      <c r="I9" s="13">
        <v>1.4999999999999999E-2</v>
      </c>
      <c r="J9" s="14">
        <v>606530</v>
      </c>
      <c r="K9" s="14">
        <v>424302</v>
      </c>
      <c r="L9" s="14">
        <v>93089</v>
      </c>
      <c r="M9" s="14">
        <f t="shared" si="0"/>
        <v>89139</v>
      </c>
      <c r="N9" s="15">
        <v>14.698047000000001</v>
      </c>
    </row>
    <row r="10" spans="1:14" x14ac:dyDescent="0.2">
      <c r="B10" s="9" t="s">
        <v>10</v>
      </c>
      <c r="C10" s="9">
        <v>1</v>
      </c>
      <c r="D10" s="10" t="s">
        <v>40</v>
      </c>
      <c r="E10" s="12">
        <v>3145549</v>
      </c>
      <c r="F10" s="12">
        <v>2061862</v>
      </c>
      <c r="G10" s="13">
        <v>0.65549999999999997</v>
      </c>
      <c r="H10" s="12">
        <v>1083687</v>
      </c>
      <c r="I10" s="13">
        <v>0.34449999999999997</v>
      </c>
      <c r="J10" s="14">
        <v>2745605</v>
      </c>
      <c r="K10" s="14">
        <v>2199804</v>
      </c>
      <c r="L10" s="14">
        <v>224844</v>
      </c>
      <c r="M10" s="14">
        <f t="shared" si="0"/>
        <v>320957</v>
      </c>
      <c r="N10" s="15">
        <v>11.159960999999999</v>
      </c>
    </row>
    <row r="11" spans="1:14" x14ac:dyDescent="0.2">
      <c r="B11" s="9" t="s">
        <v>18</v>
      </c>
      <c r="C11" s="9">
        <v>2</v>
      </c>
      <c r="D11" s="10" t="s">
        <v>41</v>
      </c>
      <c r="E11" s="12">
        <v>4604506</v>
      </c>
      <c r="F11" s="12">
        <v>2959725</v>
      </c>
      <c r="G11" s="13">
        <v>0.64280000000000004</v>
      </c>
      <c r="H11" s="12">
        <v>1644781</v>
      </c>
      <c r="I11" s="13">
        <v>0.35720000000000002</v>
      </c>
      <c r="J11" s="14">
        <v>4019246</v>
      </c>
      <c r="K11" s="14">
        <v>3226046</v>
      </c>
      <c r="L11" s="14">
        <v>330752</v>
      </c>
      <c r="M11" s="14">
        <f t="shared" si="0"/>
        <v>462448</v>
      </c>
      <c r="N11" s="15">
        <v>10.970995</v>
      </c>
    </row>
    <row r="12" spans="1:14" x14ac:dyDescent="0.2">
      <c r="B12" s="9" t="s">
        <v>42</v>
      </c>
      <c r="C12" s="9">
        <v>3</v>
      </c>
      <c r="D12" s="10" t="s">
        <v>43</v>
      </c>
      <c r="E12" s="12">
        <v>6389344</v>
      </c>
      <c r="F12" s="12">
        <v>4126054</v>
      </c>
      <c r="G12" s="13">
        <v>0.64580000000000004</v>
      </c>
      <c r="H12" s="12">
        <v>2263290</v>
      </c>
      <c r="I12" s="13">
        <v>0.35420000000000001</v>
      </c>
      <c r="J12" s="14">
        <v>5476133</v>
      </c>
      <c r="K12" s="14">
        <v>4360840</v>
      </c>
      <c r="L12" s="14">
        <v>481433</v>
      </c>
      <c r="M12" s="14">
        <f t="shared" si="0"/>
        <v>633860</v>
      </c>
      <c r="N12" s="15">
        <v>10.859935</v>
      </c>
    </row>
    <row r="13" spans="1:14" x14ac:dyDescent="0.2">
      <c r="B13" s="16"/>
      <c r="C13" s="9">
        <v>4</v>
      </c>
      <c r="D13" s="10" t="s">
        <v>44</v>
      </c>
      <c r="E13" s="12">
        <v>5047870</v>
      </c>
      <c r="F13" s="12">
        <v>3290225</v>
      </c>
      <c r="G13" s="13">
        <v>0.65180000000000005</v>
      </c>
      <c r="H13" s="12">
        <v>1757645</v>
      </c>
      <c r="I13" s="13">
        <v>0.34820000000000001</v>
      </c>
      <c r="J13" s="14">
        <v>4422144</v>
      </c>
      <c r="K13" s="14">
        <v>3509759</v>
      </c>
      <c r="L13" s="14">
        <v>403034</v>
      </c>
      <c r="M13" s="14">
        <f t="shared" si="0"/>
        <v>509351</v>
      </c>
      <c r="N13" s="15">
        <v>10.806944</v>
      </c>
    </row>
    <row r="14" spans="1:14" x14ac:dyDescent="0.2">
      <c r="B14" s="9" t="s">
        <v>45</v>
      </c>
      <c r="C14" s="9" t="s">
        <v>46</v>
      </c>
      <c r="D14" s="10" t="s">
        <v>47</v>
      </c>
      <c r="E14" s="12">
        <v>83691916</v>
      </c>
      <c r="F14" s="12">
        <v>81725690</v>
      </c>
      <c r="G14" s="13">
        <v>0.97650000000000003</v>
      </c>
      <c r="H14" s="12">
        <v>1966226</v>
      </c>
      <c r="I14" s="13">
        <v>2.35E-2</v>
      </c>
      <c r="J14" s="14">
        <v>27710823</v>
      </c>
      <c r="K14" s="14">
        <v>23831753</v>
      </c>
      <c r="L14" s="14">
        <v>1375660</v>
      </c>
      <c r="M14" s="14">
        <f t="shared" si="0"/>
        <v>2503410</v>
      </c>
      <c r="N14" s="15">
        <v>8.1213750000000005</v>
      </c>
    </row>
    <row r="15" spans="1:14" x14ac:dyDescent="0.2">
      <c r="B15" s="9" t="s">
        <v>18</v>
      </c>
      <c r="C15" s="9" t="s">
        <v>48</v>
      </c>
      <c r="D15" s="10" t="s">
        <v>49</v>
      </c>
      <c r="E15" s="12">
        <v>92337699</v>
      </c>
      <c r="F15" s="12">
        <v>90166400</v>
      </c>
      <c r="G15" s="13">
        <v>0.97650000000000003</v>
      </c>
      <c r="H15" s="12">
        <v>2171299</v>
      </c>
      <c r="I15" s="13">
        <v>2.35E-2</v>
      </c>
      <c r="J15" s="14">
        <v>30612941</v>
      </c>
      <c r="K15" s="14">
        <v>26445080</v>
      </c>
      <c r="L15" s="14">
        <v>1536978</v>
      </c>
      <c r="M15" s="14">
        <f>J15-K15-L15</f>
        <v>2630883</v>
      </c>
      <c r="N15" s="15">
        <v>7.6738629999999999</v>
      </c>
    </row>
    <row r="16" spans="1:14" x14ac:dyDescent="0.2">
      <c r="B16" s="9" t="s">
        <v>50</v>
      </c>
      <c r="C16" s="9" t="s">
        <v>51</v>
      </c>
      <c r="D16" s="10" t="s">
        <v>52</v>
      </c>
      <c r="E16" s="12">
        <v>143228455</v>
      </c>
      <c r="F16" s="12">
        <v>140029490</v>
      </c>
      <c r="G16" s="13">
        <v>0.97770000000000001</v>
      </c>
      <c r="H16" s="12">
        <f>E16-F16</f>
        <v>3198965</v>
      </c>
      <c r="I16" s="13">
        <f>1-G16</f>
        <v>2.2299999999999986E-2</v>
      </c>
      <c r="J16" s="14">
        <v>47389762</v>
      </c>
      <c r="K16" s="14">
        <v>40773958</v>
      </c>
      <c r="L16" s="14">
        <v>2376604</v>
      </c>
      <c r="M16" s="14">
        <f>J16-K16-L16</f>
        <v>4239200</v>
      </c>
      <c r="N16" s="15">
        <v>8.0308980000000005</v>
      </c>
    </row>
    <row r="17" spans="1:14" x14ac:dyDescent="0.2">
      <c r="B17" s="16"/>
      <c r="C17" s="9" t="s">
        <v>53</v>
      </c>
      <c r="D17" s="10" t="s">
        <v>54</v>
      </c>
      <c r="E17" s="12">
        <v>153055054</v>
      </c>
      <c r="F17" s="12">
        <v>150088102</v>
      </c>
      <c r="G17" s="13">
        <v>0.98060000000000003</v>
      </c>
      <c r="H17" s="12">
        <v>2966952</v>
      </c>
      <c r="I17" s="13">
        <v>1.9400000000000001E-2</v>
      </c>
      <c r="J17" s="14">
        <v>51346198</v>
      </c>
      <c r="K17" s="14">
        <v>43604778</v>
      </c>
      <c r="L17" s="14">
        <v>2930224</v>
      </c>
      <c r="M17" s="14">
        <f t="shared" si="0"/>
        <v>4811196</v>
      </c>
      <c r="N17" s="15">
        <v>8.4673780000000001</v>
      </c>
    </row>
    <row r="18" spans="1:14" x14ac:dyDescent="0.2">
      <c r="B18" s="16"/>
      <c r="C18" s="9" t="s">
        <v>55</v>
      </c>
      <c r="D18" s="10" t="s">
        <v>56</v>
      </c>
      <c r="E18" s="12">
        <v>123584028</v>
      </c>
      <c r="F18" s="12">
        <v>121111460</v>
      </c>
      <c r="G18" s="13">
        <v>0.98</v>
      </c>
      <c r="H18" s="12">
        <v>2472568</v>
      </c>
      <c r="I18" s="13">
        <v>0.02</v>
      </c>
      <c r="J18" s="14">
        <v>41602264</v>
      </c>
      <c r="K18" s="14">
        <v>35562975</v>
      </c>
      <c r="L18" s="14">
        <v>2227883</v>
      </c>
      <c r="M18" s="14">
        <f>J18-K18-L18</f>
        <v>3811406</v>
      </c>
      <c r="N18" s="15">
        <v>8.2629579999999994</v>
      </c>
    </row>
    <row r="19" spans="1:14" x14ac:dyDescent="0.2">
      <c r="B19" s="16"/>
      <c r="C19" s="9" t="s">
        <v>57</v>
      </c>
      <c r="D19" s="10" t="s">
        <v>56</v>
      </c>
      <c r="E19" s="12">
        <v>120884435</v>
      </c>
      <c r="F19" s="12">
        <v>118654077</v>
      </c>
      <c r="G19" s="13">
        <v>0.98150000000000004</v>
      </c>
      <c r="H19" s="12">
        <f>E19-F19</f>
        <v>2230358</v>
      </c>
      <c r="I19" s="13">
        <f>1-G19</f>
        <v>1.8499999999999961E-2</v>
      </c>
      <c r="J19" s="14">
        <v>40424253</v>
      </c>
      <c r="K19" s="14">
        <v>34114190</v>
      </c>
      <c r="L19" s="14">
        <v>2497925</v>
      </c>
      <c r="M19" s="14">
        <f>J19-K19-L19</f>
        <v>3812138</v>
      </c>
      <c r="N19" s="15">
        <v>8.5503579999999992</v>
      </c>
    </row>
    <row r="20" spans="1:14" x14ac:dyDescent="0.2">
      <c r="B20" s="16"/>
      <c r="C20" s="9" t="s">
        <v>58</v>
      </c>
      <c r="D20" s="10" t="s">
        <v>59</v>
      </c>
      <c r="E20" s="12">
        <v>236047994</v>
      </c>
      <c r="F20" s="12">
        <v>231208800</v>
      </c>
      <c r="G20" s="13">
        <v>0.97950000000000004</v>
      </c>
      <c r="H20" s="12">
        <v>4839194</v>
      </c>
      <c r="I20" s="13">
        <v>2.0500000000000001E-2</v>
      </c>
      <c r="J20" s="14">
        <v>72706822</v>
      </c>
      <c r="K20" s="14">
        <v>62330495</v>
      </c>
      <c r="L20" s="14">
        <v>3672355</v>
      </c>
      <c r="M20" s="14">
        <f t="shared" si="0"/>
        <v>6703972</v>
      </c>
      <c r="N20" s="15">
        <v>8.313205</v>
      </c>
    </row>
    <row r="21" spans="1:14" x14ac:dyDescent="0.2">
      <c r="B21" s="16"/>
      <c r="C21" s="9" t="s">
        <v>60</v>
      </c>
      <c r="D21" s="10" t="s">
        <v>61</v>
      </c>
      <c r="E21" s="12">
        <v>138234257</v>
      </c>
      <c r="F21" s="12">
        <v>135323886</v>
      </c>
      <c r="G21" s="13">
        <v>0.97889999999999999</v>
      </c>
      <c r="H21" s="12">
        <v>2910371</v>
      </c>
      <c r="I21" s="13">
        <v>2.1100000000000001E-2</v>
      </c>
      <c r="J21" s="14">
        <v>46102495</v>
      </c>
      <c r="K21" s="14">
        <v>39859943</v>
      </c>
      <c r="L21" s="14">
        <v>2287757</v>
      </c>
      <c r="M21" s="14">
        <f t="shared" si="0"/>
        <v>3954795</v>
      </c>
      <c r="N21" s="15">
        <v>7.6779809999999999</v>
      </c>
    </row>
    <row r="22" spans="1:14" x14ac:dyDescent="0.2">
      <c r="B22" s="16"/>
      <c r="C22" s="9" t="s">
        <v>62</v>
      </c>
      <c r="D22" s="10" t="s">
        <v>63</v>
      </c>
      <c r="E22" s="12">
        <v>126644643</v>
      </c>
      <c r="F22" s="12">
        <v>124221070</v>
      </c>
      <c r="G22" s="13">
        <v>0.98089999999999999</v>
      </c>
      <c r="H22" s="12">
        <f>E22-F22</f>
        <v>2423573</v>
      </c>
      <c r="I22" s="13">
        <f>1-G22</f>
        <v>1.9100000000000006E-2</v>
      </c>
      <c r="J22" s="14">
        <v>41740672</v>
      </c>
      <c r="K22" s="14">
        <v>35486917</v>
      </c>
      <c r="L22" s="14">
        <v>2238722</v>
      </c>
      <c r="M22" s="14">
        <f t="shared" si="0"/>
        <v>4015033</v>
      </c>
      <c r="N22" s="15">
        <v>8.7403440000000003</v>
      </c>
    </row>
    <row r="23" spans="1:14" x14ac:dyDescent="0.2">
      <c r="D23" s="37" t="s">
        <v>22</v>
      </c>
      <c r="E23" s="37"/>
      <c r="F23" s="37" t="s">
        <v>3</v>
      </c>
      <c r="G23" s="37"/>
      <c r="H23" s="37"/>
      <c r="I23" s="37"/>
      <c r="J23" s="37" t="s">
        <v>23</v>
      </c>
      <c r="K23" s="37"/>
      <c r="L23" s="37"/>
      <c r="M23" s="37"/>
      <c r="N23" s="37"/>
    </row>
    <row r="24" spans="1:14" x14ac:dyDescent="0.2">
      <c r="B24" s="38" t="s">
        <v>1</v>
      </c>
      <c r="C24" s="38" t="s">
        <v>24</v>
      </c>
      <c r="D24" s="10" t="s">
        <v>4</v>
      </c>
      <c r="E24" s="39" t="s">
        <v>25</v>
      </c>
      <c r="F24" s="39" t="s">
        <v>5</v>
      </c>
      <c r="G24" s="39"/>
      <c r="H24" s="39" t="s">
        <v>6</v>
      </c>
      <c r="I24" s="39"/>
      <c r="J24" s="38" t="s">
        <v>26</v>
      </c>
      <c r="K24" s="38"/>
      <c r="L24" s="38" t="s">
        <v>27</v>
      </c>
      <c r="M24" s="38"/>
      <c r="N24" s="38"/>
    </row>
    <row r="25" spans="1:14" x14ac:dyDescent="0.2">
      <c r="B25" s="38"/>
      <c r="C25" s="38"/>
      <c r="D25" s="10" t="s">
        <v>64</v>
      </c>
      <c r="E25" s="39"/>
      <c r="F25" s="11" t="s">
        <v>8</v>
      </c>
      <c r="G25" s="11" t="s">
        <v>9</v>
      </c>
      <c r="H25" s="11" t="s">
        <v>8</v>
      </c>
      <c r="I25" s="11" t="s">
        <v>9</v>
      </c>
      <c r="J25" s="9" t="s">
        <v>29</v>
      </c>
      <c r="K25" s="9" t="s">
        <v>30</v>
      </c>
      <c r="L25" s="9" t="s">
        <v>31</v>
      </c>
      <c r="M25" s="9" t="s">
        <v>32</v>
      </c>
      <c r="N25" s="9" t="s">
        <v>33</v>
      </c>
    </row>
    <row r="26" spans="1:14" x14ac:dyDescent="0.2">
      <c r="A26" t="s">
        <v>65</v>
      </c>
      <c r="B26" s="9" t="s">
        <v>10</v>
      </c>
      <c r="C26" s="10">
        <v>1</v>
      </c>
      <c r="D26" s="10" t="s">
        <v>11</v>
      </c>
      <c r="E26" s="12">
        <v>206732</v>
      </c>
      <c r="F26" s="12">
        <v>206264</v>
      </c>
      <c r="G26" s="13">
        <v>0.99770000000000003</v>
      </c>
      <c r="H26" s="12">
        <f>E26-F26</f>
        <v>468</v>
      </c>
      <c r="I26" s="13">
        <f>1-G26</f>
        <v>2.2999999999999687E-3</v>
      </c>
      <c r="J26" s="12">
        <v>54737</v>
      </c>
      <c r="K26" s="12">
        <v>20388</v>
      </c>
      <c r="L26" s="12">
        <v>20247</v>
      </c>
      <c r="M26" s="12">
        <v>14102</v>
      </c>
      <c r="N26" s="17">
        <v>25.764030999999999</v>
      </c>
    </row>
    <row r="27" spans="1:14" x14ac:dyDescent="0.2">
      <c r="B27" s="9" t="s">
        <v>12</v>
      </c>
      <c r="C27" s="10">
        <v>2</v>
      </c>
      <c r="D27" s="10" t="s">
        <v>13</v>
      </c>
      <c r="E27" s="12">
        <v>355996</v>
      </c>
      <c r="F27" s="12">
        <v>355216</v>
      </c>
      <c r="G27" s="13">
        <v>0.99780000000000002</v>
      </c>
      <c r="H27" s="12">
        <f t="shared" ref="H27:H42" si="1">E27-F27</f>
        <v>780</v>
      </c>
      <c r="I27" s="13">
        <f t="shared" ref="I27:I42" si="2">1-G27</f>
        <v>2.1999999999999797E-3</v>
      </c>
      <c r="J27" s="12">
        <v>93241</v>
      </c>
      <c r="K27" s="12">
        <v>30802</v>
      </c>
      <c r="L27" s="12">
        <v>38065</v>
      </c>
      <c r="M27" s="12">
        <v>24374</v>
      </c>
      <c r="N27" s="17">
        <v>26.136997000000001</v>
      </c>
    </row>
    <row r="28" spans="1:14" x14ac:dyDescent="0.2">
      <c r="B28" s="9" t="s">
        <v>37</v>
      </c>
      <c r="C28" s="10">
        <v>3</v>
      </c>
      <c r="D28" s="10" t="s">
        <v>14</v>
      </c>
      <c r="E28" s="12">
        <v>808403</v>
      </c>
      <c r="F28" s="12">
        <v>807274</v>
      </c>
      <c r="G28" s="13">
        <v>0.99860000000000004</v>
      </c>
      <c r="H28" s="12">
        <f t="shared" si="1"/>
        <v>1129</v>
      </c>
      <c r="I28" s="13">
        <f t="shared" si="2"/>
        <v>1.3999999999999568E-3</v>
      </c>
      <c r="J28" s="12">
        <v>190563</v>
      </c>
      <c r="K28" s="12">
        <v>38915</v>
      </c>
      <c r="L28" s="12">
        <v>99827</v>
      </c>
      <c r="M28" s="12">
        <v>51821</v>
      </c>
      <c r="N28" s="17">
        <v>27.196985000000002</v>
      </c>
    </row>
    <row r="29" spans="1:14" x14ac:dyDescent="0.2">
      <c r="B29" s="16"/>
      <c r="C29" s="10">
        <v>4</v>
      </c>
      <c r="D29" s="10" t="s">
        <v>15</v>
      </c>
      <c r="E29" s="12">
        <v>400901</v>
      </c>
      <c r="F29" s="12">
        <v>400078</v>
      </c>
      <c r="G29" s="13">
        <v>0.99790000000000001</v>
      </c>
      <c r="H29" s="12">
        <f t="shared" si="1"/>
        <v>823</v>
      </c>
      <c r="I29" s="13">
        <f t="shared" si="2"/>
        <v>2.0999999999999908E-3</v>
      </c>
      <c r="J29" s="12">
        <v>104281</v>
      </c>
      <c r="K29" s="12">
        <v>33253</v>
      </c>
      <c r="L29" s="12">
        <v>43477</v>
      </c>
      <c r="M29" s="12">
        <v>27551</v>
      </c>
      <c r="N29" s="17">
        <v>26.420950999999999</v>
      </c>
    </row>
    <row r="30" spans="1:14" x14ac:dyDescent="0.2">
      <c r="B30" s="9" t="s">
        <v>10</v>
      </c>
      <c r="C30" s="10">
        <v>1</v>
      </c>
      <c r="D30" s="10" t="s">
        <v>17</v>
      </c>
      <c r="E30" s="12">
        <v>105230</v>
      </c>
      <c r="F30" s="12">
        <v>102711</v>
      </c>
      <c r="G30" s="13">
        <v>0.97609999999999997</v>
      </c>
      <c r="H30" s="12">
        <f t="shared" si="1"/>
        <v>2519</v>
      </c>
      <c r="I30" s="13">
        <f t="shared" si="2"/>
        <v>2.3900000000000032E-2</v>
      </c>
      <c r="J30" s="12">
        <v>24874</v>
      </c>
      <c r="K30" s="12">
        <v>22495</v>
      </c>
      <c r="L30" s="12">
        <v>1262</v>
      </c>
      <c r="M30" s="12">
        <v>1117</v>
      </c>
      <c r="N30" s="17">
        <v>4.4906259999999998</v>
      </c>
    </row>
    <row r="31" spans="1:14" x14ac:dyDescent="0.2">
      <c r="B31" s="9" t="s">
        <v>18</v>
      </c>
      <c r="C31" s="10">
        <v>2</v>
      </c>
      <c r="D31" s="10" t="s">
        <v>19</v>
      </c>
      <c r="E31" s="12">
        <v>185124</v>
      </c>
      <c r="F31" s="12">
        <v>180430</v>
      </c>
      <c r="G31" s="13">
        <v>0.97460000000000002</v>
      </c>
      <c r="H31" s="12">
        <f t="shared" si="1"/>
        <v>4694</v>
      </c>
      <c r="I31" s="13">
        <f t="shared" si="2"/>
        <v>2.5399999999999978E-2</v>
      </c>
      <c r="J31" s="12">
        <v>43493</v>
      </c>
      <c r="K31" s="12">
        <v>38906</v>
      </c>
      <c r="L31" s="12">
        <v>2464</v>
      </c>
      <c r="M31" s="12">
        <v>2123</v>
      </c>
      <c r="N31" s="17">
        <v>4.8812009999999999</v>
      </c>
    </row>
    <row r="32" spans="1:14" x14ac:dyDescent="0.2">
      <c r="B32" s="9" t="s">
        <v>42</v>
      </c>
      <c r="C32" s="10">
        <v>3</v>
      </c>
      <c r="D32" s="10" t="s">
        <v>20</v>
      </c>
      <c r="E32" s="12">
        <v>368692</v>
      </c>
      <c r="F32" s="12">
        <v>362112</v>
      </c>
      <c r="G32" s="13">
        <v>0.98219999999999996</v>
      </c>
      <c r="H32" s="12">
        <f t="shared" si="1"/>
        <v>6580</v>
      </c>
      <c r="I32" s="13">
        <f t="shared" si="2"/>
        <v>1.7800000000000038E-2</v>
      </c>
      <c r="J32" s="12">
        <v>75661</v>
      </c>
      <c r="K32" s="12">
        <v>68266</v>
      </c>
      <c r="L32" s="12">
        <v>4058</v>
      </c>
      <c r="M32" s="12">
        <v>3337</v>
      </c>
      <c r="N32" s="17">
        <v>4.4105160000000003</v>
      </c>
    </row>
    <row r="33" spans="2:14" x14ac:dyDescent="0.2">
      <c r="B33" s="16"/>
      <c r="C33" s="10">
        <v>4</v>
      </c>
      <c r="D33" s="10" t="s">
        <v>21</v>
      </c>
      <c r="E33" s="12">
        <v>192345</v>
      </c>
      <c r="F33" s="12">
        <v>187680</v>
      </c>
      <c r="G33" s="13">
        <v>0.97570000000000001</v>
      </c>
      <c r="H33" s="12">
        <f t="shared" si="1"/>
        <v>4665</v>
      </c>
      <c r="I33" s="13">
        <f t="shared" si="2"/>
        <v>2.4299999999999988E-2</v>
      </c>
      <c r="J33" s="12">
        <v>44984</v>
      </c>
      <c r="K33" s="12">
        <v>40340</v>
      </c>
      <c r="L33" s="12">
        <v>2551</v>
      </c>
      <c r="M33" s="12">
        <v>2093</v>
      </c>
      <c r="N33" s="17">
        <v>4.652755</v>
      </c>
    </row>
    <row r="34" spans="2:14" x14ac:dyDescent="0.2">
      <c r="B34" s="9" t="s">
        <v>45</v>
      </c>
      <c r="C34" s="10" t="s">
        <v>46</v>
      </c>
      <c r="D34" s="10" t="s">
        <v>66</v>
      </c>
      <c r="E34" s="12">
        <v>43805</v>
      </c>
      <c r="F34" s="12">
        <v>33727</v>
      </c>
      <c r="G34" s="13">
        <v>0.76990000000000003</v>
      </c>
      <c r="H34" s="12">
        <f t="shared" si="1"/>
        <v>10078</v>
      </c>
      <c r="I34" s="13">
        <f t="shared" si="2"/>
        <v>0.23009999999999997</v>
      </c>
      <c r="J34" s="12">
        <v>16991</v>
      </c>
      <c r="K34" s="12">
        <v>7675</v>
      </c>
      <c r="L34" s="12">
        <v>2752</v>
      </c>
      <c r="M34" s="12">
        <v>6564</v>
      </c>
      <c r="N34" s="17">
        <v>38.631779999999999</v>
      </c>
    </row>
    <row r="35" spans="2:14" x14ac:dyDescent="0.2">
      <c r="B35" s="9" t="s">
        <v>18</v>
      </c>
      <c r="C35" s="10" t="s">
        <v>48</v>
      </c>
      <c r="D35" s="10" t="s">
        <v>67</v>
      </c>
      <c r="E35" s="12">
        <v>58099</v>
      </c>
      <c r="F35" s="12">
        <v>48395</v>
      </c>
      <c r="G35" s="13">
        <v>0.83299999999999996</v>
      </c>
      <c r="H35" s="12">
        <f>E35-F35</f>
        <v>9704</v>
      </c>
      <c r="I35" s="13">
        <f>1-G35</f>
        <v>0.16700000000000004</v>
      </c>
      <c r="J35" s="12">
        <v>19617</v>
      </c>
      <c r="K35" s="12">
        <v>10572</v>
      </c>
      <c r="L35" s="12">
        <v>2614</v>
      </c>
      <c r="M35" s="12">
        <v>6431</v>
      </c>
      <c r="N35" s="17">
        <v>32.783054</v>
      </c>
    </row>
    <row r="36" spans="2:14" x14ac:dyDescent="0.2">
      <c r="B36" s="9" t="s">
        <v>50</v>
      </c>
      <c r="C36" s="10" t="s">
        <v>51</v>
      </c>
      <c r="D36" s="10" t="s">
        <v>68</v>
      </c>
      <c r="E36" s="12">
        <v>401357</v>
      </c>
      <c r="F36" s="12">
        <v>391636</v>
      </c>
      <c r="G36" s="13">
        <v>0.9758</v>
      </c>
      <c r="H36" s="12">
        <f>E36-F36</f>
        <v>9721</v>
      </c>
      <c r="I36" s="13">
        <f>1-G36</f>
        <v>2.4199999999999999E-2</v>
      </c>
      <c r="J36" s="12">
        <v>86893</v>
      </c>
      <c r="K36" s="12">
        <v>61374</v>
      </c>
      <c r="L36" s="12">
        <v>2305</v>
      </c>
      <c r="M36" s="12">
        <v>23214</v>
      </c>
      <c r="N36" s="17">
        <v>26.715738999999999</v>
      </c>
    </row>
    <row r="37" spans="2:14" x14ac:dyDescent="0.2">
      <c r="B37" s="16"/>
      <c r="C37" s="10" t="s">
        <v>53</v>
      </c>
      <c r="D37" s="10" t="s">
        <v>69</v>
      </c>
      <c r="E37" s="12">
        <v>119906</v>
      </c>
      <c r="F37" s="12">
        <v>104812</v>
      </c>
      <c r="G37" s="13">
        <v>0.87409999999999999</v>
      </c>
      <c r="H37" s="12">
        <f t="shared" si="1"/>
        <v>15094</v>
      </c>
      <c r="I37" s="13">
        <f t="shared" si="2"/>
        <v>0.12590000000000001</v>
      </c>
      <c r="J37" s="12">
        <v>37651</v>
      </c>
      <c r="K37" s="12">
        <v>24697</v>
      </c>
      <c r="L37" s="12">
        <v>4533</v>
      </c>
      <c r="M37" s="12">
        <v>8421</v>
      </c>
      <c r="N37" s="17">
        <v>22.366026999999999</v>
      </c>
    </row>
    <row r="38" spans="2:14" x14ac:dyDescent="0.2">
      <c r="B38" s="16"/>
      <c r="C38" s="10" t="s">
        <v>55</v>
      </c>
      <c r="D38" s="10" t="s">
        <v>70</v>
      </c>
      <c r="E38" s="12">
        <v>104323</v>
      </c>
      <c r="F38" s="12">
        <v>93817</v>
      </c>
      <c r="G38" s="13">
        <v>0.89929999999999999</v>
      </c>
      <c r="H38" s="12">
        <f>E38-F38</f>
        <v>10506</v>
      </c>
      <c r="I38" s="13">
        <f>1-G38</f>
        <v>0.10070000000000001</v>
      </c>
      <c r="J38" s="12">
        <v>30664</v>
      </c>
      <c r="K38" s="12">
        <v>21695</v>
      </c>
      <c r="L38" s="12">
        <v>3113</v>
      </c>
      <c r="M38" s="12">
        <v>5856</v>
      </c>
      <c r="N38" s="17">
        <v>19.097117000000001</v>
      </c>
    </row>
    <row r="39" spans="2:14" x14ac:dyDescent="0.2">
      <c r="B39" s="16"/>
      <c r="C39" s="10" t="s">
        <v>57</v>
      </c>
      <c r="D39" s="10" t="s">
        <v>71</v>
      </c>
      <c r="E39" s="12">
        <v>364513</v>
      </c>
      <c r="F39" s="12">
        <v>358790</v>
      </c>
      <c r="G39" s="13">
        <v>0.98429999999999995</v>
      </c>
      <c r="H39" s="12">
        <f>E39-F39</f>
        <v>5723</v>
      </c>
      <c r="I39" s="13">
        <f>1-G39</f>
        <v>1.5700000000000047E-2</v>
      </c>
      <c r="J39" s="12">
        <v>81322</v>
      </c>
      <c r="K39" s="12">
        <v>66413</v>
      </c>
      <c r="L39" s="12">
        <v>1903</v>
      </c>
      <c r="M39" s="12">
        <v>13006</v>
      </c>
      <c r="N39" s="17">
        <v>15.993275000000001</v>
      </c>
    </row>
    <row r="40" spans="2:14" x14ac:dyDescent="0.2">
      <c r="B40" s="16"/>
      <c r="C40" s="10" t="s">
        <v>58</v>
      </c>
      <c r="D40" s="10" t="s">
        <v>72</v>
      </c>
      <c r="E40" s="12">
        <v>125498</v>
      </c>
      <c r="F40" s="12">
        <v>93183</v>
      </c>
      <c r="G40" s="13">
        <v>0.74250000000000005</v>
      </c>
      <c r="H40" s="12">
        <f t="shared" si="1"/>
        <v>32315</v>
      </c>
      <c r="I40" s="13">
        <f t="shared" si="2"/>
        <v>0.25749999999999995</v>
      </c>
      <c r="J40" s="12">
        <v>51453</v>
      </c>
      <c r="K40" s="12">
        <v>18914</v>
      </c>
      <c r="L40" s="12">
        <v>16277</v>
      </c>
      <c r="M40" s="12">
        <v>16262</v>
      </c>
      <c r="N40" s="17">
        <v>31.60596</v>
      </c>
    </row>
    <row r="41" spans="2:14" x14ac:dyDescent="0.2">
      <c r="B41" s="16"/>
      <c r="C41" s="10" t="s">
        <v>60</v>
      </c>
      <c r="D41" s="10" t="s">
        <v>73</v>
      </c>
      <c r="E41" s="12">
        <v>72366</v>
      </c>
      <c r="F41" s="12">
        <v>55783</v>
      </c>
      <c r="G41" s="13">
        <v>0.77080000000000004</v>
      </c>
      <c r="H41" s="12">
        <f t="shared" si="1"/>
        <v>16583</v>
      </c>
      <c r="I41" s="13">
        <f t="shared" si="2"/>
        <v>0.22919999999999996</v>
      </c>
      <c r="J41" s="12">
        <v>28191</v>
      </c>
      <c r="K41" s="12">
        <v>11417</v>
      </c>
      <c r="L41" s="12">
        <v>8373</v>
      </c>
      <c r="M41" s="12">
        <v>8401</v>
      </c>
      <c r="N41" s="17">
        <v>29.800135999999998</v>
      </c>
    </row>
    <row r="42" spans="2:14" x14ac:dyDescent="0.2">
      <c r="B42" s="16"/>
      <c r="C42" s="10" t="s">
        <v>62</v>
      </c>
      <c r="D42" s="10" t="s">
        <v>74</v>
      </c>
      <c r="E42" s="12">
        <v>595575</v>
      </c>
      <c r="F42" s="12">
        <v>575290</v>
      </c>
      <c r="G42" s="13">
        <v>0.96589999999999998</v>
      </c>
      <c r="H42" s="12">
        <f t="shared" si="1"/>
        <v>20285</v>
      </c>
      <c r="I42" s="13">
        <f t="shared" si="2"/>
        <v>3.4100000000000019E-2</v>
      </c>
      <c r="J42" s="12">
        <v>143043</v>
      </c>
      <c r="K42" s="12">
        <v>107786</v>
      </c>
      <c r="L42" s="12">
        <v>10353</v>
      </c>
      <c r="M42" s="12">
        <v>24904</v>
      </c>
      <c r="N42" s="17">
        <v>17.410104</v>
      </c>
    </row>
    <row r="45" spans="2:14" x14ac:dyDescent="0.2">
      <c r="D45" s="10"/>
    </row>
  </sheetData>
  <mergeCells count="23">
    <mergeCell ref="L24:N24"/>
    <mergeCell ref="L4:N4"/>
    <mergeCell ref="D23:E23"/>
    <mergeCell ref="F23:I23"/>
    <mergeCell ref="J23:N23"/>
    <mergeCell ref="J24:K24"/>
    <mergeCell ref="J4:K4"/>
    <mergeCell ref="B24:B25"/>
    <mergeCell ref="C24:C25"/>
    <mergeCell ref="E24:E25"/>
    <mergeCell ref="F24:G24"/>
    <mergeCell ref="H24:I24"/>
    <mergeCell ref="B4:B5"/>
    <mergeCell ref="C4:C5"/>
    <mergeCell ref="E4:E5"/>
    <mergeCell ref="F4:G4"/>
    <mergeCell ref="H4:I4"/>
    <mergeCell ref="D2:E2"/>
    <mergeCell ref="F2:I2"/>
    <mergeCell ref="J2:N2"/>
    <mergeCell ref="D3:E3"/>
    <mergeCell ref="F3:I3"/>
    <mergeCell ref="J3:N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2AABB-AA05-C44F-B3ED-56AB46ED992B}">
  <dimension ref="A1:X5398"/>
  <sheetViews>
    <sheetView workbookViewId="0">
      <selection activeCell="G30" sqref="G30"/>
    </sheetView>
  </sheetViews>
  <sheetFormatPr baseColWidth="10" defaultColWidth="11" defaultRowHeight="16" x14ac:dyDescent="0.2"/>
  <sheetData>
    <row r="1" spans="1:24" x14ac:dyDescent="0.2">
      <c r="C1" t="s">
        <v>3251</v>
      </c>
      <c r="D1" t="s">
        <v>3252</v>
      </c>
      <c r="E1" t="s">
        <v>3253</v>
      </c>
      <c r="F1" t="s">
        <v>3254</v>
      </c>
      <c r="G1" t="s">
        <v>3255</v>
      </c>
      <c r="H1" t="s">
        <v>3256</v>
      </c>
      <c r="I1" t="s">
        <v>3257</v>
      </c>
      <c r="J1" t="s">
        <v>3258</v>
      </c>
      <c r="K1" t="s">
        <v>3259</v>
      </c>
    </row>
    <row r="2" spans="1:24" x14ac:dyDescent="0.2">
      <c r="A2" t="s">
        <v>3260</v>
      </c>
      <c r="B2" t="s">
        <v>3261</v>
      </c>
      <c r="C2" t="s">
        <v>3262</v>
      </c>
      <c r="D2" t="s">
        <v>3263</v>
      </c>
      <c r="E2" t="s">
        <v>3264</v>
      </c>
      <c r="F2" t="s">
        <v>3265</v>
      </c>
      <c r="G2" t="s">
        <v>3266</v>
      </c>
      <c r="H2" t="s">
        <v>3267</v>
      </c>
      <c r="I2" t="s">
        <v>3268</v>
      </c>
      <c r="J2" t="s">
        <v>3269</v>
      </c>
      <c r="K2" t="s">
        <v>3270</v>
      </c>
    </row>
    <row r="3" spans="1:24" x14ac:dyDescent="0.2">
      <c r="A3" t="s">
        <v>3271</v>
      </c>
      <c r="B3" t="s">
        <v>29</v>
      </c>
      <c r="C3">
        <v>16991</v>
      </c>
      <c r="D3">
        <v>19617</v>
      </c>
      <c r="E3">
        <v>86893</v>
      </c>
      <c r="F3">
        <v>37651</v>
      </c>
      <c r="G3">
        <v>30664</v>
      </c>
      <c r="H3">
        <v>81322</v>
      </c>
      <c r="I3">
        <v>51453</v>
      </c>
      <c r="J3">
        <v>28191</v>
      </c>
      <c r="K3">
        <v>143043</v>
      </c>
    </row>
    <row r="4" spans="1:24" x14ac:dyDescent="0.2">
      <c r="A4" t="s">
        <v>3271</v>
      </c>
      <c r="B4" t="s">
        <v>3272</v>
      </c>
      <c r="C4">
        <v>2752</v>
      </c>
      <c r="D4">
        <v>2614</v>
      </c>
      <c r="E4">
        <v>2305</v>
      </c>
      <c r="F4">
        <v>4533</v>
      </c>
      <c r="G4">
        <v>3113</v>
      </c>
      <c r="H4">
        <v>1903</v>
      </c>
      <c r="I4">
        <v>16277</v>
      </c>
      <c r="J4">
        <v>8373</v>
      </c>
      <c r="K4">
        <v>10353</v>
      </c>
    </row>
    <row r="5" spans="1:24" x14ac:dyDescent="0.2">
      <c r="A5" t="s">
        <v>3271</v>
      </c>
      <c r="B5" t="s">
        <v>3273</v>
      </c>
      <c r="C5">
        <v>7675</v>
      </c>
      <c r="D5">
        <v>10572</v>
      </c>
      <c r="E5">
        <v>61374</v>
      </c>
      <c r="F5">
        <v>24697</v>
      </c>
      <c r="G5">
        <v>21695</v>
      </c>
      <c r="H5">
        <v>66413</v>
      </c>
      <c r="I5">
        <v>18914</v>
      </c>
      <c r="J5">
        <v>11417</v>
      </c>
      <c r="K5">
        <v>107786</v>
      </c>
    </row>
    <row r="6" spans="1:24" x14ac:dyDescent="0.2">
      <c r="A6" t="s">
        <v>3271</v>
      </c>
      <c r="B6" t="s">
        <v>3274</v>
      </c>
      <c r="C6">
        <v>14239</v>
      </c>
      <c r="D6">
        <v>17003</v>
      </c>
      <c r="E6">
        <v>84588</v>
      </c>
      <c r="F6">
        <v>33118</v>
      </c>
      <c r="G6">
        <v>27551</v>
      </c>
      <c r="H6">
        <v>79419</v>
      </c>
      <c r="I6">
        <v>35176</v>
      </c>
      <c r="J6">
        <v>19818</v>
      </c>
      <c r="K6">
        <v>132690</v>
      </c>
    </row>
    <row r="8" spans="1:24" x14ac:dyDescent="0.2">
      <c r="A8" t="s">
        <v>3260</v>
      </c>
      <c r="B8" t="s">
        <v>3261</v>
      </c>
      <c r="C8" t="s">
        <v>3262</v>
      </c>
      <c r="D8" t="s">
        <v>3263</v>
      </c>
      <c r="E8" t="s">
        <v>3264</v>
      </c>
      <c r="F8" t="s">
        <v>3265</v>
      </c>
      <c r="G8" t="s">
        <v>3266</v>
      </c>
      <c r="H8" t="s">
        <v>3267</v>
      </c>
      <c r="I8" t="s">
        <v>3268</v>
      </c>
      <c r="J8" t="s">
        <v>3269</v>
      </c>
      <c r="K8" t="s">
        <v>3270</v>
      </c>
      <c r="L8" t="s">
        <v>3275</v>
      </c>
      <c r="M8" t="s">
        <v>3276</v>
      </c>
      <c r="N8" t="s">
        <v>3277</v>
      </c>
      <c r="O8" t="s">
        <v>3278</v>
      </c>
      <c r="P8" t="s">
        <v>3279</v>
      </c>
      <c r="Q8" t="s">
        <v>3280</v>
      </c>
      <c r="R8" t="s">
        <v>3281</v>
      </c>
      <c r="V8" t="s">
        <v>3282</v>
      </c>
    </row>
    <row r="9" spans="1:24" x14ac:dyDescent="0.2">
      <c r="A9">
        <v>3394234</v>
      </c>
      <c r="B9" t="s">
        <v>3283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3</v>
      </c>
      <c r="J9">
        <v>2</v>
      </c>
      <c r="K9">
        <v>0</v>
      </c>
      <c r="L9" t="s">
        <v>3284</v>
      </c>
      <c r="M9" t="s">
        <v>3285</v>
      </c>
      <c r="N9" t="s">
        <v>3286</v>
      </c>
      <c r="O9" t="s">
        <v>3287</v>
      </c>
      <c r="P9" t="s">
        <v>3288</v>
      </c>
      <c r="Q9" t="s">
        <v>3289</v>
      </c>
      <c r="R9" t="s">
        <v>3290</v>
      </c>
      <c r="U9" t="s">
        <v>3291</v>
      </c>
      <c r="V9" s="27" t="s">
        <v>3292</v>
      </c>
      <c r="W9" s="27" t="s">
        <v>3293</v>
      </c>
      <c r="X9" s="27" t="s">
        <v>3294</v>
      </c>
    </row>
    <row r="10" spans="1:24" x14ac:dyDescent="0.2">
      <c r="A10">
        <v>3386551</v>
      </c>
      <c r="B10" t="s">
        <v>3295</v>
      </c>
      <c r="C10">
        <v>0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3284</v>
      </c>
      <c r="M10" t="s">
        <v>3296</v>
      </c>
      <c r="N10" t="s">
        <v>3297</v>
      </c>
      <c r="O10" t="s">
        <v>3298</v>
      </c>
      <c r="P10" t="s">
        <v>3299</v>
      </c>
      <c r="Q10" t="s">
        <v>3300</v>
      </c>
      <c r="R10" t="s">
        <v>3301</v>
      </c>
      <c r="U10" s="28" t="s">
        <v>3265</v>
      </c>
      <c r="V10" s="28">
        <v>0.1555647</v>
      </c>
      <c r="W10" s="28">
        <v>-0.39056786999999998</v>
      </c>
      <c r="X10" s="28" t="s">
        <v>3302</v>
      </c>
    </row>
    <row r="11" spans="1:24" x14ac:dyDescent="0.2">
      <c r="A11">
        <v>3386277</v>
      </c>
      <c r="B11" t="s">
        <v>3303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3</v>
      </c>
      <c r="K11">
        <v>0</v>
      </c>
      <c r="L11" t="s">
        <v>3284</v>
      </c>
      <c r="M11" t="s">
        <v>3285</v>
      </c>
      <c r="N11" t="s">
        <v>3286</v>
      </c>
      <c r="O11" t="s">
        <v>3287</v>
      </c>
      <c r="P11" t="s">
        <v>3288</v>
      </c>
      <c r="Q11" t="s">
        <v>3304</v>
      </c>
      <c r="R11" t="s">
        <v>3305</v>
      </c>
      <c r="U11" s="28" t="s">
        <v>3266</v>
      </c>
      <c r="V11" s="28">
        <v>0.16495499999999999</v>
      </c>
      <c r="W11" s="28">
        <v>-0.38434369000000002</v>
      </c>
      <c r="X11" s="28" t="s">
        <v>3302</v>
      </c>
    </row>
    <row r="12" spans="1:24" x14ac:dyDescent="0.2">
      <c r="A12">
        <v>3383502</v>
      </c>
      <c r="B12" t="s">
        <v>3306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 t="s">
        <v>3284</v>
      </c>
      <c r="M12" t="s">
        <v>3307</v>
      </c>
      <c r="N12" t="s">
        <v>3308</v>
      </c>
      <c r="O12" t="s">
        <v>3309</v>
      </c>
      <c r="P12" t="s">
        <v>3310</v>
      </c>
      <c r="Q12" t="s">
        <v>3311</v>
      </c>
      <c r="R12" t="s">
        <v>3312</v>
      </c>
      <c r="U12" s="28" t="s">
        <v>3267</v>
      </c>
      <c r="V12" s="28">
        <v>0.5212987</v>
      </c>
      <c r="W12" s="28">
        <v>-0.11559865</v>
      </c>
      <c r="X12" s="28" t="s">
        <v>3302</v>
      </c>
    </row>
    <row r="13" spans="1:24" x14ac:dyDescent="0.2">
      <c r="A13">
        <v>3383025</v>
      </c>
      <c r="B13" t="s">
        <v>3313</v>
      </c>
      <c r="C13">
        <v>0</v>
      </c>
      <c r="D13">
        <v>1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3284</v>
      </c>
      <c r="M13" t="s">
        <v>3285</v>
      </c>
      <c r="N13" t="s">
        <v>3314</v>
      </c>
      <c r="O13" t="s">
        <v>3315</v>
      </c>
      <c r="P13" t="s">
        <v>3316</v>
      </c>
      <c r="Q13" t="s">
        <v>3317</v>
      </c>
      <c r="R13" t="s">
        <v>3318</v>
      </c>
      <c r="U13" s="28" t="s">
        <v>3262</v>
      </c>
      <c r="V13" s="28">
        <v>-0.44882729999999998</v>
      </c>
      <c r="W13" s="28">
        <v>-4.2142930000000002E-2</v>
      </c>
      <c r="X13" s="28" t="s">
        <v>3319</v>
      </c>
    </row>
    <row r="14" spans="1:24" x14ac:dyDescent="0.2">
      <c r="A14">
        <v>3382643</v>
      </c>
      <c r="B14" t="s">
        <v>3320</v>
      </c>
      <c r="C14">
        <v>0</v>
      </c>
      <c r="D14">
        <v>0</v>
      </c>
      <c r="E14">
        <v>0</v>
      </c>
      <c r="F14">
        <v>0</v>
      </c>
      <c r="G14">
        <v>2</v>
      </c>
      <c r="H14">
        <v>0</v>
      </c>
      <c r="I14">
        <v>0</v>
      </c>
      <c r="J14">
        <v>0</v>
      </c>
      <c r="K14">
        <v>0</v>
      </c>
      <c r="L14" t="s">
        <v>3284</v>
      </c>
      <c r="M14" t="s">
        <v>3296</v>
      </c>
      <c r="N14" t="s">
        <v>3321</v>
      </c>
      <c r="O14" t="s">
        <v>3322</v>
      </c>
      <c r="P14" t="s">
        <v>3323</v>
      </c>
      <c r="Q14" t="s">
        <v>3324</v>
      </c>
      <c r="R14" t="s">
        <v>3325</v>
      </c>
      <c r="U14" s="28" t="s">
        <v>3263</v>
      </c>
      <c r="V14" s="28">
        <v>-0.44882680000000003</v>
      </c>
      <c r="W14" s="28">
        <v>-4.2143189999999997E-2</v>
      </c>
      <c r="X14" s="28" t="s">
        <v>3319</v>
      </c>
    </row>
    <row r="15" spans="1:24" x14ac:dyDescent="0.2">
      <c r="A15">
        <v>3381663</v>
      </c>
      <c r="B15" t="s">
        <v>3326</v>
      </c>
      <c r="C15">
        <v>2</v>
      </c>
      <c r="D15">
        <v>2</v>
      </c>
      <c r="E15">
        <v>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3284</v>
      </c>
      <c r="M15" t="s">
        <v>3327</v>
      </c>
      <c r="N15" t="s">
        <v>3328</v>
      </c>
      <c r="O15" t="s">
        <v>3329</v>
      </c>
      <c r="P15" t="s">
        <v>3330</v>
      </c>
      <c r="Q15" t="s">
        <v>3331</v>
      </c>
      <c r="R15" t="s">
        <v>3332</v>
      </c>
      <c r="U15" s="28" t="s">
        <v>3264</v>
      </c>
      <c r="V15" s="28">
        <v>-0.35543279999999999</v>
      </c>
      <c r="W15" s="28">
        <v>-2.920969E-2</v>
      </c>
      <c r="X15" s="28" t="s">
        <v>3319</v>
      </c>
    </row>
    <row r="16" spans="1:24" x14ac:dyDescent="0.2">
      <c r="A16">
        <v>3381662</v>
      </c>
      <c r="B16" t="s">
        <v>3333</v>
      </c>
      <c r="C16">
        <v>10</v>
      </c>
      <c r="D16">
        <v>7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1</v>
      </c>
      <c r="L16" t="s">
        <v>3284</v>
      </c>
      <c r="M16" t="s">
        <v>3327</v>
      </c>
      <c r="N16" t="s">
        <v>3328</v>
      </c>
      <c r="O16" t="s">
        <v>3329</v>
      </c>
      <c r="P16" t="s">
        <v>3330</v>
      </c>
      <c r="Q16" t="s">
        <v>3331</v>
      </c>
      <c r="R16" t="s">
        <v>3334</v>
      </c>
      <c r="U16" s="28" t="s">
        <v>3268</v>
      </c>
      <c r="V16" s="28">
        <v>0.1300972</v>
      </c>
      <c r="W16" s="28">
        <v>0.36172725</v>
      </c>
      <c r="X16" s="28" t="s">
        <v>3335</v>
      </c>
    </row>
    <row r="17" spans="1:24" x14ac:dyDescent="0.2">
      <c r="A17">
        <v>3381661</v>
      </c>
      <c r="B17" t="s">
        <v>3336</v>
      </c>
      <c r="C17">
        <v>6</v>
      </c>
      <c r="D17">
        <v>7</v>
      </c>
      <c r="E17">
        <v>3</v>
      </c>
      <c r="F17">
        <v>0</v>
      </c>
      <c r="G17">
        <v>0</v>
      </c>
      <c r="H17">
        <v>0</v>
      </c>
      <c r="I17">
        <v>2</v>
      </c>
      <c r="J17">
        <v>0</v>
      </c>
      <c r="K17">
        <v>0</v>
      </c>
      <c r="L17" t="s">
        <v>3284</v>
      </c>
      <c r="M17" t="s">
        <v>3327</v>
      </c>
      <c r="N17" t="s">
        <v>3328</v>
      </c>
      <c r="O17" t="s">
        <v>3329</v>
      </c>
      <c r="P17" t="s">
        <v>3330</v>
      </c>
      <c r="Q17" t="s">
        <v>3331</v>
      </c>
      <c r="R17" t="s">
        <v>3337</v>
      </c>
      <c r="U17" s="28" t="s">
        <v>3269</v>
      </c>
      <c r="V17" s="28">
        <v>0.12673870000000001</v>
      </c>
      <c r="W17" s="28">
        <v>0.36257429000000002</v>
      </c>
      <c r="X17" s="28" t="s">
        <v>3335</v>
      </c>
    </row>
    <row r="18" spans="1:24" x14ac:dyDescent="0.2">
      <c r="A18">
        <v>3381348</v>
      </c>
      <c r="B18" t="s">
        <v>3338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 t="s">
        <v>3284</v>
      </c>
      <c r="M18" t="s">
        <v>3327</v>
      </c>
      <c r="N18" t="s">
        <v>3328</v>
      </c>
      <c r="O18" t="s">
        <v>3329</v>
      </c>
      <c r="P18" t="s">
        <v>3339</v>
      </c>
      <c r="Q18" t="s">
        <v>3340</v>
      </c>
      <c r="R18" t="s">
        <v>3341</v>
      </c>
      <c r="U18" s="28" t="s">
        <v>3270</v>
      </c>
      <c r="V18" s="28">
        <v>0.15443270000000001</v>
      </c>
      <c r="W18" s="28">
        <v>0.27970447999999998</v>
      </c>
      <c r="X18" s="28" t="s">
        <v>3335</v>
      </c>
    </row>
    <row r="19" spans="1:24" x14ac:dyDescent="0.2">
      <c r="A19">
        <v>3378085</v>
      </c>
      <c r="B19" t="s">
        <v>3342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 t="s">
        <v>3284</v>
      </c>
      <c r="M19" t="s">
        <v>3296</v>
      </c>
      <c r="N19" t="s">
        <v>3343</v>
      </c>
      <c r="O19" t="s">
        <v>3344</v>
      </c>
      <c r="P19" t="s">
        <v>3345</v>
      </c>
      <c r="Q19" t="s">
        <v>3346</v>
      </c>
      <c r="R19" t="s">
        <v>3347</v>
      </c>
    </row>
    <row r="20" spans="1:24" x14ac:dyDescent="0.2">
      <c r="A20">
        <v>3378084</v>
      </c>
      <c r="B20" t="s">
        <v>3348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3284</v>
      </c>
      <c r="M20" t="s">
        <v>3296</v>
      </c>
      <c r="N20" t="s">
        <v>3343</v>
      </c>
      <c r="O20" t="s">
        <v>3349</v>
      </c>
      <c r="P20" t="s">
        <v>3350</v>
      </c>
      <c r="Q20" t="s">
        <v>3351</v>
      </c>
      <c r="R20" t="s">
        <v>3352</v>
      </c>
      <c r="U20" s="28" t="s">
        <v>3353</v>
      </c>
    </row>
    <row r="21" spans="1:24" x14ac:dyDescent="0.2">
      <c r="A21">
        <v>3378083</v>
      </c>
      <c r="B21" t="s">
        <v>3354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3284</v>
      </c>
      <c r="M21" t="s">
        <v>3296</v>
      </c>
      <c r="N21" t="s">
        <v>3343</v>
      </c>
      <c r="O21" t="s">
        <v>3344</v>
      </c>
      <c r="P21" t="s">
        <v>3355</v>
      </c>
      <c r="Q21" t="s">
        <v>3356</v>
      </c>
      <c r="R21" t="s">
        <v>3357</v>
      </c>
    </row>
    <row r="22" spans="1:24" x14ac:dyDescent="0.2">
      <c r="A22">
        <v>3378080</v>
      </c>
      <c r="B22" t="s">
        <v>3358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3284</v>
      </c>
      <c r="M22" t="s">
        <v>3307</v>
      </c>
      <c r="N22" t="s">
        <v>3308</v>
      </c>
      <c r="O22" t="s">
        <v>3359</v>
      </c>
      <c r="P22" t="s">
        <v>3360</v>
      </c>
      <c r="Q22" t="s">
        <v>3361</v>
      </c>
      <c r="R22" t="s">
        <v>3362</v>
      </c>
    </row>
    <row r="23" spans="1:24" x14ac:dyDescent="0.2">
      <c r="A23">
        <v>3377835</v>
      </c>
      <c r="B23" t="s">
        <v>3363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 t="s">
        <v>3284</v>
      </c>
      <c r="M23" t="s">
        <v>3307</v>
      </c>
      <c r="N23" t="s">
        <v>3308</v>
      </c>
      <c r="O23" t="s">
        <v>3359</v>
      </c>
      <c r="P23" t="s">
        <v>3360</v>
      </c>
      <c r="Q23" t="s">
        <v>3364</v>
      </c>
      <c r="R23" t="s">
        <v>3365</v>
      </c>
    </row>
    <row r="24" spans="1:24" x14ac:dyDescent="0.2">
      <c r="A24">
        <v>3377035</v>
      </c>
      <c r="B24" t="s">
        <v>3366</v>
      </c>
      <c r="C24">
        <v>0</v>
      </c>
      <c r="D24">
        <v>0</v>
      </c>
      <c r="E24">
        <v>0</v>
      </c>
      <c r="F24">
        <v>1</v>
      </c>
      <c r="G24">
        <v>2</v>
      </c>
      <c r="H24">
        <v>0</v>
      </c>
      <c r="I24">
        <v>1</v>
      </c>
      <c r="J24">
        <v>1</v>
      </c>
      <c r="K24">
        <v>0</v>
      </c>
      <c r="L24" t="s">
        <v>3284</v>
      </c>
      <c r="M24" t="s">
        <v>3296</v>
      </c>
      <c r="N24" t="s">
        <v>3343</v>
      </c>
      <c r="O24" t="s">
        <v>3344</v>
      </c>
      <c r="P24" t="s">
        <v>3367</v>
      </c>
      <c r="Q24" t="s">
        <v>3368</v>
      </c>
      <c r="R24" t="s">
        <v>3369</v>
      </c>
    </row>
    <row r="25" spans="1:24" x14ac:dyDescent="0.2">
      <c r="A25">
        <v>3376063</v>
      </c>
      <c r="B25" t="s">
        <v>3370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 t="s">
        <v>3284</v>
      </c>
      <c r="M25" t="s">
        <v>3296</v>
      </c>
      <c r="N25" t="s">
        <v>3343</v>
      </c>
      <c r="O25" t="s">
        <v>3371</v>
      </c>
      <c r="P25" t="s">
        <v>3372</v>
      </c>
      <c r="Q25" t="s">
        <v>3373</v>
      </c>
      <c r="R25" t="s">
        <v>3374</v>
      </c>
    </row>
    <row r="26" spans="1:24" x14ac:dyDescent="0.2">
      <c r="A26">
        <v>3375707</v>
      </c>
      <c r="B26" t="s">
        <v>3375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6</v>
      </c>
      <c r="J26">
        <v>0</v>
      </c>
      <c r="K26">
        <v>1</v>
      </c>
      <c r="L26" t="s">
        <v>3284</v>
      </c>
      <c r="M26" t="s">
        <v>3327</v>
      </c>
      <c r="N26" t="s">
        <v>3376</v>
      </c>
      <c r="O26" t="s">
        <v>3377</v>
      </c>
      <c r="P26" t="s">
        <v>3378</v>
      </c>
      <c r="Q26" t="s">
        <v>3379</v>
      </c>
      <c r="R26" t="s">
        <v>3380</v>
      </c>
    </row>
    <row r="27" spans="1:24" x14ac:dyDescent="0.2">
      <c r="A27">
        <v>3375155</v>
      </c>
      <c r="B27" t="s">
        <v>3381</v>
      </c>
      <c r="C27">
        <v>0</v>
      </c>
      <c r="D27">
        <v>1</v>
      </c>
      <c r="E27">
        <v>0</v>
      </c>
      <c r="F27">
        <v>1</v>
      </c>
      <c r="G27">
        <v>0</v>
      </c>
      <c r="H27">
        <v>0</v>
      </c>
      <c r="I27">
        <v>2</v>
      </c>
      <c r="J27">
        <v>1</v>
      </c>
      <c r="K27">
        <v>2</v>
      </c>
      <c r="L27" t="s">
        <v>3284</v>
      </c>
      <c r="M27" t="s">
        <v>3307</v>
      </c>
      <c r="N27" t="s">
        <v>3308</v>
      </c>
      <c r="O27" t="s">
        <v>3382</v>
      </c>
      <c r="P27" t="s">
        <v>3383</v>
      </c>
      <c r="Q27" t="s">
        <v>3384</v>
      </c>
      <c r="R27" t="s">
        <v>3385</v>
      </c>
    </row>
    <row r="28" spans="1:24" x14ac:dyDescent="0.2">
      <c r="A28">
        <v>3374625</v>
      </c>
      <c r="B28" t="s">
        <v>3386</v>
      </c>
      <c r="C28">
        <v>0</v>
      </c>
      <c r="D28">
        <v>0</v>
      </c>
      <c r="E28">
        <v>0</v>
      </c>
      <c r="F28">
        <v>16</v>
      </c>
      <c r="G28">
        <v>24</v>
      </c>
      <c r="H28">
        <v>10</v>
      </c>
      <c r="I28">
        <v>4</v>
      </c>
      <c r="J28">
        <v>0</v>
      </c>
      <c r="K28">
        <v>0</v>
      </c>
      <c r="L28" t="s">
        <v>3284</v>
      </c>
      <c r="M28" t="s">
        <v>3296</v>
      </c>
      <c r="N28" t="s">
        <v>3343</v>
      </c>
      <c r="O28" t="s">
        <v>3344</v>
      </c>
      <c r="P28" t="s">
        <v>3387</v>
      </c>
      <c r="Q28" t="s">
        <v>3388</v>
      </c>
      <c r="R28" t="s">
        <v>3389</v>
      </c>
    </row>
    <row r="29" spans="1:24" x14ac:dyDescent="0.2">
      <c r="A29">
        <v>3374623</v>
      </c>
      <c r="B29" t="s">
        <v>3390</v>
      </c>
      <c r="C29">
        <v>2</v>
      </c>
      <c r="D29">
        <v>0</v>
      </c>
      <c r="E29">
        <v>0</v>
      </c>
      <c r="F29">
        <v>0</v>
      </c>
      <c r="G29">
        <v>0</v>
      </c>
      <c r="H29">
        <v>0</v>
      </c>
      <c r="I29">
        <v>2</v>
      </c>
      <c r="J29">
        <v>1</v>
      </c>
      <c r="K29">
        <v>0</v>
      </c>
      <c r="L29" t="s">
        <v>3284</v>
      </c>
      <c r="M29" t="s">
        <v>3391</v>
      </c>
      <c r="N29" t="s">
        <v>3392</v>
      </c>
      <c r="O29" t="s">
        <v>3393</v>
      </c>
      <c r="P29" t="s">
        <v>3394</v>
      </c>
      <c r="Q29" t="s">
        <v>3395</v>
      </c>
      <c r="R29" t="s">
        <v>3396</v>
      </c>
    </row>
    <row r="30" spans="1:24" x14ac:dyDescent="0.2">
      <c r="A30">
        <v>3374554</v>
      </c>
      <c r="B30" t="s">
        <v>3397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 t="s">
        <v>3284</v>
      </c>
      <c r="M30" t="s">
        <v>3296</v>
      </c>
      <c r="N30" t="s">
        <v>3321</v>
      </c>
      <c r="O30" t="s">
        <v>3322</v>
      </c>
      <c r="P30" t="s">
        <v>3398</v>
      </c>
      <c r="Q30" t="s">
        <v>3399</v>
      </c>
      <c r="R30" t="s">
        <v>3400</v>
      </c>
    </row>
    <row r="31" spans="1:24" x14ac:dyDescent="0.2">
      <c r="A31">
        <v>3374551</v>
      </c>
      <c r="B31" t="s">
        <v>3401</v>
      </c>
      <c r="C31">
        <v>0</v>
      </c>
      <c r="D31">
        <v>0</v>
      </c>
      <c r="E31">
        <v>0</v>
      </c>
      <c r="F31">
        <v>3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3284</v>
      </c>
      <c r="M31" t="s">
        <v>3296</v>
      </c>
      <c r="N31" t="s">
        <v>3343</v>
      </c>
      <c r="O31" t="s">
        <v>3402</v>
      </c>
      <c r="P31" t="s">
        <v>3403</v>
      </c>
      <c r="Q31" t="s">
        <v>3404</v>
      </c>
      <c r="R31" t="s">
        <v>3405</v>
      </c>
    </row>
    <row r="32" spans="1:24" x14ac:dyDescent="0.2">
      <c r="A32">
        <v>3374550</v>
      </c>
      <c r="B32" t="s">
        <v>3406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3284</v>
      </c>
      <c r="M32" t="s">
        <v>3307</v>
      </c>
      <c r="N32" t="s">
        <v>3308</v>
      </c>
      <c r="O32" t="s">
        <v>3359</v>
      </c>
      <c r="P32" t="s">
        <v>3407</v>
      </c>
      <c r="Q32" t="s">
        <v>3408</v>
      </c>
      <c r="R32" t="s">
        <v>3409</v>
      </c>
    </row>
    <row r="33" spans="1:18" x14ac:dyDescent="0.2">
      <c r="A33">
        <v>3374186</v>
      </c>
      <c r="B33" t="s">
        <v>3410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3284</v>
      </c>
      <c r="M33" t="s">
        <v>3391</v>
      </c>
      <c r="N33" t="s">
        <v>3411</v>
      </c>
      <c r="O33" t="s">
        <v>3412</v>
      </c>
      <c r="P33" t="s">
        <v>3413</v>
      </c>
      <c r="Q33" t="s">
        <v>3414</v>
      </c>
      <c r="R33" t="s">
        <v>3415</v>
      </c>
    </row>
    <row r="34" spans="1:18" x14ac:dyDescent="0.2">
      <c r="A34">
        <v>3374181</v>
      </c>
      <c r="B34" t="s">
        <v>3416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3284</v>
      </c>
      <c r="M34" t="s">
        <v>3391</v>
      </c>
      <c r="N34" t="s">
        <v>3411</v>
      </c>
      <c r="O34" t="s">
        <v>3412</v>
      </c>
      <c r="P34" t="s">
        <v>3413</v>
      </c>
      <c r="Q34" t="s">
        <v>3414</v>
      </c>
      <c r="R34" t="s">
        <v>3417</v>
      </c>
    </row>
    <row r="35" spans="1:18" x14ac:dyDescent="0.2">
      <c r="A35">
        <v>3374178</v>
      </c>
      <c r="B35" t="s">
        <v>3418</v>
      </c>
      <c r="C35">
        <v>0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 t="s">
        <v>3284</v>
      </c>
      <c r="M35" t="s">
        <v>3391</v>
      </c>
      <c r="N35" t="s">
        <v>3411</v>
      </c>
      <c r="O35" t="s">
        <v>3412</v>
      </c>
      <c r="P35" t="s">
        <v>3413</v>
      </c>
      <c r="Q35" t="s">
        <v>3414</v>
      </c>
      <c r="R35" t="s">
        <v>3419</v>
      </c>
    </row>
    <row r="36" spans="1:18" x14ac:dyDescent="0.2">
      <c r="A36">
        <v>3373132</v>
      </c>
      <c r="B36" t="s">
        <v>3420</v>
      </c>
      <c r="C36">
        <v>0</v>
      </c>
      <c r="D36">
        <v>0</v>
      </c>
      <c r="E36">
        <v>0</v>
      </c>
      <c r="F36">
        <v>0</v>
      </c>
      <c r="G36">
        <v>2</v>
      </c>
      <c r="H36">
        <v>1</v>
      </c>
      <c r="I36">
        <v>0</v>
      </c>
      <c r="J36">
        <v>0</v>
      </c>
      <c r="K36">
        <v>0</v>
      </c>
      <c r="L36" t="s">
        <v>3284</v>
      </c>
      <c r="M36" t="s">
        <v>3296</v>
      </c>
      <c r="N36" t="s">
        <v>3321</v>
      </c>
      <c r="O36" t="s">
        <v>3322</v>
      </c>
      <c r="P36" t="s">
        <v>3398</v>
      </c>
      <c r="Q36" t="s">
        <v>3399</v>
      </c>
      <c r="R36" t="s">
        <v>3421</v>
      </c>
    </row>
    <row r="37" spans="1:18" x14ac:dyDescent="0.2">
      <c r="A37">
        <v>3373131</v>
      </c>
      <c r="B37" t="s">
        <v>3422</v>
      </c>
      <c r="C37">
        <v>1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 t="s">
        <v>3284</v>
      </c>
      <c r="M37" t="s">
        <v>3296</v>
      </c>
      <c r="N37" t="s">
        <v>3321</v>
      </c>
      <c r="O37" t="s">
        <v>3322</v>
      </c>
      <c r="P37" t="s">
        <v>3423</v>
      </c>
      <c r="Q37" t="s">
        <v>3424</v>
      </c>
      <c r="R37" t="s">
        <v>3425</v>
      </c>
    </row>
    <row r="38" spans="1:18" x14ac:dyDescent="0.2">
      <c r="A38">
        <v>3372850</v>
      </c>
      <c r="B38" t="s">
        <v>3426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</v>
      </c>
      <c r="J38">
        <v>0</v>
      </c>
      <c r="K38">
        <v>0</v>
      </c>
      <c r="L38" t="s">
        <v>3284</v>
      </c>
      <c r="M38" t="s">
        <v>3307</v>
      </c>
      <c r="N38" t="s">
        <v>3308</v>
      </c>
      <c r="O38" t="s">
        <v>3359</v>
      </c>
      <c r="P38" t="s">
        <v>3360</v>
      </c>
      <c r="Q38" t="s">
        <v>3364</v>
      </c>
      <c r="R38" t="s">
        <v>3427</v>
      </c>
    </row>
    <row r="39" spans="1:18" x14ac:dyDescent="0.2">
      <c r="A39">
        <v>3369650</v>
      </c>
      <c r="B39" t="s">
        <v>3428</v>
      </c>
      <c r="C39">
        <v>1</v>
      </c>
      <c r="D39">
        <v>1</v>
      </c>
      <c r="E39">
        <v>0</v>
      </c>
      <c r="F39">
        <v>0</v>
      </c>
      <c r="G39">
        <v>2</v>
      </c>
      <c r="H39">
        <v>0</v>
      </c>
      <c r="I39">
        <v>718</v>
      </c>
      <c r="J39">
        <v>343</v>
      </c>
      <c r="K39">
        <v>222</v>
      </c>
      <c r="L39" t="s">
        <v>3284</v>
      </c>
      <c r="M39" t="s">
        <v>3296</v>
      </c>
      <c r="N39" t="s">
        <v>3343</v>
      </c>
      <c r="O39" t="s">
        <v>3429</v>
      </c>
      <c r="P39" t="s">
        <v>3430</v>
      </c>
      <c r="Q39" t="s">
        <v>3431</v>
      </c>
      <c r="R39" t="s">
        <v>3432</v>
      </c>
    </row>
    <row r="40" spans="1:18" x14ac:dyDescent="0.2">
      <c r="A40">
        <v>3367525</v>
      </c>
      <c r="B40" t="s">
        <v>3433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3284</v>
      </c>
      <c r="M40" t="s">
        <v>3296</v>
      </c>
      <c r="N40" t="s">
        <v>3297</v>
      </c>
      <c r="O40" t="s">
        <v>3434</v>
      </c>
      <c r="P40" t="s">
        <v>3435</v>
      </c>
      <c r="Q40" t="s">
        <v>3436</v>
      </c>
      <c r="R40" t="s">
        <v>3437</v>
      </c>
    </row>
    <row r="41" spans="1:18" x14ac:dyDescent="0.2">
      <c r="A41">
        <v>3367213</v>
      </c>
      <c r="B41" t="s">
        <v>3438</v>
      </c>
      <c r="C41">
        <v>0</v>
      </c>
      <c r="D41">
        <v>0</v>
      </c>
      <c r="E41">
        <v>0</v>
      </c>
      <c r="F41">
        <v>1</v>
      </c>
      <c r="G41">
        <v>0</v>
      </c>
      <c r="H41">
        <v>1</v>
      </c>
      <c r="I41">
        <v>0</v>
      </c>
      <c r="J41">
        <v>0</v>
      </c>
      <c r="K41">
        <v>0</v>
      </c>
      <c r="L41" t="s">
        <v>3284</v>
      </c>
      <c r="M41" t="s">
        <v>3296</v>
      </c>
      <c r="N41" t="s">
        <v>3321</v>
      </c>
      <c r="O41" t="s">
        <v>3322</v>
      </c>
      <c r="P41" t="s">
        <v>3398</v>
      </c>
      <c r="Q41" t="s">
        <v>3439</v>
      </c>
      <c r="R41" t="s">
        <v>3440</v>
      </c>
    </row>
    <row r="42" spans="1:18" x14ac:dyDescent="0.2">
      <c r="A42">
        <v>3367202</v>
      </c>
      <c r="B42" t="s">
        <v>3441</v>
      </c>
      <c r="C42">
        <v>0</v>
      </c>
      <c r="D42">
        <v>0</v>
      </c>
      <c r="E42">
        <v>0</v>
      </c>
      <c r="F42">
        <v>2</v>
      </c>
      <c r="G42">
        <v>0</v>
      </c>
      <c r="H42">
        <v>1</v>
      </c>
      <c r="I42">
        <v>1</v>
      </c>
      <c r="J42">
        <v>2</v>
      </c>
      <c r="K42">
        <v>2</v>
      </c>
      <c r="L42" t="s">
        <v>3284</v>
      </c>
      <c r="M42" t="s">
        <v>3296</v>
      </c>
      <c r="N42" t="s">
        <v>3321</v>
      </c>
      <c r="O42" t="s">
        <v>3322</v>
      </c>
      <c r="P42" t="s">
        <v>3398</v>
      </c>
      <c r="Q42" t="s">
        <v>3439</v>
      </c>
      <c r="R42" t="s">
        <v>3442</v>
      </c>
    </row>
    <row r="43" spans="1:18" x14ac:dyDescent="0.2">
      <c r="A43">
        <v>3366946</v>
      </c>
      <c r="B43" t="s">
        <v>3443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3284</v>
      </c>
      <c r="M43" t="s">
        <v>3307</v>
      </c>
      <c r="N43" t="s">
        <v>3308</v>
      </c>
      <c r="O43" t="s">
        <v>3359</v>
      </c>
      <c r="P43" t="s">
        <v>3360</v>
      </c>
      <c r="Q43" t="s">
        <v>3361</v>
      </c>
      <c r="R43" t="s">
        <v>3444</v>
      </c>
    </row>
    <row r="44" spans="1:18" x14ac:dyDescent="0.2">
      <c r="A44">
        <v>3366179</v>
      </c>
      <c r="B44" t="s">
        <v>3445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 t="s">
        <v>3284</v>
      </c>
      <c r="M44" t="s">
        <v>3307</v>
      </c>
      <c r="N44" t="s">
        <v>3308</v>
      </c>
      <c r="O44" t="s">
        <v>3446</v>
      </c>
      <c r="P44" t="s">
        <v>3447</v>
      </c>
      <c r="Q44" t="s">
        <v>3448</v>
      </c>
      <c r="R44" t="s">
        <v>3449</v>
      </c>
    </row>
    <row r="45" spans="1:18" x14ac:dyDescent="0.2">
      <c r="A45">
        <v>3366029</v>
      </c>
      <c r="B45" t="s">
        <v>3450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3284</v>
      </c>
      <c r="M45" t="s">
        <v>3307</v>
      </c>
      <c r="N45" t="s">
        <v>3308</v>
      </c>
      <c r="O45" t="s">
        <v>3446</v>
      </c>
      <c r="P45" t="s">
        <v>3447</v>
      </c>
      <c r="Q45" t="s">
        <v>3448</v>
      </c>
      <c r="R45" t="s">
        <v>3451</v>
      </c>
    </row>
    <row r="46" spans="1:18" x14ac:dyDescent="0.2">
      <c r="A46">
        <v>3365672</v>
      </c>
      <c r="B46" t="s">
        <v>3452</v>
      </c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 t="s">
        <v>3284</v>
      </c>
      <c r="M46" t="s">
        <v>3307</v>
      </c>
      <c r="N46" t="s">
        <v>3308</v>
      </c>
      <c r="O46" t="s">
        <v>3446</v>
      </c>
      <c r="P46" t="s">
        <v>3447</v>
      </c>
      <c r="Q46" t="s">
        <v>3448</v>
      </c>
      <c r="R46" t="s">
        <v>3453</v>
      </c>
    </row>
    <row r="47" spans="1:18" x14ac:dyDescent="0.2">
      <c r="A47">
        <v>3365626</v>
      </c>
      <c r="B47" t="s">
        <v>3454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1</v>
      </c>
      <c r="K47">
        <v>0</v>
      </c>
      <c r="L47" t="s">
        <v>3284</v>
      </c>
      <c r="M47" t="s">
        <v>3307</v>
      </c>
      <c r="N47" t="s">
        <v>3308</v>
      </c>
      <c r="O47" t="s">
        <v>3446</v>
      </c>
      <c r="P47" t="s">
        <v>3447</v>
      </c>
      <c r="Q47" t="s">
        <v>3448</v>
      </c>
      <c r="R47" t="s">
        <v>3455</v>
      </c>
    </row>
    <row r="48" spans="1:18" x14ac:dyDescent="0.2">
      <c r="A48">
        <v>3365102</v>
      </c>
      <c r="B48" t="s">
        <v>3456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 t="s">
        <v>3284</v>
      </c>
      <c r="M48" t="s">
        <v>3307</v>
      </c>
      <c r="N48" t="s">
        <v>3308</v>
      </c>
      <c r="O48" t="s">
        <v>3446</v>
      </c>
      <c r="P48" t="s">
        <v>3447</v>
      </c>
      <c r="Q48" t="s">
        <v>3448</v>
      </c>
      <c r="R48" t="s">
        <v>3457</v>
      </c>
    </row>
    <row r="49" spans="1:18" x14ac:dyDescent="0.2">
      <c r="A49">
        <v>3365066</v>
      </c>
      <c r="B49" t="s">
        <v>3458</v>
      </c>
      <c r="C49">
        <v>0</v>
      </c>
      <c r="D49">
        <v>0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 t="s">
        <v>3284</v>
      </c>
      <c r="M49" t="s">
        <v>3307</v>
      </c>
      <c r="N49" t="s">
        <v>3308</v>
      </c>
      <c r="O49" t="s">
        <v>3446</v>
      </c>
      <c r="P49" t="s">
        <v>3447</v>
      </c>
      <c r="Q49" t="s">
        <v>3448</v>
      </c>
      <c r="R49" t="s">
        <v>3459</v>
      </c>
    </row>
    <row r="50" spans="1:18" x14ac:dyDescent="0.2">
      <c r="A50">
        <v>3365032</v>
      </c>
      <c r="B50" t="s">
        <v>3460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3284</v>
      </c>
      <c r="M50" t="s">
        <v>3307</v>
      </c>
      <c r="N50" t="s">
        <v>3308</v>
      </c>
      <c r="O50" t="s">
        <v>3446</v>
      </c>
      <c r="P50" t="s">
        <v>3447</v>
      </c>
      <c r="Q50" t="s">
        <v>3448</v>
      </c>
      <c r="R50" t="s">
        <v>3461</v>
      </c>
    </row>
    <row r="51" spans="1:18" x14ac:dyDescent="0.2">
      <c r="A51">
        <v>3364811</v>
      </c>
      <c r="B51" t="s">
        <v>3462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3284</v>
      </c>
      <c r="M51" t="s">
        <v>3307</v>
      </c>
      <c r="N51" t="s">
        <v>3308</v>
      </c>
      <c r="O51" t="s">
        <v>3446</v>
      </c>
      <c r="P51" t="s">
        <v>3447</v>
      </c>
      <c r="Q51" t="s">
        <v>3448</v>
      </c>
      <c r="R51" t="s">
        <v>3463</v>
      </c>
    </row>
    <row r="52" spans="1:18" x14ac:dyDescent="0.2">
      <c r="A52">
        <v>3364777</v>
      </c>
      <c r="B52" t="s">
        <v>3464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3284</v>
      </c>
      <c r="M52" t="s">
        <v>3307</v>
      </c>
      <c r="N52" t="s">
        <v>3308</v>
      </c>
      <c r="O52" t="s">
        <v>3446</v>
      </c>
      <c r="P52" t="s">
        <v>3447</v>
      </c>
      <c r="Q52" t="s">
        <v>3448</v>
      </c>
      <c r="R52" t="s">
        <v>3465</v>
      </c>
    </row>
    <row r="53" spans="1:18" x14ac:dyDescent="0.2">
      <c r="A53">
        <v>3364677</v>
      </c>
      <c r="B53" t="s">
        <v>3466</v>
      </c>
      <c r="C53">
        <v>0</v>
      </c>
      <c r="D53">
        <v>0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 t="s">
        <v>3284</v>
      </c>
      <c r="M53" t="s">
        <v>3307</v>
      </c>
      <c r="N53" t="s">
        <v>3308</v>
      </c>
      <c r="O53" t="s">
        <v>3446</v>
      </c>
      <c r="P53" t="s">
        <v>3447</v>
      </c>
      <c r="Q53" t="s">
        <v>3448</v>
      </c>
      <c r="R53" t="s">
        <v>3467</v>
      </c>
    </row>
    <row r="54" spans="1:18" x14ac:dyDescent="0.2">
      <c r="A54">
        <v>3364531</v>
      </c>
      <c r="B54" t="s">
        <v>3468</v>
      </c>
      <c r="C54">
        <v>0</v>
      </c>
      <c r="D54">
        <v>0</v>
      </c>
      <c r="E54">
        <v>0</v>
      </c>
      <c r="F54">
        <v>7</v>
      </c>
      <c r="G54">
        <v>7</v>
      </c>
      <c r="H54">
        <v>5</v>
      </c>
      <c r="I54">
        <v>0</v>
      </c>
      <c r="J54">
        <v>0</v>
      </c>
      <c r="K54">
        <v>0</v>
      </c>
      <c r="L54" t="s">
        <v>3284</v>
      </c>
      <c r="M54" t="s">
        <v>3296</v>
      </c>
      <c r="N54" t="s">
        <v>3297</v>
      </c>
      <c r="O54" t="s">
        <v>3469</v>
      </c>
      <c r="P54" t="s">
        <v>3470</v>
      </c>
      <c r="Q54" t="s">
        <v>3471</v>
      </c>
      <c r="R54" t="s">
        <v>3472</v>
      </c>
    </row>
    <row r="55" spans="1:18" x14ac:dyDescent="0.2">
      <c r="A55">
        <v>3364515</v>
      </c>
      <c r="B55" t="s">
        <v>3473</v>
      </c>
      <c r="C55">
        <v>0</v>
      </c>
      <c r="D55">
        <v>0</v>
      </c>
      <c r="E55">
        <v>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3284</v>
      </c>
      <c r="M55" t="s">
        <v>3296</v>
      </c>
      <c r="N55" t="s">
        <v>3297</v>
      </c>
      <c r="O55" t="s">
        <v>3298</v>
      </c>
      <c r="P55" t="s">
        <v>3299</v>
      </c>
      <c r="Q55" t="s">
        <v>3300</v>
      </c>
      <c r="R55" t="s">
        <v>3474</v>
      </c>
    </row>
    <row r="56" spans="1:18" x14ac:dyDescent="0.2">
      <c r="A56">
        <v>3364510</v>
      </c>
      <c r="B56" t="s">
        <v>3475</v>
      </c>
      <c r="C56">
        <v>0</v>
      </c>
      <c r="D56">
        <v>0</v>
      </c>
      <c r="E56">
        <v>6</v>
      </c>
      <c r="F56">
        <v>1</v>
      </c>
      <c r="G56">
        <v>1</v>
      </c>
      <c r="H56">
        <v>3</v>
      </c>
      <c r="I56">
        <v>2</v>
      </c>
      <c r="J56">
        <v>0</v>
      </c>
      <c r="K56">
        <v>1</v>
      </c>
      <c r="L56" t="s">
        <v>3284</v>
      </c>
      <c r="M56" t="s">
        <v>3327</v>
      </c>
      <c r="N56" t="s">
        <v>3376</v>
      </c>
      <c r="O56" t="s">
        <v>3377</v>
      </c>
      <c r="P56" t="s">
        <v>3378</v>
      </c>
      <c r="Q56" t="s">
        <v>3476</v>
      </c>
      <c r="R56" t="s">
        <v>3477</v>
      </c>
    </row>
    <row r="57" spans="1:18" x14ac:dyDescent="0.2">
      <c r="A57">
        <v>3364499</v>
      </c>
      <c r="B57" t="s">
        <v>3478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3284</v>
      </c>
      <c r="M57" t="s">
        <v>3296</v>
      </c>
      <c r="N57" t="s">
        <v>3343</v>
      </c>
      <c r="O57" t="s">
        <v>3344</v>
      </c>
      <c r="P57" t="s">
        <v>3355</v>
      </c>
      <c r="Q57" t="s">
        <v>3356</v>
      </c>
      <c r="R57" t="s">
        <v>3479</v>
      </c>
    </row>
    <row r="58" spans="1:18" x14ac:dyDescent="0.2">
      <c r="A58">
        <v>3364498</v>
      </c>
      <c r="B58" t="s">
        <v>3480</v>
      </c>
      <c r="C58">
        <v>0</v>
      </c>
      <c r="D58">
        <v>0</v>
      </c>
      <c r="E58">
        <v>0</v>
      </c>
      <c r="F58">
        <v>2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3284</v>
      </c>
      <c r="M58" t="s">
        <v>3296</v>
      </c>
      <c r="N58" t="s">
        <v>3343</v>
      </c>
      <c r="O58" t="s">
        <v>3344</v>
      </c>
      <c r="P58" t="s">
        <v>3355</v>
      </c>
      <c r="Q58" t="s">
        <v>3356</v>
      </c>
      <c r="R58" t="s">
        <v>3481</v>
      </c>
    </row>
    <row r="59" spans="1:18" x14ac:dyDescent="0.2">
      <c r="A59">
        <v>3364480</v>
      </c>
      <c r="B59" t="s">
        <v>3482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3284</v>
      </c>
      <c r="M59" t="s">
        <v>3296</v>
      </c>
      <c r="N59" t="s">
        <v>3297</v>
      </c>
      <c r="O59" t="s">
        <v>3434</v>
      </c>
      <c r="P59" t="s">
        <v>3435</v>
      </c>
      <c r="Q59" t="s">
        <v>3436</v>
      </c>
      <c r="R59" t="s">
        <v>3483</v>
      </c>
    </row>
    <row r="60" spans="1:18" x14ac:dyDescent="0.2">
      <c r="A60">
        <v>3364464</v>
      </c>
      <c r="B60" t="s">
        <v>3484</v>
      </c>
      <c r="C60">
        <v>0</v>
      </c>
      <c r="D60">
        <v>0</v>
      </c>
      <c r="E60">
        <v>0</v>
      </c>
      <c r="F60">
        <v>0</v>
      </c>
      <c r="G60">
        <v>0</v>
      </c>
      <c r="H60">
        <v>1</v>
      </c>
      <c r="I60">
        <v>0</v>
      </c>
      <c r="J60">
        <v>0</v>
      </c>
      <c r="K60">
        <v>0</v>
      </c>
      <c r="L60" t="s">
        <v>3284</v>
      </c>
      <c r="M60" t="s">
        <v>3296</v>
      </c>
      <c r="N60" t="s">
        <v>3297</v>
      </c>
      <c r="O60" t="s">
        <v>3434</v>
      </c>
      <c r="P60" t="s">
        <v>3435</v>
      </c>
      <c r="Q60" t="s">
        <v>3436</v>
      </c>
      <c r="R60" t="s">
        <v>3485</v>
      </c>
    </row>
    <row r="61" spans="1:18" x14ac:dyDescent="0.2">
      <c r="A61">
        <v>3364456</v>
      </c>
      <c r="B61" t="s">
        <v>3486</v>
      </c>
      <c r="C61">
        <v>0</v>
      </c>
      <c r="D61">
        <v>0</v>
      </c>
      <c r="E61">
        <v>0</v>
      </c>
      <c r="F61">
        <v>1</v>
      </c>
      <c r="G61">
        <v>1</v>
      </c>
      <c r="H61">
        <v>0</v>
      </c>
      <c r="I61">
        <v>0</v>
      </c>
      <c r="J61">
        <v>0</v>
      </c>
      <c r="K61">
        <v>0</v>
      </c>
      <c r="L61" t="s">
        <v>3284</v>
      </c>
      <c r="M61" t="s">
        <v>3296</v>
      </c>
      <c r="N61" t="s">
        <v>3297</v>
      </c>
      <c r="O61" t="s">
        <v>3434</v>
      </c>
      <c r="P61" t="s">
        <v>3435</v>
      </c>
      <c r="Q61" t="s">
        <v>3436</v>
      </c>
      <c r="R61" t="s">
        <v>3487</v>
      </c>
    </row>
    <row r="62" spans="1:18" x14ac:dyDescent="0.2">
      <c r="A62">
        <v>3364445</v>
      </c>
      <c r="B62" t="s">
        <v>3488</v>
      </c>
      <c r="C62">
        <v>0</v>
      </c>
      <c r="D62">
        <v>0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 t="s">
        <v>3284</v>
      </c>
      <c r="M62" t="s">
        <v>3296</v>
      </c>
      <c r="N62" t="s">
        <v>3297</v>
      </c>
      <c r="O62" t="s">
        <v>3434</v>
      </c>
      <c r="P62" t="s">
        <v>3435</v>
      </c>
      <c r="Q62" t="s">
        <v>3436</v>
      </c>
      <c r="R62" t="s">
        <v>3489</v>
      </c>
    </row>
    <row r="63" spans="1:18" x14ac:dyDescent="0.2">
      <c r="A63">
        <v>3364403</v>
      </c>
      <c r="B63" t="s">
        <v>3490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3284</v>
      </c>
      <c r="M63" t="s">
        <v>3327</v>
      </c>
      <c r="N63" t="s">
        <v>3376</v>
      </c>
      <c r="O63" t="s">
        <v>3377</v>
      </c>
      <c r="P63" t="s">
        <v>3378</v>
      </c>
      <c r="Q63" t="s">
        <v>3491</v>
      </c>
      <c r="R63" t="s">
        <v>3492</v>
      </c>
    </row>
    <row r="64" spans="1:18" x14ac:dyDescent="0.2">
      <c r="A64">
        <v>3364288</v>
      </c>
      <c r="B64" t="s">
        <v>3493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3284</v>
      </c>
      <c r="M64" t="s">
        <v>3307</v>
      </c>
      <c r="N64" t="s">
        <v>3308</v>
      </c>
      <c r="O64" t="s">
        <v>3494</v>
      </c>
      <c r="P64" t="s">
        <v>3495</v>
      </c>
      <c r="Q64" t="s">
        <v>3496</v>
      </c>
      <c r="R64" t="s">
        <v>3497</v>
      </c>
    </row>
    <row r="65" spans="1:18" x14ac:dyDescent="0.2">
      <c r="A65">
        <v>3364238</v>
      </c>
      <c r="B65" t="s">
        <v>3498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3284</v>
      </c>
      <c r="M65" t="s">
        <v>3307</v>
      </c>
      <c r="N65" t="s">
        <v>3308</v>
      </c>
      <c r="O65" t="s">
        <v>3494</v>
      </c>
      <c r="P65" t="s">
        <v>3495</v>
      </c>
      <c r="Q65" t="s">
        <v>3496</v>
      </c>
      <c r="R65" t="s">
        <v>3499</v>
      </c>
    </row>
    <row r="66" spans="1:18" x14ac:dyDescent="0.2">
      <c r="A66">
        <v>3364211</v>
      </c>
      <c r="B66" t="s">
        <v>3500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  <c r="K66">
        <v>0</v>
      </c>
      <c r="L66" t="s">
        <v>3284</v>
      </c>
      <c r="M66" t="s">
        <v>3307</v>
      </c>
      <c r="N66" t="s">
        <v>3308</v>
      </c>
      <c r="O66" t="s">
        <v>3359</v>
      </c>
      <c r="P66" t="s">
        <v>3360</v>
      </c>
      <c r="Q66" t="s">
        <v>3361</v>
      </c>
      <c r="R66" t="s">
        <v>3501</v>
      </c>
    </row>
    <row r="67" spans="1:18" x14ac:dyDescent="0.2">
      <c r="A67">
        <v>3364207</v>
      </c>
      <c r="B67" t="s">
        <v>3502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2</v>
      </c>
      <c r="J67">
        <v>2</v>
      </c>
      <c r="K67">
        <v>1</v>
      </c>
      <c r="L67" t="s">
        <v>3284</v>
      </c>
      <c r="M67" t="s">
        <v>3307</v>
      </c>
      <c r="N67" t="s">
        <v>3308</v>
      </c>
      <c r="O67" t="s">
        <v>3359</v>
      </c>
      <c r="P67" t="s">
        <v>3360</v>
      </c>
      <c r="Q67" t="s">
        <v>3361</v>
      </c>
      <c r="R67" t="s">
        <v>3503</v>
      </c>
    </row>
    <row r="68" spans="1:18" x14ac:dyDescent="0.2">
      <c r="A68">
        <v>3364203</v>
      </c>
      <c r="B68" t="s">
        <v>3504</v>
      </c>
      <c r="C68">
        <v>0</v>
      </c>
      <c r="D68">
        <v>0</v>
      </c>
      <c r="E68">
        <v>2</v>
      </c>
      <c r="F68">
        <v>0</v>
      </c>
      <c r="G68">
        <v>0</v>
      </c>
      <c r="H68">
        <v>0</v>
      </c>
      <c r="I68">
        <v>2</v>
      </c>
      <c r="J68">
        <v>0</v>
      </c>
      <c r="K68">
        <v>3</v>
      </c>
      <c r="L68" t="s">
        <v>3284</v>
      </c>
      <c r="M68" t="s">
        <v>3307</v>
      </c>
      <c r="N68" t="s">
        <v>3308</v>
      </c>
      <c r="O68" t="s">
        <v>3359</v>
      </c>
      <c r="P68" t="s">
        <v>3360</v>
      </c>
      <c r="Q68" t="s">
        <v>3361</v>
      </c>
      <c r="R68" t="s">
        <v>3505</v>
      </c>
    </row>
    <row r="69" spans="1:18" x14ac:dyDescent="0.2">
      <c r="A69">
        <v>3364195</v>
      </c>
      <c r="B69" t="s">
        <v>3506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4</v>
      </c>
      <c r="J69">
        <v>3</v>
      </c>
      <c r="K69">
        <v>3</v>
      </c>
      <c r="L69" t="s">
        <v>3284</v>
      </c>
      <c r="M69" t="s">
        <v>3307</v>
      </c>
      <c r="N69" t="s">
        <v>3308</v>
      </c>
      <c r="O69" t="s">
        <v>3359</v>
      </c>
      <c r="P69" t="s">
        <v>3360</v>
      </c>
      <c r="Q69" t="s">
        <v>3361</v>
      </c>
      <c r="R69" t="s">
        <v>3507</v>
      </c>
    </row>
    <row r="70" spans="1:18" x14ac:dyDescent="0.2">
      <c r="A70">
        <v>3364194</v>
      </c>
      <c r="B70" t="s">
        <v>3508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</v>
      </c>
      <c r="J70">
        <v>0</v>
      </c>
      <c r="K70">
        <v>0</v>
      </c>
      <c r="L70" t="s">
        <v>3284</v>
      </c>
      <c r="M70" t="s">
        <v>3307</v>
      </c>
      <c r="N70" t="s">
        <v>3308</v>
      </c>
      <c r="O70" t="s">
        <v>3359</v>
      </c>
      <c r="P70" t="s">
        <v>3360</v>
      </c>
      <c r="Q70" t="s">
        <v>3361</v>
      </c>
      <c r="R70" t="s">
        <v>3509</v>
      </c>
    </row>
    <row r="71" spans="1:18" x14ac:dyDescent="0.2">
      <c r="A71">
        <v>3364189</v>
      </c>
      <c r="B71" t="s">
        <v>3510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3284</v>
      </c>
      <c r="M71" t="s">
        <v>3307</v>
      </c>
      <c r="N71" t="s">
        <v>3308</v>
      </c>
      <c r="O71" t="s">
        <v>3359</v>
      </c>
      <c r="P71" t="s">
        <v>3360</v>
      </c>
      <c r="Q71" t="s">
        <v>3361</v>
      </c>
      <c r="R71" t="s">
        <v>3511</v>
      </c>
    </row>
    <row r="72" spans="1:18" x14ac:dyDescent="0.2">
      <c r="A72">
        <v>3364183</v>
      </c>
      <c r="B72" t="s">
        <v>3512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4</v>
      </c>
      <c r="J72">
        <v>7</v>
      </c>
      <c r="K72">
        <v>3</v>
      </c>
      <c r="L72" t="s">
        <v>3284</v>
      </c>
      <c r="M72" t="s">
        <v>3307</v>
      </c>
      <c r="N72" t="s">
        <v>3308</v>
      </c>
      <c r="O72" t="s">
        <v>3359</v>
      </c>
      <c r="P72" t="s">
        <v>3360</v>
      </c>
      <c r="Q72" t="s">
        <v>3361</v>
      </c>
      <c r="R72" t="s">
        <v>3513</v>
      </c>
    </row>
    <row r="73" spans="1:18" x14ac:dyDescent="0.2">
      <c r="A73">
        <v>3364123</v>
      </c>
      <c r="B73" t="s">
        <v>3514</v>
      </c>
      <c r="C73">
        <v>0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3284</v>
      </c>
      <c r="M73" t="s">
        <v>3307</v>
      </c>
      <c r="N73" t="s">
        <v>3308</v>
      </c>
      <c r="O73" t="s">
        <v>3359</v>
      </c>
      <c r="P73" t="s">
        <v>3360</v>
      </c>
      <c r="Q73" t="s">
        <v>3515</v>
      </c>
      <c r="R73" t="s">
        <v>3516</v>
      </c>
    </row>
    <row r="74" spans="1:18" x14ac:dyDescent="0.2">
      <c r="A74">
        <v>3364006</v>
      </c>
      <c r="B74" t="s">
        <v>3517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5</v>
      </c>
      <c r="J74">
        <v>3</v>
      </c>
      <c r="K74">
        <v>0</v>
      </c>
      <c r="L74" t="s">
        <v>3284</v>
      </c>
      <c r="M74" t="s">
        <v>3296</v>
      </c>
      <c r="N74" t="s">
        <v>3321</v>
      </c>
      <c r="O74" t="s">
        <v>3322</v>
      </c>
      <c r="P74" t="s">
        <v>3323</v>
      </c>
      <c r="Q74" t="s">
        <v>3518</v>
      </c>
      <c r="R74" t="s">
        <v>3519</v>
      </c>
    </row>
    <row r="75" spans="1:18" x14ac:dyDescent="0.2">
      <c r="A75">
        <v>3364005</v>
      </c>
      <c r="B75" t="s">
        <v>3520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5</v>
      </c>
      <c r="J75">
        <v>0</v>
      </c>
      <c r="K75">
        <v>1</v>
      </c>
      <c r="L75" t="s">
        <v>3284</v>
      </c>
      <c r="M75" t="s">
        <v>3296</v>
      </c>
      <c r="N75" t="s">
        <v>3321</v>
      </c>
      <c r="O75" t="s">
        <v>3322</v>
      </c>
      <c r="P75" t="s">
        <v>3323</v>
      </c>
      <c r="Q75" t="s">
        <v>3518</v>
      </c>
      <c r="R75" t="s">
        <v>3521</v>
      </c>
    </row>
    <row r="76" spans="1:18" x14ac:dyDescent="0.2">
      <c r="A76">
        <v>3364004</v>
      </c>
      <c r="B76" t="s">
        <v>3522</v>
      </c>
      <c r="C76">
        <v>0</v>
      </c>
      <c r="D76">
        <v>0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3284</v>
      </c>
      <c r="M76" t="s">
        <v>3296</v>
      </c>
      <c r="N76" t="s">
        <v>3321</v>
      </c>
      <c r="O76" t="s">
        <v>3322</v>
      </c>
      <c r="P76" t="s">
        <v>3323</v>
      </c>
      <c r="Q76" t="s">
        <v>3518</v>
      </c>
      <c r="R76" t="s">
        <v>3523</v>
      </c>
    </row>
    <row r="77" spans="1:18" x14ac:dyDescent="0.2">
      <c r="A77">
        <v>3363991</v>
      </c>
      <c r="B77" t="s">
        <v>3524</v>
      </c>
      <c r="C77">
        <v>1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3284</v>
      </c>
      <c r="M77" t="s">
        <v>3296</v>
      </c>
      <c r="N77" t="s">
        <v>3343</v>
      </c>
      <c r="O77" t="s">
        <v>3344</v>
      </c>
      <c r="P77" t="s">
        <v>3355</v>
      </c>
      <c r="Q77" t="s">
        <v>3525</v>
      </c>
      <c r="R77" t="s">
        <v>3526</v>
      </c>
    </row>
    <row r="78" spans="1:18" x14ac:dyDescent="0.2">
      <c r="A78">
        <v>3363970</v>
      </c>
      <c r="B78" t="s">
        <v>3527</v>
      </c>
      <c r="C78">
        <v>0</v>
      </c>
      <c r="D78">
        <v>0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3284</v>
      </c>
      <c r="M78" t="s">
        <v>3307</v>
      </c>
      <c r="N78" t="s">
        <v>3308</v>
      </c>
      <c r="O78" t="s">
        <v>3359</v>
      </c>
      <c r="P78" t="s">
        <v>3360</v>
      </c>
      <c r="Q78" t="s">
        <v>3528</v>
      </c>
      <c r="R78" t="s">
        <v>3529</v>
      </c>
    </row>
    <row r="79" spans="1:18" x14ac:dyDescent="0.2">
      <c r="A79">
        <v>3363962</v>
      </c>
      <c r="B79" t="s">
        <v>3530</v>
      </c>
      <c r="C79">
        <v>0</v>
      </c>
      <c r="D79">
        <v>1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 t="s">
        <v>3284</v>
      </c>
      <c r="M79" t="s">
        <v>3307</v>
      </c>
      <c r="N79" t="s">
        <v>3308</v>
      </c>
      <c r="O79" t="s">
        <v>3531</v>
      </c>
      <c r="P79" t="s">
        <v>3532</v>
      </c>
      <c r="Q79" t="s">
        <v>3533</v>
      </c>
      <c r="R79" t="s">
        <v>3534</v>
      </c>
    </row>
    <row r="80" spans="1:18" x14ac:dyDescent="0.2">
      <c r="A80">
        <v>3363957</v>
      </c>
      <c r="B80" t="s">
        <v>3535</v>
      </c>
      <c r="C80">
        <v>0</v>
      </c>
      <c r="D80">
        <v>0</v>
      </c>
      <c r="E80">
        <v>0</v>
      </c>
      <c r="F80">
        <v>2</v>
      </c>
      <c r="G80">
        <v>1</v>
      </c>
      <c r="H80">
        <v>0</v>
      </c>
      <c r="I80">
        <v>0</v>
      </c>
      <c r="J80">
        <v>0</v>
      </c>
      <c r="K80">
        <v>0</v>
      </c>
      <c r="L80" t="s">
        <v>3284</v>
      </c>
      <c r="M80" t="s">
        <v>3296</v>
      </c>
      <c r="N80" t="s">
        <v>3343</v>
      </c>
      <c r="O80" t="s">
        <v>3402</v>
      </c>
      <c r="P80" t="s">
        <v>3403</v>
      </c>
      <c r="Q80" t="s">
        <v>3536</v>
      </c>
      <c r="R80" t="s">
        <v>3537</v>
      </c>
    </row>
    <row r="81" spans="1:18" x14ac:dyDescent="0.2">
      <c r="A81">
        <v>3363956</v>
      </c>
      <c r="B81" t="s">
        <v>3538</v>
      </c>
      <c r="C81">
        <v>0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3284</v>
      </c>
      <c r="M81" t="s">
        <v>3296</v>
      </c>
      <c r="N81" t="s">
        <v>3343</v>
      </c>
      <c r="O81" t="s">
        <v>3402</v>
      </c>
      <c r="P81" t="s">
        <v>3403</v>
      </c>
      <c r="Q81" t="s">
        <v>3536</v>
      </c>
      <c r="R81" t="s">
        <v>3539</v>
      </c>
    </row>
    <row r="82" spans="1:18" x14ac:dyDescent="0.2">
      <c r="A82">
        <v>3363955</v>
      </c>
      <c r="B82" t="s">
        <v>3540</v>
      </c>
      <c r="C82">
        <v>0</v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 t="s">
        <v>3284</v>
      </c>
      <c r="M82" t="s">
        <v>3296</v>
      </c>
      <c r="N82" t="s">
        <v>3343</v>
      </c>
      <c r="O82" t="s">
        <v>3402</v>
      </c>
      <c r="P82" t="s">
        <v>3403</v>
      </c>
      <c r="Q82" t="s">
        <v>3536</v>
      </c>
      <c r="R82" t="s">
        <v>3541</v>
      </c>
    </row>
    <row r="83" spans="1:18" x14ac:dyDescent="0.2">
      <c r="A83">
        <v>3363938</v>
      </c>
      <c r="B83" t="s">
        <v>3542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</v>
      </c>
      <c r="J83">
        <v>0</v>
      </c>
      <c r="K83">
        <v>0</v>
      </c>
      <c r="L83" t="s">
        <v>3284</v>
      </c>
      <c r="M83" t="s">
        <v>3307</v>
      </c>
      <c r="N83" t="s">
        <v>3308</v>
      </c>
      <c r="O83" t="s">
        <v>3382</v>
      </c>
      <c r="P83" t="s">
        <v>3383</v>
      </c>
      <c r="Q83" t="s">
        <v>3543</v>
      </c>
      <c r="R83" t="s">
        <v>3544</v>
      </c>
    </row>
    <row r="84" spans="1:18" x14ac:dyDescent="0.2">
      <c r="A84">
        <v>3363920</v>
      </c>
      <c r="B84" t="s">
        <v>3545</v>
      </c>
      <c r="C84">
        <v>0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 t="s">
        <v>3284</v>
      </c>
      <c r="M84" t="s">
        <v>3296</v>
      </c>
      <c r="N84" t="s">
        <v>3343</v>
      </c>
      <c r="O84" t="s">
        <v>3344</v>
      </c>
      <c r="P84" t="s">
        <v>3355</v>
      </c>
      <c r="Q84" t="s">
        <v>3546</v>
      </c>
      <c r="R84" t="s">
        <v>3547</v>
      </c>
    </row>
    <row r="85" spans="1:18" x14ac:dyDescent="0.2">
      <c r="A85">
        <v>3363919</v>
      </c>
      <c r="B85" t="s">
        <v>3548</v>
      </c>
      <c r="C85">
        <v>0</v>
      </c>
      <c r="D85">
        <v>1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 t="s">
        <v>3284</v>
      </c>
      <c r="M85" t="s">
        <v>3296</v>
      </c>
      <c r="N85" t="s">
        <v>3343</v>
      </c>
      <c r="O85" t="s">
        <v>3344</v>
      </c>
      <c r="P85" t="s">
        <v>3355</v>
      </c>
      <c r="Q85" t="s">
        <v>3546</v>
      </c>
      <c r="R85" t="s">
        <v>3549</v>
      </c>
    </row>
    <row r="86" spans="1:18" x14ac:dyDescent="0.2">
      <c r="A86">
        <v>3363918</v>
      </c>
      <c r="B86" t="s">
        <v>3550</v>
      </c>
      <c r="C86">
        <v>0</v>
      </c>
      <c r="D86">
        <v>0</v>
      </c>
      <c r="E86">
        <v>0</v>
      </c>
      <c r="F86">
        <v>1</v>
      </c>
      <c r="G86">
        <v>0</v>
      </c>
      <c r="H86">
        <v>1</v>
      </c>
      <c r="I86">
        <v>0</v>
      </c>
      <c r="J86">
        <v>0</v>
      </c>
      <c r="K86">
        <v>0</v>
      </c>
      <c r="L86" t="s">
        <v>3284</v>
      </c>
      <c r="M86" t="s">
        <v>3296</v>
      </c>
      <c r="N86" t="s">
        <v>3343</v>
      </c>
      <c r="O86" t="s">
        <v>3344</v>
      </c>
      <c r="P86" t="s">
        <v>3355</v>
      </c>
      <c r="Q86" t="s">
        <v>3546</v>
      </c>
      <c r="R86" t="s">
        <v>3551</v>
      </c>
    </row>
    <row r="87" spans="1:18" x14ac:dyDescent="0.2">
      <c r="A87">
        <v>3363902</v>
      </c>
      <c r="B87" t="s">
        <v>3552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0</v>
      </c>
      <c r="L87" t="s">
        <v>3284</v>
      </c>
      <c r="M87" t="s">
        <v>3307</v>
      </c>
      <c r="N87" t="s">
        <v>3308</v>
      </c>
      <c r="O87" t="s">
        <v>3494</v>
      </c>
      <c r="P87" t="s">
        <v>3495</v>
      </c>
      <c r="Q87" t="s">
        <v>3553</v>
      </c>
      <c r="R87" t="s">
        <v>3554</v>
      </c>
    </row>
    <row r="88" spans="1:18" x14ac:dyDescent="0.2">
      <c r="A88">
        <v>3363889</v>
      </c>
      <c r="B88" t="s">
        <v>3555</v>
      </c>
      <c r="C88">
        <v>0</v>
      </c>
      <c r="D88">
        <v>1</v>
      </c>
      <c r="E88">
        <v>0</v>
      </c>
      <c r="F88">
        <v>0</v>
      </c>
      <c r="G88">
        <v>1</v>
      </c>
      <c r="H88">
        <v>1</v>
      </c>
      <c r="I88">
        <v>0</v>
      </c>
      <c r="J88">
        <v>0</v>
      </c>
      <c r="K88">
        <v>0</v>
      </c>
      <c r="L88" t="s">
        <v>3284</v>
      </c>
      <c r="M88" t="s">
        <v>3296</v>
      </c>
      <c r="N88" t="s">
        <v>3321</v>
      </c>
      <c r="O88" t="s">
        <v>3322</v>
      </c>
      <c r="P88" t="s">
        <v>3398</v>
      </c>
      <c r="Q88" t="s">
        <v>3556</v>
      </c>
      <c r="R88" t="s">
        <v>3557</v>
      </c>
    </row>
    <row r="89" spans="1:18" x14ac:dyDescent="0.2">
      <c r="A89">
        <v>3350173</v>
      </c>
      <c r="B89" t="s">
        <v>3558</v>
      </c>
      <c r="C89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3</v>
      </c>
      <c r="K89">
        <v>0</v>
      </c>
      <c r="L89" t="s">
        <v>3284</v>
      </c>
      <c r="M89" t="s">
        <v>3391</v>
      </c>
      <c r="N89" t="s">
        <v>3392</v>
      </c>
      <c r="O89" t="s">
        <v>3393</v>
      </c>
      <c r="P89" t="s">
        <v>3394</v>
      </c>
      <c r="Q89" t="s">
        <v>3395</v>
      </c>
      <c r="R89" t="s">
        <v>3559</v>
      </c>
    </row>
    <row r="90" spans="1:18" x14ac:dyDescent="0.2">
      <c r="A90">
        <v>3350168</v>
      </c>
      <c r="B90" t="s">
        <v>3560</v>
      </c>
      <c r="C90">
        <v>0</v>
      </c>
      <c r="D90">
        <v>0</v>
      </c>
      <c r="E90">
        <v>0</v>
      </c>
      <c r="F90">
        <v>3</v>
      </c>
      <c r="G90">
        <v>0</v>
      </c>
      <c r="H90">
        <v>1</v>
      </c>
      <c r="I90">
        <v>0</v>
      </c>
      <c r="J90">
        <v>0</v>
      </c>
      <c r="K90">
        <v>0</v>
      </c>
      <c r="L90" t="s">
        <v>3284</v>
      </c>
      <c r="M90" t="s">
        <v>3307</v>
      </c>
      <c r="N90" t="s">
        <v>3308</v>
      </c>
      <c r="O90" t="s">
        <v>3359</v>
      </c>
      <c r="P90" t="s">
        <v>3360</v>
      </c>
      <c r="Q90" t="s">
        <v>3561</v>
      </c>
      <c r="R90" t="s">
        <v>3562</v>
      </c>
    </row>
    <row r="91" spans="1:18" x14ac:dyDescent="0.2">
      <c r="A91">
        <v>3350167</v>
      </c>
      <c r="B91" t="s">
        <v>3563</v>
      </c>
      <c r="C91">
        <v>0</v>
      </c>
      <c r="D91">
        <v>0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 t="s">
        <v>3284</v>
      </c>
      <c r="M91" t="s">
        <v>3391</v>
      </c>
      <c r="N91" t="s">
        <v>3411</v>
      </c>
      <c r="O91" t="s">
        <v>3412</v>
      </c>
      <c r="P91" t="s">
        <v>3564</v>
      </c>
      <c r="Q91" t="s">
        <v>3565</v>
      </c>
      <c r="R91" t="s">
        <v>3566</v>
      </c>
    </row>
    <row r="92" spans="1:18" x14ac:dyDescent="0.2">
      <c r="A92">
        <v>3350166</v>
      </c>
      <c r="B92" t="s">
        <v>3567</v>
      </c>
      <c r="C92">
        <v>0</v>
      </c>
      <c r="D92">
        <v>0</v>
      </c>
      <c r="E92">
        <v>0</v>
      </c>
      <c r="F92">
        <v>3</v>
      </c>
      <c r="G92">
        <v>9</v>
      </c>
      <c r="H92">
        <v>4</v>
      </c>
      <c r="I92">
        <v>0</v>
      </c>
      <c r="J92">
        <v>1</v>
      </c>
      <c r="K92">
        <v>0</v>
      </c>
      <c r="L92" t="s">
        <v>3284</v>
      </c>
      <c r="M92" t="s">
        <v>3307</v>
      </c>
      <c r="N92" t="s">
        <v>3308</v>
      </c>
      <c r="O92" t="s">
        <v>3359</v>
      </c>
      <c r="P92" t="s">
        <v>3360</v>
      </c>
      <c r="Q92" t="s">
        <v>3568</v>
      </c>
      <c r="R92" t="s">
        <v>3569</v>
      </c>
    </row>
    <row r="93" spans="1:18" x14ac:dyDescent="0.2">
      <c r="A93">
        <v>3350165</v>
      </c>
      <c r="B93" t="s">
        <v>3570</v>
      </c>
      <c r="C93">
        <v>0</v>
      </c>
      <c r="D93">
        <v>0</v>
      </c>
      <c r="E93">
        <v>0</v>
      </c>
      <c r="F93">
        <v>7</v>
      </c>
      <c r="G93">
        <v>5</v>
      </c>
      <c r="H93">
        <v>0</v>
      </c>
      <c r="I93">
        <v>14</v>
      </c>
      <c r="J93">
        <v>9</v>
      </c>
      <c r="K93">
        <v>2</v>
      </c>
      <c r="L93" t="s">
        <v>3284</v>
      </c>
      <c r="M93" t="s">
        <v>3296</v>
      </c>
      <c r="N93" t="s">
        <v>3343</v>
      </c>
      <c r="O93" t="s">
        <v>3344</v>
      </c>
      <c r="P93" t="s">
        <v>3367</v>
      </c>
      <c r="Q93" t="s">
        <v>3368</v>
      </c>
      <c r="R93" t="s">
        <v>3571</v>
      </c>
    </row>
    <row r="94" spans="1:18" x14ac:dyDescent="0.2">
      <c r="A94">
        <v>3349877</v>
      </c>
      <c r="B94" t="s">
        <v>3572</v>
      </c>
      <c r="C94">
        <v>0</v>
      </c>
      <c r="D94">
        <v>0</v>
      </c>
      <c r="E94">
        <v>0</v>
      </c>
      <c r="F94">
        <v>8</v>
      </c>
      <c r="G94">
        <v>3</v>
      </c>
      <c r="H94">
        <v>0</v>
      </c>
      <c r="I94">
        <v>2</v>
      </c>
      <c r="J94">
        <v>0</v>
      </c>
      <c r="K94">
        <v>0</v>
      </c>
      <c r="L94" t="s">
        <v>3284</v>
      </c>
      <c r="M94" t="s">
        <v>3296</v>
      </c>
      <c r="N94" t="s">
        <v>3343</v>
      </c>
      <c r="O94" t="s">
        <v>3349</v>
      </c>
      <c r="P94" t="s">
        <v>3350</v>
      </c>
      <c r="Q94" t="s">
        <v>3351</v>
      </c>
      <c r="R94" t="s">
        <v>3573</v>
      </c>
    </row>
    <row r="95" spans="1:18" x14ac:dyDescent="0.2">
      <c r="A95">
        <v>3349697</v>
      </c>
      <c r="B95" t="s">
        <v>3574</v>
      </c>
      <c r="C95">
        <v>0</v>
      </c>
      <c r="D95">
        <v>0</v>
      </c>
      <c r="E95">
        <v>0</v>
      </c>
      <c r="F95">
        <v>1</v>
      </c>
      <c r="G95">
        <v>1</v>
      </c>
      <c r="H95">
        <v>0</v>
      </c>
      <c r="I95">
        <v>0</v>
      </c>
      <c r="J95">
        <v>0</v>
      </c>
      <c r="K95">
        <v>0</v>
      </c>
      <c r="L95" t="s">
        <v>3284</v>
      </c>
      <c r="M95" t="s">
        <v>3391</v>
      </c>
      <c r="N95" t="s">
        <v>3392</v>
      </c>
      <c r="O95" t="s">
        <v>3393</v>
      </c>
      <c r="P95" t="s">
        <v>3394</v>
      </c>
      <c r="Q95" t="s">
        <v>3395</v>
      </c>
      <c r="R95" t="s">
        <v>3575</v>
      </c>
    </row>
    <row r="96" spans="1:18" x14ac:dyDescent="0.2">
      <c r="A96">
        <v>3349634</v>
      </c>
      <c r="B96" t="s">
        <v>3576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t="s">
        <v>3284</v>
      </c>
      <c r="M96" t="s">
        <v>3296</v>
      </c>
      <c r="N96" t="s">
        <v>3321</v>
      </c>
      <c r="O96" t="s">
        <v>3322</v>
      </c>
      <c r="P96" t="s">
        <v>3323</v>
      </c>
      <c r="Q96" t="s">
        <v>3577</v>
      </c>
      <c r="R96" t="s">
        <v>3578</v>
      </c>
    </row>
    <row r="97" spans="1:18" x14ac:dyDescent="0.2">
      <c r="A97">
        <v>3349434</v>
      </c>
      <c r="B97" t="s">
        <v>3579</v>
      </c>
      <c r="C97">
        <v>0</v>
      </c>
      <c r="D97">
        <v>0</v>
      </c>
      <c r="E97">
        <v>0</v>
      </c>
      <c r="F97">
        <v>0</v>
      </c>
      <c r="G97">
        <v>2</v>
      </c>
      <c r="H97">
        <v>0</v>
      </c>
      <c r="I97">
        <v>0</v>
      </c>
      <c r="J97">
        <v>0</v>
      </c>
      <c r="K97">
        <v>0</v>
      </c>
      <c r="L97" t="s">
        <v>3284</v>
      </c>
      <c r="M97" t="s">
        <v>3296</v>
      </c>
      <c r="N97" t="s">
        <v>3343</v>
      </c>
      <c r="O97" t="s">
        <v>3349</v>
      </c>
      <c r="P97" t="s">
        <v>3350</v>
      </c>
      <c r="Q97" t="s">
        <v>3580</v>
      </c>
      <c r="R97" t="s">
        <v>3581</v>
      </c>
    </row>
    <row r="98" spans="1:18" x14ac:dyDescent="0.2">
      <c r="A98">
        <v>3347168</v>
      </c>
      <c r="B98" t="s">
        <v>3582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0</v>
      </c>
      <c r="K98">
        <v>0</v>
      </c>
      <c r="L98" t="s">
        <v>3284</v>
      </c>
      <c r="M98" t="s">
        <v>3327</v>
      </c>
      <c r="N98" t="s">
        <v>3376</v>
      </c>
      <c r="O98" t="s">
        <v>3377</v>
      </c>
      <c r="P98" t="s">
        <v>3378</v>
      </c>
      <c r="Q98" t="s">
        <v>3583</v>
      </c>
      <c r="R98" t="s">
        <v>3584</v>
      </c>
    </row>
    <row r="99" spans="1:18" x14ac:dyDescent="0.2">
      <c r="A99">
        <v>3347108</v>
      </c>
      <c r="B99" t="s">
        <v>3585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2</v>
      </c>
      <c r="J99">
        <v>2</v>
      </c>
      <c r="K99">
        <v>0</v>
      </c>
      <c r="L99" t="s">
        <v>3284</v>
      </c>
      <c r="M99" t="s">
        <v>3307</v>
      </c>
      <c r="N99" t="s">
        <v>3308</v>
      </c>
      <c r="O99" t="s">
        <v>3359</v>
      </c>
      <c r="P99" t="s">
        <v>3360</v>
      </c>
      <c r="Q99" t="s">
        <v>3364</v>
      </c>
      <c r="R99" t="s">
        <v>3586</v>
      </c>
    </row>
    <row r="100" spans="1:18" x14ac:dyDescent="0.2">
      <c r="A100">
        <v>3347100</v>
      </c>
      <c r="B100" t="s">
        <v>3587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 t="s">
        <v>3284</v>
      </c>
      <c r="M100" t="s">
        <v>3307</v>
      </c>
      <c r="N100" t="s">
        <v>3308</v>
      </c>
      <c r="O100" t="s">
        <v>3359</v>
      </c>
      <c r="P100" t="s">
        <v>3588</v>
      </c>
      <c r="Q100" t="s">
        <v>3589</v>
      </c>
      <c r="R100" t="s">
        <v>3590</v>
      </c>
    </row>
    <row r="101" spans="1:18" x14ac:dyDescent="0.2">
      <c r="A101">
        <v>3346524</v>
      </c>
      <c r="B101" t="s">
        <v>3591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0</v>
      </c>
      <c r="L101" t="s">
        <v>3284</v>
      </c>
      <c r="M101" t="s">
        <v>3307</v>
      </c>
      <c r="N101" t="s">
        <v>3308</v>
      </c>
      <c r="O101" t="s">
        <v>3359</v>
      </c>
      <c r="P101" t="s">
        <v>3360</v>
      </c>
      <c r="Q101" t="s">
        <v>3364</v>
      </c>
      <c r="R101" t="s">
        <v>3592</v>
      </c>
    </row>
    <row r="102" spans="1:18" x14ac:dyDescent="0.2">
      <c r="A102">
        <v>3346475</v>
      </c>
      <c r="B102" t="s">
        <v>3593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</v>
      </c>
      <c r="L102" t="s">
        <v>3284</v>
      </c>
      <c r="M102" t="s">
        <v>3307</v>
      </c>
      <c r="N102" t="s">
        <v>3308</v>
      </c>
      <c r="O102" t="s">
        <v>3359</v>
      </c>
      <c r="P102" t="s">
        <v>3360</v>
      </c>
      <c r="Q102" t="s">
        <v>3361</v>
      </c>
      <c r="R102" t="s">
        <v>3594</v>
      </c>
    </row>
    <row r="103" spans="1:18" x14ac:dyDescent="0.2">
      <c r="A103">
        <v>3346413</v>
      </c>
      <c r="B103" t="s">
        <v>3595</v>
      </c>
      <c r="C103">
        <v>0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t="s">
        <v>3284</v>
      </c>
      <c r="M103" t="s">
        <v>3307</v>
      </c>
      <c r="N103" t="s">
        <v>3308</v>
      </c>
      <c r="O103" t="s">
        <v>3446</v>
      </c>
      <c r="P103" t="s">
        <v>3447</v>
      </c>
      <c r="Q103" t="s">
        <v>3448</v>
      </c>
      <c r="R103" t="s">
        <v>3596</v>
      </c>
    </row>
    <row r="104" spans="1:18" x14ac:dyDescent="0.2">
      <c r="A104">
        <v>3346391</v>
      </c>
      <c r="B104" t="s">
        <v>3597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 t="s">
        <v>3284</v>
      </c>
      <c r="M104" t="s">
        <v>3307</v>
      </c>
      <c r="N104" t="s">
        <v>3308</v>
      </c>
      <c r="O104" t="s">
        <v>3359</v>
      </c>
      <c r="P104" t="s">
        <v>3360</v>
      </c>
      <c r="Q104" t="s">
        <v>3515</v>
      </c>
      <c r="R104" t="s">
        <v>3598</v>
      </c>
    </row>
    <row r="105" spans="1:18" x14ac:dyDescent="0.2">
      <c r="A105">
        <v>3346374</v>
      </c>
      <c r="B105" t="s">
        <v>3599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0</v>
      </c>
      <c r="L105" t="s">
        <v>3284</v>
      </c>
      <c r="M105" t="s">
        <v>3307</v>
      </c>
      <c r="N105" t="s">
        <v>3308</v>
      </c>
      <c r="O105" t="s">
        <v>3359</v>
      </c>
      <c r="P105" t="s">
        <v>3360</v>
      </c>
      <c r="Q105" t="s">
        <v>3515</v>
      </c>
      <c r="R105" t="s">
        <v>3600</v>
      </c>
    </row>
    <row r="106" spans="1:18" x14ac:dyDescent="0.2">
      <c r="A106">
        <v>3346354</v>
      </c>
      <c r="B106" t="s">
        <v>3601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0</v>
      </c>
      <c r="L106" t="s">
        <v>3284</v>
      </c>
      <c r="M106" t="s">
        <v>3307</v>
      </c>
      <c r="N106" t="s">
        <v>3308</v>
      </c>
      <c r="O106" t="s">
        <v>3359</v>
      </c>
      <c r="P106" t="s">
        <v>3360</v>
      </c>
      <c r="Q106" t="s">
        <v>3364</v>
      </c>
      <c r="R106" t="s">
        <v>3602</v>
      </c>
    </row>
    <row r="107" spans="1:18" x14ac:dyDescent="0.2">
      <c r="A107">
        <v>3346330</v>
      </c>
      <c r="B107" t="s">
        <v>3603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t="s">
        <v>3284</v>
      </c>
      <c r="M107" t="s">
        <v>3327</v>
      </c>
      <c r="N107" t="s">
        <v>3376</v>
      </c>
      <c r="O107" t="s">
        <v>3377</v>
      </c>
      <c r="P107" t="s">
        <v>3604</v>
      </c>
      <c r="Q107" t="s">
        <v>3605</v>
      </c>
      <c r="R107" t="s">
        <v>3606</v>
      </c>
    </row>
    <row r="108" spans="1:18" x14ac:dyDescent="0.2">
      <c r="A108">
        <v>3346325</v>
      </c>
      <c r="B108" t="s">
        <v>3607</v>
      </c>
      <c r="C108">
        <v>0</v>
      </c>
      <c r="D108">
        <v>0</v>
      </c>
      <c r="E108">
        <v>4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t="s">
        <v>3284</v>
      </c>
      <c r="M108" t="s">
        <v>3327</v>
      </c>
      <c r="N108" t="s">
        <v>3376</v>
      </c>
      <c r="O108" t="s">
        <v>3377</v>
      </c>
      <c r="P108" t="s">
        <v>3378</v>
      </c>
      <c r="Q108" t="s">
        <v>3608</v>
      </c>
      <c r="R108" t="s">
        <v>3609</v>
      </c>
    </row>
    <row r="109" spans="1:18" x14ac:dyDescent="0.2">
      <c r="A109">
        <v>3346322</v>
      </c>
      <c r="B109" t="s">
        <v>3610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 t="s">
        <v>3284</v>
      </c>
      <c r="M109" t="s">
        <v>3307</v>
      </c>
      <c r="N109" t="s">
        <v>3308</v>
      </c>
      <c r="O109" t="s">
        <v>3359</v>
      </c>
      <c r="P109" t="s">
        <v>3360</v>
      </c>
      <c r="Q109" t="s">
        <v>3364</v>
      </c>
      <c r="R109" t="s">
        <v>3611</v>
      </c>
    </row>
    <row r="110" spans="1:18" x14ac:dyDescent="0.2">
      <c r="A110">
        <v>3346320</v>
      </c>
      <c r="B110" t="s">
        <v>3612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0</v>
      </c>
      <c r="L110" t="s">
        <v>3284</v>
      </c>
      <c r="M110" t="s">
        <v>3307</v>
      </c>
      <c r="N110" t="s">
        <v>3308</v>
      </c>
      <c r="O110" t="s">
        <v>3359</v>
      </c>
      <c r="P110" t="s">
        <v>3360</v>
      </c>
      <c r="Q110" t="s">
        <v>3361</v>
      </c>
      <c r="R110" t="s">
        <v>3613</v>
      </c>
    </row>
    <row r="111" spans="1:18" x14ac:dyDescent="0.2">
      <c r="A111">
        <v>3346298</v>
      </c>
      <c r="B111" t="s">
        <v>3614</v>
      </c>
      <c r="C111">
        <v>0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t="s">
        <v>3284</v>
      </c>
      <c r="M111" t="s">
        <v>3327</v>
      </c>
      <c r="N111" t="s">
        <v>3376</v>
      </c>
      <c r="O111" t="s">
        <v>3377</v>
      </c>
      <c r="P111" t="s">
        <v>3378</v>
      </c>
      <c r="Q111" t="s">
        <v>3615</v>
      </c>
      <c r="R111" t="s">
        <v>3616</v>
      </c>
    </row>
    <row r="112" spans="1:18" x14ac:dyDescent="0.2">
      <c r="A112">
        <v>3346273</v>
      </c>
      <c r="B112" t="s">
        <v>3617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</v>
      </c>
      <c r="L112" t="s">
        <v>3284</v>
      </c>
      <c r="M112" t="s">
        <v>3327</v>
      </c>
      <c r="N112" t="s">
        <v>3376</v>
      </c>
      <c r="O112" t="s">
        <v>3377</v>
      </c>
      <c r="P112" t="s">
        <v>3378</v>
      </c>
      <c r="Q112" t="s">
        <v>3379</v>
      </c>
      <c r="R112" t="s">
        <v>3618</v>
      </c>
    </row>
    <row r="113" spans="1:18" x14ac:dyDescent="0.2">
      <c r="A113">
        <v>3346250</v>
      </c>
      <c r="B113" t="s">
        <v>3619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0</v>
      </c>
      <c r="L113" t="s">
        <v>3284</v>
      </c>
      <c r="M113" t="s">
        <v>3307</v>
      </c>
      <c r="N113" t="s">
        <v>3308</v>
      </c>
      <c r="O113" t="s">
        <v>3382</v>
      </c>
      <c r="P113" t="s">
        <v>3383</v>
      </c>
      <c r="Q113" t="s">
        <v>3543</v>
      </c>
      <c r="R113" t="s">
        <v>3620</v>
      </c>
    </row>
    <row r="114" spans="1:18" x14ac:dyDescent="0.2">
      <c r="A114">
        <v>3346198</v>
      </c>
      <c r="B114" t="s">
        <v>3621</v>
      </c>
      <c r="C114">
        <v>0</v>
      </c>
      <c r="D114">
        <v>0</v>
      </c>
      <c r="E114">
        <v>0</v>
      </c>
      <c r="F114">
        <v>8</v>
      </c>
      <c r="G114">
        <v>6</v>
      </c>
      <c r="H114">
        <v>2</v>
      </c>
      <c r="I114">
        <v>0</v>
      </c>
      <c r="J114">
        <v>0</v>
      </c>
      <c r="K114">
        <v>0</v>
      </c>
      <c r="L114" t="s">
        <v>3284</v>
      </c>
      <c r="M114" t="s">
        <v>3307</v>
      </c>
      <c r="N114" t="s">
        <v>3308</v>
      </c>
      <c r="O114" t="s">
        <v>3359</v>
      </c>
      <c r="P114" t="s">
        <v>3360</v>
      </c>
      <c r="Q114" t="s">
        <v>3361</v>
      </c>
      <c r="R114" t="s">
        <v>3622</v>
      </c>
    </row>
    <row r="115" spans="1:18" x14ac:dyDescent="0.2">
      <c r="A115">
        <v>3346105</v>
      </c>
      <c r="B115" t="s">
        <v>3623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 t="s">
        <v>3284</v>
      </c>
      <c r="M115" t="s">
        <v>3307</v>
      </c>
      <c r="N115" t="s">
        <v>3308</v>
      </c>
      <c r="O115" t="s">
        <v>3359</v>
      </c>
      <c r="P115" t="s">
        <v>3407</v>
      </c>
      <c r="Q115" t="s">
        <v>3624</v>
      </c>
      <c r="R115" t="s">
        <v>3625</v>
      </c>
    </row>
    <row r="116" spans="1:18" x14ac:dyDescent="0.2">
      <c r="A116">
        <v>3346060</v>
      </c>
      <c r="B116" t="s">
        <v>3626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 t="s">
        <v>3284</v>
      </c>
      <c r="M116" t="s">
        <v>3307</v>
      </c>
      <c r="N116" t="s">
        <v>3308</v>
      </c>
      <c r="O116" t="s">
        <v>3446</v>
      </c>
      <c r="P116" t="s">
        <v>3447</v>
      </c>
      <c r="Q116" t="s">
        <v>3448</v>
      </c>
      <c r="R116" t="s">
        <v>3627</v>
      </c>
    </row>
    <row r="117" spans="1:18" x14ac:dyDescent="0.2">
      <c r="A117">
        <v>3346059</v>
      </c>
      <c r="B117" t="s">
        <v>3628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0</v>
      </c>
      <c r="L117" t="s">
        <v>3284</v>
      </c>
      <c r="M117" t="s">
        <v>3307</v>
      </c>
      <c r="N117" t="s">
        <v>3308</v>
      </c>
      <c r="O117" t="s">
        <v>3446</v>
      </c>
      <c r="P117" t="s">
        <v>3447</v>
      </c>
      <c r="Q117" t="s">
        <v>3448</v>
      </c>
      <c r="R117" t="s">
        <v>3629</v>
      </c>
    </row>
    <row r="118" spans="1:18" x14ac:dyDescent="0.2">
      <c r="A118">
        <v>3345965</v>
      </c>
      <c r="B118" t="s">
        <v>3630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 t="s">
        <v>3284</v>
      </c>
      <c r="M118" t="s">
        <v>3307</v>
      </c>
      <c r="N118" t="s">
        <v>3308</v>
      </c>
      <c r="O118" t="s">
        <v>3359</v>
      </c>
      <c r="P118" t="s">
        <v>3407</v>
      </c>
      <c r="Q118" t="s">
        <v>3624</v>
      </c>
      <c r="R118" t="s">
        <v>3631</v>
      </c>
    </row>
    <row r="119" spans="1:18" x14ac:dyDescent="0.2">
      <c r="A119">
        <v>3345867</v>
      </c>
      <c r="B119" t="s">
        <v>3632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t="s">
        <v>3284</v>
      </c>
      <c r="M119" t="s">
        <v>3307</v>
      </c>
      <c r="N119" t="s">
        <v>3308</v>
      </c>
      <c r="O119" t="s">
        <v>3359</v>
      </c>
      <c r="P119" t="s">
        <v>3360</v>
      </c>
      <c r="Q119" t="s">
        <v>3361</v>
      </c>
      <c r="R119" t="s">
        <v>3633</v>
      </c>
    </row>
    <row r="120" spans="1:18" x14ac:dyDescent="0.2">
      <c r="A120">
        <v>3345847</v>
      </c>
      <c r="B120" t="s">
        <v>3634</v>
      </c>
      <c r="C120">
        <v>0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 t="s">
        <v>3284</v>
      </c>
      <c r="M120" t="s">
        <v>3307</v>
      </c>
      <c r="N120" t="s">
        <v>3308</v>
      </c>
      <c r="O120" t="s">
        <v>3635</v>
      </c>
      <c r="P120" t="s">
        <v>3636</v>
      </c>
      <c r="Q120" t="s">
        <v>3637</v>
      </c>
      <c r="R120" t="s">
        <v>3638</v>
      </c>
    </row>
    <row r="121" spans="1:18" x14ac:dyDescent="0.2">
      <c r="A121">
        <v>3344873</v>
      </c>
      <c r="B121" t="s">
        <v>3639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t="s">
        <v>3284</v>
      </c>
      <c r="M121" t="s">
        <v>3327</v>
      </c>
      <c r="N121" t="s">
        <v>3376</v>
      </c>
      <c r="O121" t="s">
        <v>3377</v>
      </c>
      <c r="P121" t="s">
        <v>3378</v>
      </c>
      <c r="Q121" t="s">
        <v>3491</v>
      </c>
      <c r="R121" t="s">
        <v>3640</v>
      </c>
    </row>
    <row r="122" spans="1:18" x14ac:dyDescent="0.2">
      <c r="A122">
        <v>3344660</v>
      </c>
      <c r="B122" t="s">
        <v>3641</v>
      </c>
      <c r="C122">
        <v>0</v>
      </c>
      <c r="D122">
        <v>0</v>
      </c>
      <c r="E122">
        <v>0</v>
      </c>
      <c r="F122">
        <v>3</v>
      </c>
      <c r="G122">
        <v>1</v>
      </c>
      <c r="H122">
        <v>1</v>
      </c>
      <c r="I122">
        <v>0</v>
      </c>
      <c r="J122">
        <v>0</v>
      </c>
      <c r="K122">
        <v>0</v>
      </c>
      <c r="L122" t="s">
        <v>3284</v>
      </c>
      <c r="M122" t="s">
        <v>3391</v>
      </c>
      <c r="N122" t="s">
        <v>3411</v>
      </c>
      <c r="O122" t="s">
        <v>3412</v>
      </c>
      <c r="P122" t="s">
        <v>3413</v>
      </c>
      <c r="Q122" t="s">
        <v>3414</v>
      </c>
      <c r="R122" t="s">
        <v>3642</v>
      </c>
    </row>
    <row r="123" spans="1:18" x14ac:dyDescent="0.2">
      <c r="A123">
        <v>3342798</v>
      </c>
      <c r="B123" t="s">
        <v>3643</v>
      </c>
      <c r="C123">
        <v>0</v>
      </c>
      <c r="D123">
        <v>0</v>
      </c>
      <c r="E123">
        <v>0</v>
      </c>
      <c r="F123">
        <v>2</v>
      </c>
      <c r="G123">
        <v>0</v>
      </c>
      <c r="H123">
        <v>0</v>
      </c>
      <c r="I123">
        <v>0</v>
      </c>
      <c r="J123">
        <v>0</v>
      </c>
      <c r="K123">
        <v>0</v>
      </c>
      <c r="L123" t="s">
        <v>3284</v>
      </c>
      <c r="M123" t="s">
        <v>3307</v>
      </c>
      <c r="N123" t="s">
        <v>3308</v>
      </c>
      <c r="O123" t="s">
        <v>3359</v>
      </c>
      <c r="P123" t="s">
        <v>3360</v>
      </c>
      <c r="Q123" t="s">
        <v>3561</v>
      </c>
      <c r="R123" t="s">
        <v>3644</v>
      </c>
    </row>
    <row r="124" spans="1:18" x14ac:dyDescent="0.2">
      <c r="A124">
        <v>3342796</v>
      </c>
      <c r="B124" t="s">
        <v>3645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0</v>
      </c>
      <c r="L124" t="s">
        <v>3284</v>
      </c>
      <c r="M124" t="s">
        <v>3307</v>
      </c>
      <c r="N124" t="s">
        <v>3308</v>
      </c>
      <c r="O124" t="s">
        <v>3359</v>
      </c>
      <c r="P124" t="s">
        <v>3360</v>
      </c>
      <c r="Q124" t="s">
        <v>3561</v>
      </c>
      <c r="R124" t="s">
        <v>3646</v>
      </c>
    </row>
    <row r="125" spans="1:18" x14ac:dyDescent="0.2">
      <c r="A125">
        <v>3342768</v>
      </c>
      <c r="B125" t="s">
        <v>3647</v>
      </c>
      <c r="C125">
        <v>1</v>
      </c>
      <c r="D125">
        <v>1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 t="s">
        <v>3284</v>
      </c>
      <c r="M125" t="s">
        <v>3327</v>
      </c>
      <c r="N125" t="s">
        <v>3376</v>
      </c>
      <c r="O125" t="s">
        <v>3377</v>
      </c>
      <c r="P125" t="s">
        <v>3271</v>
      </c>
      <c r="Q125" t="s">
        <v>3648</v>
      </c>
      <c r="R125" t="s">
        <v>3649</v>
      </c>
    </row>
    <row r="126" spans="1:18" x14ac:dyDescent="0.2">
      <c r="A126">
        <v>3342640</v>
      </c>
      <c r="B126" t="s">
        <v>3650</v>
      </c>
      <c r="C126">
        <v>0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0</v>
      </c>
      <c r="K126">
        <v>0</v>
      </c>
      <c r="L126" t="s">
        <v>3284</v>
      </c>
      <c r="M126" t="s">
        <v>3296</v>
      </c>
      <c r="N126" t="s">
        <v>3343</v>
      </c>
      <c r="O126" t="s">
        <v>3429</v>
      </c>
      <c r="P126" t="s">
        <v>3430</v>
      </c>
      <c r="Q126" t="s">
        <v>3651</v>
      </c>
      <c r="R126" t="s">
        <v>3652</v>
      </c>
    </row>
    <row r="127" spans="1:18" x14ac:dyDescent="0.2">
      <c r="A127">
        <v>3342637</v>
      </c>
      <c r="B127" t="s">
        <v>3653</v>
      </c>
      <c r="C127">
        <v>0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 t="s">
        <v>3284</v>
      </c>
      <c r="M127" t="s">
        <v>3296</v>
      </c>
      <c r="N127" t="s">
        <v>3343</v>
      </c>
      <c r="O127" t="s">
        <v>3371</v>
      </c>
      <c r="P127" t="s">
        <v>3372</v>
      </c>
      <c r="Q127" t="s">
        <v>3373</v>
      </c>
      <c r="R127" t="s">
        <v>3654</v>
      </c>
    </row>
    <row r="128" spans="1:18" x14ac:dyDescent="0.2">
      <c r="A128">
        <v>3342379</v>
      </c>
      <c r="B128" t="s">
        <v>3655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2</v>
      </c>
      <c r="L128" t="s">
        <v>3284</v>
      </c>
      <c r="M128" t="s">
        <v>3296</v>
      </c>
      <c r="N128" t="s">
        <v>3343</v>
      </c>
      <c r="O128" t="s">
        <v>3344</v>
      </c>
      <c r="P128" t="s">
        <v>3355</v>
      </c>
      <c r="Q128" t="s">
        <v>3656</v>
      </c>
      <c r="R128" t="s">
        <v>3657</v>
      </c>
    </row>
    <row r="129" spans="1:18" x14ac:dyDescent="0.2">
      <c r="A129">
        <v>3342097</v>
      </c>
      <c r="B129" t="s">
        <v>3658</v>
      </c>
      <c r="C129">
        <v>0</v>
      </c>
      <c r="D129">
        <v>0</v>
      </c>
      <c r="E129">
        <v>0</v>
      </c>
      <c r="F129">
        <v>5</v>
      </c>
      <c r="G129">
        <v>2</v>
      </c>
      <c r="H129">
        <v>0</v>
      </c>
      <c r="I129">
        <v>0</v>
      </c>
      <c r="J129">
        <v>0</v>
      </c>
      <c r="K129">
        <v>0</v>
      </c>
      <c r="L129" t="s">
        <v>3284</v>
      </c>
      <c r="M129" t="s">
        <v>3296</v>
      </c>
      <c r="N129" t="s">
        <v>3321</v>
      </c>
      <c r="O129" t="s">
        <v>3322</v>
      </c>
      <c r="P129" t="s">
        <v>3398</v>
      </c>
      <c r="Q129" t="s">
        <v>3399</v>
      </c>
      <c r="R129" t="s">
        <v>3659</v>
      </c>
    </row>
    <row r="130" spans="1:18" x14ac:dyDescent="0.2">
      <c r="A130">
        <v>3342077</v>
      </c>
      <c r="B130" t="s">
        <v>3660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1</v>
      </c>
      <c r="K130">
        <v>2</v>
      </c>
      <c r="L130" t="s">
        <v>3284</v>
      </c>
      <c r="M130" t="s">
        <v>3296</v>
      </c>
      <c r="N130" t="s">
        <v>3343</v>
      </c>
      <c r="O130" t="s">
        <v>3344</v>
      </c>
      <c r="P130" t="s">
        <v>3661</v>
      </c>
      <c r="Q130" t="s">
        <v>3662</v>
      </c>
      <c r="R130" t="s">
        <v>3663</v>
      </c>
    </row>
    <row r="131" spans="1:18" x14ac:dyDescent="0.2">
      <c r="A131">
        <v>3317345</v>
      </c>
      <c r="B131" t="s">
        <v>3664</v>
      </c>
      <c r="C131">
        <v>0</v>
      </c>
      <c r="D131">
        <v>0</v>
      </c>
      <c r="E131">
        <v>0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 t="s">
        <v>3284</v>
      </c>
      <c r="M131" t="s">
        <v>3296</v>
      </c>
      <c r="N131" t="s">
        <v>3321</v>
      </c>
      <c r="O131" t="s">
        <v>3322</v>
      </c>
      <c r="P131" t="s">
        <v>3323</v>
      </c>
      <c r="Q131" t="s">
        <v>3665</v>
      </c>
      <c r="R131" t="s">
        <v>3666</v>
      </c>
    </row>
    <row r="132" spans="1:18" x14ac:dyDescent="0.2">
      <c r="A132">
        <v>3317342</v>
      </c>
      <c r="B132" t="s">
        <v>3667</v>
      </c>
      <c r="C132">
        <v>1</v>
      </c>
      <c r="D132">
        <v>0</v>
      </c>
      <c r="E132">
        <v>3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 t="s">
        <v>3284</v>
      </c>
      <c r="M132" t="s">
        <v>3327</v>
      </c>
      <c r="N132" t="s">
        <v>3376</v>
      </c>
      <c r="O132" t="s">
        <v>3377</v>
      </c>
      <c r="P132" t="s">
        <v>3604</v>
      </c>
      <c r="Q132" t="s">
        <v>3668</v>
      </c>
      <c r="R132" t="s">
        <v>3669</v>
      </c>
    </row>
    <row r="133" spans="1:18" x14ac:dyDescent="0.2">
      <c r="A133">
        <v>3299031</v>
      </c>
      <c r="B133" t="s">
        <v>3670</v>
      </c>
      <c r="C133">
        <v>0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 t="s">
        <v>3284</v>
      </c>
      <c r="M133" t="s">
        <v>3296</v>
      </c>
      <c r="N133" t="s">
        <v>3321</v>
      </c>
      <c r="O133" t="s">
        <v>3322</v>
      </c>
      <c r="P133" t="s">
        <v>3671</v>
      </c>
      <c r="Q133" t="s">
        <v>3672</v>
      </c>
      <c r="R133" t="s">
        <v>3673</v>
      </c>
    </row>
    <row r="134" spans="1:18" x14ac:dyDescent="0.2">
      <c r="A134">
        <v>3299030</v>
      </c>
      <c r="B134" t="s">
        <v>3674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 t="s">
        <v>3284</v>
      </c>
      <c r="M134" t="s">
        <v>3296</v>
      </c>
      <c r="N134" t="s">
        <v>3321</v>
      </c>
      <c r="O134" t="s">
        <v>3322</v>
      </c>
      <c r="P134" t="s">
        <v>3671</v>
      </c>
      <c r="Q134" t="s">
        <v>3672</v>
      </c>
      <c r="R134" t="s">
        <v>3675</v>
      </c>
    </row>
    <row r="135" spans="1:18" x14ac:dyDescent="0.2">
      <c r="A135">
        <v>3299029</v>
      </c>
      <c r="B135" t="s">
        <v>3676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 t="s">
        <v>3284</v>
      </c>
      <c r="M135" t="s">
        <v>3296</v>
      </c>
      <c r="N135" t="s">
        <v>3321</v>
      </c>
      <c r="O135" t="s">
        <v>3322</v>
      </c>
      <c r="P135" t="s">
        <v>3671</v>
      </c>
      <c r="Q135" t="s">
        <v>3672</v>
      </c>
      <c r="R135" t="s">
        <v>3677</v>
      </c>
    </row>
    <row r="136" spans="1:18" x14ac:dyDescent="0.2">
      <c r="A136">
        <v>3299026</v>
      </c>
      <c r="B136" t="s">
        <v>3678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0</v>
      </c>
      <c r="K136">
        <v>0</v>
      </c>
      <c r="L136" t="s">
        <v>3284</v>
      </c>
      <c r="M136" t="s">
        <v>3296</v>
      </c>
      <c r="N136" t="s">
        <v>3321</v>
      </c>
      <c r="O136" t="s">
        <v>3322</v>
      </c>
      <c r="P136" t="s">
        <v>3671</v>
      </c>
      <c r="Q136" t="s">
        <v>3672</v>
      </c>
      <c r="R136" t="s">
        <v>3679</v>
      </c>
    </row>
    <row r="137" spans="1:18" x14ac:dyDescent="0.2">
      <c r="A137">
        <v>3299025</v>
      </c>
      <c r="B137" t="s">
        <v>3680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0</v>
      </c>
      <c r="K137">
        <v>0</v>
      </c>
      <c r="L137" t="s">
        <v>3284</v>
      </c>
      <c r="M137" t="s">
        <v>3296</v>
      </c>
      <c r="N137" t="s">
        <v>3321</v>
      </c>
      <c r="O137" t="s">
        <v>3322</v>
      </c>
      <c r="P137" t="s">
        <v>3671</v>
      </c>
      <c r="Q137" t="s">
        <v>3672</v>
      </c>
      <c r="R137" t="s">
        <v>3681</v>
      </c>
    </row>
    <row r="138" spans="1:18" x14ac:dyDescent="0.2">
      <c r="A138">
        <v>3298610</v>
      </c>
      <c r="B138" t="s">
        <v>3682</v>
      </c>
      <c r="C138">
        <v>4</v>
      </c>
      <c r="D138">
        <v>7</v>
      </c>
      <c r="E138">
        <v>7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 t="s">
        <v>3284</v>
      </c>
      <c r="M138" t="s">
        <v>3327</v>
      </c>
      <c r="N138" t="s">
        <v>3328</v>
      </c>
      <c r="O138" t="s">
        <v>3329</v>
      </c>
      <c r="P138" t="s">
        <v>3330</v>
      </c>
      <c r="Q138" t="s">
        <v>3683</v>
      </c>
      <c r="R138" t="s">
        <v>3684</v>
      </c>
    </row>
    <row r="139" spans="1:18" x14ac:dyDescent="0.2">
      <c r="A139">
        <v>3298609</v>
      </c>
      <c r="B139" t="s">
        <v>3685</v>
      </c>
      <c r="C139">
        <v>2</v>
      </c>
      <c r="D139">
        <v>10</v>
      </c>
      <c r="E139">
        <v>3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 t="s">
        <v>3284</v>
      </c>
      <c r="M139" t="s">
        <v>3327</v>
      </c>
      <c r="N139" t="s">
        <v>3328</v>
      </c>
      <c r="O139" t="s">
        <v>3329</v>
      </c>
      <c r="P139" t="s">
        <v>3330</v>
      </c>
      <c r="Q139" t="s">
        <v>3683</v>
      </c>
      <c r="R139" t="s">
        <v>3686</v>
      </c>
    </row>
    <row r="140" spans="1:18" x14ac:dyDescent="0.2">
      <c r="A140">
        <v>3276282</v>
      </c>
      <c r="B140" t="s">
        <v>3687</v>
      </c>
      <c r="C140">
        <v>0</v>
      </c>
      <c r="D140">
        <v>1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 t="s">
        <v>3284</v>
      </c>
      <c r="M140" t="s">
        <v>3296</v>
      </c>
      <c r="N140" t="s">
        <v>3343</v>
      </c>
      <c r="O140" t="s">
        <v>3371</v>
      </c>
      <c r="P140" t="s">
        <v>3688</v>
      </c>
      <c r="Q140" t="s">
        <v>3689</v>
      </c>
      <c r="R140" t="s">
        <v>3690</v>
      </c>
    </row>
    <row r="141" spans="1:18" x14ac:dyDescent="0.2">
      <c r="A141">
        <v>3276279</v>
      </c>
      <c r="B141" t="s">
        <v>3691</v>
      </c>
      <c r="C141">
        <v>0</v>
      </c>
      <c r="D141">
        <v>2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 t="s">
        <v>3284</v>
      </c>
      <c r="M141" t="s">
        <v>3296</v>
      </c>
      <c r="N141" t="s">
        <v>3343</v>
      </c>
      <c r="O141" t="s">
        <v>3344</v>
      </c>
      <c r="P141" t="s">
        <v>3355</v>
      </c>
      <c r="Q141" t="s">
        <v>3356</v>
      </c>
      <c r="R141" t="s">
        <v>3692</v>
      </c>
    </row>
    <row r="142" spans="1:18" x14ac:dyDescent="0.2">
      <c r="A142">
        <v>3273425</v>
      </c>
      <c r="B142" t="s">
        <v>3693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2</v>
      </c>
      <c r="J142">
        <v>0</v>
      </c>
      <c r="K142">
        <v>1</v>
      </c>
      <c r="L142" t="s">
        <v>3284</v>
      </c>
      <c r="M142" t="s">
        <v>3296</v>
      </c>
      <c r="N142" t="s">
        <v>3343</v>
      </c>
      <c r="O142" t="s">
        <v>3429</v>
      </c>
      <c r="P142" t="s">
        <v>3430</v>
      </c>
      <c r="Q142" t="s">
        <v>3651</v>
      </c>
      <c r="R142" t="s">
        <v>3694</v>
      </c>
    </row>
    <row r="143" spans="1:18" x14ac:dyDescent="0.2">
      <c r="A143">
        <v>3273424</v>
      </c>
      <c r="B143" t="s">
        <v>3695</v>
      </c>
      <c r="C143">
        <v>3</v>
      </c>
      <c r="D143">
        <v>3</v>
      </c>
      <c r="E143">
        <v>2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 t="s">
        <v>3284</v>
      </c>
      <c r="M143" t="s">
        <v>3296</v>
      </c>
      <c r="N143" t="s">
        <v>3321</v>
      </c>
      <c r="O143" t="s">
        <v>3322</v>
      </c>
      <c r="P143" t="s">
        <v>3398</v>
      </c>
      <c r="Q143" t="s">
        <v>3696</v>
      </c>
      <c r="R143" t="s">
        <v>3697</v>
      </c>
    </row>
    <row r="144" spans="1:18" x14ac:dyDescent="0.2">
      <c r="A144">
        <v>3273423</v>
      </c>
      <c r="B144" t="s">
        <v>3698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 t="s">
        <v>3284</v>
      </c>
      <c r="M144" t="s">
        <v>3307</v>
      </c>
      <c r="N144" t="s">
        <v>3308</v>
      </c>
      <c r="O144" t="s">
        <v>3699</v>
      </c>
      <c r="P144" t="s">
        <v>3700</v>
      </c>
      <c r="Q144" t="s">
        <v>3701</v>
      </c>
      <c r="R144" t="s">
        <v>3702</v>
      </c>
    </row>
    <row r="145" spans="1:18" x14ac:dyDescent="0.2">
      <c r="A145">
        <v>3273420</v>
      </c>
      <c r="B145" t="s">
        <v>3703</v>
      </c>
      <c r="C145">
        <v>0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 t="s">
        <v>3284</v>
      </c>
      <c r="M145" t="s">
        <v>3307</v>
      </c>
      <c r="N145" t="s">
        <v>3308</v>
      </c>
      <c r="O145" t="s">
        <v>3494</v>
      </c>
      <c r="P145" t="s">
        <v>3495</v>
      </c>
      <c r="Q145" t="s">
        <v>3704</v>
      </c>
      <c r="R145" t="s">
        <v>3705</v>
      </c>
    </row>
    <row r="146" spans="1:18" x14ac:dyDescent="0.2">
      <c r="A146">
        <v>3273409</v>
      </c>
      <c r="B146" t="s">
        <v>3706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2</v>
      </c>
      <c r="K146">
        <v>0</v>
      </c>
      <c r="L146" t="s">
        <v>3284</v>
      </c>
      <c r="M146" t="s">
        <v>3307</v>
      </c>
      <c r="N146" t="s">
        <v>3308</v>
      </c>
      <c r="O146" t="s">
        <v>3309</v>
      </c>
      <c r="P146" t="s">
        <v>3310</v>
      </c>
      <c r="Q146" t="s">
        <v>3311</v>
      </c>
      <c r="R146" t="s">
        <v>3707</v>
      </c>
    </row>
    <row r="147" spans="1:18" x14ac:dyDescent="0.2">
      <c r="A147">
        <v>3273390</v>
      </c>
      <c r="B147" t="s">
        <v>3708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3</v>
      </c>
      <c r="J147">
        <v>2</v>
      </c>
      <c r="K147">
        <v>1</v>
      </c>
      <c r="L147" t="s">
        <v>3284</v>
      </c>
      <c r="M147" t="s">
        <v>3296</v>
      </c>
      <c r="N147" t="s">
        <v>3343</v>
      </c>
      <c r="O147" t="s">
        <v>3429</v>
      </c>
      <c r="P147" t="s">
        <v>3430</v>
      </c>
      <c r="Q147" t="s">
        <v>3709</v>
      </c>
      <c r="R147" t="s">
        <v>3710</v>
      </c>
    </row>
    <row r="148" spans="1:18" x14ac:dyDescent="0.2">
      <c r="A148">
        <v>3273386</v>
      </c>
      <c r="B148" t="s">
        <v>3711</v>
      </c>
      <c r="C148">
        <v>0</v>
      </c>
      <c r="D148">
        <v>0</v>
      </c>
      <c r="E148">
        <v>0</v>
      </c>
      <c r="F148">
        <v>2</v>
      </c>
      <c r="G148">
        <v>0</v>
      </c>
      <c r="H148">
        <v>0</v>
      </c>
      <c r="I148">
        <v>0</v>
      </c>
      <c r="J148">
        <v>0</v>
      </c>
      <c r="K148">
        <v>0</v>
      </c>
      <c r="L148" t="s">
        <v>3284</v>
      </c>
      <c r="M148" t="s">
        <v>3296</v>
      </c>
      <c r="N148" t="s">
        <v>3343</v>
      </c>
      <c r="O148" t="s">
        <v>3402</v>
      </c>
      <c r="P148" t="s">
        <v>3403</v>
      </c>
      <c r="Q148" t="s">
        <v>3536</v>
      </c>
      <c r="R148" t="s">
        <v>3712</v>
      </c>
    </row>
    <row r="149" spans="1:18" x14ac:dyDescent="0.2">
      <c r="A149">
        <v>3273376</v>
      </c>
      <c r="B149" t="s">
        <v>3713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0</v>
      </c>
      <c r="K149">
        <v>0</v>
      </c>
      <c r="L149" t="s">
        <v>3284</v>
      </c>
      <c r="M149" t="s">
        <v>3307</v>
      </c>
      <c r="N149" t="s">
        <v>3308</v>
      </c>
      <c r="O149" t="s">
        <v>3494</v>
      </c>
      <c r="P149" t="s">
        <v>3495</v>
      </c>
      <c r="Q149" t="s">
        <v>3553</v>
      </c>
      <c r="R149" t="s">
        <v>3714</v>
      </c>
    </row>
    <row r="150" spans="1:18" x14ac:dyDescent="0.2">
      <c r="A150">
        <v>3252650</v>
      </c>
      <c r="B150" t="s">
        <v>3715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0</v>
      </c>
      <c r="K150">
        <v>0</v>
      </c>
      <c r="L150" t="s">
        <v>3284</v>
      </c>
      <c r="M150" t="s">
        <v>3296</v>
      </c>
      <c r="N150" t="s">
        <v>3297</v>
      </c>
      <c r="O150" t="s">
        <v>3434</v>
      </c>
      <c r="P150" t="s">
        <v>3435</v>
      </c>
      <c r="Q150" t="s">
        <v>3436</v>
      </c>
      <c r="R150" t="s">
        <v>3716</v>
      </c>
    </row>
    <row r="151" spans="1:18" x14ac:dyDescent="0.2">
      <c r="A151">
        <v>3252642</v>
      </c>
      <c r="B151" t="s">
        <v>3717</v>
      </c>
      <c r="C151">
        <v>0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0</v>
      </c>
      <c r="K151">
        <v>0</v>
      </c>
      <c r="L151" t="s">
        <v>3284</v>
      </c>
      <c r="M151" t="s">
        <v>3327</v>
      </c>
      <c r="N151" t="s">
        <v>3376</v>
      </c>
      <c r="O151" t="s">
        <v>3718</v>
      </c>
      <c r="P151" t="s">
        <v>3719</v>
      </c>
      <c r="Q151" t="s">
        <v>3720</v>
      </c>
      <c r="R151" t="s">
        <v>3721</v>
      </c>
    </row>
    <row r="152" spans="1:18" x14ac:dyDescent="0.2">
      <c r="A152">
        <v>3248839</v>
      </c>
      <c r="B152" t="s">
        <v>3722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3</v>
      </c>
      <c r="J152">
        <v>0</v>
      </c>
      <c r="K152">
        <v>0</v>
      </c>
      <c r="L152" t="s">
        <v>3284</v>
      </c>
      <c r="M152" t="s">
        <v>3307</v>
      </c>
      <c r="N152" t="s">
        <v>3308</v>
      </c>
      <c r="O152" t="s">
        <v>3359</v>
      </c>
      <c r="P152" t="s">
        <v>3360</v>
      </c>
      <c r="Q152" t="s">
        <v>3361</v>
      </c>
      <c r="R152" t="s">
        <v>3723</v>
      </c>
    </row>
    <row r="153" spans="1:18" x14ac:dyDescent="0.2">
      <c r="A153">
        <v>3243765</v>
      </c>
      <c r="B153" t="s">
        <v>3724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0</v>
      </c>
      <c r="K153">
        <v>0</v>
      </c>
      <c r="L153" t="s">
        <v>3284</v>
      </c>
      <c r="M153" t="s">
        <v>3307</v>
      </c>
      <c r="N153" t="s">
        <v>3308</v>
      </c>
      <c r="O153" t="s">
        <v>3359</v>
      </c>
      <c r="P153" t="s">
        <v>3360</v>
      </c>
      <c r="Q153" t="s">
        <v>3364</v>
      </c>
      <c r="R153" t="s">
        <v>3725</v>
      </c>
    </row>
    <row r="154" spans="1:18" x14ac:dyDescent="0.2">
      <c r="A154">
        <v>3243581</v>
      </c>
      <c r="B154" t="s">
        <v>3726</v>
      </c>
      <c r="C154">
        <v>0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</v>
      </c>
      <c r="L154" t="s">
        <v>3284</v>
      </c>
      <c r="M154" t="s">
        <v>3296</v>
      </c>
      <c r="N154" t="s">
        <v>3343</v>
      </c>
      <c r="O154" t="s">
        <v>3344</v>
      </c>
      <c r="P154" t="s">
        <v>3727</v>
      </c>
      <c r="Q154" t="s">
        <v>3728</v>
      </c>
      <c r="R154" t="s">
        <v>3729</v>
      </c>
    </row>
    <row r="155" spans="1:18" x14ac:dyDescent="0.2">
      <c r="A155">
        <v>3242875</v>
      </c>
      <c r="B155" t="s">
        <v>3730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0</v>
      </c>
      <c r="K155">
        <v>0</v>
      </c>
      <c r="L155" t="s">
        <v>3284</v>
      </c>
      <c r="M155" t="s">
        <v>3327</v>
      </c>
      <c r="N155" t="s">
        <v>3376</v>
      </c>
      <c r="O155" t="s">
        <v>3377</v>
      </c>
      <c r="P155" t="s">
        <v>3378</v>
      </c>
      <c r="Q155" t="s">
        <v>3379</v>
      </c>
      <c r="R155" t="s">
        <v>3731</v>
      </c>
    </row>
    <row r="156" spans="1:18" x14ac:dyDescent="0.2">
      <c r="A156">
        <v>3242696</v>
      </c>
      <c r="B156" t="s">
        <v>3732</v>
      </c>
      <c r="C156">
        <v>0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 t="s">
        <v>3284</v>
      </c>
      <c r="M156" t="s">
        <v>3327</v>
      </c>
      <c r="N156" t="s">
        <v>3376</v>
      </c>
      <c r="O156" t="s">
        <v>3377</v>
      </c>
      <c r="P156" t="s">
        <v>3378</v>
      </c>
      <c r="Q156" t="s">
        <v>3733</v>
      </c>
      <c r="R156" t="s">
        <v>3734</v>
      </c>
    </row>
    <row r="157" spans="1:18" x14ac:dyDescent="0.2">
      <c r="A157">
        <v>3242681</v>
      </c>
      <c r="B157" t="s">
        <v>3735</v>
      </c>
      <c r="C157">
        <v>0</v>
      </c>
      <c r="D157">
        <v>0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0</v>
      </c>
      <c r="L157" t="s">
        <v>3284</v>
      </c>
      <c r="M157" t="s">
        <v>3327</v>
      </c>
      <c r="N157" t="s">
        <v>3376</v>
      </c>
      <c r="O157" t="s">
        <v>3377</v>
      </c>
      <c r="P157" t="s">
        <v>3604</v>
      </c>
      <c r="Q157" t="s">
        <v>3668</v>
      </c>
      <c r="R157" t="s">
        <v>3736</v>
      </c>
    </row>
    <row r="158" spans="1:18" x14ac:dyDescent="0.2">
      <c r="A158">
        <v>3242490</v>
      </c>
      <c r="B158" t="s">
        <v>3737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 t="s">
        <v>3284</v>
      </c>
      <c r="M158" t="s">
        <v>3307</v>
      </c>
      <c r="N158" t="s">
        <v>3308</v>
      </c>
      <c r="O158" t="s">
        <v>3309</v>
      </c>
      <c r="P158" t="s">
        <v>3310</v>
      </c>
      <c r="Q158" t="s">
        <v>3311</v>
      </c>
      <c r="R158" t="s">
        <v>3738</v>
      </c>
    </row>
    <row r="159" spans="1:18" x14ac:dyDescent="0.2">
      <c r="A159">
        <v>3242486</v>
      </c>
      <c r="B159" t="s">
        <v>3739</v>
      </c>
      <c r="C159">
        <v>0</v>
      </c>
      <c r="D159">
        <v>0</v>
      </c>
      <c r="E159">
        <v>0</v>
      </c>
      <c r="F159">
        <v>1</v>
      </c>
      <c r="G159">
        <v>1</v>
      </c>
      <c r="H159">
        <v>0</v>
      </c>
      <c r="I159">
        <v>0</v>
      </c>
      <c r="J159">
        <v>0</v>
      </c>
      <c r="K159">
        <v>0</v>
      </c>
      <c r="L159" t="s">
        <v>3284</v>
      </c>
      <c r="M159" t="s">
        <v>3391</v>
      </c>
      <c r="N159" t="s">
        <v>3740</v>
      </c>
      <c r="O159" t="s">
        <v>3741</v>
      </c>
      <c r="P159" t="s">
        <v>3742</v>
      </c>
      <c r="Q159" t="s">
        <v>3743</v>
      </c>
      <c r="R159" t="s">
        <v>3744</v>
      </c>
    </row>
    <row r="160" spans="1:18" x14ac:dyDescent="0.2">
      <c r="A160">
        <v>3242485</v>
      </c>
      <c r="B160" t="s">
        <v>3745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 t="s">
        <v>3284</v>
      </c>
      <c r="M160" t="s">
        <v>3391</v>
      </c>
      <c r="N160" t="s">
        <v>3740</v>
      </c>
      <c r="O160" t="s">
        <v>3741</v>
      </c>
      <c r="P160" t="s">
        <v>3742</v>
      </c>
      <c r="Q160" t="s">
        <v>3743</v>
      </c>
      <c r="R160" t="s">
        <v>3746</v>
      </c>
    </row>
    <row r="161" spans="1:18" x14ac:dyDescent="0.2">
      <c r="A161">
        <v>3242475</v>
      </c>
      <c r="B161" t="s">
        <v>3747</v>
      </c>
      <c r="C161">
        <v>12</v>
      </c>
      <c r="D161">
        <v>4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 t="s">
        <v>3284</v>
      </c>
      <c r="M161" t="s">
        <v>3327</v>
      </c>
      <c r="N161" t="s">
        <v>3376</v>
      </c>
      <c r="O161" t="s">
        <v>3377</v>
      </c>
      <c r="P161" t="s">
        <v>3604</v>
      </c>
      <c r="Q161" t="s">
        <v>3668</v>
      </c>
      <c r="R161" t="s">
        <v>3748</v>
      </c>
    </row>
    <row r="162" spans="1:18" x14ac:dyDescent="0.2">
      <c r="A162">
        <v>3242473</v>
      </c>
      <c r="B162" t="s">
        <v>3749</v>
      </c>
      <c r="C162">
        <v>1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 t="s">
        <v>3284</v>
      </c>
      <c r="M162" t="s">
        <v>3327</v>
      </c>
      <c r="N162" t="s">
        <v>3376</v>
      </c>
      <c r="O162" t="s">
        <v>3377</v>
      </c>
      <c r="P162" t="s">
        <v>3378</v>
      </c>
      <c r="Q162" t="s">
        <v>3750</v>
      </c>
      <c r="R162" t="s">
        <v>3751</v>
      </c>
    </row>
    <row r="163" spans="1:18" x14ac:dyDescent="0.2">
      <c r="A163">
        <v>3242472</v>
      </c>
      <c r="B163" t="s">
        <v>3752</v>
      </c>
      <c r="C163">
        <v>0</v>
      </c>
      <c r="D163">
        <v>0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 t="s">
        <v>3284</v>
      </c>
      <c r="M163" t="s">
        <v>3327</v>
      </c>
      <c r="N163" t="s">
        <v>3753</v>
      </c>
      <c r="O163" t="s">
        <v>3754</v>
      </c>
      <c r="P163" t="s">
        <v>3755</v>
      </c>
      <c r="Q163" t="s">
        <v>3756</v>
      </c>
      <c r="R163" t="s">
        <v>3757</v>
      </c>
    </row>
    <row r="164" spans="1:18" x14ac:dyDescent="0.2">
      <c r="A164">
        <v>3242192</v>
      </c>
      <c r="B164" t="s">
        <v>3758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</v>
      </c>
      <c r="L164" t="s">
        <v>3284</v>
      </c>
      <c r="M164" t="s">
        <v>3307</v>
      </c>
      <c r="N164" t="s">
        <v>3308</v>
      </c>
      <c r="O164" t="s">
        <v>3359</v>
      </c>
      <c r="P164" t="s">
        <v>3360</v>
      </c>
      <c r="Q164" t="s">
        <v>3361</v>
      </c>
      <c r="R164" t="s">
        <v>3759</v>
      </c>
    </row>
    <row r="165" spans="1:18" x14ac:dyDescent="0.2">
      <c r="A165">
        <v>3240932</v>
      </c>
      <c r="B165" t="s">
        <v>3760</v>
      </c>
      <c r="C165">
        <v>3</v>
      </c>
      <c r="D165">
        <v>1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 t="s">
        <v>3284</v>
      </c>
      <c r="M165" t="s">
        <v>3327</v>
      </c>
      <c r="N165" t="s">
        <v>3328</v>
      </c>
      <c r="O165" t="s">
        <v>3329</v>
      </c>
      <c r="P165" t="s">
        <v>3330</v>
      </c>
      <c r="Q165" t="s">
        <v>3331</v>
      </c>
      <c r="R165" t="s">
        <v>3761</v>
      </c>
    </row>
    <row r="166" spans="1:18" x14ac:dyDescent="0.2">
      <c r="A166">
        <v>3240280</v>
      </c>
      <c r="B166" t="s">
        <v>3762</v>
      </c>
      <c r="C166">
        <v>1</v>
      </c>
      <c r="D166">
        <v>0</v>
      </c>
      <c r="E166">
        <v>1</v>
      </c>
      <c r="F166">
        <v>0</v>
      </c>
      <c r="G166">
        <v>0</v>
      </c>
      <c r="H166">
        <v>0</v>
      </c>
      <c r="I166">
        <v>21</v>
      </c>
      <c r="J166">
        <v>12</v>
      </c>
      <c r="K166">
        <v>13</v>
      </c>
      <c r="L166" t="s">
        <v>3284</v>
      </c>
      <c r="M166" t="s">
        <v>3327</v>
      </c>
      <c r="N166" t="s">
        <v>3376</v>
      </c>
      <c r="O166" t="s">
        <v>3377</v>
      </c>
      <c r="P166" t="s">
        <v>3378</v>
      </c>
      <c r="Q166" t="s">
        <v>3608</v>
      </c>
      <c r="R166" t="s">
        <v>3763</v>
      </c>
    </row>
    <row r="167" spans="1:18" x14ac:dyDescent="0.2">
      <c r="A167">
        <v>3240103</v>
      </c>
      <c r="B167" t="s">
        <v>3764</v>
      </c>
      <c r="C167">
        <v>0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 t="s">
        <v>3284</v>
      </c>
      <c r="M167" t="s">
        <v>3391</v>
      </c>
      <c r="N167" t="s">
        <v>3765</v>
      </c>
      <c r="O167" t="s">
        <v>3766</v>
      </c>
      <c r="P167" t="s">
        <v>3767</v>
      </c>
      <c r="Q167" t="s">
        <v>3768</v>
      </c>
      <c r="R167" t="s">
        <v>3769</v>
      </c>
    </row>
    <row r="168" spans="1:18" x14ac:dyDescent="0.2">
      <c r="A168">
        <v>3239228</v>
      </c>
      <c r="B168" t="s">
        <v>3770</v>
      </c>
      <c r="C168">
        <v>0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1</v>
      </c>
      <c r="J168">
        <v>1</v>
      </c>
      <c r="K168">
        <v>0</v>
      </c>
      <c r="L168" t="s">
        <v>3284</v>
      </c>
      <c r="M168" t="s">
        <v>3296</v>
      </c>
      <c r="N168" t="s">
        <v>3343</v>
      </c>
      <c r="O168" t="s">
        <v>3344</v>
      </c>
      <c r="P168" t="s">
        <v>3367</v>
      </c>
      <c r="Q168" t="s">
        <v>3368</v>
      </c>
      <c r="R168" t="s">
        <v>3771</v>
      </c>
    </row>
    <row r="169" spans="1:18" x14ac:dyDescent="0.2">
      <c r="A169">
        <v>3239219</v>
      </c>
      <c r="B169" t="s">
        <v>3772</v>
      </c>
      <c r="C169">
        <v>0</v>
      </c>
      <c r="D169">
        <v>0</v>
      </c>
      <c r="E169">
        <v>0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0</v>
      </c>
      <c r="L169" t="s">
        <v>3284</v>
      </c>
      <c r="M169" t="s">
        <v>3296</v>
      </c>
      <c r="N169" t="s">
        <v>3343</v>
      </c>
      <c r="O169" t="s">
        <v>3344</v>
      </c>
      <c r="P169" t="s">
        <v>3355</v>
      </c>
      <c r="Q169" t="s">
        <v>3356</v>
      </c>
      <c r="R169" t="s">
        <v>3773</v>
      </c>
    </row>
    <row r="170" spans="1:18" x14ac:dyDescent="0.2">
      <c r="A170">
        <v>3239217</v>
      </c>
      <c r="B170" t="s">
        <v>3774</v>
      </c>
      <c r="C170">
        <v>0</v>
      </c>
      <c r="D170">
        <v>0</v>
      </c>
      <c r="E170">
        <v>0</v>
      </c>
      <c r="F170">
        <v>5</v>
      </c>
      <c r="G170">
        <v>3</v>
      </c>
      <c r="H170">
        <v>0</v>
      </c>
      <c r="I170">
        <v>0</v>
      </c>
      <c r="J170">
        <v>0</v>
      </c>
      <c r="K170">
        <v>0</v>
      </c>
      <c r="L170" t="s">
        <v>3284</v>
      </c>
      <c r="M170" t="s">
        <v>3296</v>
      </c>
      <c r="N170" t="s">
        <v>3321</v>
      </c>
      <c r="O170" t="s">
        <v>3322</v>
      </c>
      <c r="P170" t="s">
        <v>3398</v>
      </c>
      <c r="Q170" t="s">
        <v>3399</v>
      </c>
      <c r="R170" t="s">
        <v>3775</v>
      </c>
    </row>
    <row r="171" spans="1:18" x14ac:dyDescent="0.2">
      <c r="A171">
        <v>3239015</v>
      </c>
      <c r="B171" t="s">
        <v>3776</v>
      </c>
      <c r="C171">
        <v>0</v>
      </c>
      <c r="D171">
        <v>0</v>
      </c>
      <c r="E171">
        <v>0</v>
      </c>
      <c r="F171">
        <v>1</v>
      </c>
      <c r="G171">
        <v>1</v>
      </c>
      <c r="H171">
        <v>0</v>
      </c>
      <c r="I171">
        <v>0</v>
      </c>
      <c r="J171">
        <v>0</v>
      </c>
      <c r="K171">
        <v>0</v>
      </c>
      <c r="L171" t="s">
        <v>3284</v>
      </c>
      <c r="M171" t="s">
        <v>3296</v>
      </c>
      <c r="N171" t="s">
        <v>3297</v>
      </c>
      <c r="O171" t="s">
        <v>3434</v>
      </c>
      <c r="P171" t="s">
        <v>3435</v>
      </c>
      <c r="Q171" t="s">
        <v>3436</v>
      </c>
      <c r="R171" t="s">
        <v>3777</v>
      </c>
    </row>
    <row r="172" spans="1:18" x14ac:dyDescent="0.2">
      <c r="A172">
        <v>3237285</v>
      </c>
      <c r="B172" t="s">
        <v>3778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2</v>
      </c>
      <c r="J172">
        <v>1</v>
      </c>
      <c r="K172">
        <v>0</v>
      </c>
      <c r="L172" t="s">
        <v>3284</v>
      </c>
      <c r="M172" t="s">
        <v>3296</v>
      </c>
      <c r="N172" t="s">
        <v>3321</v>
      </c>
      <c r="O172" t="s">
        <v>3322</v>
      </c>
      <c r="P172" t="s">
        <v>3323</v>
      </c>
      <c r="Q172" t="s">
        <v>3324</v>
      </c>
      <c r="R172" t="s">
        <v>3779</v>
      </c>
    </row>
    <row r="173" spans="1:18" x14ac:dyDescent="0.2">
      <c r="A173">
        <v>3236840</v>
      </c>
      <c r="B173" t="s">
        <v>3780</v>
      </c>
      <c r="C173">
        <v>0</v>
      </c>
      <c r="D173">
        <v>2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 t="s">
        <v>3284</v>
      </c>
      <c r="M173" t="s">
        <v>3327</v>
      </c>
      <c r="N173" t="s">
        <v>3328</v>
      </c>
      <c r="O173" t="s">
        <v>3329</v>
      </c>
      <c r="P173" t="s">
        <v>3330</v>
      </c>
      <c r="Q173" t="s">
        <v>3331</v>
      </c>
      <c r="R173" t="s">
        <v>3781</v>
      </c>
    </row>
    <row r="174" spans="1:18" x14ac:dyDescent="0.2">
      <c r="A174">
        <v>3235111</v>
      </c>
      <c r="B174" t="s">
        <v>3782</v>
      </c>
      <c r="C174">
        <v>0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3284</v>
      </c>
      <c r="M174" t="s">
        <v>3296</v>
      </c>
      <c r="N174" t="s">
        <v>3297</v>
      </c>
      <c r="O174" t="s">
        <v>3434</v>
      </c>
      <c r="P174" t="s">
        <v>3435</v>
      </c>
      <c r="Q174" t="s">
        <v>3436</v>
      </c>
      <c r="R174" t="s">
        <v>3783</v>
      </c>
    </row>
    <row r="175" spans="1:18" x14ac:dyDescent="0.2">
      <c r="A175">
        <v>3234187</v>
      </c>
      <c r="B175" t="s">
        <v>3784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 t="s">
        <v>3284</v>
      </c>
      <c r="M175" t="s">
        <v>3391</v>
      </c>
      <c r="N175" t="s">
        <v>3411</v>
      </c>
      <c r="O175" t="s">
        <v>3412</v>
      </c>
      <c r="P175" t="s">
        <v>3413</v>
      </c>
      <c r="Q175" t="s">
        <v>3785</v>
      </c>
      <c r="R175" t="s">
        <v>3786</v>
      </c>
    </row>
    <row r="176" spans="1:18" x14ac:dyDescent="0.2">
      <c r="A176">
        <v>3234144</v>
      </c>
      <c r="B176" t="s">
        <v>3787</v>
      </c>
      <c r="C176">
        <v>0</v>
      </c>
      <c r="D176">
        <v>0</v>
      </c>
      <c r="E176">
        <v>2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3284</v>
      </c>
      <c r="M176" t="s">
        <v>3296</v>
      </c>
      <c r="N176" t="s">
        <v>3321</v>
      </c>
      <c r="O176" t="s">
        <v>3322</v>
      </c>
      <c r="P176" t="s">
        <v>3398</v>
      </c>
      <c r="Q176" t="s">
        <v>3788</v>
      </c>
      <c r="R176" t="s">
        <v>3789</v>
      </c>
    </row>
    <row r="177" spans="1:18" x14ac:dyDescent="0.2">
      <c r="A177">
        <v>3232308</v>
      </c>
      <c r="B177" t="s">
        <v>3790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</v>
      </c>
      <c r="J177">
        <v>0</v>
      </c>
      <c r="K177">
        <v>0</v>
      </c>
      <c r="L177" t="s">
        <v>3284</v>
      </c>
      <c r="M177" t="s">
        <v>3307</v>
      </c>
      <c r="N177" t="s">
        <v>3308</v>
      </c>
      <c r="O177" t="s">
        <v>3446</v>
      </c>
      <c r="P177" t="s">
        <v>3447</v>
      </c>
      <c r="Q177" t="s">
        <v>3791</v>
      </c>
      <c r="R177" t="s">
        <v>3792</v>
      </c>
    </row>
    <row r="178" spans="1:18" x14ac:dyDescent="0.2">
      <c r="A178">
        <v>3232136</v>
      </c>
      <c r="B178" t="s">
        <v>3793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3284</v>
      </c>
      <c r="M178" t="s">
        <v>3794</v>
      </c>
      <c r="N178" t="s">
        <v>3795</v>
      </c>
      <c r="O178" t="s">
        <v>3796</v>
      </c>
      <c r="P178" t="s">
        <v>3797</v>
      </c>
      <c r="Q178" t="s">
        <v>3798</v>
      </c>
      <c r="R178" t="s">
        <v>3799</v>
      </c>
    </row>
    <row r="179" spans="1:18" x14ac:dyDescent="0.2">
      <c r="A179">
        <v>3232072</v>
      </c>
      <c r="B179" t="s">
        <v>3800</v>
      </c>
      <c r="C179">
        <v>0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3284</v>
      </c>
      <c r="M179" t="s">
        <v>3307</v>
      </c>
      <c r="N179" t="s">
        <v>3308</v>
      </c>
      <c r="O179" t="s">
        <v>3359</v>
      </c>
      <c r="P179" t="s">
        <v>3360</v>
      </c>
      <c r="Q179" t="s">
        <v>3361</v>
      </c>
      <c r="R179" t="s">
        <v>3801</v>
      </c>
    </row>
    <row r="180" spans="1:18" x14ac:dyDescent="0.2">
      <c r="A180">
        <v>3231511</v>
      </c>
      <c r="B180" t="s">
        <v>3802</v>
      </c>
      <c r="C180">
        <v>0</v>
      </c>
      <c r="D180">
        <v>0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0</v>
      </c>
      <c r="L180" t="s">
        <v>3284</v>
      </c>
      <c r="M180" t="s">
        <v>3391</v>
      </c>
      <c r="N180" t="s">
        <v>3411</v>
      </c>
      <c r="O180" t="s">
        <v>3412</v>
      </c>
      <c r="P180" t="s">
        <v>3564</v>
      </c>
      <c r="Q180" t="s">
        <v>3803</v>
      </c>
      <c r="R180" t="s">
        <v>3804</v>
      </c>
    </row>
    <row r="181" spans="1:18" x14ac:dyDescent="0.2">
      <c r="A181">
        <v>3231487</v>
      </c>
      <c r="B181" t="s">
        <v>3805</v>
      </c>
      <c r="C181">
        <v>0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0</v>
      </c>
      <c r="K181">
        <v>0</v>
      </c>
      <c r="L181" t="s">
        <v>3284</v>
      </c>
      <c r="M181" t="s">
        <v>3296</v>
      </c>
      <c r="N181" t="s">
        <v>3321</v>
      </c>
      <c r="O181" t="s">
        <v>3322</v>
      </c>
      <c r="P181" t="s">
        <v>3398</v>
      </c>
      <c r="Q181" t="s">
        <v>3806</v>
      </c>
      <c r="R181" t="s">
        <v>3807</v>
      </c>
    </row>
    <row r="182" spans="1:18" x14ac:dyDescent="0.2">
      <c r="A182">
        <v>3231482</v>
      </c>
      <c r="B182" t="s">
        <v>3808</v>
      </c>
      <c r="C182">
        <v>0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 t="s">
        <v>3284</v>
      </c>
      <c r="M182" t="s">
        <v>3307</v>
      </c>
      <c r="N182" t="s">
        <v>3308</v>
      </c>
      <c r="O182" t="s">
        <v>3309</v>
      </c>
      <c r="P182" t="s">
        <v>3310</v>
      </c>
      <c r="Q182" t="s">
        <v>3311</v>
      </c>
      <c r="R182" t="s">
        <v>3809</v>
      </c>
    </row>
    <row r="183" spans="1:18" x14ac:dyDescent="0.2">
      <c r="A183">
        <v>3230800</v>
      </c>
      <c r="B183" t="s">
        <v>3810</v>
      </c>
      <c r="C183">
        <v>0</v>
      </c>
      <c r="D183">
        <v>0</v>
      </c>
      <c r="E183">
        <v>0</v>
      </c>
      <c r="F183">
        <v>2</v>
      </c>
      <c r="G183">
        <v>7</v>
      </c>
      <c r="H183">
        <v>1</v>
      </c>
      <c r="I183">
        <v>0</v>
      </c>
      <c r="J183">
        <v>0</v>
      </c>
      <c r="K183">
        <v>0</v>
      </c>
      <c r="L183" t="s">
        <v>3284</v>
      </c>
      <c r="M183" t="s">
        <v>3391</v>
      </c>
      <c r="N183" t="s">
        <v>3411</v>
      </c>
      <c r="O183" t="s">
        <v>3412</v>
      </c>
      <c r="P183" t="s">
        <v>3413</v>
      </c>
      <c r="Q183" t="s">
        <v>3414</v>
      </c>
      <c r="R183" t="s">
        <v>3811</v>
      </c>
    </row>
    <row r="184" spans="1:18" x14ac:dyDescent="0.2">
      <c r="A184">
        <v>3230488</v>
      </c>
      <c r="B184" t="s">
        <v>3812</v>
      </c>
      <c r="C184">
        <v>0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 t="s">
        <v>3284</v>
      </c>
      <c r="M184" t="s">
        <v>3296</v>
      </c>
      <c r="N184" t="s">
        <v>3321</v>
      </c>
      <c r="O184" t="s">
        <v>3271</v>
      </c>
      <c r="P184" t="s">
        <v>3271</v>
      </c>
      <c r="Q184" t="s">
        <v>3813</v>
      </c>
      <c r="R184" t="s">
        <v>3814</v>
      </c>
    </row>
    <row r="185" spans="1:18" x14ac:dyDescent="0.2">
      <c r="A185">
        <v>3230487</v>
      </c>
      <c r="B185" t="s">
        <v>3815</v>
      </c>
      <c r="C185">
        <v>0</v>
      </c>
      <c r="D185">
        <v>0</v>
      </c>
      <c r="E185">
        <v>0</v>
      </c>
      <c r="F185">
        <v>1</v>
      </c>
      <c r="G185">
        <v>1</v>
      </c>
      <c r="H185">
        <v>0</v>
      </c>
      <c r="I185">
        <v>0</v>
      </c>
      <c r="J185">
        <v>0</v>
      </c>
      <c r="K185">
        <v>0</v>
      </c>
      <c r="L185" t="s">
        <v>3284</v>
      </c>
      <c r="M185" t="s">
        <v>3816</v>
      </c>
      <c r="N185" t="s">
        <v>3817</v>
      </c>
      <c r="O185" t="s">
        <v>3818</v>
      </c>
      <c r="P185" t="s">
        <v>3819</v>
      </c>
      <c r="Q185" t="s">
        <v>3820</v>
      </c>
      <c r="R185" t="s">
        <v>3821</v>
      </c>
    </row>
    <row r="186" spans="1:18" x14ac:dyDescent="0.2">
      <c r="A186">
        <v>3229242</v>
      </c>
      <c r="B186" t="s">
        <v>3822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 t="s">
        <v>3284</v>
      </c>
      <c r="M186" t="s">
        <v>3327</v>
      </c>
      <c r="N186" t="s">
        <v>3376</v>
      </c>
      <c r="O186" t="s">
        <v>3377</v>
      </c>
      <c r="P186" t="s">
        <v>3378</v>
      </c>
      <c r="Q186" t="s">
        <v>3823</v>
      </c>
      <c r="R186" t="s">
        <v>3824</v>
      </c>
    </row>
    <row r="187" spans="1:18" x14ac:dyDescent="0.2">
      <c r="A187">
        <v>3229229</v>
      </c>
      <c r="B187" t="s">
        <v>3825</v>
      </c>
      <c r="C187">
        <v>0</v>
      </c>
      <c r="D187">
        <v>0</v>
      </c>
      <c r="E187">
        <v>0</v>
      </c>
      <c r="F187">
        <v>2</v>
      </c>
      <c r="G187">
        <v>0</v>
      </c>
      <c r="H187">
        <v>0</v>
      </c>
      <c r="I187">
        <v>0</v>
      </c>
      <c r="J187">
        <v>0</v>
      </c>
      <c r="K187">
        <v>0</v>
      </c>
      <c r="L187" t="s">
        <v>3284</v>
      </c>
      <c r="M187" t="s">
        <v>3296</v>
      </c>
      <c r="N187" t="s">
        <v>3297</v>
      </c>
      <c r="O187" t="s">
        <v>3298</v>
      </c>
      <c r="P187" t="s">
        <v>3826</v>
      </c>
      <c r="Q187" t="s">
        <v>3827</v>
      </c>
      <c r="R187" t="s">
        <v>3828</v>
      </c>
    </row>
    <row r="188" spans="1:18" x14ac:dyDescent="0.2">
      <c r="A188">
        <v>3228928</v>
      </c>
      <c r="B188" t="s">
        <v>3829</v>
      </c>
      <c r="C188">
        <v>0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 t="s">
        <v>3284</v>
      </c>
      <c r="M188" t="s">
        <v>3296</v>
      </c>
      <c r="N188" t="s">
        <v>3343</v>
      </c>
      <c r="O188" t="s">
        <v>3349</v>
      </c>
      <c r="P188" t="s">
        <v>3350</v>
      </c>
      <c r="Q188" t="s">
        <v>3351</v>
      </c>
      <c r="R188" t="s">
        <v>3830</v>
      </c>
    </row>
    <row r="189" spans="1:18" x14ac:dyDescent="0.2">
      <c r="A189">
        <v>3228789</v>
      </c>
      <c r="B189" t="s">
        <v>3831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 t="s">
        <v>3284</v>
      </c>
      <c r="M189" t="s">
        <v>3296</v>
      </c>
      <c r="N189" t="s">
        <v>3321</v>
      </c>
      <c r="O189" t="s">
        <v>3322</v>
      </c>
      <c r="P189" t="s">
        <v>3398</v>
      </c>
      <c r="Q189" t="s">
        <v>3832</v>
      </c>
      <c r="R189" t="s">
        <v>3833</v>
      </c>
    </row>
    <row r="190" spans="1:18" x14ac:dyDescent="0.2">
      <c r="A190">
        <v>3228748</v>
      </c>
      <c r="B190" t="s">
        <v>3834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2</v>
      </c>
      <c r="J190">
        <v>0</v>
      </c>
      <c r="K190">
        <v>1</v>
      </c>
      <c r="L190" t="s">
        <v>3284</v>
      </c>
      <c r="M190" t="s">
        <v>3296</v>
      </c>
      <c r="N190" t="s">
        <v>3321</v>
      </c>
      <c r="O190" t="s">
        <v>3322</v>
      </c>
      <c r="P190" t="s">
        <v>3671</v>
      </c>
      <c r="Q190" t="s">
        <v>3672</v>
      </c>
      <c r="R190" t="s">
        <v>3835</v>
      </c>
    </row>
    <row r="191" spans="1:18" x14ac:dyDescent="0.2">
      <c r="A191">
        <v>3166646</v>
      </c>
      <c r="B191" t="s">
        <v>3836</v>
      </c>
      <c r="C191">
        <v>0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 t="s">
        <v>3284</v>
      </c>
      <c r="M191" t="s">
        <v>3296</v>
      </c>
      <c r="N191" t="s">
        <v>3343</v>
      </c>
      <c r="O191" t="s">
        <v>3344</v>
      </c>
      <c r="P191" t="s">
        <v>3837</v>
      </c>
      <c r="Q191" t="s">
        <v>3838</v>
      </c>
      <c r="R191" t="s">
        <v>3839</v>
      </c>
    </row>
    <row r="192" spans="1:18" x14ac:dyDescent="0.2">
      <c r="A192">
        <v>3166645</v>
      </c>
      <c r="B192" t="s">
        <v>3840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</v>
      </c>
      <c r="J192">
        <v>0</v>
      </c>
      <c r="K192">
        <v>0</v>
      </c>
      <c r="L192" t="s">
        <v>3284</v>
      </c>
      <c r="M192" t="s">
        <v>3296</v>
      </c>
      <c r="N192" t="s">
        <v>3321</v>
      </c>
      <c r="O192" t="s">
        <v>3322</v>
      </c>
      <c r="P192" t="s">
        <v>3398</v>
      </c>
      <c r="Q192" t="s">
        <v>3841</v>
      </c>
      <c r="R192" t="s">
        <v>3842</v>
      </c>
    </row>
    <row r="193" spans="1:18" x14ac:dyDescent="0.2">
      <c r="A193">
        <v>3163299</v>
      </c>
      <c r="B193" t="s">
        <v>3843</v>
      </c>
      <c r="C193">
        <v>0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 t="s">
        <v>3284</v>
      </c>
      <c r="M193" t="s">
        <v>3391</v>
      </c>
      <c r="N193" t="s">
        <v>3411</v>
      </c>
      <c r="O193" t="s">
        <v>3412</v>
      </c>
      <c r="P193" t="s">
        <v>3564</v>
      </c>
      <c r="Q193" t="s">
        <v>3803</v>
      </c>
      <c r="R193" t="s">
        <v>3844</v>
      </c>
    </row>
    <row r="194" spans="1:18" x14ac:dyDescent="0.2">
      <c r="A194">
        <v>3161999</v>
      </c>
      <c r="B194" t="s">
        <v>3845</v>
      </c>
      <c r="C194">
        <v>0</v>
      </c>
      <c r="D194">
        <v>0</v>
      </c>
      <c r="E194">
        <v>0</v>
      </c>
      <c r="F194">
        <v>1</v>
      </c>
      <c r="G194">
        <v>1</v>
      </c>
      <c r="H194">
        <v>0</v>
      </c>
      <c r="I194">
        <v>0</v>
      </c>
      <c r="J194">
        <v>0</v>
      </c>
      <c r="K194">
        <v>0</v>
      </c>
      <c r="L194" t="s">
        <v>3284</v>
      </c>
      <c r="M194" t="s">
        <v>3296</v>
      </c>
      <c r="N194" t="s">
        <v>3343</v>
      </c>
      <c r="O194" t="s">
        <v>3344</v>
      </c>
      <c r="P194" t="s">
        <v>3355</v>
      </c>
      <c r="Q194" t="s">
        <v>3846</v>
      </c>
      <c r="R194" t="s">
        <v>3847</v>
      </c>
    </row>
    <row r="195" spans="1:18" x14ac:dyDescent="0.2">
      <c r="A195">
        <v>3161137</v>
      </c>
      <c r="B195" t="s">
        <v>3848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1</v>
      </c>
      <c r="K195">
        <v>0</v>
      </c>
      <c r="L195" t="s">
        <v>3284</v>
      </c>
      <c r="M195" t="s">
        <v>3296</v>
      </c>
      <c r="N195" t="s">
        <v>3343</v>
      </c>
      <c r="O195" t="s">
        <v>3402</v>
      </c>
      <c r="P195" t="s">
        <v>3403</v>
      </c>
      <c r="Q195" t="s">
        <v>3404</v>
      </c>
      <c r="R195" t="s">
        <v>3849</v>
      </c>
    </row>
    <row r="196" spans="1:18" x14ac:dyDescent="0.2">
      <c r="A196">
        <v>3160990</v>
      </c>
      <c r="B196" t="s">
        <v>3850</v>
      </c>
      <c r="C196">
        <v>0</v>
      </c>
      <c r="D196">
        <v>0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 t="s">
        <v>3284</v>
      </c>
      <c r="M196" t="s">
        <v>3307</v>
      </c>
      <c r="N196" t="s">
        <v>3308</v>
      </c>
      <c r="O196" t="s">
        <v>3446</v>
      </c>
      <c r="P196" t="s">
        <v>3447</v>
      </c>
      <c r="Q196" t="s">
        <v>3448</v>
      </c>
      <c r="R196" t="s">
        <v>3851</v>
      </c>
    </row>
    <row r="197" spans="1:18" x14ac:dyDescent="0.2">
      <c r="A197">
        <v>3160965</v>
      </c>
      <c r="B197" t="s">
        <v>3852</v>
      </c>
      <c r="C197">
        <v>4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17</v>
      </c>
      <c r="J197">
        <v>13</v>
      </c>
      <c r="K197">
        <v>0</v>
      </c>
      <c r="L197" t="s">
        <v>3284</v>
      </c>
      <c r="M197" t="s">
        <v>3391</v>
      </c>
      <c r="N197" t="s">
        <v>3740</v>
      </c>
      <c r="O197" t="s">
        <v>3741</v>
      </c>
      <c r="P197" t="s">
        <v>3853</v>
      </c>
      <c r="Q197" t="s">
        <v>3854</v>
      </c>
      <c r="R197" t="s">
        <v>3855</v>
      </c>
    </row>
    <row r="198" spans="1:18" x14ac:dyDescent="0.2">
      <c r="A198">
        <v>3160862</v>
      </c>
      <c r="B198" t="s">
        <v>3856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 t="s">
        <v>3284</v>
      </c>
      <c r="M198" t="s">
        <v>3307</v>
      </c>
      <c r="N198" t="s">
        <v>3308</v>
      </c>
      <c r="O198" t="s">
        <v>3309</v>
      </c>
      <c r="P198" t="s">
        <v>3857</v>
      </c>
      <c r="Q198" t="s">
        <v>3858</v>
      </c>
      <c r="R198" t="s">
        <v>3859</v>
      </c>
    </row>
    <row r="199" spans="1:18" x14ac:dyDescent="0.2">
      <c r="A199">
        <v>3160608</v>
      </c>
      <c r="B199" t="s">
        <v>3860</v>
      </c>
      <c r="C199">
        <v>0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 t="s">
        <v>3284</v>
      </c>
      <c r="M199" t="s">
        <v>3296</v>
      </c>
      <c r="N199" t="s">
        <v>3343</v>
      </c>
      <c r="O199" t="s">
        <v>3861</v>
      </c>
      <c r="P199" t="s">
        <v>3862</v>
      </c>
      <c r="Q199" t="s">
        <v>3863</v>
      </c>
      <c r="R199" t="s">
        <v>3864</v>
      </c>
    </row>
    <row r="200" spans="1:18" x14ac:dyDescent="0.2">
      <c r="A200">
        <v>3160127</v>
      </c>
      <c r="B200" t="s">
        <v>3865</v>
      </c>
      <c r="C200">
        <v>0</v>
      </c>
      <c r="D200">
        <v>0</v>
      </c>
      <c r="E200">
        <v>0</v>
      </c>
      <c r="F200">
        <v>2</v>
      </c>
      <c r="G200">
        <v>0</v>
      </c>
      <c r="H200">
        <v>0</v>
      </c>
      <c r="I200">
        <v>0</v>
      </c>
      <c r="J200">
        <v>0</v>
      </c>
      <c r="K200">
        <v>0</v>
      </c>
      <c r="L200" t="s">
        <v>3284</v>
      </c>
      <c r="M200" t="s">
        <v>3296</v>
      </c>
      <c r="N200" t="s">
        <v>3297</v>
      </c>
      <c r="O200" t="s">
        <v>3298</v>
      </c>
      <c r="P200" t="s">
        <v>3826</v>
      </c>
      <c r="Q200" t="s">
        <v>3866</v>
      </c>
      <c r="R200" t="s">
        <v>3867</v>
      </c>
    </row>
    <row r="201" spans="1:18" x14ac:dyDescent="0.2">
      <c r="A201">
        <v>3159450</v>
      </c>
      <c r="B201" t="s">
        <v>3868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 t="s">
        <v>3284</v>
      </c>
      <c r="M201" t="s">
        <v>3296</v>
      </c>
      <c r="N201" t="s">
        <v>3297</v>
      </c>
      <c r="O201" t="s">
        <v>3434</v>
      </c>
      <c r="P201" t="s">
        <v>3435</v>
      </c>
      <c r="Q201" t="s">
        <v>3436</v>
      </c>
      <c r="R201" t="s">
        <v>3869</v>
      </c>
    </row>
    <row r="202" spans="1:18" x14ac:dyDescent="0.2">
      <c r="A202">
        <v>3159447</v>
      </c>
      <c r="B202" t="s">
        <v>3870</v>
      </c>
      <c r="C202">
        <v>0</v>
      </c>
      <c r="D202">
        <v>0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0</v>
      </c>
      <c r="L202" t="s">
        <v>3284</v>
      </c>
      <c r="M202" t="s">
        <v>3296</v>
      </c>
      <c r="N202" t="s">
        <v>3297</v>
      </c>
      <c r="O202" t="s">
        <v>3434</v>
      </c>
      <c r="P202" t="s">
        <v>3435</v>
      </c>
      <c r="Q202" t="s">
        <v>3436</v>
      </c>
      <c r="R202" t="s">
        <v>3871</v>
      </c>
    </row>
    <row r="203" spans="1:18" x14ac:dyDescent="0.2">
      <c r="A203">
        <v>3158787</v>
      </c>
      <c r="B203" t="s">
        <v>3872</v>
      </c>
      <c r="C203">
        <v>0</v>
      </c>
      <c r="D203">
        <v>0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 t="s">
        <v>3284</v>
      </c>
      <c r="M203" t="s">
        <v>3296</v>
      </c>
      <c r="N203" t="s">
        <v>3297</v>
      </c>
      <c r="O203" t="s">
        <v>3298</v>
      </c>
      <c r="P203" t="s">
        <v>3873</v>
      </c>
      <c r="Q203" t="s">
        <v>3874</v>
      </c>
      <c r="R203" t="s">
        <v>3875</v>
      </c>
    </row>
    <row r="204" spans="1:18" x14ac:dyDescent="0.2">
      <c r="A204">
        <v>3158562</v>
      </c>
      <c r="B204" t="s">
        <v>3876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0</v>
      </c>
      <c r="L204" t="s">
        <v>3284</v>
      </c>
      <c r="M204" t="s">
        <v>3307</v>
      </c>
      <c r="N204" t="s">
        <v>3308</v>
      </c>
      <c r="O204" t="s">
        <v>3359</v>
      </c>
      <c r="P204" t="s">
        <v>3360</v>
      </c>
      <c r="Q204" t="s">
        <v>3364</v>
      </c>
      <c r="R204" t="s">
        <v>3877</v>
      </c>
    </row>
    <row r="205" spans="1:18" x14ac:dyDescent="0.2">
      <c r="A205">
        <v>3158560</v>
      </c>
      <c r="B205" t="s">
        <v>3878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0</v>
      </c>
      <c r="K205">
        <v>0</v>
      </c>
      <c r="L205" t="s">
        <v>3284</v>
      </c>
      <c r="M205" t="s">
        <v>3307</v>
      </c>
      <c r="N205" t="s">
        <v>3308</v>
      </c>
      <c r="O205" t="s">
        <v>3359</v>
      </c>
      <c r="P205" t="s">
        <v>3360</v>
      </c>
      <c r="Q205" t="s">
        <v>3364</v>
      </c>
      <c r="R205" t="s">
        <v>3879</v>
      </c>
    </row>
    <row r="206" spans="1:18" x14ac:dyDescent="0.2">
      <c r="A206">
        <v>3158259</v>
      </c>
      <c r="B206" t="s">
        <v>3880</v>
      </c>
      <c r="C206">
        <v>0</v>
      </c>
      <c r="D206">
        <v>0</v>
      </c>
      <c r="E206">
        <v>0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L206" t="s">
        <v>3284</v>
      </c>
      <c r="M206" t="s">
        <v>3307</v>
      </c>
      <c r="N206" t="s">
        <v>3308</v>
      </c>
      <c r="O206" t="s">
        <v>3309</v>
      </c>
      <c r="P206" t="s">
        <v>3310</v>
      </c>
      <c r="Q206" t="s">
        <v>3311</v>
      </c>
      <c r="R206" t="s">
        <v>3881</v>
      </c>
    </row>
    <row r="207" spans="1:18" x14ac:dyDescent="0.2">
      <c r="A207">
        <v>3157620</v>
      </c>
      <c r="B207" t="s">
        <v>3882</v>
      </c>
      <c r="C207">
        <v>0</v>
      </c>
      <c r="D207">
        <v>1</v>
      </c>
      <c r="E207">
        <v>0</v>
      </c>
      <c r="F207">
        <v>0</v>
      </c>
      <c r="G207">
        <v>1</v>
      </c>
      <c r="H207">
        <v>0</v>
      </c>
      <c r="I207">
        <v>18</v>
      </c>
      <c r="J207">
        <v>9</v>
      </c>
      <c r="K207">
        <v>2</v>
      </c>
      <c r="L207" t="s">
        <v>3284</v>
      </c>
      <c r="M207" t="s">
        <v>3307</v>
      </c>
      <c r="N207" t="s">
        <v>3308</v>
      </c>
      <c r="O207" t="s">
        <v>3309</v>
      </c>
      <c r="P207" t="s">
        <v>3310</v>
      </c>
      <c r="Q207" t="s">
        <v>3883</v>
      </c>
      <c r="R207" t="s">
        <v>3884</v>
      </c>
    </row>
    <row r="208" spans="1:18" x14ac:dyDescent="0.2">
      <c r="A208">
        <v>3157211</v>
      </c>
      <c r="B208" t="s">
        <v>3885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 t="s">
        <v>3284</v>
      </c>
      <c r="M208" t="s">
        <v>3307</v>
      </c>
      <c r="N208" t="s">
        <v>3308</v>
      </c>
      <c r="O208" t="s">
        <v>3494</v>
      </c>
      <c r="P208" t="s">
        <v>3495</v>
      </c>
      <c r="Q208" t="s">
        <v>3886</v>
      </c>
      <c r="R208" t="s">
        <v>3887</v>
      </c>
    </row>
    <row r="209" spans="1:18" x14ac:dyDescent="0.2">
      <c r="A209">
        <v>3157089</v>
      </c>
      <c r="B209" t="s">
        <v>3888</v>
      </c>
      <c r="C209">
        <v>0</v>
      </c>
      <c r="D209">
        <v>0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3284</v>
      </c>
      <c r="M209" t="s">
        <v>3307</v>
      </c>
      <c r="N209" t="s">
        <v>3308</v>
      </c>
      <c r="O209" t="s">
        <v>3446</v>
      </c>
      <c r="P209" t="s">
        <v>3447</v>
      </c>
      <c r="Q209" t="s">
        <v>3448</v>
      </c>
      <c r="R209" t="s">
        <v>3889</v>
      </c>
    </row>
    <row r="210" spans="1:18" x14ac:dyDescent="0.2">
      <c r="A210">
        <v>3157027</v>
      </c>
      <c r="B210" t="s">
        <v>3890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0</v>
      </c>
      <c r="L210" t="s">
        <v>3284</v>
      </c>
      <c r="M210" t="s">
        <v>3307</v>
      </c>
      <c r="N210" t="s">
        <v>3308</v>
      </c>
      <c r="O210" t="s">
        <v>3382</v>
      </c>
      <c r="P210" t="s">
        <v>3383</v>
      </c>
      <c r="Q210" t="s">
        <v>3543</v>
      </c>
      <c r="R210" t="s">
        <v>3891</v>
      </c>
    </row>
    <row r="211" spans="1:18" x14ac:dyDescent="0.2">
      <c r="A211">
        <v>3156763</v>
      </c>
      <c r="B211" t="s">
        <v>3892</v>
      </c>
      <c r="C211">
        <v>0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3284</v>
      </c>
      <c r="M211" t="s">
        <v>3307</v>
      </c>
      <c r="N211" t="s">
        <v>3308</v>
      </c>
      <c r="O211" t="s">
        <v>3446</v>
      </c>
      <c r="P211" t="s">
        <v>3447</v>
      </c>
      <c r="Q211" t="s">
        <v>3448</v>
      </c>
      <c r="R211" t="s">
        <v>3893</v>
      </c>
    </row>
    <row r="212" spans="1:18" x14ac:dyDescent="0.2">
      <c r="A212">
        <v>3156616</v>
      </c>
      <c r="B212" t="s">
        <v>3894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0</v>
      </c>
      <c r="K212">
        <v>0</v>
      </c>
      <c r="L212" t="s">
        <v>3284</v>
      </c>
      <c r="M212" t="s">
        <v>3296</v>
      </c>
      <c r="N212" t="s">
        <v>3343</v>
      </c>
      <c r="O212" t="s">
        <v>3344</v>
      </c>
      <c r="P212" t="s">
        <v>3661</v>
      </c>
      <c r="Q212" t="s">
        <v>3895</v>
      </c>
      <c r="R212" t="s">
        <v>3896</v>
      </c>
    </row>
    <row r="213" spans="1:18" x14ac:dyDescent="0.2">
      <c r="A213">
        <v>3156614</v>
      </c>
      <c r="B213" t="s">
        <v>3897</v>
      </c>
      <c r="C213">
        <v>0</v>
      </c>
      <c r="D213">
        <v>0</v>
      </c>
      <c r="E213">
        <v>0</v>
      </c>
      <c r="F213">
        <v>0</v>
      </c>
      <c r="G213">
        <v>1</v>
      </c>
      <c r="H213">
        <v>0</v>
      </c>
      <c r="I213">
        <v>1</v>
      </c>
      <c r="J213">
        <v>0</v>
      </c>
      <c r="K213">
        <v>2</v>
      </c>
      <c r="L213" t="s">
        <v>3284</v>
      </c>
      <c r="M213" t="s">
        <v>3296</v>
      </c>
      <c r="N213" t="s">
        <v>3343</v>
      </c>
      <c r="O213" t="s">
        <v>3344</v>
      </c>
      <c r="P213" t="s">
        <v>3898</v>
      </c>
      <c r="Q213" t="s">
        <v>3899</v>
      </c>
      <c r="R213" t="s">
        <v>3900</v>
      </c>
    </row>
    <row r="214" spans="1:18" x14ac:dyDescent="0.2">
      <c r="A214">
        <v>3156611</v>
      </c>
      <c r="B214" t="s">
        <v>3901</v>
      </c>
      <c r="C214">
        <v>0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3284</v>
      </c>
      <c r="M214" t="s">
        <v>3296</v>
      </c>
      <c r="N214" t="s">
        <v>3343</v>
      </c>
      <c r="O214" t="s">
        <v>3349</v>
      </c>
      <c r="P214" t="s">
        <v>3350</v>
      </c>
      <c r="Q214" t="s">
        <v>3580</v>
      </c>
      <c r="R214" t="s">
        <v>3902</v>
      </c>
    </row>
    <row r="215" spans="1:18" x14ac:dyDescent="0.2">
      <c r="A215">
        <v>3156609</v>
      </c>
      <c r="B215" t="s">
        <v>3903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0</v>
      </c>
      <c r="K215">
        <v>0</v>
      </c>
      <c r="L215" t="s">
        <v>3284</v>
      </c>
      <c r="M215" t="s">
        <v>3296</v>
      </c>
      <c r="N215" t="s">
        <v>3343</v>
      </c>
      <c r="O215" t="s">
        <v>3344</v>
      </c>
      <c r="P215" t="s">
        <v>3898</v>
      </c>
      <c r="Q215" t="s">
        <v>3899</v>
      </c>
      <c r="R215" t="s">
        <v>3904</v>
      </c>
    </row>
    <row r="216" spans="1:18" x14ac:dyDescent="0.2">
      <c r="A216">
        <v>3156608</v>
      </c>
      <c r="B216" t="s">
        <v>3905</v>
      </c>
      <c r="C216">
        <v>0</v>
      </c>
      <c r="D216">
        <v>2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3284</v>
      </c>
      <c r="M216" t="s">
        <v>3296</v>
      </c>
      <c r="N216" t="s">
        <v>3343</v>
      </c>
      <c r="O216" t="s">
        <v>3344</v>
      </c>
      <c r="P216" t="s">
        <v>3661</v>
      </c>
      <c r="Q216" t="s">
        <v>3906</v>
      </c>
      <c r="R216" t="s">
        <v>3907</v>
      </c>
    </row>
    <row r="217" spans="1:18" x14ac:dyDescent="0.2">
      <c r="A217">
        <v>3156460</v>
      </c>
      <c r="B217" t="s">
        <v>3908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0</v>
      </c>
      <c r="L217" t="s">
        <v>3284</v>
      </c>
      <c r="M217" t="s">
        <v>3296</v>
      </c>
      <c r="N217" t="s">
        <v>3343</v>
      </c>
      <c r="O217" t="s">
        <v>3371</v>
      </c>
      <c r="P217" t="s">
        <v>3372</v>
      </c>
      <c r="Q217" t="s">
        <v>3373</v>
      </c>
      <c r="R217" t="s">
        <v>3909</v>
      </c>
    </row>
    <row r="218" spans="1:18" x14ac:dyDescent="0.2">
      <c r="A218">
        <v>3156454</v>
      </c>
      <c r="B218" t="s">
        <v>3910</v>
      </c>
      <c r="C218">
        <v>0</v>
      </c>
      <c r="D218">
        <v>1</v>
      </c>
      <c r="E218">
        <v>0</v>
      </c>
      <c r="F218">
        <v>0</v>
      </c>
      <c r="G218">
        <v>1</v>
      </c>
      <c r="H218">
        <v>0</v>
      </c>
      <c r="I218">
        <v>0</v>
      </c>
      <c r="J218">
        <v>0</v>
      </c>
      <c r="K218">
        <v>0</v>
      </c>
      <c r="L218" t="s">
        <v>3284</v>
      </c>
      <c r="M218" t="s">
        <v>3296</v>
      </c>
      <c r="N218" t="s">
        <v>3343</v>
      </c>
      <c r="O218" t="s">
        <v>3344</v>
      </c>
      <c r="P218" t="s">
        <v>3345</v>
      </c>
      <c r="Q218" t="s">
        <v>3346</v>
      </c>
      <c r="R218" t="s">
        <v>3911</v>
      </c>
    </row>
    <row r="219" spans="1:18" x14ac:dyDescent="0.2">
      <c r="A219">
        <v>3156452</v>
      </c>
      <c r="B219" t="s">
        <v>3912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0</v>
      </c>
      <c r="K219">
        <v>0</v>
      </c>
      <c r="L219" t="s">
        <v>3284</v>
      </c>
      <c r="M219" t="s">
        <v>3307</v>
      </c>
      <c r="N219" t="s">
        <v>3308</v>
      </c>
      <c r="O219" t="s">
        <v>3359</v>
      </c>
      <c r="P219" t="s">
        <v>3360</v>
      </c>
      <c r="Q219" t="s">
        <v>3913</v>
      </c>
      <c r="R219" t="s">
        <v>3914</v>
      </c>
    </row>
    <row r="220" spans="1:18" x14ac:dyDescent="0.2">
      <c r="A220">
        <v>3156420</v>
      </c>
      <c r="B220" t="s">
        <v>3915</v>
      </c>
      <c r="C220">
        <v>0</v>
      </c>
      <c r="D220">
        <v>0</v>
      </c>
      <c r="E220">
        <v>0</v>
      </c>
      <c r="F220">
        <v>7</v>
      </c>
      <c r="G220">
        <v>1</v>
      </c>
      <c r="H220">
        <v>0</v>
      </c>
      <c r="I220">
        <v>0</v>
      </c>
      <c r="J220">
        <v>2</v>
      </c>
      <c r="K220">
        <v>0</v>
      </c>
      <c r="L220" t="s">
        <v>3284</v>
      </c>
      <c r="M220" t="s">
        <v>3296</v>
      </c>
      <c r="N220" t="s">
        <v>3343</v>
      </c>
      <c r="O220" t="s">
        <v>3402</v>
      </c>
      <c r="P220" t="s">
        <v>3403</v>
      </c>
      <c r="Q220" t="s">
        <v>3404</v>
      </c>
      <c r="R220" t="s">
        <v>3916</v>
      </c>
    </row>
    <row r="221" spans="1:18" x14ac:dyDescent="0.2">
      <c r="A221">
        <v>3156419</v>
      </c>
      <c r="B221" t="s">
        <v>3917</v>
      </c>
      <c r="C221">
        <v>1</v>
      </c>
      <c r="D221">
        <v>0</v>
      </c>
      <c r="E221">
        <v>0</v>
      </c>
      <c r="F221">
        <v>11</v>
      </c>
      <c r="G221">
        <v>10</v>
      </c>
      <c r="H221">
        <v>0</v>
      </c>
      <c r="I221">
        <v>0</v>
      </c>
      <c r="J221">
        <v>0</v>
      </c>
      <c r="K221">
        <v>0</v>
      </c>
      <c r="L221" t="s">
        <v>3284</v>
      </c>
      <c r="M221" t="s">
        <v>3296</v>
      </c>
      <c r="N221" t="s">
        <v>3321</v>
      </c>
      <c r="O221" t="s">
        <v>3322</v>
      </c>
      <c r="P221" t="s">
        <v>3398</v>
      </c>
      <c r="Q221" t="s">
        <v>3918</v>
      </c>
      <c r="R221" t="s">
        <v>3919</v>
      </c>
    </row>
    <row r="222" spans="1:18" x14ac:dyDescent="0.2">
      <c r="A222">
        <v>3156405</v>
      </c>
      <c r="B222" t="s">
        <v>3920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 t="s">
        <v>3284</v>
      </c>
      <c r="M222" t="s">
        <v>3296</v>
      </c>
      <c r="N222" t="s">
        <v>3343</v>
      </c>
      <c r="O222" t="s">
        <v>3402</v>
      </c>
      <c r="P222" t="s">
        <v>3403</v>
      </c>
      <c r="Q222" t="s">
        <v>3536</v>
      </c>
      <c r="R222" t="s">
        <v>3921</v>
      </c>
    </row>
    <row r="223" spans="1:18" x14ac:dyDescent="0.2">
      <c r="A223">
        <v>3156403</v>
      </c>
      <c r="B223" t="s">
        <v>3922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</v>
      </c>
      <c r="L223" t="s">
        <v>3284</v>
      </c>
      <c r="M223" t="s">
        <v>3307</v>
      </c>
      <c r="N223" t="s">
        <v>3308</v>
      </c>
      <c r="O223" t="s">
        <v>3359</v>
      </c>
      <c r="P223" t="s">
        <v>3360</v>
      </c>
      <c r="Q223" t="s">
        <v>3364</v>
      </c>
      <c r="R223" t="s">
        <v>3923</v>
      </c>
    </row>
    <row r="224" spans="1:18" x14ac:dyDescent="0.2">
      <c r="A224">
        <v>3156394</v>
      </c>
      <c r="B224" t="s">
        <v>3924</v>
      </c>
      <c r="C224">
        <v>2</v>
      </c>
      <c r="D224">
        <v>1</v>
      </c>
      <c r="E224">
        <v>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3284</v>
      </c>
      <c r="M224" t="s">
        <v>3327</v>
      </c>
      <c r="N224" t="s">
        <v>3376</v>
      </c>
      <c r="O224" t="s">
        <v>3377</v>
      </c>
      <c r="P224" t="s">
        <v>3604</v>
      </c>
      <c r="Q224" t="s">
        <v>3668</v>
      </c>
      <c r="R224" t="s">
        <v>3925</v>
      </c>
    </row>
    <row r="225" spans="1:18" x14ac:dyDescent="0.2">
      <c r="A225">
        <v>3156347</v>
      </c>
      <c r="B225" t="s">
        <v>3926</v>
      </c>
      <c r="C225">
        <v>0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3284</v>
      </c>
      <c r="M225" t="s">
        <v>3296</v>
      </c>
      <c r="N225" t="s">
        <v>3297</v>
      </c>
      <c r="O225" t="s">
        <v>3298</v>
      </c>
      <c r="P225" t="s">
        <v>3826</v>
      </c>
      <c r="Q225" t="s">
        <v>3927</v>
      </c>
      <c r="R225" t="s">
        <v>3928</v>
      </c>
    </row>
    <row r="226" spans="1:18" x14ac:dyDescent="0.2">
      <c r="A226">
        <v>3156346</v>
      </c>
      <c r="B226" t="s">
        <v>3929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1</v>
      </c>
      <c r="I226">
        <v>0</v>
      </c>
      <c r="J226">
        <v>0</v>
      </c>
      <c r="K226">
        <v>0</v>
      </c>
      <c r="L226" t="s">
        <v>3284</v>
      </c>
      <c r="M226" t="s">
        <v>3296</v>
      </c>
      <c r="N226" t="s">
        <v>3343</v>
      </c>
      <c r="O226" t="s">
        <v>3402</v>
      </c>
      <c r="P226" t="s">
        <v>3403</v>
      </c>
      <c r="Q226" t="s">
        <v>3536</v>
      </c>
      <c r="R226" t="s">
        <v>3930</v>
      </c>
    </row>
    <row r="227" spans="1:18" x14ac:dyDescent="0.2">
      <c r="A227">
        <v>3156345</v>
      </c>
      <c r="B227" t="s">
        <v>3931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0</v>
      </c>
      <c r="K227">
        <v>1</v>
      </c>
      <c r="L227" t="s">
        <v>3284</v>
      </c>
      <c r="M227" t="s">
        <v>3296</v>
      </c>
      <c r="N227" t="s">
        <v>3343</v>
      </c>
      <c r="O227" t="s">
        <v>3344</v>
      </c>
      <c r="P227" t="s">
        <v>3345</v>
      </c>
      <c r="Q227" t="s">
        <v>3346</v>
      </c>
      <c r="R227" t="s">
        <v>3932</v>
      </c>
    </row>
    <row r="228" spans="1:18" x14ac:dyDescent="0.2">
      <c r="A228">
        <v>3156344</v>
      </c>
      <c r="B228" t="s">
        <v>3933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</v>
      </c>
      <c r="J228">
        <v>2</v>
      </c>
      <c r="K228">
        <v>0</v>
      </c>
      <c r="L228" t="s">
        <v>3284</v>
      </c>
      <c r="M228" t="s">
        <v>3307</v>
      </c>
      <c r="N228" t="s">
        <v>3308</v>
      </c>
      <c r="O228" t="s">
        <v>3359</v>
      </c>
      <c r="P228" t="s">
        <v>3360</v>
      </c>
      <c r="Q228" t="s">
        <v>3934</v>
      </c>
      <c r="R228" t="s">
        <v>3935</v>
      </c>
    </row>
    <row r="229" spans="1:18" x14ac:dyDescent="0.2">
      <c r="A229">
        <v>3156326</v>
      </c>
      <c r="B229" t="s">
        <v>3936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2</v>
      </c>
      <c r="J229">
        <v>0</v>
      </c>
      <c r="K229">
        <v>0</v>
      </c>
      <c r="L229" t="s">
        <v>3284</v>
      </c>
      <c r="M229" t="s">
        <v>3296</v>
      </c>
      <c r="N229" t="s">
        <v>3343</v>
      </c>
      <c r="O229" t="s">
        <v>3344</v>
      </c>
      <c r="P229" t="s">
        <v>3937</v>
      </c>
      <c r="Q229" t="s">
        <v>3938</v>
      </c>
      <c r="R229" t="s">
        <v>3939</v>
      </c>
    </row>
    <row r="230" spans="1:18" x14ac:dyDescent="0.2">
      <c r="A230">
        <v>3156316</v>
      </c>
      <c r="B230" t="s">
        <v>3940</v>
      </c>
      <c r="C230">
        <v>0</v>
      </c>
      <c r="D230">
        <v>0</v>
      </c>
      <c r="E230">
        <v>0</v>
      </c>
      <c r="F230">
        <v>2</v>
      </c>
      <c r="G230">
        <v>1</v>
      </c>
      <c r="H230">
        <v>2</v>
      </c>
      <c r="I230">
        <v>11</v>
      </c>
      <c r="J230">
        <v>3</v>
      </c>
      <c r="K230">
        <v>10</v>
      </c>
      <c r="L230" t="s">
        <v>3284</v>
      </c>
      <c r="M230" t="s">
        <v>3296</v>
      </c>
      <c r="N230" t="s">
        <v>3297</v>
      </c>
      <c r="O230" t="s">
        <v>3469</v>
      </c>
      <c r="P230" t="s">
        <v>3470</v>
      </c>
      <c r="Q230" t="s">
        <v>3471</v>
      </c>
      <c r="R230" t="s">
        <v>3941</v>
      </c>
    </row>
    <row r="231" spans="1:18" x14ac:dyDescent="0.2">
      <c r="A231">
        <v>3156065</v>
      </c>
      <c r="B231" t="s">
        <v>3942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</v>
      </c>
      <c r="J231">
        <v>0</v>
      </c>
      <c r="K231">
        <v>0</v>
      </c>
      <c r="L231" t="s">
        <v>3284</v>
      </c>
      <c r="M231" t="s">
        <v>3307</v>
      </c>
      <c r="N231" t="s">
        <v>3308</v>
      </c>
      <c r="O231" t="s">
        <v>3309</v>
      </c>
      <c r="P231" t="s">
        <v>3310</v>
      </c>
      <c r="Q231" t="s">
        <v>3311</v>
      </c>
      <c r="R231" t="s">
        <v>3943</v>
      </c>
    </row>
    <row r="232" spans="1:18" x14ac:dyDescent="0.2">
      <c r="A232">
        <v>3155915</v>
      </c>
      <c r="B232" t="s">
        <v>3944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1</v>
      </c>
      <c r="J232">
        <v>0</v>
      </c>
      <c r="K232">
        <v>0</v>
      </c>
      <c r="L232" t="s">
        <v>3284</v>
      </c>
      <c r="M232" t="s">
        <v>3307</v>
      </c>
      <c r="N232" t="s">
        <v>3308</v>
      </c>
      <c r="O232" t="s">
        <v>3359</v>
      </c>
      <c r="P232" t="s">
        <v>3407</v>
      </c>
      <c r="Q232" t="s">
        <v>3408</v>
      </c>
      <c r="R232" t="s">
        <v>3945</v>
      </c>
    </row>
    <row r="233" spans="1:18" x14ac:dyDescent="0.2">
      <c r="A233">
        <v>3155817</v>
      </c>
      <c r="B233" t="s">
        <v>3946</v>
      </c>
      <c r="C233">
        <v>6</v>
      </c>
      <c r="D233">
        <v>5</v>
      </c>
      <c r="E233">
        <v>3</v>
      </c>
      <c r="F233">
        <v>0</v>
      </c>
      <c r="G233">
        <v>0</v>
      </c>
      <c r="H233">
        <v>0</v>
      </c>
      <c r="I233">
        <v>17</v>
      </c>
      <c r="J233">
        <v>7</v>
      </c>
      <c r="K233">
        <v>2</v>
      </c>
      <c r="L233" t="s">
        <v>3284</v>
      </c>
      <c r="M233" t="s">
        <v>3307</v>
      </c>
      <c r="N233" t="s">
        <v>3308</v>
      </c>
      <c r="O233" t="s">
        <v>3359</v>
      </c>
      <c r="P233" t="s">
        <v>3360</v>
      </c>
      <c r="Q233" t="s">
        <v>3361</v>
      </c>
      <c r="R233" t="s">
        <v>3947</v>
      </c>
    </row>
    <row r="234" spans="1:18" x14ac:dyDescent="0.2">
      <c r="A234">
        <v>3155772</v>
      </c>
      <c r="B234" t="s">
        <v>3948</v>
      </c>
      <c r="C234">
        <v>0</v>
      </c>
      <c r="D234">
        <v>0</v>
      </c>
      <c r="E234">
        <v>1</v>
      </c>
      <c r="F234">
        <v>0</v>
      </c>
      <c r="G234">
        <v>0</v>
      </c>
      <c r="H234">
        <v>1</v>
      </c>
      <c r="I234">
        <v>0</v>
      </c>
      <c r="J234">
        <v>0</v>
      </c>
      <c r="K234">
        <v>1</v>
      </c>
      <c r="L234" t="s">
        <v>3284</v>
      </c>
      <c r="M234" t="s">
        <v>3307</v>
      </c>
      <c r="N234" t="s">
        <v>3308</v>
      </c>
      <c r="O234" t="s">
        <v>3949</v>
      </c>
      <c r="P234" t="s">
        <v>3950</v>
      </c>
      <c r="Q234" t="s">
        <v>3951</v>
      </c>
      <c r="R234" t="s">
        <v>3952</v>
      </c>
    </row>
    <row r="235" spans="1:18" x14ac:dyDescent="0.2">
      <c r="A235">
        <v>3155664</v>
      </c>
      <c r="B235" t="s">
        <v>3953</v>
      </c>
      <c r="C235">
        <v>0</v>
      </c>
      <c r="D235">
        <v>0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5</v>
      </c>
      <c r="L235" t="s">
        <v>3284</v>
      </c>
      <c r="M235" t="s">
        <v>3307</v>
      </c>
      <c r="N235" t="s">
        <v>3308</v>
      </c>
      <c r="O235" t="s">
        <v>3494</v>
      </c>
      <c r="P235" t="s">
        <v>3495</v>
      </c>
      <c r="Q235" t="s">
        <v>3496</v>
      </c>
      <c r="R235" t="s">
        <v>3954</v>
      </c>
    </row>
    <row r="236" spans="1:18" x14ac:dyDescent="0.2">
      <c r="A236">
        <v>3155610</v>
      </c>
      <c r="B236" t="s">
        <v>3955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1</v>
      </c>
      <c r="K236">
        <v>0</v>
      </c>
      <c r="L236" t="s">
        <v>3284</v>
      </c>
      <c r="M236" t="s">
        <v>3307</v>
      </c>
      <c r="N236" t="s">
        <v>3308</v>
      </c>
      <c r="O236" t="s">
        <v>3494</v>
      </c>
      <c r="P236" t="s">
        <v>3495</v>
      </c>
      <c r="Q236" t="s">
        <v>3553</v>
      </c>
      <c r="R236" t="s">
        <v>3956</v>
      </c>
    </row>
    <row r="237" spans="1:18" x14ac:dyDescent="0.2">
      <c r="A237">
        <v>3155539</v>
      </c>
      <c r="B237" t="s">
        <v>3957</v>
      </c>
      <c r="C237">
        <v>0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3284</v>
      </c>
      <c r="M237" t="s">
        <v>3307</v>
      </c>
      <c r="N237" t="s">
        <v>3308</v>
      </c>
      <c r="O237" t="s">
        <v>3359</v>
      </c>
      <c r="P237" t="s">
        <v>3360</v>
      </c>
      <c r="Q237" t="s">
        <v>3515</v>
      </c>
      <c r="R237" t="s">
        <v>3958</v>
      </c>
    </row>
    <row r="238" spans="1:18" x14ac:dyDescent="0.2">
      <c r="A238">
        <v>3155521</v>
      </c>
      <c r="B238" t="s">
        <v>3959</v>
      </c>
      <c r="C238">
        <v>1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3284</v>
      </c>
      <c r="M238" t="s">
        <v>3307</v>
      </c>
      <c r="N238" t="s">
        <v>3308</v>
      </c>
      <c r="O238" t="s">
        <v>3446</v>
      </c>
      <c r="P238" t="s">
        <v>3447</v>
      </c>
      <c r="Q238" t="s">
        <v>3448</v>
      </c>
      <c r="R238" t="s">
        <v>3960</v>
      </c>
    </row>
    <row r="239" spans="1:18" x14ac:dyDescent="0.2">
      <c r="A239">
        <v>3155201</v>
      </c>
      <c r="B239" t="s">
        <v>3961</v>
      </c>
      <c r="C239">
        <v>0</v>
      </c>
      <c r="D239">
        <v>0</v>
      </c>
      <c r="E239">
        <v>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3284</v>
      </c>
      <c r="M239" t="s">
        <v>3307</v>
      </c>
      <c r="N239" t="s">
        <v>3308</v>
      </c>
      <c r="O239" t="s">
        <v>3446</v>
      </c>
      <c r="P239" t="s">
        <v>3447</v>
      </c>
      <c r="Q239" t="s">
        <v>3962</v>
      </c>
      <c r="R239" t="s">
        <v>3963</v>
      </c>
    </row>
    <row r="240" spans="1:18" x14ac:dyDescent="0.2">
      <c r="A240">
        <v>3155176</v>
      </c>
      <c r="B240" t="s">
        <v>3964</v>
      </c>
      <c r="C240">
        <v>0</v>
      </c>
      <c r="D240">
        <v>0</v>
      </c>
      <c r="E240">
        <v>0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0</v>
      </c>
      <c r="L240" t="s">
        <v>3284</v>
      </c>
      <c r="M240" t="s">
        <v>3307</v>
      </c>
      <c r="N240" t="s">
        <v>3308</v>
      </c>
      <c r="O240" t="s">
        <v>3359</v>
      </c>
      <c r="P240" t="s">
        <v>3965</v>
      </c>
      <c r="Q240" t="s">
        <v>3966</v>
      </c>
      <c r="R240" t="s">
        <v>3967</v>
      </c>
    </row>
    <row r="241" spans="1:18" x14ac:dyDescent="0.2">
      <c r="A241">
        <v>3155170</v>
      </c>
      <c r="B241" t="s">
        <v>3968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</v>
      </c>
      <c r="J241">
        <v>0</v>
      </c>
      <c r="K241">
        <v>0</v>
      </c>
      <c r="L241" t="s">
        <v>3284</v>
      </c>
      <c r="M241" t="s">
        <v>3307</v>
      </c>
      <c r="N241" t="s">
        <v>3308</v>
      </c>
      <c r="O241" t="s">
        <v>3494</v>
      </c>
      <c r="P241" t="s">
        <v>3495</v>
      </c>
      <c r="Q241" t="s">
        <v>3553</v>
      </c>
      <c r="R241" t="s">
        <v>3969</v>
      </c>
    </row>
    <row r="242" spans="1:18" x14ac:dyDescent="0.2">
      <c r="A242">
        <v>3155153</v>
      </c>
      <c r="B242" t="s">
        <v>3970</v>
      </c>
      <c r="C242">
        <v>0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3284</v>
      </c>
      <c r="M242" t="s">
        <v>3307</v>
      </c>
      <c r="N242" t="s">
        <v>3308</v>
      </c>
      <c r="O242" t="s">
        <v>3446</v>
      </c>
      <c r="P242" t="s">
        <v>3447</v>
      </c>
      <c r="Q242" t="s">
        <v>3448</v>
      </c>
      <c r="R242" t="s">
        <v>3971</v>
      </c>
    </row>
    <row r="243" spans="1:18" x14ac:dyDescent="0.2">
      <c r="A243">
        <v>3155142</v>
      </c>
      <c r="B243" t="s">
        <v>3972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0</v>
      </c>
      <c r="L243" t="s">
        <v>3284</v>
      </c>
      <c r="M243" t="s">
        <v>3307</v>
      </c>
      <c r="N243" t="s">
        <v>3308</v>
      </c>
      <c r="O243" t="s">
        <v>3446</v>
      </c>
      <c r="P243" t="s">
        <v>3447</v>
      </c>
      <c r="Q243" t="s">
        <v>3448</v>
      </c>
      <c r="R243" t="s">
        <v>3973</v>
      </c>
    </row>
    <row r="244" spans="1:18" x14ac:dyDescent="0.2">
      <c r="A244">
        <v>3155124</v>
      </c>
      <c r="B244" t="s">
        <v>3974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1</v>
      </c>
      <c r="L244" t="s">
        <v>3284</v>
      </c>
      <c r="M244" t="s">
        <v>3307</v>
      </c>
      <c r="N244" t="s">
        <v>3308</v>
      </c>
      <c r="O244" t="s">
        <v>3359</v>
      </c>
      <c r="P244" t="s">
        <v>3360</v>
      </c>
      <c r="Q244" t="s">
        <v>3361</v>
      </c>
      <c r="R244" t="s">
        <v>3975</v>
      </c>
    </row>
    <row r="245" spans="1:18" x14ac:dyDescent="0.2">
      <c r="A245">
        <v>3155055</v>
      </c>
      <c r="B245" t="s">
        <v>3976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0</v>
      </c>
      <c r="K245">
        <v>0</v>
      </c>
      <c r="L245" t="s">
        <v>3284</v>
      </c>
      <c r="M245" t="s">
        <v>3307</v>
      </c>
      <c r="N245" t="s">
        <v>3308</v>
      </c>
      <c r="O245" t="s">
        <v>3359</v>
      </c>
      <c r="P245" t="s">
        <v>3360</v>
      </c>
      <c r="Q245" t="s">
        <v>3361</v>
      </c>
      <c r="R245" t="s">
        <v>3977</v>
      </c>
    </row>
    <row r="246" spans="1:18" x14ac:dyDescent="0.2">
      <c r="A246">
        <v>3154972</v>
      </c>
      <c r="B246" t="s">
        <v>3978</v>
      </c>
      <c r="C246">
        <v>0</v>
      </c>
      <c r="D246">
        <v>1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 t="s">
        <v>3284</v>
      </c>
      <c r="M246" t="s">
        <v>3307</v>
      </c>
      <c r="N246" t="s">
        <v>3308</v>
      </c>
      <c r="O246" t="s">
        <v>3359</v>
      </c>
      <c r="P246" t="s">
        <v>3360</v>
      </c>
      <c r="Q246" t="s">
        <v>3361</v>
      </c>
      <c r="R246" t="s">
        <v>3979</v>
      </c>
    </row>
    <row r="247" spans="1:18" x14ac:dyDescent="0.2">
      <c r="A247">
        <v>3154958</v>
      </c>
      <c r="B247" t="s">
        <v>3980</v>
      </c>
      <c r="C247">
        <v>0</v>
      </c>
      <c r="D247">
        <v>0</v>
      </c>
      <c r="E247">
        <v>0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 t="s">
        <v>3284</v>
      </c>
      <c r="M247" t="s">
        <v>3307</v>
      </c>
      <c r="N247" t="s">
        <v>3308</v>
      </c>
      <c r="O247" t="s">
        <v>3359</v>
      </c>
      <c r="P247" t="s">
        <v>3360</v>
      </c>
      <c r="Q247" t="s">
        <v>3361</v>
      </c>
      <c r="R247" t="s">
        <v>3981</v>
      </c>
    </row>
    <row r="248" spans="1:18" x14ac:dyDescent="0.2">
      <c r="A248">
        <v>3154824</v>
      </c>
      <c r="B248" t="s">
        <v>3982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1</v>
      </c>
      <c r="L248" t="s">
        <v>3284</v>
      </c>
      <c r="M248" t="s">
        <v>3307</v>
      </c>
      <c r="N248" t="s">
        <v>3308</v>
      </c>
      <c r="O248" t="s">
        <v>3446</v>
      </c>
      <c r="P248" t="s">
        <v>3447</v>
      </c>
      <c r="Q248" t="s">
        <v>3448</v>
      </c>
      <c r="R248" t="s">
        <v>3983</v>
      </c>
    </row>
    <row r="249" spans="1:18" x14ac:dyDescent="0.2">
      <c r="A249">
        <v>3154764</v>
      </c>
      <c r="B249" t="s">
        <v>3984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3284</v>
      </c>
      <c r="M249" t="s">
        <v>3307</v>
      </c>
      <c r="N249" t="s">
        <v>3308</v>
      </c>
      <c r="O249" t="s">
        <v>3359</v>
      </c>
      <c r="P249" t="s">
        <v>3360</v>
      </c>
      <c r="Q249" t="s">
        <v>3361</v>
      </c>
      <c r="R249" t="s">
        <v>3985</v>
      </c>
    </row>
    <row r="250" spans="1:18" x14ac:dyDescent="0.2">
      <c r="A250">
        <v>3154753</v>
      </c>
      <c r="B250" t="s">
        <v>3986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 t="s">
        <v>3284</v>
      </c>
      <c r="M250" t="s">
        <v>3307</v>
      </c>
      <c r="N250" t="s">
        <v>3308</v>
      </c>
      <c r="O250" t="s">
        <v>3494</v>
      </c>
      <c r="P250" t="s">
        <v>3495</v>
      </c>
      <c r="Q250" t="s">
        <v>3553</v>
      </c>
      <c r="R250" t="s">
        <v>3987</v>
      </c>
    </row>
    <row r="251" spans="1:18" x14ac:dyDescent="0.2">
      <c r="A251">
        <v>3154731</v>
      </c>
      <c r="B251" t="s">
        <v>3988</v>
      </c>
      <c r="C251">
        <v>0</v>
      </c>
      <c r="D251">
        <v>0</v>
      </c>
      <c r="E251">
        <v>0</v>
      </c>
      <c r="F251">
        <v>2</v>
      </c>
      <c r="G251">
        <v>0</v>
      </c>
      <c r="H251">
        <v>0</v>
      </c>
      <c r="I251">
        <v>0</v>
      </c>
      <c r="J251">
        <v>0</v>
      </c>
      <c r="K251">
        <v>0</v>
      </c>
      <c r="L251" t="s">
        <v>3284</v>
      </c>
      <c r="M251" t="s">
        <v>3307</v>
      </c>
      <c r="N251" t="s">
        <v>3989</v>
      </c>
      <c r="O251" t="s">
        <v>3990</v>
      </c>
      <c r="P251" t="s">
        <v>3991</v>
      </c>
      <c r="Q251" t="s">
        <v>3992</v>
      </c>
      <c r="R251" t="s">
        <v>3993</v>
      </c>
    </row>
    <row r="252" spans="1:18" x14ac:dyDescent="0.2">
      <c r="A252">
        <v>3154690</v>
      </c>
      <c r="B252" t="s">
        <v>3994</v>
      </c>
      <c r="C252">
        <v>0</v>
      </c>
      <c r="D252">
        <v>0</v>
      </c>
      <c r="E252">
        <v>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 t="s">
        <v>3284</v>
      </c>
      <c r="M252" t="s">
        <v>3307</v>
      </c>
      <c r="N252" t="s">
        <v>3308</v>
      </c>
      <c r="O252" t="s">
        <v>3359</v>
      </c>
      <c r="P252" t="s">
        <v>3360</v>
      </c>
      <c r="Q252" t="s">
        <v>3361</v>
      </c>
      <c r="R252" t="s">
        <v>3995</v>
      </c>
    </row>
    <row r="253" spans="1:18" x14ac:dyDescent="0.2">
      <c r="A253">
        <v>3154592</v>
      </c>
      <c r="B253" t="s">
        <v>3996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</v>
      </c>
      <c r="J253">
        <v>0</v>
      </c>
      <c r="K253">
        <v>0</v>
      </c>
      <c r="L253" t="s">
        <v>3284</v>
      </c>
      <c r="M253" t="s">
        <v>3307</v>
      </c>
      <c r="N253" t="s">
        <v>3308</v>
      </c>
      <c r="O253" t="s">
        <v>3635</v>
      </c>
      <c r="P253" t="s">
        <v>3636</v>
      </c>
      <c r="Q253" t="s">
        <v>3997</v>
      </c>
      <c r="R253" t="s">
        <v>3998</v>
      </c>
    </row>
    <row r="254" spans="1:18" x14ac:dyDescent="0.2">
      <c r="A254">
        <v>3154410</v>
      </c>
      <c r="B254" t="s">
        <v>3999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1</v>
      </c>
      <c r="K254">
        <v>0</v>
      </c>
      <c r="L254" t="s">
        <v>3284</v>
      </c>
      <c r="M254" t="s">
        <v>3307</v>
      </c>
      <c r="N254" t="s">
        <v>3308</v>
      </c>
      <c r="O254" t="s">
        <v>3446</v>
      </c>
      <c r="P254" t="s">
        <v>3447</v>
      </c>
      <c r="Q254" t="s">
        <v>3448</v>
      </c>
      <c r="R254" t="s">
        <v>4000</v>
      </c>
    </row>
    <row r="255" spans="1:18" x14ac:dyDescent="0.2">
      <c r="A255">
        <v>3154365</v>
      </c>
      <c r="B255" t="s">
        <v>4001</v>
      </c>
      <c r="C255">
        <v>0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1</v>
      </c>
      <c r="J255">
        <v>0</v>
      </c>
      <c r="K255">
        <v>0</v>
      </c>
      <c r="L255" t="s">
        <v>3284</v>
      </c>
      <c r="M255" t="s">
        <v>3307</v>
      </c>
      <c r="N255" t="s">
        <v>3308</v>
      </c>
      <c r="O255" t="s">
        <v>3494</v>
      </c>
      <c r="P255" t="s">
        <v>3495</v>
      </c>
      <c r="Q255" t="s">
        <v>3886</v>
      </c>
      <c r="R255" t="s">
        <v>4002</v>
      </c>
    </row>
    <row r="256" spans="1:18" x14ac:dyDescent="0.2">
      <c r="A256">
        <v>3153805</v>
      </c>
      <c r="B256" t="s">
        <v>4003</v>
      </c>
      <c r="C256">
        <v>0</v>
      </c>
      <c r="D256">
        <v>0</v>
      </c>
      <c r="E256">
        <v>0</v>
      </c>
      <c r="F256">
        <v>1</v>
      </c>
      <c r="G256">
        <v>0</v>
      </c>
      <c r="H256">
        <v>1</v>
      </c>
      <c r="I256">
        <v>0</v>
      </c>
      <c r="J256">
        <v>2</v>
      </c>
      <c r="K256">
        <v>0</v>
      </c>
      <c r="L256" t="s">
        <v>3284</v>
      </c>
      <c r="M256" t="s">
        <v>3296</v>
      </c>
      <c r="N256" t="s">
        <v>3321</v>
      </c>
      <c r="O256" t="s">
        <v>3322</v>
      </c>
      <c r="P256" t="s">
        <v>3398</v>
      </c>
      <c r="Q256" t="s">
        <v>3439</v>
      </c>
      <c r="R256" t="s">
        <v>4004</v>
      </c>
    </row>
    <row r="257" spans="1:18" x14ac:dyDescent="0.2">
      <c r="A257">
        <v>3153752</v>
      </c>
      <c r="B257" t="s">
        <v>4005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</v>
      </c>
      <c r="J257">
        <v>0</v>
      </c>
      <c r="K257">
        <v>0</v>
      </c>
      <c r="L257" t="s">
        <v>3284</v>
      </c>
      <c r="M257" t="s">
        <v>3307</v>
      </c>
      <c r="N257" t="s">
        <v>3308</v>
      </c>
      <c r="O257" t="s">
        <v>3359</v>
      </c>
      <c r="P257" t="s">
        <v>3360</v>
      </c>
      <c r="Q257" t="s">
        <v>4006</v>
      </c>
      <c r="R257" t="s">
        <v>4007</v>
      </c>
    </row>
    <row r="258" spans="1:18" x14ac:dyDescent="0.2">
      <c r="A258">
        <v>3153578</v>
      </c>
      <c r="B258" t="s">
        <v>4008</v>
      </c>
      <c r="C258">
        <v>0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3284</v>
      </c>
      <c r="M258" t="s">
        <v>3296</v>
      </c>
      <c r="N258" t="s">
        <v>3321</v>
      </c>
      <c r="O258" t="s">
        <v>3322</v>
      </c>
      <c r="P258" t="s">
        <v>3671</v>
      </c>
      <c r="Q258" t="s">
        <v>3672</v>
      </c>
      <c r="R258" t="s">
        <v>4009</v>
      </c>
    </row>
    <row r="259" spans="1:18" x14ac:dyDescent="0.2">
      <c r="A259">
        <v>3153565</v>
      </c>
      <c r="B259" t="s">
        <v>4010</v>
      </c>
      <c r="C259">
        <v>0</v>
      </c>
      <c r="D259">
        <v>0</v>
      </c>
      <c r="E259">
        <v>0</v>
      </c>
      <c r="F259">
        <v>0</v>
      </c>
      <c r="G259">
        <v>1</v>
      </c>
      <c r="H259">
        <v>0</v>
      </c>
      <c r="I259">
        <v>0</v>
      </c>
      <c r="J259">
        <v>0</v>
      </c>
      <c r="K259">
        <v>0</v>
      </c>
      <c r="L259" t="s">
        <v>3284</v>
      </c>
      <c r="M259" t="s">
        <v>3307</v>
      </c>
      <c r="N259" t="s">
        <v>3308</v>
      </c>
      <c r="O259" t="s">
        <v>3635</v>
      </c>
      <c r="P259" t="s">
        <v>4011</v>
      </c>
      <c r="Q259" t="s">
        <v>4012</v>
      </c>
      <c r="R259" t="s">
        <v>4013</v>
      </c>
    </row>
    <row r="260" spans="1:18" x14ac:dyDescent="0.2">
      <c r="A260">
        <v>3152363</v>
      </c>
      <c r="B260" t="s">
        <v>4014</v>
      </c>
      <c r="C260">
        <v>1</v>
      </c>
      <c r="D260">
        <v>0</v>
      </c>
      <c r="E260">
        <v>0</v>
      </c>
      <c r="F260">
        <v>2</v>
      </c>
      <c r="G260">
        <v>1</v>
      </c>
      <c r="H260">
        <v>2</v>
      </c>
      <c r="I260">
        <v>1</v>
      </c>
      <c r="J260">
        <v>0</v>
      </c>
      <c r="K260">
        <v>0</v>
      </c>
      <c r="L260" t="s">
        <v>3284</v>
      </c>
      <c r="M260" t="s">
        <v>3307</v>
      </c>
      <c r="N260" t="s">
        <v>3308</v>
      </c>
      <c r="O260" t="s">
        <v>3359</v>
      </c>
      <c r="P260" t="s">
        <v>3360</v>
      </c>
      <c r="Q260" t="s">
        <v>3561</v>
      </c>
      <c r="R260" t="s">
        <v>4015</v>
      </c>
    </row>
    <row r="261" spans="1:18" x14ac:dyDescent="0.2">
      <c r="A261">
        <v>3151850</v>
      </c>
      <c r="B261" t="s">
        <v>4016</v>
      </c>
      <c r="C261">
        <v>0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3284</v>
      </c>
      <c r="M261" t="s">
        <v>3327</v>
      </c>
      <c r="N261" t="s">
        <v>3328</v>
      </c>
      <c r="O261" t="s">
        <v>4017</v>
      </c>
      <c r="P261" t="s">
        <v>4018</v>
      </c>
      <c r="Q261" t="s">
        <v>4019</v>
      </c>
      <c r="R261" t="s">
        <v>4020</v>
      </c>
    </row>
    <row r="262" spans="1:18" x14ac:dyDescent="0.2">
      <c r="A262">
        <v>3151835</v>
      </c>
      <c r="B262" t="s">
        <v>4021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0</v>
      </c>
      <c r="L262" t="s">
        <v>3284</v>
      </c>
      <c r="M262" t="s">
        <v>4022</v>
      </c>
      <c r="N262" t="s">
        <v>4023</v>
      </c>
      <c r="O262" t="s">
        <v>4024</v>
      </c>
      <c r="P262" t="s">
        <v>4025</v>
      </c>
      <c r="Q262" t="s">
        <v>4026</v>
      </c>
      <c r="R262" t="s">
        <v>4027</v>
      </c>
    </row>
    <row r="263" spans="1:18" x14ac:dyDescent="0.2">
      <c r="A263">
        <v>3151764</v>
      </c>
      <c r="B263" t="s">
        <v>4028</v>
      </c>
      <c r="C263">
        <v>22</v>
      </c>
      <c r="D263">
        <v>14</v>
      </c>
      <c r="E263">
        <v>4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3284</v>
      </c>
      <c r="M263" t="s">
        <v>3391</v>
      </c>
      <c r="N263" t="s">
        <v>3411</v>
      </c>
      <c r="O263" t="s">
        <v>3412</v>
      </c>
      <c r="P263" t="s">
        <v>3413</v>
      </c>
      <c r="Q263" t="s">
        <v>3414</v>
      </c>
      <c r="R263" t="s">
        <v>4029</v>
      </c>
    </row>
    <row r="264" spans="1:18" x14ac:dyDescent="0.2">
      <c r="A264">
        <v>3149230</v>
      </c>
      <c r="B264" t="s">
        <v>4030</v>
      </c>
      <c r="C264">
        <v>0</v>
      </c>
      <c r="D264">
        <v>0</v>
      </c>
      <c r="E264">
        <v>0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0</v>
      </c>
      <c r="L264" t="s">
        <v>3284</v>
      </c>
      <c r="M264" t="s">
        <v>3391</v>
      </c>
      <c r="N264" t="s">
        <v>3392</v>
      </c>
      <c r="O264" t="s">
        <v>3393</v>
      </c>
      <c r="P264" t="s">
        <v>3394</v>
      </c>
      <c r="Q264" t="s">
        <v>3395</v>
      </c>
      <c r="R264" t="s">
        <v>4031</v>
      </c>
    </row>
    <row r="265" spans="1:18" x14ac:dyDescent="0.2">
      <c r="A265">
        <v>3149229</v>
      </c>
      <c r="B265" t="s">
        <v>4032</v>
      </c>
      <c r="C265">
        <v>1</v>
      </c>
      <c r="D265">
        <v>0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3284</v>
      </c>
      <c r="M265" t="s">
        <v>3296</v>
      </c>
      <c r="N265" t="s">
        <v>3343</v>
      </c>
      <c r="O265" t="s">
        <v>3344</v>
      </c>
      <c r="P265" t="s">
        <v>4033</v>
      </c>
      <c r="Q265" t="s">
        <v>4034</v>
      </c>
      <c r="R265" t="s">
        <v>4035</v>
      </c>
    </row>
    <row r="266" spans="1:18" x14ac:dyDescent="0.2">
      <c r="A266">
        <v>3149047</v>
      </c>
      <c r="B266" t="s">
        <v>4036</v>
      </c>
      <c r="C266">
        <v>0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3284</v>
      </c>
      <c r="M266" t="s">
        <v>3296</v>
      </c>
      <c r="N266" t="s">
        <v>3297</v>
      </c>
      <c r="O266" t="s">
        <v>4037</v>
      </c>
      <c r="P266" t="s">
        <v>4038</v>
      </c>
      <c r="Q266" t="s">
        <v>4039</v>
      </c>
      <c r="R266" t="s">
        <v>4040</v>
      </c>
    </row>
    <row r="267" spans="1:18" x14ac:dyDescent="0.2">
      <c r="A267">
        <v>3149043</v>
      </c>
      <c r="B267" t="s">
        <v>4041</v>
      </c>
      <c r="C267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3284</v>
      </c>
      <c r="M267" t="s">
        <v>3391</v>
      </c>
      <c r="N267" t="s">
        <v>3411</v>
      </c>
      <c r="O267" t="s">
        <v>3412</v>
      </c>
      <c r="P267" t="s">
        <v>3413</v>
      </c>
      <c r="Q267" t="s">
        <v>3414</v>
      </c>
      <c r="R267" t="s">
        <v>4042</v>
      </c>
    </row>
    <row r="268" spans="1:18" x14ac:dyDescent="0.2">
      <c r="A268">
        <v>3149041</v>
      </c>
      <c r="B268" t="s">
        <v>4043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3284</v>
      </c>
      <c r="M268" t="s">
        <v>3296</v>
      </c>
      <c r="N268" t="s">
        <v>3321</v>
      </c>
      <c r="O268" t="s">
        <v>3322</v>
      </c>
      <c r="P268" t="s">
        <v>3671</v>
      </c>
      <c r="Q268" t="s">
        <v>3672</v>
      </c>
      <c r="R268" t="s">
        <v>4044</v>
      </c>
    </row>
    <row r="269" spans="1:18" x14ac:dyDescent="0.2">
      <c r="A269">
        <v>3149040</v>
      </c>
      <c r="B269" t="s">
        <v>4045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5</v>
      </c>
      <c r="J269">
        <v>4</v>
      </c>
      <c r="K269">
        <v>5</v>
      </c>
      <c r="L269" t="s">
        <v>3284</v>
      </c>
      <c r="M269" t="s">
        <v>3307</v>
      </c>
      <c r="N269" t="s">
        <v>3308</v>
      </c>
      <c r="O269" t="s">
        <v>3359</v>
      </c>
      <c r="P269" t="s">
        <v>3360</v>
      </c>
      <c r="Q269" t="s">
        <v>3361</v>
      </c>
      <c r="R269" t="s">
        <v>4046</v>
      </c>
    </row>
    <row r="270" spans="1:18" x14ac:dyDescent="0.2">
      <c r="A270">
        <v>3148904</v>
      </c>
      <c r="B270" t="s">
        <v>4047</v>
      </c>
      <c r="C270">
        <v>0</v>
      </c>
      <c r="D270">
        <v>0</v>
      </c>
      <c r="E270">
        <v>0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L270" t="s">
        <v>3284</v>
      </c>
      <c r="M270" t="s">
        <v>3296</v>
      </c>
      <c r="N270" t="s">
        <v>3343</v>
      </c>
      <c r="O270" t="s">
        <v>3344</v>
      </c>
      <c r="P270" t="s">
        <v>3367</v>
      </c>
      <c r="Q270" t="s">
        <v>3368</v>
      </c>
      <c r="R270" t="s">
        <v>4048</v>
      </c>
    </row>
    <row r="271" spans="1:18" x14ac:dyDescent="0.2">
      <c r="A271">
        <v>3144951</v>
      </c>
      <c r="B271" t="s">
        <v>4049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0</v>
      </c>
      <c r="K271">
        <v>0</v>
      </c>
      <c r="L271" t="s">
        <v>3284</v>
      </c>
      <c r="M271" t="s">
        <v>4022</v>
      </c>
      <c r="N271" t="s">
        <v>4023</v>
      </c>
      <c r="O271" t="s">
        <v>4050</v>
      </c>
      <c r="P271" t="s">
        <v>4051</v>
      </c>
      <c r="Q271" t="s">
        <v>4052</v>
      </c>
      <c r="R271" t="s">
        <v>4053</v>
      </c>
    </row>
    <row r="272" spans="1:18" x14ac:dyDescent="0.2">
      <c r="A272">
        <v>3144664</v>
      </c>
      <c r="B272" t="s">
        <v>4054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1</v>
      </c>
      <c r="J272">
        <v>0</v>
      </c>
      <c r="K272">
        <v>1</v>
      </c>
      <c r="L272" t="s">
        <v>3284</v>
      </c>
      <c r="M272" t="s">
        <v>3307</v>
      </c>
      <c r="N272" t="s">
        <v>3308</v>
      </c>
      <c r="O272" t="s">
        <v>3359</v>
      </c>
      <c r="P272" t="s">
        <v>3360</v>
      </c>
      <c r="Q272" t="s">
        <v>4055</v>
      </c>
      <c r="R272" t="s">
        <v>4056</v>
      </c>
    </row>
    <row r="273" spans="1:18" x14ac:dyDescent="0.2">
      <c r="A273">
        <v>3144663</v>
      </c>
      <c r="B273" t="s">
        <v>4057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</v>
      </c>
      <c r="J273">
        <v>1</v>
      </c>
      <c r="K273">
        <v>0</v>
      </c>
      <c r="L273" t="s">
        <v>3284</v>
      </c>
      <c r="M273" t="s">
        <v>3307</v>
      </c>
      <c r="N273" t="s">
        <v>3308</v>
      </c>
      <c r="O273" t="s">
        <v>3359</v>
      </c>
      <c r="P273" t="s">
        <v>3360</v>
      </c>
      <c r="Q273" t="s">
        <v>4055</v>
      </c>
      <c r="R273" t="s">
        <v>4058</v>
      </c>
    </row>
    <row r="274" spans="1:18" x14ac:dyDescent="0.2">
      <c r="A274">
        <v>3144404</v>
      </c>
      <c r="B274" t="s">
        <v>4059</v>
      </c>
      <c r="C274">
        <v>1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3284</v>
      </c>
      <c r="M274" t="s">
        <v>3307</v>
      </c>
      <c r="N274" t="s">
        <v>3308</v>
      </c>
      <c r="O274" t="s">
        <v>3359</v>
      </c>
      <c r="P274" t="s">
        <v>3360</v>
      </c>
      <c r="Q274" t="s">
        <v>3361</v>
      </c>
      <c r="R274" t="s">
        <v>4060</v>
      </c>
    </row>
    <row r="275" spans="1:18" x14ac:dyDescent="0.2">
      <c r="A275">
        <v>3144168</v>
      </c>
      <c r="B275" t="s">
        <v>4061</v>
      </c>
      <c r="C275">
        <v>0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1</v>
      </c>
      <c r="J275">
        <v>0</v>
      </c>
      <c r="K275">
        <v>0</v>
      </c>
      <c r="L275" t="s">
        <v>3284</v>
      </c>
      <c r="M275" t="s">
        <v>3307</v>
      </c>
      <c r="N275" t="s">
        <v>3308</v>
      </c>
      <c r="O275" t="s">
        <v>3359</v>
      </c>
      <c r="P275" t="s">
        <v>3360</v>
      </c>
      <c r="Q275" t="s">
        <v>4062</v>
      </c>
      <c r="R275" t="s">
        <v>4063</v>
      </c>
    </row>
    <row r="276" spans="1:18" x14ac:dyDescent="0.2">
      <c r="A276">
        <v>3143936</v>
      </c>
      <c r="B276" t="s">
        <v>4064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1</v>
      </c>
      <c r="J276">
        <v>0</v>
      </c>
      <c r="K276">
        <v>0</v>
      </c>
      <c r="L276" t="s">
        <v>3284</v>
      </c>
      <c r="M276" t="s">
        <v>3307</v>
      </c>
      <c r="N276" t="s">
        <v>3308</v>
      </c>
      <c r="O276" t="s">
        <v>3359</v>
      </c>
      <c r="P276" t="s">
        <v>3360</v>
      </c>
      <c r="Q276" t="s">
        <v>3515</v>
      </c>
      <c r="R276" t="s">
        <v>4065</v>
      </c>
    </row>
    <row r="277" spans="1:18" x14ac:dyDescent="0.2">
      <c r="A277">
        <v>3143930</v>
      </c>
      <c r="B277" t="s">
        <v>4066</v>
      </c>
      <c r="C277">
        <v>0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3284</v>
      </c>
      <c r="M277" t="s">
        <v>3391</v>
      </c>
      <c r="N277" t="s">
        <v>3392</v>
      </c>
      <c r="O277" t="s">
        <v>3393</v>
      </c>
      <c r="P277" t="s">
        <v>3394</v>
      </c>
      <c r="Q277" t="s">
        <v>3395</v>
      </c>
      <c r="R277" t="s">
        <v>4067</v>
      </c>
    </row>
    <row r="278" spans="1:18" x14ac:dyDescent="0.2">
      <c r="A278">
        <v>3143537</v>
      </c>
      <c r="B278" t="s">
        <v>4068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0</v>
      </c>
      <c r="L278" t="s">
        <v>3284</v>
      </c>
      <c r="M278" t="s">
        <v>3307</v>
      </c>
      <c r="N278" t="s">
        <v>3308</v>
      </c>
      <c r="O278" t="s">
        <v>3359</v>
      </c>
      <c r="P278" t="s">
        <v>3360</v>
      </c>
      <c r="Q278" t="s">
        <v>4069</v>
      </c>
      <c r="R278" t="s">
        <v>4070</v>
      </c>
    </row>
    <row r="279" spans="1:18" x14ac:dyDescent="0.2">
      <c r="A279">
        <v>3143183</v>
      </c>
      <c r="B279" t="s">
        <v>4071</v>
      </c>
      <c r="C279">
        <v>0</v>
      </c>
      <c r="D279">
        <v>0</v>
      </c>
      <c r="E279">
        <v>0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 t="s">
        <v>3284</v>
      </c>
      <c r="M279" t="s">
        <v>3296</v>
      </c>
      <c r="N279" t="s">
        <v>3343</v>
      </c>
      <c r="O279" t="s">
        <v>3349</v>
      </c>
      <c r="P279" t="s">
        <v>3350</v>
      </c>
      <c r="Q279" t="s">
        <v>3580</v>
      </c>
      <c r="R279" t="s">
        <v>4072</v>
      </c>
    </row>
    <row r="280" spans="1:18" x14ac:dyDescent="0.2">
      <c r="A280">
        <v>3143118</v>
      </c>
      <c r="B280" t="s">
        <v>4073</v>
      </c>
      <c r="C280">
        <v>0</v>
      </c>
      <c r="D280">
        <v>0</v>
      </c>
      <c r="E280">
        <v>0</v>
      </c>
      <c r="F280">
        <v>2</v>
      </c>
      <c r="G280">
        <v>1</v>
      </c>
      <c r="H280">
        <v>0</v>
      </c>
      <c r="I280">
        <v>0</v>
      </c>
      <c r="J280">
        <v>0</v>
      </c>
      <c r="K280">
        <v>0</v>
      </c>
      <c r="L280" t="s">
        <v>3284</v>
      </c>
      <c r="M280" t="s">
        <v>3391</v>
      </c>
      <c r="N280" t="s">
        <v>3411</v>
      </c>
      <c r="O280" t="s">
        <v>3412</v>
      </c>
      <c r="P280" t="s">
        <v>3413</v>
      </c>
      <c r="Q280" t="s">
        <v>3414</v>
      </c>
      <c r="R280" t="s">
        <v>4074</v>
      </c>
    </row>
    <row r="281" spans="1:18" x14ac:dyDescent="0.2">
      <c r="A281">
        <v>3142977</v>
      </c>
      <c r="B281" t="s">
        <v>4075</v>
      </c>
      <c r="C281">
        <v>0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3284</v>
      </c>
      <c r="M281" t="s">
        <v>3296</v>
      </c>
      <c r="N281" t="s">
        <v>3343</v>
      </c>
      <c r="O281" t="s">
        <v>3344</v>
      </c>
      <c r="P281" t="s">
        <v>4076</v>
      </c>
      <c r="Q281" t="s">
        <v>4077</v>
      </c>
      <c r="R281" t="s">
        <v>4078</v>
      </c>
    </row>
    <row r="282" spans="1:18" x14ac:dyDescent="0.2">
      <c r="A282">
        <v>3142976</v>
      </c>
      <c r="B282" t="s">
        <v>4079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1</v>
      </c>
      <c r="K282">
        <v>0</v>
      </c>
      <c r="L282" t="s">
        <v>3284</v>
      </c>
      <c r="M282" t="s">
        <v>3307</v>
      </c>
      <c r="N282" t="s">
        <v>3308</v>
      </c>
      <c r="O282" t="s">
        <v>3359</v>
      </c>
      <c r="P282" t="s">
        <v>3360</v>
      </c>
      <c r="Q282" t="s">
        <v>3361</v>
      </c>
      <c r="R282" t="s">
        <v>4080</v>
      </c>
    </row>
    <row r="283" spans="1:18" x14ac:dyDescent="0.2">
      <c r="A283">
        <v>3141542</v>
      </c>
      <c r="B283" t="s">
        <v>4081</v>
      </c>
      <c r="C283">
        <v>0</v>
      </c>
      <c r="D283">
        <v>0</v>
      </c>
      <c r="E283">
        <v>0</v>
      </c>
      <c r="F283">
        <v>2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3284</v>
      </c>
      <c r="M283" t="s">
        <v>3391</v>
      </c>
      <c r="N283" t="s">
        <v>3392</v>
      </c>
      <c r="O283" t="s">
        <v>3393</v>
      </c>
      <c r="P283" t="s">
        <v>3394</v>
      </c>
      <c r="Q283" t="s">
        <v>4082</v>
      </c>
      <c r="R283" t="s">
        <v>4083</v>
      </c>
    </row>
    <row r="284" spans="1:18" x14ac:dyDescent="0.2">
      <c r="A284">
        <v>3141537</v>
      </c>
      <c r="B284" t="s">
        <v>4084</v>
      </c>
      <c r="C284">
        <v>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</v>
      </c>
      <c r="J284">
        <v>0</v>
      </c>
      <c r="K284">
        <v>0</v>
      </c>
      <c r="L284" t="s">
        <v>3284</v>
      </c>
      <c r="M284" t="s">
        <v>3296</v>
      </c>
      <c r="N284" t="s">
        <v>3321</v>
      </c>
      <c r="O284" t="s">
        <v>3322</v>
      </c>
      <c r="P284" t="s">
        <v>3398</v>
      </c>
      <c r="Q284" t="s">
        <v>3788</v>
      </c>
      <c r="R284" t="s">
        <v>4085</v>
      </c>
    </row>
    <row r="285" spans="1:18" x14ac:dyDescent="0.2">
      <c r="A285">
        <v>3141450</v>
      </c>
      <c r="B285" t="s">
        <v>4086</v>
      </c>
      <c r="C285">
        <v>0</v>
      </c>
      <c r="D285">
        <v>0</v>
      </c>
      <c r="E285">
        <v>0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0</v>
      </c>
      <c r="L285" t="s">
        <v>3284</v>
      </c>
      <c r="M285" t="s">
        <v>3296</v>
      </c>
      <c r="N285" t="s">
        <v>3297</v>
      </c>
      <c r="O285" t="s">
        <v>3298</v>
      </c>
      <c r="P285" t="s">
        <v>3873</v>
      </c>
      <c r="Q285" t="s">
        <v>4087</v>
      </c>
      <c r="R285" t="s">
        <v>4088</v>
      </c>
    </row>
    <row r="286" spans="1:18" x14ac:dyDescent="0.2">
      <c r="A286">
        <v>3140365</v>
      </c>
      <c r="B286" t="s">
        <v>4089</v>
      </c>
      <c r="C286">
        <v>0</v>
      </c>
      <c r="D286">
        <v>0</v>
      </c>
      <c r="E286">
        <v>0</v>
      </c>
      <c r="F286">
        <v>1</v>
      </c>
      <c r="G286">
        <v>5</v>
      </c>
      <c r="H286">
        <v>0</v>
      </c>
      <c r="I286">
        <v>0</v>
      </c>
      <c r="J286">
        <v>0</v>
      </c>
      <c r="K286">
        <v>0</v>
      </c>
      <c r="L286" t="s">
        <v>3284</v>
      </c>
      <c r="M286" t="s">
        <v>3391</v>
      </c>
      <c r="N286" t="s">
        <v>3392</v>
      </c>
      <c r="O286" t="s">
        <v>3393</v>
      </c>
      <c r="P286" t="s">
        <v>3394</v>
      </c>
      <c r="Q286" t="s">
        <v>4082</v>
      </c>
      <c r="R286" t="s">
        <v>4090</v>
      </c>
    </row>
    <row r="287" spans="1:18" x14ac:dyDescent="0.2">
      <c r="A287">
        <v>3140364</v>
      </c>
      <c r="B287" t="s">
        <v>4091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5</v>
      </c>
      <c r="J287">
        <v>1</v>
      </c>
      <c r="K287">
        <v>5</v>
      </c>
      <c r="L287" t="s">
        <v>3284</v>
      </c>
      <c r="M287" t="s">
        <v>3296</v>
      </c>
      <c r="N287" t="s">
        <v>3343</v>
      </c>
      <c r="O287" t="s">
        <v>3429</v>
      </c>
      <c r="P287" t="s">
        <v>3430</v>
      </c>
      <c r="Q287" t="s">
        <v>3651</v>
      </c>
      <c r="R287" t="s">
        <v>4092</v>
      </c>
    </row>
    <row r="288" spans="1:18" x14ac:dyDescent="0.2">
      <c r="A288">
        <v>3140362</v>
      </c>
      <c r="B288" t="s">
        <v>4093</v>
      </c>
      <c r="C288">
        <v>0</v>
      </c>
      <c r="D288">
        <v>1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3284</v>
      </c>
      <c r="M288" t="s">
        <v>3327</v>
      </c>
      <c r="N288" t="s">
        <v>3376</v>
      </c>
      <c r="O288" t="s">
        <v>3377</v>
      </c>
      <c r="P288" t="s">
        <v>3604</v>
      </c>
      <c r="Q288" t="s">
        <v>4094</v>
      </c>
      <c r="R288" t="s">
        <v>4095</v>
      </c>
    </row>
    <row r="289" spans="1:18" x14ac:dyDescent="0.2">
      <c r="A289">
        <v>3140358</v>
      </c>
      <c r="B289" t="s">
        <v>4096</v>
      </c>
      <c r="C289">
        <v>0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3284</v>
      </c>
      <c r="M289" t="s">
        <v>3296</v>
      </c>
      <c r="N289" t="s">
        <v>3343</v>
      </c>
      <c r="O289" t="s">
        <v>3344</v>
      </c>
      <c r="P289" t="s">
        <v>3898</v>
      </c>
      <c r="Q289" t="s">
        <v>3899</v>
      </c>
      <c r="R289" t="s">
        <v>4097</v>
      </c>
    </row>
    <row r="290" spans="1:18" x14ac:dyDescent="0.2">
      <c r="A290">
        <v>3139408</v>
      </c>
      <c r="B290" t="s">
        <v>4098</v>
      </c>
      <c r="C290">
        <v>0</v>
      </c>
      <c r="D290">
        <v>0</v>
      </c>
      <c r="E290">
        <v>0</v>
      </c>
      <c r="F290">
        <v>0</v>
      </c>
      <c r="G290">
        <v>1</v>
      </c>
      <c r="H290">
        <v>0</v>
      </c>
      <c r="I290">
        <v>0</v>
      </c>
      <c r="J290">
        <v>0</v>
      </c>
      <c r="K290">
        <v>0</v>
      </c>
      <c r="L290" t="s">
        <v>3284</v>
      </c>
      <c r="M290" t="s">
        <v>3296</v>
      </c>
      <c r="N290" t="s">
        <v>3297</v>
      </c>
      <c r="O290" t="s">
        <v>3298</v>
      </c>
      <c r="P290" t="s">
        <v>3826</v>
      </c>
      <c r="Q290" t="s">
        <v>4099</v>
      </c>
      <c r="R290" t="s">
        <v>4100</v>
      </c>
    </row>
    <row r="291" spans="1:18" x14ac:dyDescent="0.2">
      <c r="A291">
        <v>3139144</v>
      </c>
      <c r="B291" t="s">
        <v>4101</v>
      </c>
      <c r="C291">
        <v>0</v>
      </c>
      <c r="D291">
        <v>0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3284</v>
      </c>
      <c r="M291" t="s">
        <v>3391</v>
      </c>
      <c r="N291" t="s">
        <v>3411</v>
      </c>
      <c r="O291" t="s">
        <v>3412</v>
      </c>
      <c r="P291" t="s">
        <v>3413</v>
      </c>
      <c r="Q291" t="s">
        <v>3414</v>
      </c>
      <c r="R291" t="s">
        <v>4102</v>
      </c>
    </row>
    <row r="292" spans="1:18" x14ac:dyDescent="0.2">
      <c r="A292">
        <v>3139143</v>
      </c>
      <c r="B292" t="s">
        <v>4103</v>
      </c>
      <c r="C292">
        <v>0</v>
      </c>
      <c r="D292">
        <v>0</v>
      </c>
      <c r="E292">
        <v>0</v>
      </c>
      <c r="F292">
        <v>1</v>
      </c>
      <c r="G292">
        <v>1</v>
      </c>
      <c r="H292">
        <v>0</v>
      </c>
      <c r="I292">
        <v>0</v>
      </c>
      <c r="J292">
        <v>0</v>
      </c>
      <c r="K292">
        <v>0</v>
      </c>
      <c r="L292" t="s">
        <v>3284</v>
      </c>
      <c r="M292" t="s">
        <v>3391</v>
      </c>
      <c r="N292" t="s">
        <v>3411</v>
      </c>
      <c r="O292" t="s">
        <v>3412</v>
      </c>
      <c r="P292" t="s">
        <v>3413</v>
      </c>
      <c r="Q292" t="s">
        <v>3414</v>
      </c>
      <c r="R292" t="s">
        <v>4104</v>
      </c>
    </row>
    <row r="293" spans="1:18" x14ac:dyDescent="0.2">
      <c r="A293">
        <v>3138935</v>
      </c>
      <c r="B293" t="s">
        <v>4105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3284</v>
      </c>
      <c r="M293" t="s">
        <v>3307</v>
      </c>
      <c r="N293" t="s">
        <v>3308</v>
      </c>
      <c r="O293" t="s">
        <v>3359</v>
      </c>
      <c r="P293" t="s">
        <v>4106</v>
      </c>
      <c r="Q293" t="s">
        <v>4107</v>
      </c>
      <c r="R293" t="s">
        <v>4108</v>
      </c>
    </row>
    <row r="294" spans="1:18" x14ac:dyDescent="0.2">
      <c r="A294">
        <v>3138568</v>
      </c>
      <c r="B294" t="s">
        <v>4109</v>
      </c>
      <c r="C294">
        <v>0</v>
      </c>
      <c r="D294">
        <v>0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0</v>
      </c>
      <c r="L294" t="s">
        <v>3284</v>
      </c>
      <c r="M294" t="s">
        <v>3391</v>
      </c>
      <c r="N294" t="s">
        <v>3392</v>
      </c>
      <c r="O294" t="s">
        <v>3393</v>
      </c>
      <c r="P294" t="s">
        <v>3394</v>
      </c>
      <c r="Q294" t="s">
        <v>4082</v>
      </c>
      <c r="R294" t="s">
        <v>4110</v>
      </c>
    </row>
    <row r="295" spans="1:18" x14ac:dyDescent="0.2">
      <c r="A295">
        <v>3138485</v>
      </c>
      <c r="B295" t="s">
        <v>4111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</v>
      </c>
      <c r="L295" t="s">
        <v>3284</v>
      </c>
      <c r="M295" t="s">
        <v>3296</v>
      </c>
      <c r="N295" t="s">
        <v>3297</v>
      </c>
      <c r="O295" t="s">
        <v>4112</v>
      </c>
      <c r="P295" t="s">
        <v>4113</v>
      </c>
      <c r="Q295" t="s">
        <v>4114</v>
      </c>
      <c r="R295" t="s">
        <v>4115</v>
      </c>
    </row>
    <row r="296" spans="1:18" x14ac:dyDescent="0.2">
      <c r="A296">
        <v>3138479</v>
      </c>
      <c r="B296" t="s">
        <v>4116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1</v>
      </c>
      <c r="L296" t="s">
        <v>3284</v>
      </c>
      <c r="M296" t="s">
        <v>3296</v>
      </c>
      <c r="N296" t="s">
        <v>3297</v>
      </c>
      <c r="O296" t="s">
        <v>4112</v>
      </c>
      <c r="P296" t="s">
        <v>4113</v>
      </c>
      <c r="Q296" t="s">
        <v>4114</v>
      </c>
      <c r="R296" t="s">
        <v>4117</v>
      </c>
    </row>
    <row r="297" spans="1:18" x14ac:dyDescent="0.2">
      <c r="A297">
        <v>3138469</v>
      </c>
      <c r="B297" t="s">
        <v>4118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</v>
      </c>
      <c r="J297">
        <v>0</v>
      </c>
      <c r="K297">
        <v>0</v>
      </c>
      <c r="L297" t="s">
        <v>3284</v>
      </c>
      <c r="M297" t="s">
        <v>3296</v>
      </c>
      <c r="N297" t="s">
        <v>3297</v>
      </c>
      <c r="O297" t="s">
        <v>4112</v>
      </c>
      <c r="P297" t="s">
        <v>4113</v>
      </c>
      <c r="Q297" t="s">
        <v>4114</v>
      </c>
      <c r="R297" t="s">
        <v>4119</v>
      </c>
    </row>
    <row r="298" spans="1:18" x14ac:dyDescent="0.2">
      <c r="A298">
        <v>3138237</v>
      </c>
      <c r="B298" t="s">
        <v>4120</v>
      </c>
      <c r="C298">
        <v>0</v>
      </c>
      <c r="D298">
        <v>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3284</v>
      </c>
      <c r="M298" t="s">
        <v>3307</v>
      </c>
      <c r="N298" t="s">
        <v>3308</v>
      </c>
      <c r="O298" t="s">
        <v>3359</v>
      </c>
      <c r="P298" t="s">
        <v>3360</v>
      </c>
      <c r="Q298" t="s">
        <v>4121</v>
      </c>
      <c r="R298" t="s">
        <v>4122</v>
      </c>
    </row>
    <row r="299" spans="1:18" x14ac:dyDescent="0.2">
      <c r="A299">
        <v>3137397</v>
      </c>
      <c r="B299" t="s">
        <v>4123</v>
      </c>
      <c r="C299">
        <v>0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3284</v>
      </c>
      <c r="M299" t="s">
        <v>3296</v>
      </c>
      <c r="N299" t="s">
        <v>3297</v>
      </c>
      <c r="O299" t="s">
        <v>4124</v>
      </c>
      <c r="P299" t="s">
        <v>4125</v>
      </c>
      <c r="Q299" t="s">
        <v>4126</v>
      </c>
      <c r="R299" t="s">
        <v>4127</v>
      </c>
    </row>
    <row r="300" spans="1:18" x14ac:dyDescent="0.2">
      <c r="A300">
        <v>3137178</v>
      </c>
      <c r="B300" t="s">
        <v>4128</v>
      </c>
      <c r="C300">
        <v>0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3284</v>
      </c>
      <c r="M300" t="s">
        <v>3391</v>
      </c>
      <c r="N300" t="s">
        <v>4129</v>
      </c>
      <c r="O300" t="s">
        <v>4130</v>
      </c>
      <c r="P300" t="s">
        <v>4131</v>
      </c>
      <c r="Q300" t="s">
        <v>4132</v>
      </c>
      <c r="R300" t="s">
        <v>4133</v>
      </c>
    </row>
    <row r="301" spans="1:18" x14ac:dyDescent="0.2">
      <c r="A301">
        <v>3136799</v>
      </c>
      <c r="B301" t="s">
        <v>4134</v>
      </c>
      <c r="C301">
        <v>0</v>
      </c>
      <c r="D301">
        <v>0</v>
      </c>
      <c r="E301">
        <v>0</v>
      </c>
      <c r="F301">
        <v>0</v>
      </c>
      <c r="G301">
        <v>2</v>
      </c>
      <c r="H301">
        <v>0</v>
      </c>
      <c r="I301">
        <v>0</v>
      </c>
      <c r="J301">
        <v>0</v>
      </c>
      <c r="K301">
        <v>0</v>
      </c>
      <c r="L301" t="s">
        <v>3284</v>
      </c>
      <c r="M301" t="s">
        <v>3296</v>
      </c>
      <c r="N301" t="s">
        <v>3297</v>
      </c>
      <c r="O301" t="s">
        <v>3469</v>
      </c>
      <c r="P301" t="s">
        <v>3470</v>
      </c>
      <c r="Q301" t="s">
        <v>3471</v>
      </c>
      <c r="R301" t="s">
        <v>4135</v>
      </c>
    </row>
    <row r="302" spans="1:18" x14ac:dyDescent="0.2">
      <c r="A302">
        <v>3136792</v>
      </c>
      <c r="B302" t="s">
        <v>4136</v>
      </c>
      <c r="C302">
        <v>0</v>
      </c>
      <c r="D302">
        <v>0</v>
      </c>
      <c r="E302">
        <v>0</v>
      </c>
      <c r="F302">
        <v>1</v>
      </c>
      <c r="G302">
        <v>1</v>
      </c>
      <c r="H302">
        <v>0</v>
      </c>
      <c r="I302">
        <v>0</v>
      </c>
      <c r="J302">
        <v>0</v>
      </c>
      <c r="K302">
        <v>0</v>
      </c>
      <c r="L302" t="s">
        <v>3284</v>
      </c>
      <c r="M302" t="s">
        <v>3296</v>
      </c>
      <c r="N302" t="s">
        <v>3297</v>
      </c>
      <c r="O302" t="s">
        <v>3469</v>
      </c>
      <c r="P302" t="s">
        <v>3470</v>
      </c>
      <c r="Q302" t="s">
        <v>3471</v>
      </c>
      <c r="R302" t="s">
        <v>4137</v>
      </c>
    </row>
    <row r="303" spans="1:18" x14ac:dyDescent="0.2">
      <c r="A303">
        <v>3136783</v>
      </c>
      <c r="B303" t="s">
        <v>4138</v>
      </c>
      <c r="C303">
        <v>0</v>
      </c>
      <c r="D303">
        <v>0</v>
      </c>
      <c r="E303">
        <v>0</v>
      </c>
      <c r="F303">
        <v>2</v>
      </c>
      <c r="G303">
        <v>2</v>
      </c>
      <c r="H303">
        <v>1</v>
      </c>
      <c r="I303">
        <v>0</v>
      </c>
      <c r="J303">
        <v>0</v>
      </c>
      <c r="K303">
        <v>0</v>
      </c>
      <c r="L303" t="s">
        <v>3284</v>
      </c>
      <c r="M303" t="s">
        <v>3296</v>
      </c>
      <c r="N303" t="s">
        <v>3297</v>
      </c>
      <c r="O303" t="s">
        <v>3469</v>
      </c>
      <c r="P303" t="s">
        <v>3470</v>
      </c>
      <c r="Q303" t="s">
        <v>3471</v>
      </c>
      <c r="R303" t="s">
        <v>4139</v>
      </c>
    </row>
    <row r="304" spans="1:18" x14ac:dyDescent="0.2">
      <c r="A304">
        <v>3136775</v>
      </c>
      <c r="B304" t="s">
        <v>4140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0</v>
      </c>
      <c r="K304">
        <v>0</v>
      </c>
      <c r="L304" t="s">
        <v>3284</v>
      </c>
      <c r="M304" t="s">
        <v>3296</v>
      </c>
      <c r="N304" t="s">
        <v>3297</v>
      </c>
      <c r="O304" t="s">
        <v>3469</v>
      </c>
      <c r="P304" t="s">
        <v>3470</v>
      </c>
      <c r="Q304" t="s">
        <v>3471</v>
      </c>
      <c r="R304" t="s">
        <v>4141</v>
      </c>
    </row>
    <row r="305" spans="1:18" x14ac:dyDescent="0.2">
      <c r="A305">
        <v>3136634</v>
      </c>
      <c r="B305" t="s">
        <v>4142</v>
      </c>
      <c r="C305">
        <v>0</v>
      </c>
      <c r="D305">
        <v>0</v>
      </c>
      <c r="E305">
        <v>0</v>
      </c>
      <c r="F305">
        <v>0</v>
      </c>
      <c r="G305">
        <v>1</v>
      </c>
      <c r="H305">
        <v>1</v>
      </c>
      <c r="I305">
        <v>0</v>
      </c>
      <c r="J305">
        <v>0</v>
      </c>
      <c r="K305">
        <v>0</v>
      </c>
      <c r="L305" t="s">
        <v>3284</v>
      </c>
      <c r="M305" t="s">
        <v>3296</v>
      </c>
      <c r="N305" t="s">
        <v>3321</v>
      </c>
      <c r="O305" t="s">
        <v>3322</v>
      </c>
      <c r="P305" t="s">
        <v>4143</v>
      </c>
      <c r="Q305" t="s">
        <v>4144</v>
      </c>
      <c r="R305" t="s">
        <v>4145</v>
      </c>
    </row>
    <row r="306" spans="1:18" x14ac:dyDescent="0.2">
      <c r="A306">
        <v>3136633</v>
      </c>
      <c r="B306" t="s">
        <v>4146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3284</v>
      </c>
      <c r="M306" t="s">
        <v>3296</v>
      </c>
      <c r="N306" t="s">
        <v>3321</v>
      </c>
      <c r="O306" t="s">
        <v>4147</v>
      </c>
      <c r="P306" t="s">
        <v>4148</v>
      </c>
      <c r="Q306" t="s">
        <v>4149</v>
      </c>
      <c r="R306" t="s">
        <v>4150</v>
      </c>
    </row>
    <row r="307" spans="1:18" x14ac:dyDescent="0.2">
      <c r="A307">
        <v>3136282</v>
      </c>
      <c r="B307" t="s">
        <v>4151</v>
      </c>
      <c r="C307">
        <v>0</v>
      </c>
      <c r="D307">
        <v>0</v>
      </c>
      <c r="E307">
        <v>0</v>
      </c>
      <c r="F307">
        <v>12</v>
      </c>
      <c r="G307">
        <v>3</v>
      </c>
      <c r="H307">
        <v>0</v>
      </c>
      <c r="I307">
        <v>10</v>
      </c>
      <c r="J307">
        <v>10</v>
      </c>
      <c r="K307">
        <v>5</v>
      </c>
      <c r="L307" t="s">
        <v>3284</v>
      </c>
      <c r="M307" t="s">
        <v>3285</v>
      </c>
      <c r="N307" t="s">
        <v>3286</v>
      </c>
      <c r="O307" t="s">
        <v>3287</v>
      </c>
      <c r="P307" t="s">
        <v>3288</v>
      </c>
      <c r="Q307" t="s">
        <v>3289</v>
      </c>
      <c r="R307" t="s">
        <v>4152</v>
      </c>
    </row>
    <row r="308" spans="1:18" x14ac:dyDescent="0.2">
      <c r="A308">
        <v>3136281</v>
      </c>
      <c r="B308" t="s">
        <v>4153</v>
      </c>
      <c r="C308">
        <v>0</v>
      </c>
      <c r="D308">
        <v>0</v>
      </c>
      <c r="E308">
        <v>0</v>
      </c>
      <c r="F308">
        <v>0</v>
      </c>
      <c r="G308">
        <v>4</v>
      </c>
      <c r="H308">
        <v>0</v>
      </c>
      <c r="I308">
        <v>4</v>
      </c>
      <c r="J308">
        <v>2</v>
      </c>
      <c r="K308">
        <v>0</v>
      </c>
      <c r="L308" t="s">
        <v>3284</v>
      </c>
      <c r="M308" t="s">
        <v>3285</v>
      </c>
      <c r="N308" t="s">
        <v>3286</v>
      </c>
      <c r="O308" t="s">
        <v>3287</v>
      </c>
      <c r="P308" t="s">
        <v>3288</v>
      </c>
      <c r="Q308" t="s">
        <v>3289</v>
      </c>
      <c r="R308" t="s">
        <v>4154</v>
      </c>
    </row>
    <row r="309" spans="1:18" x14ac:dyDescent="0.2">
      <c r="A309">
        <v>3136161</v>
      </c>
      <c r="B309" t="s">
        <v>4155</v>
      </c>
      <c r="C309">
        <v>0</v>
      </c>
      <c r="D309">
        <v>0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3284</v>
      </c>
      <c r="M309" t="s">
        <v>3327</v>
      </c>
      <c r="N309" t="s">
        <v>3376</v>
      </c>
      <c r="O309" t="s">
        <v>3377</v>
      </c>
      <c r="P309" t="s">
        <v>3378</v>
      </c>
      <c r="Q309" t="s">
        <v>4156</v>
      </c>
      <c r="R309" t="s">
        <v>4157</v>
      </c>
    </row>
    <row r="310" spans="1:18" x14ac:dyDescent="0.2">
      <c r="A310">
        <v>3135782</v>
      </c>
      <c r="B310" t="s">
        <v>4158</v>
      </c>
      <c r="C310">
        <v>0</v>
      </c>
      <c r="D310">
        <v>0</v>
      </c>
      <c r="E310">
        <v>0</v>
      </c>
      <c r="F310">
        <v>0</v>
      </c>
      <c r="G310">
        <v>1</v>
      </c>
      <c r="H310">
        <v>0</v>
      </c>
      <c r="I310">
        <v>0</v>
      </c>
      <c r="J310">
        <v>0</v>
      </c>
      <c r="K310">
        <v>0</v>
      </c>
      <c r="L310" t="s">
        <v>3284</v>
      </c>
      <c r="M310" t="s">
        <v>3296</v>
      </c>
      <c r="N310" t="s">
        <v>3343</v>
      </c>
      <c r="O310" t="s">
        <v>4159</v>
      </c>
      <c r="P310" t="s">
        <v>4160</v>
      </c>
      <c r="Q310" t="s">
        <v>4161</v>
      </c>
      <c r="R310" t="s">
        <v>4162</v>
      </c>
    </row>
    <row r="311" spans="1:18" x14ac:dyDescent="0.2">
      <c r="A311">
        <v>3135646</v>
      </c>
      <c r="B311" t="s">
        <v>4163</v>
      </c>
      <c r="C311">
        <v>0</v>
      </c>
      <c r="D311">
        <v>0</v>
      </c>
      <c r="E311">
        <v>0</v>
      </c>
      <c r="F311">
        <v>0</v>
      </c>
      <c r="G311">
        <v>1</v>
      </c>
      <c r="H311">
        <v>0</v>
      </c>
      <c r="I311">
        <v>0</v>
      </c>
      <c r="J311">
        <v>0</v>
      </c>
      <c r="K311">
        <v>0</v>
      </c>
      <c r="L311" t="s">
        <v>3284</v>
      </c>
      <c r="M311" t="s">
        <v>3296</v>
      </c>
      <c r="N311" t="s">
        <v>3321</v>
      </c>
      <c r="O311" t="s">
        <v>4147</v>
      </c>
      <c r="P311" t="s">
        <v>4164</v>
      </c>
      <c r="Q311" t="s">
        <v>4165</v>
      </c>
      <c r="R311" t="s">
        <v>4166</v>
      </c>
    </row>
    <row r="312" spans="1:18" x14ac:dyDescent="0.2">
      <c r="A312">
        <v>3135280</v>
      </c>
      <c r="B312" t="s">
        <v>4167</v>
      </c>
      <c r="C312">
        <v>1</v>
      </c>
      <c r="D312">
        <v>2</v>
      </c>
      <c r="E312">
        <v>0</v>
      </c>
      <c r="F312">
        <v>2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3284</v>
      </c>
      <c r="M312" t="s">
        <v>3816</v>
      </c>
      <c r="N312" t="s">
        <v>3817</v>
      </c>
      <c r="O312" t="s">
        <v>3818</v>
      </c>
      <c r="P312" t="s">
        <v>3819</v>
      </c>
      <c r="Q312" t="s">
        <v>3820</v>
      </c>
      <c r="R312" t="s">
        <v>4168</v>
      </c>
    </row>
    <row r="313" spans="1:18" x14ac:dyDescent="0.2">
      <c r="A313">
        <v>3135266</v>
      </c>
      <c r="B313" t="s">
        <v>4169</v>
      </c>
      <c r="C313">
        <v>0</v>
      </c>
      <c r="D313">
        <v>0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3284</v>
      </c>
      <c r="M313" t="s">
        <v>3296</v>
      </c>
      <c r="N313" t="s">
        <v>3321</v>
      </c>
      <c r="O313" t="s">
        <v>3322</v>
      </c>
      <c r="P313" t="s">
        <v>3423</v>
      </c>
      <c r="Q313" t="s">
        <v>4170</v>
      </c>
      <c r="R313" t="s">
        <v>4171</v>
      </c>
    </row>
    <row r="314" spans="1:18" x14ac:dyDescent="0.2">
      <c r="A314">
        <v>3135248</v>
      </c>
      <c r="B314" t="s">
        <v>4172</v>
      </c>
      <c r="C314">
        <v>0</v>
      </c>
      <c r="D314">
        <v>0</v>
      </c>
      <c r="E314">
        <v>0</v>
      </c>
      <c r="F314">
        <v>0</v>
      </c>
      <c r="G314">
        <v>1</v>
      </c>
      <c r="H314">
        <v>0</v>
      </c>
      <c r="I314">
        <v>2</v>
      </c>
      <c r="J314">
        <v>3</v>
      </c>
      <c r="K314">
        <v>0</v>
      </c>
      <c r="L314" t="s">
        <v>3284</v>
      </c>
      <c r="M314" t="s">
        <v>3307</v>
      </c>
      <c r="N314" t="s">
        <v>3308</v>
      </c>
      <c r="O314" t="s">
        <v>3309</v>
      </c>
      <c r="P314" t="s">
        <v>3310</v>
      </c>
      <c r="Q314" t="s">
        <v>3311</v>
      </c>
      <c r="R314" t="s">
        <v>4173</v>
      </c>
    </row>
    <row r="315" spans="1:18" x14ac:dyDescent="0.2">
      <c r="A315">
        <v>3135241</v>
      </c>
      <c r="B315" t="s">
        <v>4174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1</v>
      </c>
      <c r="J315">
        <v>0</v>
      </c>
      <c r="K315">
        <v>0</v>
      </c>
      <c r="L315" t="s">
        <v>3284</v>
      </c>
      <c r="M315" t="s">
        <v>3296</v>
      </c>
      <c r="N315" t="s">
        <v>3343</v>
      </c>
      <c r="O315" t="s">
        <v>3349</v>
      </c>
      <c r="P315" t="s">
        <v>3350</v>
      </c>
      <c r="Q315" t="s">
        <v>4175</v>
      </c>
      <c r="R315" t="s">
        <v>4176</v>
      </c>
    </row>
    <row r="316" spans="1:18" x14ac:dyDescent="0.2">
      <c r="A316">
        <v>3135234</v>
      </c>
      <c r="B316" t="s">
        <v>4177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3284</v>
      </c>
      <c r="M316" t="s">
        <v>3296</v>
      </c>
      <c r="N316" t="s">
        <v>3343</v>
      </c>
      <c r="O316" t="s">
        <v>3349</v>
      </c>
      <c r="P316" t="s">
        <v>3350</v>
      </c>
      <c r="Q316" t="s">
        <v>4175</v>
      </c>
      <c r="R316" t="s">
        <v>4178</v>
      </c>
    </row>
    <row r="317" spans="1:18" x14ac:dyDescent="0.2">
      <c r="A317">
        <v>3135230</v>
      </c>
      <c r="B317" t="s">
        <v>4179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3284</v>
      </c>
      <c r="M317" t="s">
        <v>3327</v>
      </c>
      <c r="N317" t="s">
        <v>3376</v>
      </c>
      <c r="O317" t="s">
        <v>3377</v>
      </c>
      <c r="P317" t="s">
        <v>3604</v>
      </c>
      <c r="Q317" t="s">
        <v>3668</v>
      </c>
      <c r="R317" t="s">
        <v>4180</v>
      </c>
    </row>
    <row r="318" spans="1:18" x14ac:dyDescent="0.2">
      <c r="A318">
        <v>3134792</v>
      </c>
      <c r="B318" t="s">
        <v>4181</v>
      </c>
      <c r="C318">
        <v>0</v>
      </c>
      <c r="D318">
        <v>0</v>
      </c>
      <c r="E318">
        <v>0</v>
      </c>
      <c r="F318">
        <v>1</v>
      </c>
      <c r="G318">
        <v>0</v>
      </c>
      <c r="H318">
        <v>0</v>
      </c>
      <c r="I318">
        <v>1</v>
      </c>
      <c r="J318">
        <v>0</v>
      </c>
      <c r="K318">
        <v>0</v>
      </c>
      <c r="L318" t="s">
        <v>3284</v>
      </c>
      <c r="M318" t="s">
        <v>3296</v>
      </c>
      <c r="N318" t="s">
        <v>3297</v>
      </c>
      <c r="O318" t="s">
        <v>3469</v>
      </c>
      <c r="P318" t="s">
        <v>3470</v>
      </c>
      <c r="Q318" t="s">
        <v>3471</v>
      </c>
      <c r="R318" t="s">
        <v>4182</v>
      </c>
    </row>
    <row r="319" spans="1:18" x14ac:dyDescent="0.2">
      <c r="A319">
        <v>3134138</v>
      </c>
      <c r="B319" t="s">
        <v>4183</v>
      </c>
      <c r="C319">
        <v>0</v>
      </c>
      <c r="D319">
        <v>2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3284</v>
      </c>
      <c r="M319" t="s">
        <v>3327</v>
      </c>
      <c r="N319" t="s">
        <v>3328</v>
      </c>
      <c r="O319" t="s">
        <v>4184</v>
      </c>
      <c r="P319" t="s">
        <v>4185</v>
      </c>
      <c r="Q319" t="s">
        <v>4186</v>
      </c>
      <c r="R319" t="s">
        <v>4187</v>
      </c>
    </row>
    <row r="320" spans="1:18" x14ac:dyDescent="0.2">
      <c r="A320">
        <v>3134136</v>
      </c>
      <c r="B320" t="s">
        <v>4188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</v>
      </c>
      <c r="J320">
        <v>0</v>
      </c>
      <c r="K320">
        <v>0</v>
      </c>
      <c r="L320" t="s">
        <v>3284</v>
      </c>
      <c r="M320" t="s">
        <v>3307</v>
      </c>
      <c r="N320" t="s">
        <v>3308</v>
      </c>
      <c r="O320" t="s">
        <v>3359</v>
      </c>
      <c r="P320" t="s">
        <v>3360</v>
      </c>
      <c r="Q320" t="s">
        <v>3515</v>
      </c>
      <c r="R320" t="s">
        <v>4189</v>
      </c>
    </row>
    <row r="321" spans="1:18" x14ac:dyDescent="0.2">
      <c r="A321">
        <v>3133969</v>
      </c>
      <c r="B321" t="s">
        <v>4190</v>
      </c>
      <c r="C321">
        <v>0</v>
      </c>
      <c r="D321">
        <v>0</v>
      </c>
      <c r="E321">
        <v>0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3284</v>
      </c>
      <c r="M321" t="s">
        <v>3296</v>
      </c>
      <c r="N321" t="s">
        <v>3343</v>
      </c>
      <c r="O321" t="s">
        <v>4191</v>
      </c>
      <c r="P321" t="s">
        <v>4192</v>
      </c>
      <c r="Q321" t="s">
        <v>4193</v>
      </c>
      <c r="R321" t="s">
        <v>4194</v>
      </c>
    </row>
    <row r="322" spans="1:18" x14ac:dyDescent="0.2">
      <c r="A322">
        <v>3133721</v>
      </c>
      <c r="B322" t="s">
        <v>4195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6</v>
      </c>
      <c r="J322">
        <v>6</v>
      </c>
      <c r="K322">
        <v>2</v>
      </c>
      <c r="L322" t="s">
        <v>3284</v>
      </c>
      <c r="M322" t="s">
        <v>3296</v>
      </c>
      <c r="N322" t="s">
        <v>3343</v>
      </c>
      <c r="O322" t="s">
        <v>3429</v>
      </c>
      <c r="P322" t="s">
        <v>3430</v>
      </c>
      <c r="Q322" t="s">
        <v>4196</v>
      </c>
      <c r="R322" t="s">
        <v>4197</v>
      </c>
    </row>
    <row r="323" spans="1:18" x14ac:dyDescent="0.2">
      <c r="A323">
        <v>3133442</v>
      </c>
      <c r="B323" t="s">
        <v>4198</v>
      </c>
      <c r="C323">
        <v>0</v>
      </c>
      <c r="D323">
        <v>0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3284</v>
      </c>
      <c r="M323" t="s">
        <v>3296</v>
      </c>
      <c r="N323" t="s">
        <v>3343</v>
      </c>
      <c r="O323" t="s">
        <v>3349</v>
      </c>
      <c r="P323" t="s">
        <v>3350</v>
      </c>
      <c r="Q323" t="s">
        <v>4175</v>
      </c>
      <c r="R323" t="s">
        <v>4199</v>
      </c>
    </row>
    <row r="324" spans="1:18" x14ac:dyDescent="0.2">
      <c r="A324">
        <v>3133439</v>
      </c>
      <c r="B324" t="s">
        <v>4200</v>
      </c>
      <c r="C324">
        <v>1</v>
      </c>
      <c r="D324">
        <v>2</v>
      </c>
      <c r="E324">
        <v>1</v>
      </c>
      <c r="F324">
        <v>0</v>
      </c>
      <c r="G324">
        <v>0</v>
      </c>
      <c r="H324">
        <v>0</v>
      </c>
      <c r="I324">
        <v>6</v>
      </c>
      <c r="J324">
        <v>2</v>
      </c>
      <c r="K324">
        <v>0</v>
      </c>
      <c r="L324" t="s">
        <v>3284</v>
      </c>
      <c r="M324" t="s">
        <v>3391</v>
      </c>
      <c r="N324" t="s">
        <v>3392</v>
      </c>
      <c r="O324" t="s">
        <v>3393</v>
      </c>
      <c r="P324" t="s">
        <v>3394</v>
      </c>
      <c r="Q324" t="s">
        <v>3395</v>
      </c>
      <c r="R324" t="s">
        <v>4201</v>
      </c>
    </row>
    <row r="325" spans="1:18" x14ac:dyDescent="0.2">
      <c r="A325">
        <v>3133437</v>
      </c>
      <c r="B325" t="s">
        <v>4202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3284</v>
      </c>
      <c r="M325" t="s">
        <v>3296</v>
      </c>
      <c r="N325" t="s">
        <v>3321</v>
      </c>
      <c r="O325" t="s">
        <v>3322</v>
      </c>
      <c r="P325" t="s">
        <v>3398</v>
      </c>
      <c r="Q325" t="s">
        <v>3696</v>
      </c>
      <c r="R325" t="s">
        <v>4203</v>
      </c>
    </row>
    <row r="326" spans="1:18" x14ac:dyDescent="0.2">
      <c r="A326">
        <v>3133436</v>
      </c>
      <c r="B326" t="s">
        <v>4204</v>
      </c>
      <c r="C326">
        <v>0</v>
      </c>
      <c r="D326">
        <v>0</v>
      </c>
      <c r="E326">
        <v>0</v>
      </c>
      <c r="F326">
        <v>5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3284</v>
      </c>
      <c r="M326" t="s">
        <v>3296</v>
      </c>
      <c r="N326" t="s">
        <v>3343</v>
      </c>
      <c r="O326" t="s">
        <v>3349</v>
      </c>
      <c r="P326" t="s">
        <v>3350</v>
      </c>
      <c r="Q326" t="s">
        <v>3351</v>
      </c>
      <c r="R326" t="s">
        <v>4205</v>
      </c>
    </row>
    <row r="327" spans="1:18" x14ac:dyDescent="0.2">
      <c r="A327">
        <v>3133164</v>
      </c>
      <c r="B327" t="s">
        <v>4206</v>
      </c>
      <c r="C327">
        <v>0</v>
      </c>
      <c r="D327">
        <v>0</v>
      </c>
      <c r="E327">
        <v>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3284</v>
      </c>
      <c r="M327" t="s">
        <v>3327</v>
      </c>
      <c r="N327" t="s">
        <v>3328</v>
      </c>
      <c r="O327" t="s">
        <v>4017</v>
      </c>
      <c r="P327" t="s">
        <v>4018</v>
      </c>
      <c r="Q327" t="s">
        <v>4207</v>
      </c>
      <c r="R327" t="s">
        <v>4208</v>
      </c>
    </row>
    <row r="328" spans="1:18" x14ac:dyDescent="0.2">
      <c r="A328">
        <v>3133147</v>
      </c>
      <c r="B328" t="s">
        <v>4209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3284</v>
      </c>
      <c r="M328" t="s">
        <v>3391</v>
      </c>
      <c r="N328" t="s">
        <v>3411</v>
      </c>
      <c r="O328" t="s">
        <v>3412</v>
      </c>
      <c r="P328" t="s">
        <v>3413</v>
      </c>
      <c r="Q328" t="s">
        <v>3414</v>
      </c>
      <c r="R328" t="s">
        <v>4210</v>
      </c>
    </row>
    <row r="329" spans="1:18" x14ac:dyDescent="0.2">
      <c r="A329">
        <v>3133144</v>
      </c>
      <c r="B329" t="s">
        <v>4211</v>
      </c>
      <c r="C329">
        <v>0</v>
      </c>
      <c r="D329">
        <v>0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3284</v>
      </c>
      <c r="M329" t="s">
        <v>3296</v>
      </c>
      <c r="N329" t="s">
        <v>3297</v>
      </c>
      <c r="O329" t="s">
        <v>3434</v>
      </c>
      <c r="P329" t="s">
        <v>3435</v>
      </c>
      <c r="Q329" t="s">
        <v>3436</v>
      </c>
      <c r="R329" t="s">
        <v>4212</v>
      </c>
    </row>
    <row r="330" spans="1:18" x14ac:dyDescent="0.2">
      <c r="A330">
        <v>3132829</v>
      </c>
      <c r="B330" t="s">
        <v>4213</v>
      </c>
      <c r="C330">
        <v>1</v>
      </c>
      <c r="D330">
        <v>2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3284</v>
      </c>
      <c r="M330" t="s">
        <v>3296</v>
      </c>
      <c r="N330" t="s">
        <v>3321</v>
      </c>
      <c r="O330" t="s">
        <v>3322</v>
      </c>
      <c r="P330" t="s">
        <v>3271</v>
      </c>
      <c r="Q330" t="s">
        <v>4214</v>
      </c>
      <c r="R330" t="s">
        <v>4215</v>
      </c>
    </row>
    <row r="331" spans="1:18" x14ac:dyDescent="0.2">
      <c r="A331">
        <v>3132797</v>
      </c>
      <c r="B331" t="s">
        <v>4216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1</v>
      </c>
      <c r="J331">
        <v>0</v>
      </c>
      <c r="K331">
        <v>0</v>
      </c>
      <c r="L331" t="s">
        <v>3284</v>
      </c>
      <c r="M331" t="s">
        <v>3296</v>
      </c>
      <c r="N331" t="s">
        <v>3343</v>
      </c>
      <c r="O331" t="s">
        <v>3349</v>
      </c>
      <c r="P331" t="s">
        <v>3350</v>
      </c>
      <c r="Q331" t="s">
        <v>3580</v>
      </c>
      <c r="R331" t="s">
        <v>4217</v>
      </c>
    </row>
    <row r="332" spans="1:18" x14ac:dyDescent="0.2">
      <c r="A332">
        <v>3132215</v>
      </c>
      <c r="B332" t="s">
        <v>4218</v>
      </c>
      <c r="C332">
        <v>0</v>
      </c>
      <c r="D332">
        <v>0</v>
      </c>
      <c r="E332">
        <v>0</v>
      </c>
      <c r="F332">
        <v>13</v>
      </c>
      <c r="G332">
        <v>1</v>
      </c>
      <c r="H332">
        <v>1</v>
      </c>
      <c r="I332">
        <v>0</v>
      </c>
      <c r="J332">
        <v>0</v>
      </c>
      <c r="K332">
        <v>0</v>
      </c>
      <c r="L332" t="s">
        <v>3284</v>
      </c>
      <c r="M332" t="s">
        <v>3296</v>
      </c>
      <c r="N332" t="s">
        <v>3297</v>
      </c>
      <c r="O332" t="s">
        <v>3469</v>
      </c>
      <c r="P332" t="s">
        <v>3470</v>
      </c>
      <c r="Q332" t="s">
        <v>3471</v>
      </c>
      <c r="R332" t="s">
        <v>4219</v>
      </c>
    </row>
    <row r="333" spans="1:18" x14ac:dyDescent="0.2">
      <c r="A333">
        <v>3131992</v>
      </c>
      <c r="B333" t="s">
        <v>4220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</v>
      </c>
      <c r="J333">
        <v>0</v>
      </c>
      <c r="K333">
        <v>0</v>
      </c>
      <c r="L333" t="s">
        <v>3284</v>
      </c>
      <c r="M333" t="s">
        <v>3307</v>
      </c>
      <c r="N333" t="s">
        <v>3308</v>
      </c>
      <c r="O333" t="s">
        <v>3359</v>
      </c>
      <c r="P333" t="s">
        <v>3360</v>
      </c>
      <c r="Q333" t="s">
        <v>4062</v>
      </c>
      <c r="R333" t="s">
        <v>4221</v>
      </c>
    </row>
    <row r="334" spans="1:18" x14ac:dyDescent="0.2">
      <c r="A334">
        <v>3131940</v>
      </c>
      <c r="B334" t="s">
        <v>4222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</v>
      </c>
      <c r="K334">
        <v>0</v>
      </c>
      <c r="L334" t="s">
        <v>3284</v>
      </c>
      <c r="M334" t="s">
        <v>3296</v>
      </c>
      <c r="N334" t="s">
        <v>3297</v>
      </c>
      <c r="O334" t="s">
        <v>3469</v>
      </c>
      <c r="P334" t="s">
        <v>3470</v>
      </c>
      <c r="Q334" t="s">
        <v>4223</v>
      </c>
      <c r="R334" t="s">
        <v>4224</v>
      </c>
    </row>
    <row r="335" spans="1:18" x14ac:dyDescent="0.2">
      <c r="A335">
        <v>3131934</v>
      </c>
      <c r="B335" t="s">
        <v>4225</v>
      </c>
      <c r="C335">
        <v>0</v>
      </c>
      <c r="D335">
        <v>0</v>
      </c>
      <c r="E335">
        <v>0</v>
      </c>
      <c r="F335">
        <v>1</v>
      </c>
      <c r="G335">
        <v>3</v>
      </c>
      <c r="H335">
        <v>0</v>
      </c>
      <c r="I335">
        <v>0</v>
      </c>
      <c r="J335">
        <v>0</v>
      </c>
      <c r="K335">
        <v>0</v>
      </c>
      <c r="L335" t="s">
        <v>3284</v>
      </c>
      <c r="M335" t="s">
        <v>4226</v>
      </c>
      <c r="N335" t="s">
        <v>4227</v>
      </c>
      <c r="O335" t="s">
        <v>4228</v>
      </c>
      <c r="P335" t="s">
        <v>4229</v>
      </c>
      <c r="Q335" t="s">
        <v>4230</v>
      </c>
      <c r="R335" t="s">
        <v>4231</v>
      </c>
    </row>
    <row r="336" spans="1:18" x14ac:dyDescent="0.2">
      <c r="A336">
        <v>3130164</v>
      </c>
      <c r="B336" t="s">
        <v>4232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3284</v>
      </c>
      <c r="M336" t="s">
        <v>3296</v>
      </c>
      <c r="N336" t="s">
        <v>3321</v>
      </c>
      <c r="O336" t="s">
        <v>3322</v>
      </c>
      <c r="P336" t="s">
        <v>3271</v>
      </c>
      <c r="Q336" t="s">
        <v>4214</v>
      </c>
      <c r="R336" t="s">
        <v>4233</v>
      </c>
    </row>
    <row r="337" spans="1:18" x14ac:dyDescent="0.2">
      <c r="A337">
        <v>3129254</v>
      </c>
      <c r="B337" t="s">
        <v>4234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1</v>
      </c>
      <c r="J337">
        <v>0</v>
      </c>
      <c r="K337">
        <v>1</v>
      </c>
      <c r="L337" t="s">
        <v>3284</v>
      </c>
      <c r="M337" t="s">
        <v>3296</v>
      </c>
      <c r="N337" t="s">
        <v>3343</v>
      </c>
      <c r="O337" t="s">
        <v>3344</v>
      </c>
      <c r="P337" t="s">
        <v>3387</v>
      </c>
      <c r="Q337" t="s">
        <v>4235</v>
      </c>
      <c r="R337" t="s">
        <v>4236</v>
      </c>
    </row>
    <row r="338" spans="1:18" x14ac:dyDescent="0.2">
      <c r="A338">
        <v>3129230</v>
      </c>
      <c r="B338" t="s">
        <v>4237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1</v>
      </c>
      <c r="J338">
        <v>0</v>
      </c>
      <c r="K338">
        <v>0</v>
      </c>
      <c r="L338" t="s">
        <v>3284</v>
      </c>
      <c r="M338" t="s">
        <v>3296</v>
      </c>
      <c r="N338" t="s">
        <v>3343</v>
      </c>
      <c r="O338" t="s">
        <v>3344</v>
      </c>
      <c r="P338" t="s">
        <v>3355</v>
      </c>
      <c r="Q338" t="s">
        <v>4238</v>
      </c>
      <c r="R338" t="s">
        <v>4239</v>
      </c>
    </row>
    <row r="339" spans="1:18" x14ac:dyDescent="0.2">
      <c r="A339">
        <v>3128900</v>
      </c>
      <c r="B339" t="s">
        <v>4240</v>
      </c>
      <c r="C339">
        <v>0</v>
      </c>
      <c r="D339">
        <v>1</v>
      </c>
      <c r="E339">
        <v>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3284</v>
      </c>
      <c r="M339" t="s">
        <v>3391</v>
      </c>
      <c r="N339" t="s">
        <v>3740</v>
      </c>
      <c r="O339" t="s">
        <v>3741</v>
      </c>
      <c r="P339" t="s">
        <v>4241</v>
      </c>
      <c r="Q339" t="s">
        <v>4242</v>
      </c>
      <c r="R339" t="s">
        <v>4243</v>
      </c>
    </row>
    <row r="340" spans="1:18" x14ac:dyDescent="0.2">
      <c r="A340">
        <v>3127958</v>
      </c>
      <c r="B340" t="s">
        <v>4244</v>
      </c>
      <c r="C340">
        <v>0</v>
      </c>
      <c r="D340">
        <v>0</v>
      </c>
      <c r="E340">
        <v>0</v>
      </c>
      <c r="F340">
        <v>1</v>
      </c>
      <c r="G340">
        <v>1</v>
      </c>
      <c r="H340">
        <v>1</v>
      </c>
      <c r="I340">
        <v>0</v>
      </c>
      <c r="J340">
        <v>0</v>
      </c>
      <c r="K340">
        <v>0</v>
      </c>
      <c r="L340" t="s">
        <v>3284</v>
      </c>
      <c r="M340" t="s">
        <v>3296</v>
      </c>
      <c r="N340" t="s">
        <v>3343</v>
      </c>
      <c r="O340" t="s">
        <v>3402</v>
      </c>
      <c r="P340" t="s">
        <v>3403</v>
      </c>
      <c r="Q340" t="s">
        <v>3404</v>
      </c>
      <c r="R340" t="s">
        <v>4245</v>
      </c>
    </row>
    <row r="341" spans="1:18" x14ac:dyDescent="0.2">
      <c r="A341">
        <v>3127957</v>
      </c>
      <c r="B341" t="s">
        <v>4246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161</v>
      </c>
      <c r="J341">
        <v>76</v>
      </c>
      <c r="K341">
        <v>12</v>
      </c>
      <c r="L341" t="s">
        <v>3284</v>
      </c>
      <c r="M341" t="s">
        <v>3391</v>
      </c>
      <c r="N341" t="s">
        <v>3392</v>
      </c>
      <c r="O341" t="s">
        <v>3393</v>
      </c>
      <c r="P341" t="s">
        <v>3394</v>
      </c>
      <c r="Q341" t="s">
        <v>3395</v>
      </c>
      <c r="R341" t="s">
        <v>4247</v>
      </c>
    </row>
    <row r="342" spans="1:18" x14ac:dyDescent="0.2">
      <c r="A342">
        <v>3127885</v>
      </c>
      <c r="B342" t="s">
        <v>4248</v>
      </c>
      <c r="C342">
        <v>0</v>
      </c>
      <c r="D342">
        <v>0</v>
      </c>
      <c r="E342">
        <v>0</v>
      </c>
      <c r="F342">
        <v>2</v>
      </c>
      <c r="G342">
        <v>0</v>
      </c>
      <c r="H342">
        <v>0</v>
      </c>
      <c r="I342">
        <v>3</v>
      </c>
      <c r="J342">
        <v>1</v>
      </c>
      <c r="K342">
        <v>0</v>
      </c>
      <c r="L342" t="s">
        <v>3284</v>
      </c>
      <c r="M342" t="s">
        <v>3296</v>
      </c>
      <c r="N342" t="s">
        <v>3343</v>
      </c>
      <c r="O342" t="s">
        <v>3344</v>
      </c>
      <c r="P342" t="s">
        <v>3367</v>
      </c>
      <c r="Q342" t="s">
        <v>3368</v>
      </c>
      <c r="R342" t="s">
        <v>4249</v>
      </c>
    </row>
    <row r="343" spans="1:18" x14ac:dyDescent="0.2">
      <c r="A343">
        <v>3127704</v>
      </c>
      <c r="B343" t="s">
        <v>4250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1</v>
      </c>
      <c r="J343">
        <v>0</v>
      </c>
      <c r="K343">
        <v>0</v>
      </c>
      <c r="L343" t="s">
        <v>3284</v>
      </c>
      <c r="M343" t="s">
        <v>3391</v>
      </c>
      <c r="N343" t="s">
        <v>3740</v>
      </c>
      <c r="O343" t="s">
        <v>3741</v>
      </c>
      <c r="P343" t="s">
        <v>3853</v>
      </c>
      <c r="Q343" t="s">
        <v>3854</v>
      </c>
      <c r="R343" t="s">
        <v>4251</v>
      </c>
    </row>
    <row r="344" spans="1:18" x14ac:dyDescent="0.2">
      <c r="A344">
        <v>3127649</v>
      </c>
      <c r="B344" t="s">
        <v>4252</v>
      </c>
      <c r="C344">
        <v>4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1</v>
      </c>
      <c r="J344">
        <v>0</v>
      </c>
      <c r="K344">
        <v>0</v>
      </c>
      <c r="L344" t="s">
        <v>3284</v>
      </c>
      <c r="M344" t="s">
        <v>3296</v>
      </c>
      <c r="N344" t="s">
        <v>3321</v>
      </c>
      <c r="O344" t="s">
        <v>3322</v>
      </c>
      <c r="P344" t="s">
        <v>3398</v>
      </c>
      <c r="Q344" t="s">
        <v>3841</v>
      </c>
      <c r="R344" t="s">
        <v>4253</v>
      </c>
    </row>
    <row r="345" spans="1:18" x14ac:dyDescent="0.2">
      <c r="A345">
        <v>3127640</v>
      </c>
      <c r="B345" t="s">
        <v>4254</v>
      </c>
      <c r="C345">
        <v>0</v>
      </c>
      <c r="D345">
        <v>0</v>
      </c>
      <c r="E345">
        <v>0</v>
      </c>
      <c r="F345">
        <v>2</v>
      </c>
      <c r="G345">
        <v>1</v>
      </c>
      <c r="H345">
        <v>0</v>
      </c>
      <c r="I345">
        <v>0</v>
      </c>
      <c r="J345">
        <v>0</v>
      </c>
      <c r="K345">
        <v>0</v>
      </c>
      <c r="L345" t="s">
        <v>3284</v>
      </c>
      <c r="M345" t="s">
        <v>3296</v>
      </c>
      <c r="N345" t="s">
        <v>3343</v>
      </c>
      <c r="O345" t="s">
        <v>3349</v>
      </c>
      <c r="P345" t="s">
        <v>3350</v>
      </c>
      <c r="Q345" t="s">
        <v>3351</v>
      </c>
      <c r="R345" t="s">
        <v>4255</v>
      </c>
    </row>
    <row r="346" spans="1:18" x14ac:dyDescent="0.2">
      <c r="A346">
        <v>3127639</v>
      </c>
      <c r="B346" t="s">
        <v>4256</v>
      </c>
      <c r="C346">
        <v>0</v>
      </c>
      <c r="D346">
        <v>0</v>
      </c>
      <c r="E346">
        <v>0</v>
      </c>
      <c r="F346">
        <v>2</v>
      </c>
      <c r="G346">
        <v>3</v>
      </c>
      <c r="H346">
        <v>0</v>
      </c>
      <c r="I346">
        <v>0</v>
      </c>
      <c r="J346">
        <v>0</v>
      </c>
      <c r="K346">
        <v>0</v>
      </c>
      <c r="L346" t="s">
        <v>3284</v>
      </c>
      <c r="M346" t="s">
        <v>3296</v>
      </c>
      <c r="N346" t="s">
        <v>3343</v>
      </c>
      <c r="O346" t="s">
        <v>3349</v>
      </c>
      <c r="P346" t="s">
        <v>3350</v>
      </c>
      <c r="Q346" t="s">
        <v>3351</v>
      </c>
      <c r="R346" t="s">
        <v>4257</v>
      </c>
    </row>
    <row r="347" spans="1:18" x14ac:dyDescent="0.2">
      <c r="A347">
        <v>3127462</v>
      </c>
      <c r="B347" t="s">
        <v>4258</v>
      </c>
      <c r="C347">
        <v>0</v>
      </c>
      <c r="D347">
        <v>0</v>
      </c>
      <c r="E347">
        <v>0</v>
      </c>
      <c r="F347">
        <v>1</v>
      </c>
      <c r="G347">
        <v>0</v>
      </c>
      <c r="H347">
        <v>1</v>
      </c>
      <c r="I347">
        <v>0</v>
      </c>
      <c r="J347">
        <v>0</v>
      </c>
      <c r="K347">
        <v>0</v>
      </c>
      <c r="L347" t="s">
        <v>3284</v>
      </c>
      <c r="M347" t="s">
        <v>3296</v>
      </c>
      <c r="N347" t="s">
        <v>3321</v>
      </c>
      <c r="O347" t="s">
        <v>3322</v>
      </c>
      <c r="P347" t="s">
        <v>3398</v>
      </c>
      <c r="Q347" t="s">
        <v>3399</v>
      </c>
      <c r="R347" t="s">
        <v>4259</v>
      </c>
    </row>
    <row r="348" spans="1:18" x14ac:dyDescent="0.2">
      <c r="A348">
        <v>3127457</v>
      </c>
      <c r="B348" t="s">
        <v>4260</v>
      </c>
      <c r="C348">
        <v>0</v>
      </c>
      <c r="D348">
        <v>0</v>
      </c>
      <c r="E348">
        <v>0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3284</v>
      </c>
      <c r="M348" t="s">
        <v>3391</v>
      </c>
      <c r="N348" t="s">
        <v>4129</v>
      </c>
      <c r="O348" t="s">
        <v>4130</v>
      </c>
      <c r="P348" t="s">
        <v>4131</v>
      </c>
      <c r="Q348" t="s">
        <v>4261</v>
      </c>
      <c r="R348" t="s">
        <v>4262</v>
      </c>
    </row>
    <row r="349" spans="1:18" x14ac:dyDescent="0.2">
      <c r="A349">
        <v>3126689</v>
      </c>
      <c r="B349" t="s">
        <v>4263</v>
      </c>
      <c r="C349">
        <v>0</v>
      </c>
      <c r="D349">
        <v>0</v>
      </c>
      <c r="E349">
        <v>0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3284</v>
      </c>
      <c r="M349" t="s">
        <v>3296</v>
      </c>
      <c r="N349" t="s">
        <v>3343</v>
      </c>
      <c r="O349" t="s">
        <v>3344</v>
      </c>
      <c r="P349" t="s">
        <v>3345</v>
      </c>
      <c r="Q349" t="s">
        <v>3346</v>
      </c>
      <c r="R349" t="s">
        <v>4264</v>
      </c>
    </row>
    <row r="350" spans="1:18" x14ac:dyDescent="0.2">
      <c r="A350">
        <v>3126390</v>
      </c>
      <c r="B350" t="s">
        <v>4265</v>
      </c>
      <c r="C350">
        <v>2</v>
      </c>
      <c r="D350">
        <v>2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3284</v>
      </c>
      <c r="M350" t="s">
        <v>3296</v>
      </c>
      <c r="N350" t="s">
        <v>3321</v>
      </c>
      <c r="O350" t="s">
        <v>3322</v>
      </c>
      <c r="P350" t="s">
        <v>3398</v>
      </c>
      <c r="Q350" t="s">
        <v>3806</v>
      </c>
      <c r="R350" t="s">
        <v>4266</v>
      </c>
    </row>
    <row r="351" spans="1:18" x14ac:dyDescent="0.2">
      <c r="A351">
        <v>3126102</v>
      </c>
      <c r="B351" t="s">
        <v>4267</v>
      </c>
      <c r="C351">
        <v>2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3284</v>
      </c>
      <c r="M351" t="s">
        <v>3327</v>
      </c>
      <c r="N351" t="s">
        <v>3376</v>
      </c>
      <c r="O351" t="s">
        <v>3377</v>
      </c>
      <c r="P351" t="s">
        <v>3604</v>
      </c>
      <c r="Q351" t="s">
        <v>3668</v>
      </c>
      <c r="R351" t="s">
        <v>4268</v>
      </c>
    </row>
    <row r="352" spans="1:18" x14ac:dyDescent="0.2">
      <c r="A352">
        <v>3125786</v>
      </c>
      <c r="B352" t="s">
        <v>4269</v>
      </c>
      <c r="C352">
        <v>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4270</v>
      </c>
      <c r="M352" t="s">
        <v>4271</v>
      </c>
      <c r="N352" t="s">
        <v>4272</v>
      </c>
      <c r="O352" t="s">
        <v>4273</v>
      </c>
      <c r="P352" t="s">
        <v>4274</v>
      </c>
      <c r="Q352" t="s">
        <v>4275</v>
      </c>
      <c r="R352" t="s">
        <v>4276</v>
      </c>
    </row>
    <row r="353" spans="1:18" x14ac:dyDescent="0.2">
      <c r="A353">
        <v>3123040</v>
      </c>
      <c r="B353" t="s">
        <v>4277</v>
      </c>
      <c r="C353">
        <v>15</v>
      </c>
      <c r="D353">
        <v>6</v>
      </c>
      <c r="E353">
        <v>1</v>
      </c>
      <c r="F353">
        <v>1</v>
      </c>
      <c r="G353">
        <v>0</v>
      </c>
      <c r="H353">
        <v>0</v>
      </c>
      <c r="I353">
        <v>0</v>
      </c>
      <c r="J353">
        <v>1</v>
      </c>
      <c r="K353">
        <v>0</v>
      </c>
      <c r="L353" t="s">
        <v>3284</v>
      </c>
      <c r="M353" t="s">
        <v>3296</v>
      </c>
      <c r="N353" t="s">
        <v>3343</v>
      </c>
      <c r="O353" t="s">
        <v>3371</v>
      </c>
      <c r="P353" t="s">
        <v>3688</v>
      </c>
      <c r="Q353" t="s">
        <v>4278</v>
      </c>
      <c r="R353" t="s">
        <v>4279</v>
      </c>
    </row>
    <row r="354" spans="1:18" x14ac:dyDescent="0.2">
      <c r="A354">
        <v>3122050</v>
      </c>
      <c r="B354" t="s">
        <v>4280</v>
      </c>
      <c r="C354">
        <v>0</v>
      </c>
      <c r="D354">
        <v>0</v>
      </c>
      <c r="E354">
        <v>0</v>
      </c>
      <c r="F354">
        <v>0</v>
      </c>
      <c r="G354">
        <v>2</v>
      </c>
      <c r="H354">
        <v>0</v>
      </c>
      <c r="I354">
        <v>0</v>
      </c>
      <c r="J354">
        <v>0</v>
      </c>
      <c r="K354">
        <v>0</v>
      </c>
      <c r="L354" t="s">
        <v>3284</v>
      </c>
      <c r="M354" t="s">
        <v>3307</v>
      </c>
      <c r="N354" t="s">
        <v>3308</v>
      </c>
      <c r="O354" t="s">
        <v>3359</v>
      </c>
      <c r="P354" t="s">
        <v>3360</v>
      </c>
      <c r="Q354" t="s">
        <v>3361</v>
      </c>
      <c r="R354" t="s">
        <v>4281</v>
      </c>
    </row>
    <row r="355" spans="1:18" x14ac:dyDescent="0.2">
      <c r="A355">
        <v>3121582</v>
      </c>
      <c r="B355" t="s">
        <v>4282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</v>
      </c>
      <c r="J355">
        <v>0</v>
      </c>
      <c r="K355">
        <v>0</v>
      </c>
      <c r="L355" t="s">
        <v>3284</v>
      </c>
      <c r="M355" t="s">
        <v>3296</v>
      </c>
      <c r="N355" t="s">
        <v>3343</v>
      </c>
      <c r="O355" t="s">
        <v>3429</v>
      </c>
      <c r="P355" t="s">
        <v>3430</v>
      </c>
      <c r="Q355" t="s">
        <v>3651</v>
      </c>
      <c r="R355" t="s">
        <v>4283</v>
      </c>
    </row>
    <row r="356" spans="1:18" x14ac:dyDescent="0.2">
      <c r="A356">
        <v>3121290</v>
      </c>
      <c r="B356" t="s">
        <v>4284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</v>
      </c>
      <c r="K356">
        <v>0</v>
      </c>
      <c r="L356" t="s">
        <v>3284</v>
      </c>
      <c r="M356" t="s">
        <v>3296</v>
      </c>
      <c r="N356" t="s">
        <v>3343</v>
      </c>
      <c r="O356" t="s">
        <v>3349</v>
      </c>
      <c r="P356" t="s">
        <v>4285</v>
      </c>
      <c r="Q356" t="s">
        <v>4286</v>
      </c>
      <c r="R356" t="s">
        <v>4287</v>
      </c>
    </row>
    <row r="357" spans="1:18" x14ac:dyDescent="0.2">
      <c r="A357">
        <v>3120513</v>
      </c>
      <c r="B357" t="s">
        <v>4288</v>
      </c>
      <c r="C357">
        <v>0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3284</v>
      </c>
      <c r="M357" t="s">
        <v>4022</v>
      </c>
      <c r="N357" t="s">
        <v>4023</v>
      </c>
      <c r="O357" t="s">
        <v>4289</v>
      </c>
      <c r="P357" t="s">
        <v>4290</v>
      </c>
      <c r="Q357" t="s">
        <v>4291</v>
      </c>
      <c r="R357" t="s">
        <v>4292</v>
      </c>
    </row>
    <row r="358" spans="1:18" x14ac:dyDescent="0.2">
      <c r="A358">
        <v>3120355</v>
      </c>
      <c r="B358" t="s">
        <v>4293</v>
      </c>
      <c r="C358">
        <v>0</v>
      </c>
      <c r="D358">
        <v>0</v>
      </c>
      <c r="E358">
        <v>0</v>
      </c>
      <c r="F358">
        <v>3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3284</v>
      </c>
      <c r="M358" t="s">
        <v>3296</v>
      </c>
      <c r="N358" t="s">
        <v>3343</v>
      </c>
      <c r="O358" t="s">
        <v>4294</v>
      </c>
      <c r="P358" t="s">
        <v>4295</v>
      </c>
      <c r="Q358" t="s">
        <v>4296</v>
      </c>
      <c r="R358" t="s">
        <v>4297</v>
      </c>
    </row>
    <row r="359" spans="1:18" x14ac:dyDescent="0.2">
      <c r="A359">
        <v>3119943</v>
      </c>
      <c r="B359" t="s">
        <v>4298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4</v>
      </c>
      <c r="L359" t="s">
        <v>3284</v>
      </c>
      <c r="M359" t="s">
        <v>3296</v>
      </c>
      <c r="N359" t="s">
        <v>3343</v>
      </c>
      <c r="O359" t="s">
        <v>3344</v>
      </c>
      <c r="P359" t="s">
        <v>3661</v>
      </c>
      <c r="Q359" t="s">
        <v>3895</v>
      </c>
      <c r="R359" t="s">
        <v>4299</v>
      </c>
    </row>
    <row r="360" spans="1:18" x14ac:dyDescent="0.2">
      <c r="A360">
        <v>3119941</v>
      </c>
      <c r="B360" t="s">
        <v>4300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</v>
      </c>
      <c r="J360">
        <v>0</v>
      </c>
      <c r="K360">
        <v>0</v>
      </c>
      <c r="L360" t="s">
        <v>3284</v>
      </c>
      <c r="M360" t="s">
        <v>3296</v>
      </c>
      <c r="N360" t="s">
        <v>3343</v>
      </c>
      <c r="O360" t="s">
        <v>3344</v>
      </c>
      <c r="P360" t="s">
        <v>3661</v>
      </c>
      <c r="Q360" t="s">
        <v>3895</v>
      </c>
      <c r="R360" t="s">
        <v>4301</v>
      </c>
    </row>
    <row r="361" spans="1:18" x14ac:dyDescent="0.2">
      <c r="A361">
        <v>3119935</v>
      </c>
      <c r="B361" t="s">
        <v>4302</v>
      </c>
      <c r="C361">
        <v>0</v>
      </c>
      <c r="D361">
        <v>0</v>
      </c>
      <c r="E361">
        <v>0</v>
      </c>
      <c r="F361">
        <v>0</v>
      </c>
      <c r="G361">
        <v>1</v>
      </c>
      <c r="H361">
        <v>0</v>
      </c>
      <c r="I361">
        <v>0</v>
      </c>
      <c r="J361">
        <v>0</v>
      </c>
      <c r="K361">
        <v>0</v>
      </c>
      <c r="L361" t="s">
        <v>3284</v>
      </c>
      <c r="M361" t="s">
        <v>3296</v>
      </c>
      <c r="N361" t="s">
        <v>3343</v>
      </c>
      <c r="O361" t="s">
        <v>3344</v>
      </c>
      <c r="P361" t="s">
        <v>3661</v>
      </c>
      <c r="Q361" t="s">
        <v>3895</v>
      </c>
      <c r="R361" t="s">
        <v>4303</v>
      </c>
    </row>
    <row r="362" spans="1:18" x14ac:dyDescent="0.2">
      <c r="A362">
        <v>3119924</v>
      </c>
      <c r="B362" t="s">
        <v>4304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1</v>
      </c>
      <c r="K362">
        <v>0</v>
      </c>
      <c r="L362" t="s">
        <v>3284</v>
      </c>
      <c r="M362" t="s">
        <v>3296</v>
      </c>
      <c r="N362" t="s">
        <v>3343</v>
      </c>
      <c r="O362" t="s">
        <v>3344</v>
      </c>
      <c r="P362" t="s">
        <v>3661</v>
      </c>
      <c r="Q362" t="s">
        <v>3895</v>
      </c>
      <c r="R362" t="s">
        <v>4305</v>
      </c>
    </row>
    <row r="363" spans="1:18" x14ac:dyDescent="0.2">
      <c r="A363">
        <v>3119921</v>
      </c>
      <c r="B363" t="s">
        <v>4306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</v>
      </c>
      <c r="K363">
        <v>0</v>
      </c>
      <c r="L363" t="s">
        <v>3284</v>
      </c>
      <c r="M363" t="s">
        <v>3296</v>
      </c>
      <c r="N363" t="s">
        <v>3343</v>
      </c>
      <c r="O363" t="s">
        <v>3344</v>
      </c>
      <c r="P363" t="s">
        <v>3661</v>
      </c>
      <c r="Q363" t="s">
        <v>3895</v>
      </c>
      <c r="R363" t="s">
        <v>4307</v>
      </c>
    </row>
    <row r="364" spans="1:18" x14ac:dyDescent="0.2">
      <c r="A364">
        <v>3119057</v>
      </c>
      <c r="B364" t="s">
        <v>4308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1</v>
      </c>
      <c r="I364">
        <v>0</v>
      </c>
      <c r="J364">
        <v>1</v>
      </c>
      <c r="K364">
        <v>0</v>
      </c>
      <c r="L364" t="s">
        <v>3284</v>
      </c>
      <c r="M364" t="s">
        <v>3296</v>
      </c>
      <c r="N364" t="s">
        <v>3321</v>
      </c>
      <c r="O364" t="s">
        <v>3322</v>
      </c>
      <c r="P364" t="s">
        <v>3671</v>
      </c>
      <c r="Q364" t="s">
        <v>3672</v>
      </c>
      <c r="R364" t="s">
        <v>4309</v>
      </c>
    </row>
    <row r="365" spans="1:18" x14ac:dyDescent="0.2">
      <c r="A365">
        <v>3118909</v>
      </c>
      <c r="B365" t="s">
        <v>4310</v>
      </c>
      <c r="C365">
        <v>0</v>
      </c>
      <c r="D365">
        <v>1</v>
      </c>
      <c r="E365">
        <v>0</v>
      </c>
      <c r="F365">
        <v>3</v>
      </c>
      <c r="G365">
        <v>2</v>
      </c>
      <c r="H365">
        <v>0</v>
      </c>
      <c r="I365">
        <v>1</v>
      </c>
      <c r="J365">
        <v>0</v>
      </c>
      <c r="K365">
        <v>0</v>
      </c>
      <c r="L365" t="s">
        <v>3284</v>
      </c>
      <c r="M365" t="s">
        <v>3307</v>
      </c>
      <c r="N365" t="s">
        <v>3308</v>
      </c>
      <c r="O365" t="s">
        <v>3359</v>
      </c>
      <c r="P365" t="s">
        <v>3360</v>
      </c>
      <c r="Q365" t="s">
        <v>4311</v>
      </c>
      <c r="R365" t="s">
        <v>4312</v>
      </c>
    </row>
    <row r="366" spans="1:18" x14ac:dyDescent="0.2">
      <c r="A366">
        <v>3118402</v>
      </c>
      <c r="B366" t="s">
        <v>4313</v>
      </c>
      <c r="C366">
        <v>1</v>
      </c>
      <c r="D366">
        <v>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3284</v>
      </c>
      <c r="M366" t="s">
        <v>3296</v>
      </c>
      <c r="N366" t="s">
        <v>3343</v>
      </c>
      <c r="O366" t="s">
        <v>3371</v>
      </c>
      <c r="P366" t="s">
        <v>3688</v>
      </c>
      <c r="Q366" t="s">
        <v>4314</v>
      </c>
      <c r="R366" t="s">
        <v>4315</v>
      </c>
    </row>
    <row r="367" spans="1:18" x14ac:dyDescent="0.2">
      <c r="A367">
        <v>3117026</v>
      </c>
      <c r="B367" t="s">
        <v>4316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2</v>
      </c>
      <c r="J367">
        <v>0</v>
      </c>
      <c r="K367">
        <v>0</v>
      </c>
      <c r="L367" t="s">
        <v>3284</v>
      </c>
      <c r="M367" t="s">
        <v>3296</v>
      </c>
      <c r="N367" t="s">
        <v>3343</v>
      </c>
      <c r="O367" t="s">
        <v>3344</v>
      </c>
      <c r="P367" t="s">
        <v>3937</v>
      </c>
      <c r="Q367" t="s">
        <v>3938</v>
      </c>
      <c r="R367" t="s">
        <v>4317</v>
      </c>
    </row>
    <row r="368" spans="1:18" x14ac:dyDescent="0.2">
      <c r="A368">
        <v>3117021</v>
      </c>
      <c r="B368" t="s">
        <v>4318</v>
      </c>
      <c r="C368">
        <v>0</v>
      </c>
      <c r="D368">
        <v>0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 t="s">
        <v>3284</v>
      </c>
      <c r="M368" t="s">
        <v>3296</v>
      </c>
      <c r="N368" t="s">
        <v>3343</v>
      </c>
      <c r="O368" t="s">
        <v>3344</v>
      </c>
      <c r="P368" t="s">
        <v>3937</v>
      </c>
      <c r="Q368" t="s">
        <v>3938</v>
      </c>
      <c r="R368" t="s">
        <v>4319</v>
      </c>
    </row>
    <row r="369" spans="1:18" x14ac:dyDescent="0.2">
      <c r="A369">
        <v>3116777</v>
      </c>
      <c r="B369" t="s">
        <v>4320</v>
      </c>
      <c r="C369">
        <v>0</v>
      </c>
      <c r="D369">
        <v>0</v>
      </c>
      <c r="E369">
        <v>0</v>
      </c>
      <c r="F369">
        <v>0</v>
      </c>
      <c r="G369">
        <v>1</v>
      </c>
      <c r="H369">
        <v>0</v>
      </c>
      <c r="I369">
        <v>0</v>
      </c>
      <c r="J369">
        <v>0</v>
      </c>
      <c r="K369">
        <v>0</v>
      </c>
      <c r="L369" t="s">
        <v>3284</v>
      </c>
      <c r="M369" t="s">
        <v>3307</v>
      </c>
      <c r="N369" t="s">
        <v>3308</v>
      </c>
      <c r="O369" t="s">
        <v>3635</v>
      </c>
      <c r="P369" t="s">
        <v>4321</v>
      </c>
      <c r="Q369" t="s">
        <v>4322</v>
      </c>
      <c r="R369" t="s">
        <v>4323</v>
      </c>
    </row>
    <row r="370" spans="1:18" x14ac:dyDescent="0.2">
      <c r="A370">
        <v>3116540</v>
      </c>
      <c r="B370" t="s">
        <v>4324</v>
      </c>
      <c r="C370">
        <v>0</v>
      </c>
      <c r="D370">
        <v>0</v>
      </c>
      <c r="E370">
        <v>0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 t="s">
        <v>3284</v>
      </c>
      <c r="M370" t="s">
        <v>3296</v>
      </c>
      <c r="N370" t="s">
        <v>3343</v>
      </c>
      <c r="O370" t="s">
        <v>3349</v>
      </c>
      <c r="P370" t="s">
        <v>3350</v>
      </c>
      <c r="Q370" t="s">
        <v>4175</v>
      </c>
      <c r="R370" t="s">
        <v>4325</v>
      </c>
    </row>
    <row r="371" spans="1:18" x14ac:dyDescent="0.2">
      <c r="A371">
        <v>3115852</v>
      </c>
      <c r="B371" t="s">
        <v>4326</v>
      </c>
      <c r="C371">
        <v>0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 t="s">
        <v>3284</v>
      </c>
      <c r="M371" t="s">
        <v>3296</v>
      </c>
      <c r="N371" t="s">
        <v>3297</v>
      </c>
      <c r="O371" t="s">
        <v>3434</v>
      </c>
      <c r="P371" t="s">
        <v>3435</v>
      </c>
      <c r="Q371" t="s">
        <v>3436</v>
      </c>
      <c r="R371" t="s">
        <v>4327</v>
      </c>
    </row>
    <row r="372" spans="1:18" x14ac:dyDescent="0.2">
      <c r="A372">
        <v>3115649</v>
      </c>
      <c r="B372" t="s">
        <v>4328</v>
      </c>
      <c r="C372">
        <v>0</v>
      </c>
      <c r="D372">
        <v>0</v>
      </c>
      <c r="E372">
        <v>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 t="s">
        <v>3284</v>
      </c>
      <c r="M372" t="s">
        <v>3327</v>
      </c>
      <c r="N372" t="s">
        <v>3328</v>
      </c>
      <c r="O372" t="s">
        <v>3329</v>
      </c>
      <c r="P372" t="s">
        <v>4329</v>
      </c>
      <c r="Q372" t="s">
        <v>4330</v>
      </c>
      <c r="R372" t="s">
        <v>4331</v>
      </c>
    </row>
    <row r="373" spans="1:18" x14ac:dyDescent="0.2">
      <c r="A373">
        <v>3114758</v>
      </c>
      <c r="B373" t="s">
        <v>4332</v>
      </c>
      <c r="C373">
        <v>0</v>
      </c>
      <c r="D373">
        <v>0</v>
      </c>
      <c r="E373">
        <v>0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 t="s">
        <v>3284</v>
      </c>
      <c r="M373" t="s">
        <v>3296</v>
      </c>
      <c r="N373" t="s">
        <v>3321</v>
      </c>
      <c r="O373" t="s">
        <v>4147</v>
      </c>
      <c r="P373" t="s">
        <v>4148</v>
      </c>
      <c r="Q373" t="s">
        <v>4333</v>
      </c>
      <c r="R373" t="s">
        <v>4334</v>
      </c>
    </row>
    <row r="374" spans="1:18" x14ac:dyDescent="0.2">
      <c r="A374">
        <v>3114537</v>
      </c>
      <c r="B374" t="s">
        <v>4335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1</v>
      </c>
      <c r="J374">
        <v>0</v>
      </c>
      <c r="K374">
        <v>0</v>
      </c>
      <c r="L374" t="s">
        <v>3284</v>
      </c>
      <c r="M374" t="s">
        <v>3296</v>
      </c>
      <c r="N374" t="s">
        <v>3343</v>
      </c>
      <c r="O374" t="s">
        <v>3429</v>
      </c>
      <c r="P374" t="s">
        <v>4336</v>
      </c>
      <c r="Q374" t="s">
        <v>4337</v>
      </c>
      <c r="R374" t="s">
        <v>4338</v>
      </c>
    </row>
    <row r="375" spans="1:18" x14ac:dyDescent="0.2">
      <c r="A375">
        <v>3113905</v>
      </c>
      <c r="B375" t="s">
        <v>4339</v>
      </c>
      <c r="C375">
        <v>0</v>
      </c>
      <c r="D375">
        <v>1</v>
      </c>
      <c r="E375">
        <v>0</v>
      </c>
      <c r="F375">
        <v>1</v>
      </c>
      <c r="G375">
        <v>4</v>
      </c>
      <c r="H375">
        <v>0</v>
      </c>
      <c r="I375">
        <v>3</v>
      </c>
      <c r="J375">
        <v>1</v>
      </c>
      <c r="K375">
        <v>0</v>
      </c>
      <c r="L375" t="s">
        <v>3284</v>
      </c>
      <c r="M375" t="s">
        <v>3391</v>
      </c>
      <c r="N375" t="s">
        <v>3392</v>
      </c>
      <c r="O375" t="s">
        <v>3393</v>
      </c>
      <c r="P375" t="s">
        <v>3394</v>
      </c>
      <c r="Q375" t="s">
        <v>3395</v>
      </c>
      <c r="R375" t="s">
        <v>4340</v>
      </c>
    </row>
    <row r="376" spans="1:18" x14ac:dyDescent="0.2">
      <c r="A376">
        <v>3113737</v>
      </c>
      <c r="B376" t="s">
        <v>4341</v>
      </c>
      <c r="C376">
        <v>0</v>
      </c>
      <c r="D376">
        <v>0</v>
      </c>
      <c r="E376">
        <v>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 t="s">
        <v>3284</v>
      </c>
      <c r="M376" t="s">
        <v>3391</v>
      </c>
      <c r="N376" t="s">
        <v>3411</v>
      </c>
      <c r="O376" t="s">
        <v>3412</v>
      </c>
      <c r="P376" t="s">
        <v>3564</v>
      </c>
      <c r="Q376" t="s">
        <v>4342</v>
      </c>
      <c r="R376" t="s">
        <v>4343</v>
      </c>
    </row>
    <row r="377" spans="1:18" x14ac:dyDescent="0.2">
      <c r="A377">
        <v>3113724</v>
      </c>
      <c r="B377" t="s">
        <v>4344</v>
      </c>
      <c r="C377">
        <v>0</v>
      </c>
      <c r="D377">
        <v>0</v>
      </c>
      <c r="E377">
        <v>0</v>
      </c>
      <c r="F377">
        <v>0</v>
      </c>
      <c r="G377">
        <v>1</v>
      </c>
      <c r="H377">
        <v>0</v>
      </c>
      <c r="I377">
        <v>1</v>
      </c>
      <c r="J377">
        <v>0</v>
      </c>
      <c r="K377">
        <v>0</v>
      </c>
      <c r="L377" t="s">
        <v>3284</v>
      </c>
      <c r="M377" t="s">
        <v>3296</v>
      </c>
      <c r="N377" t="s">
        <v>3343</v>
      </c>
      <c r="O377" t="s">
        <v>3344</v>
      </c>
      <c r="P377" t="s">
        <v>3355</v>
      </c>
      <c r="Q377" t="s">
        <v>3846</v>
      </c>
      <c r="R377" t="s">
        <v>4345</v>
      </c>
    </row>
    <row r="378" spans="1:18" x14ac:dyDescent="0.2">
      <c r="A378">
        <v>3113712</v>
      </c>
      <c r="B378" t="s">
        <v>4346</v>
      </c>
      <c r="C378">
        <v>1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 t="s">
        <v>3284</v>
      </c>
      <c r="M378" t="s">
        <v>3296</v>
      </c>
      <c r="N378" t="s">
        <v>3343</v>
      </c>
      <c r="O378" t="s">
        <v>3344</v>
      </c>
      <c r="P378" t="s">
        <v>4347</v>
      </c>
      <c r="Q378" t="s">
        <v>4348</v>
      </c>
      <c r="R378" t="s">
        <v>4349</v>
      </c>
    </row>
    <row r="379" spans="1:18" x14ac:dyDescent="0.2">
      <c r="A379">
        <v>3112958</v>
      </c>
      <c r="B379" t="s">
        <v>4350</v>
      </c>
      <c r="C379">
        <v>0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 t="s">
        <v>3284</v>
      </c>
      <c r="M379" t="s">
        <v>3391</v>
      </c>
      <c r="N379" t="s">
        <v>3392</v>
      </c>
      <c r="O379" t="s">
        <v>3393</v>
      </c>
      <c r="P379" t="s">
        <v>3394</v>
      </c>
      <c r="Q379" t="s">
        <v>4351</v>
      </c>
      <c r="R379" t="s">
        <v>4352</v>
      </c>
    </row>
    <row r="380" spans="1:18" x14ac:dyDescent="0.2">
      <c r="A380">
        <v>3112940</v>
      </c>
      <c r="B380" t="s">
        <v>4353</v>
      </c>
      <c r="C380">
        <v>1</v>
      </c>
      <c r="D380">
        <v>0</v>
      </c>
      <c r="E380">
        <v>0</v>
      </c>
      <c r="F380">
        <v>2</v>
      </c>
      <c r="G380">
        <v>0</v>
      </c>
      <c r="H380">
        <v>0</v>
      </c>
      <c r="I380">
        <v>0</v>
      </c>
      <c r="J380">
        <v>0</v>
      </c>
      <c r="K380">
        <v>0</v>
      </c>
      <c r="L380" t="s">
        <v>3284</v>
      </c>
      <c r="M380" t="s">
        <v>3296</v>
      </c>
      <c r="N380" t="s">
        <v>3321</v>
      </c>
      <c r="O380" t="s">
        <v>3322</v>
      </c>
      <c r="P380" t="s">
        <v>3671</v>
      </c>
      <c r="Q380" t="s">
        <v>4354</v>
      </c>
      <c r="R380" t="s">
        <v>4355</v>
      </c>
    </row>
    <row r="381" spans="1:18" x14ac:dyDescent="0.2">
      <c r="A381">
        <v>3112563</v>
      </c>
      <c r="B381" t="s">
        <v>4356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0</v>
      </c>
      <c r="K381">
        <v>0</v>
      </c>
      <c r="L381" t="s">
        <v>3284</v>
      </c>
      <c r="M381" t="s">
        <v>3296</v>
      </c>
      <c r="N381" t="s">
        <v>3321</v>
      </c>
      <c r="O381" t="s">
        <v>3322</v>
      </c>
      <c r="P381" t="s">
        <v>3423</v>
      </c>
      <c r="Q381" t="s">
        <v>4357</v>
      </c>
      <c r="R381" t="s">
        <v>4358</v>
      </c>
    </row>
    <row r="382" spans="1:18" x14ac:dyDescent="0.2">
      <c r="A382">
        <v>3111914</v>
      </c>
      <c r="B382" t="s">
        <v>4359</v>
      </c>
      <c r="C382">
        <v>0</v>
      </c>
      <c r="D382">
        <v>0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 t="s">
        <v>3284</v>
      </c>
      <c r="M382" t="s">
        <v>3296</v>
      </c>
      <c r="N382" t="s">
        <v>3321</v>
      </c>
      <c r="O382" t="s">
        <v>3322</v>
      </c>
      <c r="P382" t="s">
        <v>3398</v>
      </c>
      <c r="Q382" t="s">
        <v>3399</v>
      </c>
      <c r="R382" t="s">
        <v>4360</v>
      </c>
    </row>
    <row r="383" spans="1:18" x14ac:dyDescent="0.2">
      <c r="A383">
        <v>3111912</v>
      </c>
      <c r="B383" t="s">
        <v>4361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</v>
      </c>
      <c r="J383">
        <v>0</v>
      </c>
      <c r="K383">
        <v>0</v>
      </c>
      <c r="L383" t="s">
        <v>3284</v>
      </c>
      <c r="M383" t="s">
        <v>3296</v>
      </c>
      <c r="N383" t="s">
        <v>3297</v>
      </c>
      <c r="O383" t="s">
        <v>3434</v>
      </c>
      <c r="P383" t="s">
        <v>3435</v>
      </c>
      <c r="Q383" t="s">
        <v>3436</v>
      </c>
      <c r="R383" t="s">
        <v>4362</v>
      </c>
    </row>
    <row r="384" spans="1:18" x14ac:dyDescent="0.2">
      <c r="A384">
        <v>3111909</v>
      </c>
      <c r="B384" t="s">
        <v>4363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</v>
      </c>
      <c r="J384">
        <v>0</v>
      </c>
      <c r="K384">
        <v>0</v>
      </c>
      <c r="L384" t="s">
        <v>3284</v>
      </c>
      <c r="M384" t="s">
        <v>3307</v>
      </c>
      <c r="N384" t="s">
        <v>3308</v>
      </c>
      <c r="O384" t="s">
        <v>3359</v>
      </c>
      <c r="P384" t="s">
        <v>3360</v>
      </c>
      <c r="Q384" t="s">
        <v>4364</v>
      </c>
      <c r="R384" t="s">
        <v>4365</v>
      </c>
    </row>
    <row r="385" spans="1:18" x14ac:dyDescent="0.2">
      <c r="A385">
        <v>3111540</v>
      </c>
      <c r="B385" t="s">
        <v>4366</v>
      </c>
      <c r="C385">
        <v>0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 t="s">
        <v>3284</v>
      </c>
      <c r="M385" t="s">
        <v>3327</v>
      </c>
      <c r="N385" t="s">
        <v>3328</v>
      </c>
      <c r="O385" t="s">
        <v>3329</v>
      </c>
      <c r="P385" t="s">
        <v>4367</v>
      </c>
      <c r="Q385" t="s">
        <v>4368</v>
      </c>
      <c r="R385" t="s">
        <v>4369</v>
      </c>
    </row>
    <row r="386" spans="1:18" x14ac:dyDescent="0.2">
      <c r="A386">
        <v>3110245</v>
      </c>
      <c r="B386" t="s">
        <v>4370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1</v>
      </c>
      <c r="L386" t="s">
        <v>3284</v>
      </c>
      <c r="M386" t="s">
        <v>4022</v>
      </c>
      <c r="N386" t="s">
        <v>4023</v>
      </c>
      <c r="O386" t="s">
        <v>4289</v>
      </c>
      <c r="P386" t="s">
        <v>4371</v>
      </c>
      <c r="Q386" t="s">
        <v>4372</v>
      </c>
      <c r="R386" t="s">
        <v>4373</v>
      </c>
    </row>
    <row r="387" spans="1:18" x14ac:dyDescent="0.2">
      <c r="A387">
        <v>3110244</v>
      </c>
      <c r="B387" t="s">
        <v>4374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</v>
      </c>
      <c r="K387">
        <v>0</v>
      </c>
      <c r="L387" t="s">
        <v>3284</v>
      </c>
      <c r="M387" t="s">
        <v>4022</v>
      </c>
      <c r="N387" t="s">
        <v>4023</v>
      </c>
      <c r="O387" t="s">
        <v>4289</v>
      </c>
      <c r="P387" t="s">
        <v>4375</v>
      </c>
      <c r="Q387" t="s">
        <v>4376</v>
      </c>
      <c r="R387" t="s">
        <v>4377</v>
      </c>
    </row>
    <row r="388" spans="1:18" x14ac:dyDescent="0.2">
      <c r="A388">
        <v>3110110</v>
      </c>
      <c r="B388" t="s">
        <v>4378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1</v>
      </c>
      <c r="J388">
        <v>0</v>
      </c>
      <c r="K388">
        <v>0</v>
      </c>
      <c r="L388" t="s">
        <v>3284</v>
      </c>
      <c r="M388" t="s">
        <v>3296</v>
      </c>
      <c r="N388" t="s">
        <v>3297</v>
      </c>
      <c r="O388" t="s">
        <v>3298</v>
      </c>
      <c r="P388" t="s">
        <v>3826</v>
      </c>
      <c r="Q388" t="s">
        <v>4379</v>
      </c>
      <c r="R388" t="s">
        <v>4380</v>
      </c>
    </row>
    <row r="389" spans="1:18" x14ac:dyDescent="0.2">
      <c r="A389">
        <v>3109433</v>
      </c>
      <c r="B389" t="s">
        <v>4381</v>
      </c>
      <c r="C389">
        <v>0</v>
      </c>
      <c r="D389">
        <v>0</v>
      </c>
      <c r="E389">
        <v>0</v>
      </c>
      <c r="F389">
        <v>2</v>
      </c>
      <c r="G389">
        <v>0</v>
      </c>
      <c r="H389">
        <v>0</v>
      </c>
      <c r="I389">
        <v>0</v>
      </c>
      <c r="J389">
        <v>0</v>
      </c>
      <c r="K389">
        <v>0</v>
      </c>
      <c r="L389" t="s">
        <v>3284</v>
      </c>
      <c r="M389" t="s">
        <v>3391</v>
      </c>
      <c r="N389" t="s">
        <v>3411</v>
      </c>
      <c r="O389" t="s">
        <v>3412</v>
      </c>
      <c r="P389" t="s">
        <v>3564</v>
      </c>
      <c r="Q389" t="s">
        <v>3803</v>
      </c>
      <c r="R389" t="s">
        <v>4382</v>
      </c>
    </row>
    <row r="390" spans="1:18" x14ac:dyDescent="0.2">
      <c r="A390">
        <v>3109366</v>
      </c>
      <c r="B390" t="s">
        <v>4383</v>
      </c>
      <c r="C390">
        <v>0</v>
      </c>
      <c r="D390">
        <v>3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 t="s">
        <v>3284</v>
      </c>
      <c r="M390" t="s">
        <v>3327</v>
      </c>
      <c r="N390" t="s">
        <v>4384</v>
      </c>
      <c r="O390" t="s">
        <v>3271</v>
      </c>
      <c r="P390" t="s">
        <v>3271</v>
      </c>
      <c r="Q390" t="s">
        <v>4385</v>
      </c>
      <c r="R390" t="s">
        <v>4386</v>
      </c>
    </row>
    <row r="391" spans="1:18" x14ac:dyDescent="0.2">
      <c r="A391">
        <v>3108754</v>
      </c>
      <c r="B391" t="s">
        <v>4387</v>
      </c>
      <c r="C391">
        <v>0</v>
      </c>
      <c r="D391">
        <v>0</v>
      </c>
      <c r="E391">
        <v>1</v>
      </c>
      <c r="F391">
        <v>0</v>
      </c>
      <c r="G391">
        <v>0</v>
      </c>
      <c r="H391">
        <v>1</v>
      </c>
      <c r="I391">
        <v>0</v>
      </c>
      <c r="J391">
        <v>0</v>
      </c>
      <c r="K391">
        <v>0</v>
      </c>
      <c r="L391" t="s">
        <v>3284</v>
      </c>
      <c r="M391" t="s">
        <v>3391</v>
      </c>
      <c r="N391" t="s">
        <v>3740</v>
      </c>
      <c r="O391" t="s">
        <v>3741</v>
      </c>
      <c r="P391" t="s">
        <v>4388</v>
      </c>
      <c r="Q391" t="s">
        <v>4389</v>
      </c>
      <c r="R391" t="s">
        <v>4390</v>
      </c>
    </row>
    <row r="392" spans="1:18" x14ac:dyDescent="0.2">
      <c r="A392">
        <v>3108532</v>
      </c>
      <c r="B392" t="s">
        <v>4391</v>
      </c>
      <c r="C392">
        <v>0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 t="s">
        <v>3284</v>
      </c>
      <c r="M392" t="s">
        <v>3296</v>
      </c>
      <c r="N392" t="s">
        <v>3297</v>
      </c>
      <c r="O392" t="s">
        <v>3298</v>
      </c>
      <c r="P392" t="s">
        <v>3873</v>
      </c>
      <c r="Q392" t="s">
        <v>4087</v>
      </c>
      <c r="R392" t="s">
        <v>4392</v>
      </c>
    </row>
    <row r="393" spans="1:18" x14ac:dyDescent="0.2">
      <c r="A393">
        <v>3108274</v>
      </c>
      <c r="B393" t="s">
        <v>4393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</v>
      </c>
      <c r="J393">
        <v>1</v>
      </c>
      <c r="K393">
        <v>0</v>
      </c>
      <c r="L393" t="s">
        <v>3284</v>
      </c>
      <c r="M393" t="s">
        <v>3296</v>
      </c>
      <c r="N393" t="s">
        <v>3321</v>
      </c>
      <c r="O393" t="s">
        <v>3322</v>
      </c>
      <c r="P393" t="s">
        <v>3423</v>
      </c>
      <c r="Q393" t="s">
        <v>4394</v>
      </c>
      <c r="R393" t="s">
        <v>4395</v>
      </c>
    </row>
    <row r="394" spans="1:18" x14ac:dyDescent="0.2">
      <c r="A394">
        <v>3103142</v>
      </c>
      <c r="B394" t="s">
        <v>4396</v>
      </c>
      <c r="C394">
        <v>0</v>
      </c>
      <c r="D394">
        <v>0</v>
      </c>
      <c r="E394">
        <v>0</v>
      </c>
      <c r="F394">
        <v>0</v>
      </c>
      <c r="G394">
        <v>1</v>
      </c>
      <c r="H394">
        <v>1</v>
      </c>
      <c r="I394">
        <v>0</v>
      </c>
      <c r="J394">
        <v>0</v>
      </c>
      <c r="K394">
        <v>0</v>
      </c>
      <c r="L394" t="s">
        <v>3284</v>
      </c>
      <c r="M394" t="s">
        <v>3296</v>
      </c>
      <c r="N394" t="s">
        <v>3343</v>
      </c>
      <c r="O394" t="s">
        <v>3349</v>
      </c>
      <c r="P394" t="s">
        <v>3350</v>
      </c>
      <c r="Q394" t="s">
        <v>3580</v>
      </c>
      <c r="R394" t="s">
        <v>4397</v>
      </c>
    </row>
    <row r="395" spans="1:18" x14ac:dyDescent="0.2">
      <c r="A395">
        <v>3103097</v>
      </c>
      <c r="B395" t="s">
        <v>4398</v>
      </c>
      <c r="C395">
        <v>0</v>
      </c>
      <c r="D395">
        <v>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 t="s">
        <v>3284</v>
      </c>
      <c r="M395" t="s">
        <v>3296</v>
      </c>
      <c r="N395" t="s">
        <v>3297</v>
      </c>
      <c r="O395" t="s">
        <v>3298</v>
      </c>
      <c r="P395" t="s">
        <v>4399</v>
      </c>
      <c r="Q395" t="s">
        <v>4400</v>
      </c>
      <c r="R395" t="s">
        <v>4401</v>
      </c>
    </row>
    <row r="396" spans="1:18" x14ac:dyDescent="0.2">
      <c r="A396">
        <v>3101752</v>
      </c>
      <c r="B396" t="s">
        <v>4402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 t="s">
        <v>3284</v>
      </c>
      <c r="M396" t="s">
        <v>3296</v>
      </c>
      <c r="N396" t="s">
        <v>3343</v>
      </c>
      <c r="O396" t="s">
        <v>3349</v>
      </c>
      <c r="P396" t="s">
        <v>4285</v>
      </c>
      <c r="Q396" t="s">
        <v>4403</v>
      </c>
      <c r="R396" t="s">
        <v>4404</v>
      </c>
    </row>
    <row r="397" spans="1:18" x14ac:dyDescent="0.2">
      <c r="A397">
        <v>3101711</v>
      </c>
      <c r="B397" t="s">
        <v>4405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2</v>
      </c>
      <c r="J397">
        <v>0</v>
      </c>
      <c r="K397">
        <v>0</v>
      </c>
      <c r="L397" t="s">
        <v>3284</v>
      </c>
      <c r="M397" t="s">
        <v>3296</v>
      </c>
      <c r="N397" t="s">
        <v>3343</v>
      </c>
      <c r="O397" t="s">
        <v>3371</v>
      </c>
      <c r="P397" t="s">
        <v>3688</v>
      </c>
      <c r="Q397" t="s">
        <v>4406</v>
      </c>
      <c r="R397" t="s">
        <v>4407</v>
      </c>
    </row>
    <row r="398" spans="1:18" x14ac:dyDescent="0.2">
      <c r="A398">
        <v>3101710</v>
      </c>
      <c r="B398" t="s">
        <v>4408</v>
      </c>
      <c r="C398">
        <v>1</v>
      </c>
      <c r="D398">
        <v>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 t="s">
        <v>3284</v>
      </c>
      <c r="M398" t="s">
        <v>3296</v>
      </c>
      <c r="N398" t="s">
        <v>3343</v>
      </c>
      <c r="O398" t="s">
        <v>3344</v>
      </c>
      <c r="P398" t="s">
        <v>3367</v>
      </c>
      <c r="Q398" t="s">
        <v>3368</v>
      </c>
      <c r="R398" t="s">
        <v>4409</v>
      </c>
    </row>
    <row r="399" spans="1:18" x14ac:dyDescent="0.2">
      <c r="A399">
        <v>3101709</v>
      </c>
      <c r="B399" t="s">
        <v>4410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</v>
      </c>
      <c r="K399">
        <v>0</v>
      </c>
      <c r="L399" t="s">
        <v>3284</v>
      </c>
      <c r="M399" t="s">
        <v>3327</v>
      </c>
      <c r="N399" t="s">
        <v>3376</v>
      </c>
      <c r="O399" t="s">
        <v>3377</v>
      </c>
      <c r="P399" t="s">
        <v>3378</v>
      </c>
      <c r="Q399" t="s">
        <v>3379</v>
      </c>
      <c r="R399" t="s">
        <v>4411</v>
      </c>
    </row>
    <row r="400" spans="1:18" x14ac:dyDescent="0.2">
      <c r="A400">
        <v>3098762</v>
      </c>
      <c r="B400" t="s">
        <v>4412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 t="s">
        <v>3284</v>
      </c>
      <c r="M400" t="s">
        <v>3296</v>
      </c>
      <c r="N400" t="s">
        <v>3321</v>
      </c>
      <c r="O400" t="s">
        <v>3322</v>
      </c>
      <c r="P400" t="s">
        <v>3398</v>
      </c>
      <c r="Q400" t="s">
        <v>3841</v>
      </c>
      <c r="R400" t="s">
        <v>4413</v>
      </c>
    </row>
    <row r="401" spans="1:18" x14ac:dyDescent="0.2">
      <c r="A401">
        <v>3098619</v>
      </c>
      <c r="B401" t="s">
        <v>4414</v>
      </c>
      <c r="C401">
        <v>0</v>
      </c>
      <c r="D401">
        <v>0</v>
      </c>
      <c r="E401">
        <v>0</v>
      </c>
      <c r="F401">
        <v>2</v>
      </c>
      <c r="G401">
        <v>2</v>
      </c>
      <c r="H401">
        <v>0</v>
      </c>
      <c r="I401">
        <v>0</v>
      </c>
      <c r="J401">
        <v>0</v>
      </c>
      <c r="K401">
        <v>0</v>
      </c>
      <c r="L401" t="s">
        <v>3284</v>
      </c>
      <c r="M401" t="s">
        <v>3296</v>
      </c>
      <c r="N401" t="s">
        <v>3321</v>
      </c>
      <c r="O401" t="s">
        <v>3322</v>
      </c>
      <c r="P401" t="s">
        <v>3671</v>
      </c>
      <c r="Q401" t="s">
        <v>3672</v>
      </c>
      <c r="R401" t="s">
        <v>4415</v>
      </c>
    </row>
    <row r="402" spans="1:18" x14ac:dyDescent="0.2">
      <c r="A402">
        <v>3098602</v>
      </c>
      <c r="B402" t="s">
        <v>4416</v>
      </c>
      <c r="C402">
        <v>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 t="s">
        <v>3284</v>
      </c>
      <c r="M402" t="s">
        <v>3296</v>
      </c>
      <c r="N402" t="s">
        <v>3297</v>
      </c>
      <c r="O402" t="s">
        <v>3469</v>
      </c>
      <c r="P402" t="s">
        <v>3470</v>
      </c>
      <c r="Q402" t="s">
        <v>4417</v>
      </c>
      <c r="R402" t="s">
        <v>4418</v>
      </c>
    </row>
    <row r="403" spans="1:18" x14ac:dyDescent="0.2">
      <c r="A403">
        <v>3098150</v>
      </c>
      <c r="B403" t="s">
        <v>4419</v>
      </c>
      <c r="C403">
        <v>0</v>
      </c>
      <c r="D403">
        <v>0</v>
      </c>
      <c r="E403">
        <v>0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 t="s">
        <v>3284</v>
      </c>
      <c r="M403" t="s">
        <v>3391</v>
      </c>
      <c r="N403" t="s">
        <v>3411</v>
      </c>
      <c r="O403" t="s">
        <v>3412</v>
      </c>
      <c r="P403" t="s">
        <v>3413</v>
      </c>
      <c r="Q403" t="s">
        <v>4420</v>
      </c>
      <c r="R403" t="s">
        <v>4421</v>
      </c>
    </row>
    <row r="404" spans="1:18" x14ac:dyDescent="0.2">
      <c r="A404">
        <v>3098077</v>
      </c>
      <c r="B404" t="s">
        <v>4422</v>
      </c>
      <c r="C404">
        <v>0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 t="s">
        <v>3284</v>
      </c>
      <c r="M404" t="s">
        <v>3327</v>
      </c>
      <c r="N404" t="s">
        <v>3376</v>
      </c>
      <c r="O404" t="s">
        <v>3377</v>
      </c>
      <c r="P404" t="s">
        <v>3378</v>
      </c>
      <c r="Q404" t="s">
        <v>4423</v>
      </c>
      <c r="R404" t="s">
        <v>4424</v>
      </c>
    </row>
    <row r="405" spans="1:18" x14ac:dyDescent="0.2">
      <c r="A405">
        <v>3097961</v>
      </c>
      <c r="B405" t="s">
        <v>4425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</v>
      </c>
      <c r="J405">
        <v>0</v>
      </c>
      <c r="K405">
        <v>0</v>
      </c>
      <c r="L405" t="s">
        <v>3284</v>
      </c>
      <c r="M405" t="s">
        <v>3296</v>
      </c>
      <c r="N405" t="s">
        <v>3343</v>
      </c>
      <c r="O405" t="s">
        <v>3344</v>
      </c>
      <c r="P405" t="s">
        <v>4347</v>
      </c>
      <c r="Q405" t="s">
        <v>4426</v>
      </c>
      <c r="R405" t="s">
        <v>4427</v>
      </c>
    </row>
    <row r="406" spans="1:18" x14ac:dyDescent="0.2">
      <c r="A406">
        <v>3097546</v>
      </c>
      <c r="B406" t="s">
        <v>4428</v>
      </c>
      <c r="C406">
        <v>0</v>
      </c>
      <c r="D406">
        <v>0</v>
      </c>
      <c r="E406">
        <v>0</v>
      </c>
      <c r="F406">
        <v>0</v>
      </c>
      <c r="G406">
        <v>1</v>
      </c>
      <c r="H406">
        <v>0</v>
      </c>
      <c r="I406">
        <v>0</v>
      </c>
      <c r="J406">
        <v>0</v>
      </c>
      <c r="K406">
        <v>0</v>
      </c>
      <c r="L406" t="s">
        <v>3284</v>
      </c>
      <c r="M406" t="s">
        <v>3391</v>
      </c>
      <c r="N406" t="s">
        <v>3740</v>
      </c>
      <c r="O406" t="s">
        <v>3741</v>
      </c>
      <c r="P406" t="s">
        <v>4388</v>
      </c>
      <c r="Q406" t="s">
        <v>4389</v>
      </c>
      <c r="R406" t="s">
        <v>4429</v>
      </c>
    </row>
    <row r="407" spans="1:18" x14ac:dyDescent="0.2">
      <c r="A407">
        <v>3096776</v>
      </c>
      <c r="B407" t="s">
        <v>4430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</v>
      </c>
      <c r="J407">
        <v>0</v>
      </c>
      <c r="K407">
        <v>0</v>
      </c>
      <c r="L407" t="s">
        <v>3284</v>
      </c>
      <c r="M407" t="s">
        <v>3327</v>
      </c>
      <c r="N407" t="s">
        <v>3376</v>
      </c>
      <c r="O407" t="s">
        <v>3377</v>
      </c>
      <c r="P407" t="s">
        <v>3378</v>
      </c>
      <c r="Q407" t="s">
        <v>3379</v>
      </c>
      <c r="R407" t="s">
        <v>4431</v>
      </c>
    </row>
    <row r="408" spans="1:18" x14ac:dyDescent="0.2">
      <c r="A408">
        <v>3096540</v>
      </c>
      <c r="B408" t="s">
        <v>4432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</v>
      </c>
      <c r="J408">
        <v>0</v>
      </c>
      <c r="K408">
        <v>0</v>
      </c>
      <c r="L408" t="s">
        <v>3284</v>
      </c>
      <c r="M408" t="s">
        <v>3307</v>
      </c>
      <c r="N408" t="s">
        <v>3308</v>
      </c>
      <c r="O408" t="s">
        <v>3359</v>
      </c>
      <c r="P408" t="s">
        <v>3360</v>
      </c>
      <c r="Q408" t="s">
        <v>3361</v>
      </c>
      <c r="R408" t="s">
        <v>4433</v>
      </c>
    </row>
    <row r="409" spans="1:18" x14ac:dyDescent="0.2">
      <c r="A409">
        <v>3096539</v>
      </c>
      <c r="B409" t="s">
        <v>4434</v>
      </c>
      <c r="C409">
        <v>0</v>
      </c>
      <c r="D409">
        <v>0</v>
      </c>
      <c r="E409">
        <v>0</v>
      </c>
      <c r="F409">
        <v>1</v>
      </c>
      <c r="G409">
        <v>1</v>
      </c>
      <c r="H409">
        <v>0</v>
      </c>
      <c r="I409">
        <v>0</v>
      </c>
      <c r="J409">
        <v>0</v>
      </c>
      <c r="K409">
        <v>0</v>
      </c>
      <c r="L409" t="s">
        <v>3284</v>
      </c>
      <c r="M409" t="s">
        <v>3391</v>
      </c>
      <c r="N409" t="s">
        <v>3392</v>
      </c>
      <c r="O409" t="s">
        <v>3393</v>
      </c>
      <c r="P409" t="s">
        <v>3394</v>
      </c>
      <c r="Q409" t="s">
        <v>3395</v>
      </c>
      <c r="R409" t="s">
        <v>4435</v>
      </c>
    </row>
    <row r="410" spans="1:18" x14ac:dyDescent="0.2">
      <c r="A410">
        <v>3096538</v>
      </c>
      <c r="B410" t="s">
        <v>4436</v>
      </c>
      <c r="C410">
        <v>0</v>
      </c>
      <c r="D410">
        <v>0</v>
      </c>
      <c r="E410">
        <v>0</v>
      </c>
      <c r="F410">
        <v>0</v>
      </c>
      <c r="G410">
        <v>1</v>
      </c>
      <c r="H410">
        <v>0</v>
      </c>
      <c r="I410">
        <v>1</v>
      </c>
      <c r="J410">
        <v>0</v>
      </c>
      <c r="K410">
        <v>0</v>
      </c>
      <c r="L410" t="s">
        <v>3284</v>
      </c>
      <c r="M410" t="s">
        <v>3391</v>
      </c>
      <c r="N410" t="s">
        <v>3411</v>
      </c>
      <c r="O410" t="s">
        <v>3412</v>
      </c>
      <c r="P410" t="s">
        <v>3413</v>
      </c>
      <c r="Q410" t="s">
        <v>3414</v>
      </c>
      <c r="R410" t="s">
        <v>4437</v>
      </c>
    </row>
    <row r="411" spans="1:18" x14ac:dyDescent="0.2">
      <c r="A411">
        <v>3096535</v>
      </c>
      <c r="B411" t="s">
        <v>4438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1</v>
      </c>
      <c r="J411">
        <v>0</v>
      </c>
      <c r="K411">
        <v>0</v>
      </c>
      <c r="L411" t="s">
        <v>3284</v>
      </c>
      <c r="M411" t="s">
        <v>3307</v>
      </c>
      <c r="N411" t="s">
        <v>3308</v>
      </c>
      <c r="O411" t="s">
        <v>3359</v>
      </c>
      <c r="P411" t="s">
        <v>3360</v>
      </c>
      <c r="Q411" t="s">
        <v>3361</v>
      </c>
      <c r="R411" t="s">
        <v>4439</v>
      </c>
    </row>
    <row r="412" spans="1:18" x14ac:dyDescent="0.2">
      <c r="A412">
        <v>3096527</v>
      </c>
      <c r="B412" t="s">
        <v>4440</v>
      </c>
      <c r="C412">
        <v>0</v>
      </c>
      <c r="D412">
        <v>1</v>
      </c>
      <c r="E412">
        <v>0</v>
      </c>
      <c r="F412">
        <v>8</v>
      </c>
      <c r="G412">
        <v>1</v>
      </c>
      <c r="H412">
        <v>1</v>
      </c>
      <c r="I412">
        <v>0</v>
      </c>
      <c r="J412">
        <v>0</v>
      </c>
      <c r="K412">
        <v>0</v>
      </c>
      <c r="L412" t="s">
        <v>3284</v>
      </c>
      <c r="M412" t="s">
        <v>3296</v>
      </c>
      <c r="N412" t="s">
        <v>3297</v>
      </c>
      <c r="O412" t="s">
        <v>3469</v>
      </c>
      <c r="P412" t="s">
        <v>3470</v>
      </c>
      <c r="Q412" t="s">
        <v>3471</v>
      </c>
      <c r="R412" t="s">
        <v>4441</v>
      </c>
    </row>
    <row r="413" spans="1:18" x14ac:dyDescent="0.2">
      <c r="A413">
        <v>3096522</v>
      </c>
      <c r="B413" t="s">
        <v>4442</v>
      </c>
      <c r="C413">
        <v>0</v>
      </c>
      <c r="D413">
        <v>0</v>
      </c>
      <c r="E413">
        <v>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 t="s">
        <v>3284</v>
      </c>
      <c r="M413" t="s">
        <v>3296</v>
      </c>
      <c r="N413" t="s">
        <v>3297</v>
      </c>
      <c r="O413" t="s">
        <v>3298</v>
      </c>
      <c r="P413" t="s">
        <v>3826</v>
      </c>
      <c r="Q413" t="s">
        <v>4379</v>
      </c>
      <c r="R413" t="s">
        <v>4443</v>
      </c>
    </row>
    <row r="414" spans="1:18" x14ac:dyDescent="0.2">
      <c r="A414">
        <v>3096165</v>
      </c>
      <c r="B414" t="s">
        <v>4444</v>
      </c>
      <c r="C414">
        <v>0</v>
      </c>
      <c r="D414">
        <v>0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0</v>
      </c>
      <c r="L414" t="s">
        <v>3284</v>
      </c>
      <c r="M414" t="s">
        <v>3296</v>
      </c>
      <c r="N414" t="s">
        <v>3343</v>
      </c>
      <c r="O414" t="s">
        <v>3349</v>
      </c>
      <c r="P414" t="s">
        <v>3350</v>
      </c>
      <c r="Q414" t="s">
        <v>3580</v>
      </c>
      <c r="R414" t="s">
        <v>4445</v>
      </c>
    </row>
    <row r="415" spans="1:18" x14ac:dyDescent="0.2">
      <c r="A415">
        <v>3096162</v>
      </c>
      <c r="B415" t="s">
        <v>4446</v>
      </c>
      <c r="C415">
        <v>0</v>
      </c>
      <c r="D415">
        <v>0</v>
      </c>
      <c r="E415">
        <v>0</v>
      </c>
      <c r="F415">
        <v>0</v>
      </c>
      <c r="G415">
        <v>1</v>
      </c>
      <c r="H415">
        <v>0</v>
      </c>
      <c r="I415">
        <v>0</v>
      </c>
      <c r="J415">
        <v>0</v>
      </c>
      <c r="K415">
        <v>0</v>
      </c>
      <c r="L415" t="s">
        <v>3284</v>
      </c>
      <c r="M415" t="s">
        <v>3296</v>
      </c>
      <c r="N415" t="s">
        <v>3343</v>
      </c>
      <c r="O415" t="s">
        <v>3349</v>
      </c>
      <c r="P415" t="s">
        <v>3350</v>
      </c>
      <c r="Q415" t="s">
        <v>3580</v>
      </c>
      <c r="R415" t="s">
        <v>4447</v>
      </c>
    </row>
    <row r="416" spans="1:18" x14ac:dyDescent="0.2">
      <c r="A416">
        <v>3096161</v>
      </c>
      <c r="B416" t="s">
        <v>4448</v>
      </c>
      <c r="C416">
        <v>0</v>
      </c>
      <c r="D416">
        <v>0</v>
      </c>
      <c r="E416">
        <v>0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0</v>
      </c>
      <c r="L416" t="s">
        <v>3284</v>
      </c>
      <c r="M416" t="s">
        <v>3296</v>
      </c>
      <c r="N416" t="s">
        <v>3343</v>
      </c>
      <c r="O416" t="s">
        <v>3349</v>
      </c>
      <c r="P416" t="s">
        <v>3350</v>
      </c>
      <c r="Q416" t="s">
        <v>3580</v>
      </c>
      <c r="R416" t="s">
        <v>4449</v>
      </c>
    </row>
    <row r="417" spans="1:18" x14ac:dyDescent="0.2">
      <c r="A417">
        <v>3096157</v>
      </c>
      <c r="B417" t="s">
        <v>4450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</v>
      </c>
      <c r="J417">
        <v>0</v>
      </c>
      <c r="K417">
        <v>1</v>
      </c>
      <c r="L417" t="s">
        <v>3284</v>
      </c>
      <c r="M417" t="s">
        <v>3296</v>
      </c>
      <c r="N417" t="s">
        <v>3343</v>
      </c>
      <c r="O417" t="s">
        <v>3349</v>
      </c>
      <c r="P417" t="s">
        <v>3350</v>
      </c>
      <c r="Q417" t="s">
        <v>3580</v>
      </c>
      <c r="R417" t="s">
        <v>4451</v>
      </c>
    </row>
    <row r="418" spans="1:18" x14ac:dyDescent="0.2">
      <c r="A418">
        <v>3096155</v>
      </c>
      <c r="B418" t="s">
        <v>4452</v>
      </c>
      <c r="C418">
        <v>0</v>
      </c>
      <c r="D418">
        <v>0</v>
      </c>
      <c r="E418">
        <v>0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 t="s">
        <v>3284</v>
      </c>
      <c r="M418" t="s">
        <v>3296</v>
      </c>
      <c r="N418" t="s">
        <v>3343</v>
      </c>
      <c r="O418" t="s">
        <v>3349</v>
      </c>
      <c r="P418" t="s">
        <v>3350</v>
      </c>
      <c r="Q418" t="s">
        <v>3580</v>
      </c>
      <c r="R418" t="s">
        <v>4453</v>
      </c>
    </row>
    <row r="419" spans="1:18" x14ac:dyDescent="0.2">
      <c r="A419">
        <v>3095606</v>
      </c>
      <c r="B419" t="s">
        <v>4454</v>
      </c>
      <c r="C419">
        <v>0</v>
      </c>
      <c r="D419">
        <v>3</v>
      </c>
      <c r="E419">
        <v>2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0</v>
      </c>
      <c r="L419" t="s">
        <v>3284</v>
      </c>
      <c r="M419" t="s">
        <v>3296</v>
      </c>
      <c r="N419" t="s">
        <v>3321</v>
      </c>
      <c r="O419" t="s">
        <v>3322</v>
      </c>
      <c r="P419" t="s">
        <v>3398</v>
      </c>
      <c r="Q419" t="s">
        <v>3556</v>
      </c>
      <c r="R419" t="s">
        <v>4455</v>
      </c>
    </row>
    <row r="420" spans="1:18" x14ac:dyDescent="0.2">
      <c r="A420">
        <v>3095360</v>
      </c>
      <c r="B420" t="s">
        <v>4456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2</v>
      </c>
      <c r="L420" t="s">
        <v>3284</v>
      </c>
      <c r="M420" t="s">
        <v>3327</v>
      </c>
      <c r="N420" t="s">
        <v>3376</v>
      </c>
      <c r="O420" t="s">
        <v>3377</v>
      </c>
      <c r="P420" t="s">
        <v>3378</v>
      </c>
      <c r="Q420" t="s">
        <v>3379</v>
      </c>
      <c r="R420" t="s">
        <v>4457</v>
      </c>
    </row>
    <row r="421" spans="1:18" x14ac:dyDescent="0.2">
      <c r="A421">
        <v>3095076</v>
      </c>
      <c r="B421" t="s">
        <v>4458</v>
      </c>
      <c r="C421">
        <v>0</v>
      </c>
      <c r="D421">
        <v>0</v>
      </c>
      <c r="E421">
        <v>0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0</v>
      </c>
      <c r="L421" t="s">
        <v>3284</v>
      </c>
      <c r="M421" t="s">
        <v>3307</v>
      </c>
      <c r="N421" t="s">
        <v>3308</v>
      </c>
      <c r="O421" t="s">
        <v>3309</v>
      </c>
      <c r="P421" t="s">
        <v>3310</v>
      </c>
      <c r="Q421" t="s">
        <v>3311</v>
      </c>
      <c r="R421" t="s">
        <v>4459</v>
      </c>
    </row>
    <row r="422" spans="1:18" x14ac:dyDescent="0.2">
      <c r="A422">
        <v>3093864</v>
      </c>
      <c r="B422" t="s">
        <v>4460</v>
      </c>
      <c r="C422">
        <v>0</v>
      </c>
      <c r="D422">
        <v>0</v>
      </c>
      <c r="E422">
        <v>0</v>
      </c>
      <c r="F422">
        <v>0</v>
      </c>
      <c r="G422">
        <v>1</v>
      </c>
      <c r="H422">
        <v>0</v>
      </c>
      <c r="I422">
        <v>0</v>
      </c>
      <c r="J422">
        <v>0</v>
      </c>
      <c r="K422">
        <v>0</v>
      </c>
      <c r="L422" t="s">
        <v>3284</v>
      </c>
      <c r="M422" t="s">
        <v>3307</v>
      </c>
      <c r="N422" t="s">
        <v>3308</v>
      </c>
      <c r="O422" t="s">
        <v>3359</v>
      </c>
      <c r="P422" t="s">
        <v>3360</v>
      </c>
      <c r="Q422" t="s">
        <v>3361</v>
      </c>
      <c r="R422" t="s">
        <v>4461</v>
      </c>
    </row>
    <row r="423" spans="1:18" x14ac:dyDescent="0.2">
      <c r="A423">
        <v>3093859</v>
      </c>
      <c r="B423" t="s">
        <v>4462</v>
      </c>
      <c r="C423">
        <v>0</v>
      </c>
      <c r="D423">
        <v>0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 t="s">
        <v>3284</v>
      </c>
      <c r="M423" t="s">
        <v>3296</v>
      </c>
      <c r="N423" t="s">
        <v>3343</v>
      </c>
      <c r="O423" t="s">
        <v>3349</v>
      </c>
      <c r="P423" t="s">
        <v>3350</v>
      </c>
      <c r="Q423" t="s">
        <v>3580</v>
      </c>
      <c r="R423" t="s">
        <v>4463</v>
      </c>
    </row>
    <row r="424" spans="1:18" x14ac:dyDescent="0.2">
      <c r="A424">
        <v>3093845</v>
      </c>
      <c r="B424" t="s">
        <v>4464</v>
      </c>
      <c r="C424">
        <v>0</v>
      </c>
      <c r="D424">
        <v>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 t="s">
        <v>3284</v>
      </c>
      <c r="M424" t="s">
        <v>3296</v>
      </c>
      <c r="N424" t="s">
        <v>3343</v>
      </c>
      <c r="O424" t="s">
        <v>3402</v>
      </c>
      <c r="P424" t="s">
        <v>3403</v>
      </c>
      <c r="Q424" t="s">
        <v>3536</v>
      </c>
      <c r="R424" t="s">
        <v>4465</v>
      </c>
    </row>
    <row r="425" spans="1:18" x14ac:dyDescent="0.2">
      <c r="A425">
        <v>3092665</v>
      </c>
      <c r="B425" t="s">
        <v>4466</v>
      </c>
      <c r="C425">
        <v>0</v>
      </c>
      <c r="D425">
        <v>0</v>
      </c>
      <c r="E425">
        <v>0</v>
      </c>
      <c r="F425">
        <v>1</v>
      </c>
      <c r="G425">
        <v>2</v>
      </c>
      <c r="H425">
        <v>0</v>
      </c>
      <c r="I425">
        <v>0</v>
      </c>
      <c r="J425">
        <v>0</v>
      </c>
      <c r="K425">
        <v>0</v>
      </c>
      <c r="L425" t="s">
        <v>3284</v>
      </c>
      <c r="M425" t="s">
        <v>3391</v>
      </c>
      <c r="N425" t="s">
        <v>3411</v>
      </c>
      <c r="O425" t="s">
        <v>3412</v>
      </c>
      <c r="P425" t="s">
        <v>3413</v>
      </c>
      <c r="Q425" t="s">
        <v>3414</v>
      </c>
      <c r="R425" t="s">
        <v>4467</v>
      </c>
    </row>
    <row r="426" spans="1:18" x14ac:dyDescent="0.2">
      <c r="A426">
        <v>3090670</v>
      </c>
      <c r="B426" t="s">
        <v>4468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2</v>
      </c>
      <c r="K426">
        <v>0</v>
      </c>
      <c r="L426" t="s">
        <v>3284</v>
      </c>
      <c r="M426" t="s">
        <v>3296</v>
      </c>
      <c r="N426" t="s">
        <v>3343</v>
      </c>
      <c r="O426" t="s">
        <v>3344</v>
      </c>
      <c r="P426" t="s">
        <v>3898</v>
      </c>
      <c r="Q426" t="s">
        <v>3899</v>
      </c>
      <c r="R426" t="s">
        <v>4469</v>
      </c>
    </row>
    <row r="427" spans="1:18" x14ac:dyDescent="0.2">
      <c r="A427">
        <v>3090602</v>
      </c>
      <c r="B427" t="s">
        <v>4470</v>
      </c>
      <c r="C427">
        <v>0</v>
      </c>
      <c r="D427">
        <v>0</v>
      </c>
      <c r="E427">
        <v>0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 t="s">
        <v>3284</v>
      </c>
      <c r="M427" t="s">
        <v>3307</v>
      </c>
      <c r="N427" t="s">
        <v>3308</v>
      </c>
      <c r="O427" t="s">
        <v>3635</v>
      </c>
      <c r="P427" t="s">
        <v>4011</v>
      </c>
      <c r="Q427" t="s">
        <v>4471</v>
      </c>
      <c r="R427" t="s">
        <v>4472</v>
      </c>
    </row>
    <row r="428" spans="1:18" x14ac:dyDescent="0.2">
      <c r="A428">
        <v>3089814</v>
      </c>
      <c r="B428" t="s">
        <v>4473</v>
      </c>
      <c r="C428">
        <v>1</v>
      </c>
      <c r="D428">
        <v>0</v>
      </c>
      <c r="E428">
        <v>0</v>
      </c>
      <c r="F428">
        <v>6</v>
      </c>
      <c r="G428">
        <v>1</v>
      </c>
      <c r="H428">
        <v>0</v>
      </c>
      <c r="I428">
        <v>0</v>
      </c>
      <c r="J428">
        <v>0</v>
      </c>
      <c r="K428">
        <v>0</v>
      </c>
      <c r="L428" t="s">
        <v>3284</v>
      </c>
      <c r="M428" t="s">
        <v>3296</v>
      </c>
      <c r="N428" t="s">
        <v>3321</v>
      </c>
      <c r="O428" t="s">
        <v>3322</v>
      </c>
      <c r="P428" t="s">
        <v>3271</v>
      </c>
      <c r="Q428" t="s">
        <v>4474</v>
      </c>
      <c r="R428" t="s">
        <v>4475</v>
      </c>
    </row>
    <row r="429" spans="1:18" x14ac:dyDescent="0.2">
      <c r="A429">
        <v>3088717</v>
      </c>
      <c r="B429" t="s">
        <v>4476</v>
      </c>
      <c r="C429">
        <v>2</v>
      </c>
      <c r="D429">
        <v>5</v>
      </c>
      <c r="E429">
        <v>0</v>
      </c>
      <c r="F429">
        <v>148</v>
      </c>
      <c r="G429">
        <v>97</v>
      </c>
      <c r="H429">
        <v>3</v>
      </c>
      <c r="I429">
        <v>3</v>
      </c>
      <c r="J429">
        <v>0</v>
      </c>
      <c r="K429">
        <v>0</v>
      </c>
      <c r="L429" t="s">
        <v>3284</v>
      </c>
      <c r="M429" t="s">
        <v>3285</v>
      </c>
      <c r="N429" t="s">
        <v>3314</v>
      </c>
      <c r="O429" t="s">
        <v>3315</v>
      </c>
      <c r="P429" t="s">
        <v>3316</v>
      </c>
      <c r="Q429" t="s">
        <v>4477</v>
      </c>
      <c r="R429" t="s">
        <v>4478</v>
      </c>
    </row>
    <row r="430" spans="1:18" x14ac:dyDescent="0.2">
      <c r="A430">
        <v>3088689</v>
      </c>
      <c r="B430" t="s">
        <v>4479</v>
      </c>
      <c r="C430">
        <v>0</v>
      </c>
      <c r="D430">
        <v>0</v>
      </c>
      <c r="E430">
        <v>0</v>
      </c>
      <c r="F430">
        <v>0</v>
      </c>
      <c r="G430">
        <v>1</v>
      </c>
      <c r="H430">
        <v>0</v>
      </c>
      <c r="I430">
        <v>0</v>
      </c>
      <c r="J430">
        <v>0</v>
      </c>
      <c r="K430">
        <v>0</v>
      </c>
      <c r="L430" t="s">
        <v>3284</v>
      </c>
      <c r="M430" t="s">
        <v>3296</v>
      </c>
      <c r="N430" t="s">
        <v>3297</v>
      </c>
      <c r="O430" t="s">
        <v>3434</v>
      </c>
      <c r="P430" t="s">
        <v>3435</v>
      </c>
      <c r="Q430" t="s">
        <v>3436</v>
      </c>
      <c r="R430" t="s">
        <v>4480</v>
      </c>
    </row>
    <row r="431" spans="1:18" x14ac:dyDescent="0.2">
      <c r="A431">
        <v>3088378</v>
      </c>
      <c r="B431" t="s">
        <v>4481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</v>
      </c>
      <c r="J431">
        <v>2</v>
      </c>
      <c r="K431">
        <v>0</v>
      </c>
      <c r="L431" t="s">
        <v>3284</v>
      </c>
      <c r="M431" t="s">
        <v>3327</v>
      </c>
      <c r="N431" t="s">
        <v>3376</v>
      </c>
      <c r="O431" t="s">
        <v>3377</v>
      </c>
      <c r="P431" t="s">
        <v>3378</v>
      </c>
      <c r="Q431" t="s">
        <v>3379</v>
      </c>
      <c r="R431" t="s">
        <v>4482</v>
      </c>
    </row>
    <row r="432" spans="1:18" x14ac:dyDescent="0.2">
      <c r="A432">
        <v>3088357</v>
      </c>
      <c r="B432" t="s">
        <v>4483</v>
      </c>
      <c r="C432">
        <v>0</v>
      </c>
      <c r="D432">
        <v>0</v>
      </c>
      <c r="E432">
        <v>0</v>
      </c>
      <c r="F432">
        <v>0</v>
      </c>
      <c r="G432">
        <v>1</v>
      </c>
      <c r="H432">
        <v>0</v>
      </c>
      <c r="I432">
        <v>0</v>
      </c>
      <c r="J432">
        <v>0</v>
      </c>
      <c r="K432">
        <v>0</v>
      </c>
      <c r="L432" t="s">
        <v>3284</v>
      </c>
      <c r="M432" t="s">
        <v>4022</v>
      </c>
      <c r="N432" t="s">
        <v>4023</v>
      </c>
      <c r="O432" t="s">
        <v>4484</v>
      </c>
      <c r="P432" t="s">
        <v>4485</v>
      </c>
      <c r="Q432" t="s">
        <v>4486</v>
      </c>
      <c r="R432" t="s">
        <v>4487</v>
      </c>
    </row>
    <row r="433" spans="1:18" x14ac:dyDescent="0.2">
      <c r="A433">
        <v>3084055</v>
      </c>
      <c r="B433" t="s">
        <v>4488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 t="s">
        <v>3284</v>
      </c>
      <c r="M433" t="s">
        <v>3327</v>
      </c>
      <c r="N433" t="s">
        <v>3328</v>
      </c>
      <c r="O433" t="s">
        <v>3329</v>
      </c>
      <c r="P433" t="s">
        <v>4489</v>
      </c>
      <c r="Q433" t="s">
        <v>4490</v>
      </c>
      <c r="R433" t="s">
        <v>4491</v>
      </c>
    </row>
    <row r="434" spans="1:18" x14ac:dyDescent="0.2">
      <c r="A434">
        <v>3082944</v>
      </c>
      <c r="B434" t="s">
        <v>4492</v>
      </c>
      <c r="C434">
        <v>0</v>
      </c>
      <c r="D434">
        <v>0</v>
      </c>
      <c r="E434">
        <v>0</v>
      </c>
      <c r="F434">
        <v>0</v>
      </c>
      <c r="G434">
        <v>1</v>
      </c>
      <c r="H434">
        <v>0</v>
      </c>
      <c r="I434">
        <v>0</v>
      </c>
      <c r="J434">
        <v>0</v>
      </c>
      <c r="K434">
        <v>0</v>
      </c>
      <c r="L434" t="s">
        <v>3284</v>
      </c>
      <c r="M434" t="s">
        <v>4022</v>
      </c>
      <c r="N434" t="s">
        <v>4023</v>
      </c>
      <c r="O434" t="s">
        <v>4493</v>
      </c>
      <c r="P434" t="s">
        <v>4494</v>
      </c>
      <c r="Q434" t="s">
        <v>4495</v>
      </c>
      <c r="R434" t="s">
        <v>4496</v>
      </c>
    </row>
    <row r="435" spans="1:18" x14ac:dyDescent="0.2">
      <c r="A435">
        <v>3082158</v>
      </c>
      <c r="B435" t="s">
        <v>4497</v>
      </c>
      <c r="C435">
        <v>0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0</v>
      </c>
      <c r="L435" t="s">
        <v>3284</v>
      </c>
      <c r="M435" t="s">
        <v>3391</v>
      </c>
      <c r="N435" t="s">
        <v>4129</v>
      </c>
      <c r="O435" t="s">
        <v>4130</v>
      </c>
      <c r="P435" t="s">
        <v>4131</v>
      </c>
      <c r="Q435" t="s">
        <v>4132</v>
      </c>
      <c r="R435" t="s">
        <v>4498</v>
      </c>
    </row>
    <row r="436" spans="1:18" x14ac:dyDescent="0.2">
      <c r="A436">
        <v>3082157</v>
      </c>
      <c r="B436" t="s">
        <v>4499</v>
      </c>
      <c r="C436">
        <v>0</v>
      </c>
      <c r="D436">
        <v>0</v>
      </c>
      <c r="E436">
        <v>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 t="s">
        <v>3284</v>
      </c>
      <c r="M436" t="s">
        <v>3296</v>
      </c>
      <c r="N436" t="s">
        <v>3297</v>
      </c>
      <c r="O436" t="s">
        <v>4500</v>
      </c>
      <c r="P436" t="s">
        <v>4501</v>
      </c>
      <c r="Q436" t="s">
        <v>4502</v>
      </c>
      <c r="R436" t="s">
        <v>4503</v>
      </c>
    </row>
    <row r="437" spans="1:18" x14ac:dyDescent="0.2">
      <c r="A437">
        <v>3081770</v>
      </c>
      <c r="B437" t="s">
        <v>4504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</v>
      </c>
      <c r="J437">
        <v>0</v>
      </c>
      <c r="K437">
        <v>0</v>
      </c>
      <c r="L437" t="s">
        <v>3284</v>
      </c>
      <c r="M437" t="s">
        <v>3296</v>
      </c>
      <c r="N437" t="s">
        <v>3297</v>
      </c>
      <c r="O437" t="s">
        <v>4112</v>
      </c>
      <c r="P437" t="s">
        <v>4113</v>
      </c>
      <c r="Q437" t="s">
        <v>4114</v>
      </c>
      <c r="R437" t="s">
        <v>4505</v>
      </c>
    </row>
    <row r="438" spans="1:18" x14ac:dyDescent="0.2">
      <c r="A438">
        <v>3081750</v>
      </c>
      <c r="B438" t="s">
        <v>4506</v>
      </c>
      <c r="C438">
        <v>2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2</v>
      </c>
      <c r="J438">
        <v>1</v>
      </c>
      <c r="K438">
        <v>0</v>
      </c>
      <c r="L438" t="s">
        <v>3284</v>
      </c>
      <c r="M438" t="s">
        <v>3327</v>
      </c>
      <c r="N438" t="s">
        <v>3328</v>
      </c>
      <c r="O438" t="s">
        <v>4017</v>
      </c>
      <c r="P438" t="s">
        <v>4018</v>
      </c>
      <c r="Q438" t="s">
        <v>4507</v>
      </c>
      <c r="R438" t="s">
        <v>4508</v>
      </c>
    </row>
    <row r="439" spans="1:18" x14ac:dyDescent="0.2">
      <c r="A439">
        <v>3081663</v>
      </c>
      <c r="B439" t="s">
        <v>4509</v>
      </c>
      <c r="C439">
        <v>1</v>
      </c>
      <c r="D439">
        <v>0</v>
      </c>
      <c r="E439">
        <v>0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 t="s">
        <v>3284</v>
      </c>
      <c r="M439" t="s">
        <v>3391</v>
      </c>
      <c r="N439" t="s">
        <v>3411</v>
      </c>
      <c r="O439" t="s">
        <v>3412</v>
      </c>
      <c r="P439" t="s">
        <v>3413</v>
      </c>
      <c r="Q439" t="s">
        <v>3414</v>
      </c>
      <c r="R439" t="s">
        <v>4510</v>
      </c>
    </row>
    <row r="440" spans="1:18" x14ac:dyDescent="0.2">
      <c r="A440">
        <v>3081287</v>
      </c>
      <c r="B440" t="s">
        <v>4511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19</v>
      </c>
      <c r="J440">
        <v>9</v>
      </c>
      <c r="K440">
        <v>11</v>
      </c>
      <c r="L440" t="s">
        <v>3284</v>
      </c>
      <c r="M440" t="s">
        <v>3307</v>
      </c>
      <c r="N440" t="s">
        <v>3308</v>
      </c>
      <c r="O440" t="s">
        <v>3359</v>
      </c>
      <c r="P440" t="s">
        <v>3360</v>
      </c>
      <c r="Q440" t="s">
        <v>3361</v>
      </c>
      <c r="R440" t="s">
        <v>4512</v>
      </c>
    </row>
    <row r="441" spans="1:18" x14ac:dyDescent="0.2">
      <c r="A441">
        <v>3081286</v>
      </c>
      <c r="B441" t="s">
        <v>4513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1</v>
      </c>
      <c r="K441">
        <v>0</v>
      </c>
      <c r="L441" t="s">
        <v>3284</v>
      </c>
      <c r="M441" t="s">
        <v>3307</v>
      </c>
      <c r="N441" t="s">
        <v>3308</v>
      </c>
      <c r="O441" t="s">
        <v>3359</v>
      </c>
      <c r="P441" t="s">
        <v>3360</v>
      </c>
      <c r="Q441" t="s">
        <v>3361</v>
      </c>
      <c r="R441" t="s">
        <v>4514</v>
      </c>
    </row>
    <row r="442" spans="1:18" x14ac:dyDescent="0.2">
      <c r="A442">
        <v>3081256</v>
      </c>
      <c r="B442" t="s">
        <v>4515</v>
      </c>
      <c r="C442">
        <v>0</v>
      </c>
      <c r="D442">
        <v>0</v>
      </c>
      <c r="E442">
        <v>0</v>
      </c>
      <c r="F442">
        <v>1</v>
      </c>
      <c r="G442">
        <v>0</v>
      </c>
      <c r="H442">
        <v>0</v>
      </c>
      <c r="I442">
        <v>1</v>
      </c>
      <c r="J442">
        <v>0</v>
      </c>
      <c r="K442">
        <v>0</v>
      </c>
      <c r="L442" t="s">
        <v>3284</v>
      </c>
      <c r="M442" t="s">
        <v>3296</v>
      </c>
      <c r="N442" t="s">
        <v>3343</v>
      </c>
      <c r="O442" t="s">
        <v>3344</v>
      </c>
      <c r="P442" t="s">
        <v>3387</v>
      </c>
      <c r="Q442" t="s">
        <v>3388</v>
      </c>
      <c r="R442" t="s">
        <v>4516</v>
      </c>
    </row>
    <row r="443" spans="1:18" x14ac:dyDescent="0.2">
      <c r="A443">
        <v>3081254</v>
      </c>
      <c r="B443" t="s">
        <v>4517</v>
      </c>
      <c r="C443">
        <v>0</v>
      </c>
      <c r="D443">
        <v>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 t="s">
        <v>3284</v>
      </c>
      <c r="M443" t="s">
        <v>3391</v>
      </c>
      <c r="N443" t="s">
        <v>3411</v>
      </c>
      <c r="O443" t="s">
        <v>3412</v>
      </c>
      <c r="P443" t="s">
        <v>3564</v>
      </c>
      <c r="Q443" t="s">
        <v>3803</v>
      </c>
      <c r="R443" t="s">
        <v>4518</v>
      </c>
    </row>
    <row r="444" spans="1:18" x14ac:dyDescent="0.2">
      <c r="A444">
        <v>3080830</v>
      </c>
      <c r="B444" t="s">
        <v>4519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4</v>
      </c>
      <c r="J444">
        <v>0</v>
      </c>
      <c r="K444">
        <v>1</v>
      </c>
      <c r="L444" t="s">
        <v>3284</v>
      </c>
      <c r="M444" t="s">
        <v>3296</v>
      </c>
      <c r="N444" t="s">
        <v>3297</v>
      </c>
      <c r="O444" t="s">
        <v>4112</v>
      </c>
      <c r="P444" t="s">
        <v>4113</v>
      </c>
      <c r="Q444" t="s">
        <v>4114</v>
      </c>
      <c r="R444" t="s">
        <v>4520</v>
      </c>
    </row>
    <row r="445" spans="1:18" x14ac:dyDescent="0.2">
      <c r="A445">
        <v>3080057</v>
      </c>
      <c r="B445" t="s">
        <v>4521</v>
      </c>
      <c r="C445">
        <v>0</v>
      </c>
      <c r="D445">
        <v>0</v>
      </c>
      <c r="E445">
        <v>0</v>
      </c>
      <c r="F445">
        <v>1</v>
      </c>
      <c r="G445">
        <v>1</v>
      </c>
      <c r="H445">
        <v>0</v>
      </c>
      <c r="I445">
        <v>0</v>
      </c>
      <c r="J445">
        <v>0</v>
      </c>
      <c r="K445">
        <v>0</v>
      </c>
      <c r="L445" t="s">
        <v>3284</v>
      </c>
      <c r="M445" t="s">
        <v>3296</v>
      </c>
      <c r="N445" t="s">
        <v>3343</v>
      </c>
      <c r="O445" t="s">
        <v>3344</v>
      </c>
      <c r="P445" t="s">
        <v>3367</v>
      </c>
      <c r="Q445" t="s">
        <v>3368</v>
      </c>
      <c r="R445" t="s">
        <v>4522</v>
      </c>
    </row>
    <row r="446" spans="1:18" x14ac:dyDescent="0.2">
      <c r="A446">
        <v>3079931</v>
      </c>
      <c r="B446" t="s">
        <v>4523</v>
      </c>
      <c r="C446">
        <v>0</v>
      </c>
      <c r="D446">
        <v>0</v>
      </c>
      <c r="E446">
        <v>0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 t="s">
        <v>3284</v>
      </c>
      <c r="M446" t="s">
        <v>3391</v>
      </c>
      <c r="N446" t="s">
        <v>3392</v>
      </c>
      <c r="O446" t="s">
        <v>3393</v>
      </c>
      <c r="P446" t="s">
        <v>3394</v>
      </c>
      <c r="Q446" t="s">
        <v>4524</v>
      </c>
      <c r="R446" t="s">
        <v>4525</v>
      </c>
    </row>
    <row r="447" spans="1:18" x14ac:dyDescent="0.2">
      <c r="A447">
        <v>3079793</v>
      </c>
      <c r="B447" t="s">
        <v>4526</v>
      </c>
      <c r="C447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 t="s">
        <v>3284</v>
      </c>
      <c r="M447" t="s">
        <v>3307</v>
      </c>
      <c r="N447" t="s">
        <v>3308</v>
      </c>
      <c r="O447" t="s">
        <v>3359</v>
      </c>
      <c r="P447" t="s">
        <v>3360</v>
      </c>
      <c r="Q447" t="s">
        <v>3361</v>
      </c>
      <c r="R447" t="s">
        <v>4527</v>
      </c>
    </row>
    <row r="448" spans="1:18" x14ac:dyDescent="0.2">
      <c r="A448">
        <v>3079297</v>
      </c>
      <c r="B448" t="s">
        <v>4528</v>
      </c>
      <c r="C448">
        <v>0</v>
      </c>
      <c r="D448">
        <v>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 t="s">
        <v>3284</v>
      </c>
      <c r="M448" t="s">
        <v>3296</v>
      </c>
      <c r="N448" t="s">
        <v>3343</v>
      </c>
      <c r="O448" t="s">
        <v>3371</v>
      </c>
      <c r="P448" t="s">
        <v>3372</v>
      </c>
      <c r="Q448" t="s">
        <v>4529</v>
      </c>
      <c r="R448" t="s">
        <v>4530</v>
      </c>
    </row>
    <row r="449" spans="1:18" x14ac:dyDescent="0.2">
      <c r="A449">
        <v>3078754</v>
      </c>
      <c r="B449" t="s">
        <v>4531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</v>
      </c>
      <c r="J449">
        <v>1</v>
      </c>
      <c r="K449">
        <v>0</v>
      </c>
      <c r="L449" t="s">
        <v>3284</v>
      </c>
      <c r="M449" t="s">
        <v>3296</v>
      </c>
      <c r="N449" t="s">
        <v>3343</v>
      </c>
      <c r="O449" t="s">
        <v>3344</v>
      </c>
      <c r="P449" t="s">
        <v>4532</v>
      </c>
      <c r="Q449" t="s">
        <v>4533</v>
      </c>
      <c r="R449" t="s">
        <v>4534</v>
      </c>
    </row>
    <row r="450" spans="1:18" x14ac:dyDescent="0.2">
      <c r="A450">
        <v>3077956</v>
      </c>
      <c r="B450" t="s">
        <v>4535</v>
      </c>
      <c r="C450">
        <v>0</v>
      </c>
      <c r="D450">
        <v>0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  <c r="L450" t="s">
        <v>3284</v>
      </c>
      <c r="M450" t="s">
        <v>3296</v>
      </c>
      <c r="N450" t="s">
        <v>3297</v>
      </c>
      <c r="O450" t="s">
        <v>3298</v>
      </c>
      <c r="P450" t="s">
        <v>3826</v>
      </c>
      <c r="Q450" t="s">
        <v>4536</v>
      </c>
      <c r="R450" t="s">
        <v>4537</v>
      </c>
    </row>
    <row r="451" spans="1:18" x14ac:dyDescent="0.2">
      <c r="A451">
        <v>3077328</v>
      </c>
      <c r="B451" t="s">
        <v>4538</v>
      </c>
      <c r="C451">
        <v>0</v>
      </c>
      <c r="D451">
        <v>0</v>
      </c>
      <c r="E451">
        <v>0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0</v>
      </c>
      <c r="L451" t="s">
        <v>3284</v>
      </c>
      <c r="M451" t="s">
        <v>3296</v>
      </c>
      <c r="N451" t="s">
        <v>3321</v>
      </c>
      <c r="O451" t="s">
        <v>3322</v>
      </c>
      <c r="P451" t="s">
        <v>4143</v>
      </c>
      <c r="Q451" t="s">
        <v>4539</v>
      </c>
      <c r="R451" t="s">
        <v>4540</v>
      </c>
    </row>
    <row r="452" spans="1:18" x14ac:dyDescent="0.2">
      <c r="A452">
        <v>3077236</v>
      </c>
      <c r="B452" t="s">
        <v>4541</v>
      </c>
      <c r="C452">
        <v>0</v>
      </c>
      <c r="D452">
        <v>1</v>
      </c>
      <c r="E452">
        <v>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 t="s">
        <v>3284</v>
      </c>
      <c r="M452" t="s">
        <v>3296</v>
      </c>
      <c r="N452" t="s">
        <v>3321</v>
      </c>
      <c r="O452" t="s">
        <v>3322</v>
      </c>
      <c r="P452" t="s">
        <v>3398</v>
      </c>
      <c r="Q452" t="s">
        <v>4542</v>
      </c>
      <c r="R452" t="s">
        <v>4543</v>
      </c>
    </row>
    <row r="453" spans="1:18" x14ac:dyDescent="0.2">
      <c r="A453">
        <v>3077235</v>
      </c>
      <c r="B453" t="s">
        <v>4544</v>
      </c>
      <c r="C453">
        <v>0</v>
      </c>
      <c r="D453">
        <v>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 t="s">
        <v>3284</v>
      </c>
      <c r="M453" t="s">
        <v>3296</v>
      </c>
      <c r="N453" t="s">
        <v>3321</v>
      </c>
      <c r="O453" t="s">
        <v>3322</v>
      </c>
      <c r="P453" t="s">
        <v>3671</v>
      </c>
      <c r="Q453" t="s">
        <v>3672</v>
      </c>
      <c r="R453" t="s">
        <v>4545</v>
      </c>
    </row>
    <row r="454" spans="1:18" x14ac:dyDescent="0.2">
      <c r="A454">
        <v>3076558</v>
      </c>
      <c r="B454" t="s">
        <v>4546</v>
      </c>
      <c r="C454">
        <v>0</v>
      </c>
      <c r="D454">
        <v>0</v>
      </c>
      <c r="E454">
        <v>0</v>
      </c>
      <c r="F454">
        <v>1</v>
      </c>
      <c r="G454">
        <v>1</v>
      </c>
      <c r="H454">
        <v>0</v>
      </c>
      <c r="I454">
        <v>0</v>
      </c>
      <c r="J454">
        <v>0</v>
      </c>
      <c r="K454">
        <v>0</v>
      </c>
      <c r="L454" t="s">
        <v>3284</v>
      </c>
      <c r="M454" t="s">
        <v>3391</v>
      </c>
      <c r="N454" t="s">
        <v>4129</v>
      </c>
      <c r="O454" t="s">
        <v>4130</v>
      </c>
      <c r="P454" t="s">
        <v>4131</v>
      </c>
      <c r="Q454" t="s">
        <v>4547</v>
      </c>
      <c r="R454" t="s">
        <v>4548</v>
      </c>
    </row>
    <row r="455" spans="1:18" x14ac:dyDescent="0.2">
      <c r="A455">
        <v>3075927</v>
      </c>
      <c r="B455" t="s">
        <v>4549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</v>
      </c>
      <c r="J455">
        <v>0</v>
      </c>
      <c r="K455">
        <v>0</v>
      </c>
      <c r="L455" t="s">
        <v>3284</v>
      </c>
      <c r="M455" t="s">
        <v>3307</v>
      </c>
      <c r="N455" t="s">
        <v>3308</v>
      </c>
      <c r="O455" t="s">
        <v>3382</v>
      </c>
      <c r="P455" t="s">
        <v>3383</v>
      </c>
      <c r="Q455" t="s">
        <v>4550</v>
      </c>
      <c r="R455" t="s">
        <v>4551</v>
      </c>
    </row>
    <row r="456" spans="1:18" x14ac:dyDescent="0.2">
      <c r="A456">
        <v>3075838</v>
      </c>
      <c r="B456" t="s">
        <v>4552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</v>
      </c>
      <c r="K456">
        <v>0</v>
      </c>
      <c r="L456" t="s">
        <v>3284</v>
      </c>
      <c r="M456" t="s">
        <v>3296</v>
      </c>
      <c r="N456" t="s">
        <v>3343</v>
      </c>
      <c r="O456" t="s">
        <v>3349</v>
      </c>
      <c r="P456" t="s">
        <v>3350</v>
      </c>
      <c r="Q456" t="s">
        <v>4553</v>
      </c>
      <c r="R456" t="s">
        <v>4554</v>
      </c>
    </row>
    <row r="457" spans="1:18" x14ac:dyDescent="0.2">
      <c r="A457">
        <v>3075602</v>
      </c>
      <c r="B457" t="s">
        <v>4555</v>
      </c>
      <c r="C457">
        <v>0</v>
      </c>
      <c r="D457">
        <v>0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 t="s">
        <v>3284</v>
      </c>
      <c r="M457" t="s">
        <v>3296</v>
      </c>
      <c r="N457" t="s">
        <v>3297</v>
      </c>
      <c r="O457" t="s">
        <v>4556</v>
      </c>
      <c r="P457" t="s">
        <v>4557</v>
      </c>
      <c r="Q457" t="s">
        <v>4558</v>
      </c>
      <c r="R457" t="s">
        <v>4559</v>
      </c>
    </row>
    <row r="458" spans="1:18" x14ac:dyDescent="0.2">
      <c r="A458">
        <v>3075550</v>
      </c>
      <c r="B458" t="s">
        <v>4560</v>
      </c>
      <c r="C458">
        <v>7</v>
      </c>
      <c r="D458">
        <v>5</v>
      </c>
      <c r="E458">
        <v>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 t="s">
        <v>3284</v>
      </c>
      <c r="M458" t="s">
        <v>3296</v>
      </c>
      <c r="N458" t="s">
        <v>3297</v>
      </c>
      <c r="O458" t="s">
        <v>3434</v>
      </c>
      <c r="P458" t="s">
        <v>3435</v>
      </c>
      <c r="Q458" t="s">
        <v>3436</v>
      </c>
      <c r="R458" t="s">
        <v>4561</v>
      </c>
    </row>
    <row r="459" spans="1:18" x14ac:dyDescent="0.2">
      <c r="A459">
        <v>3075376</v>
      </c>
      <c r="B459" t="s">
        <v>4562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1</v>
      </c>
      <c r="J459">
        <v>0</v>
      </c>
      <c r="K459">
        <v>0</v>
      </c>
      <c r="L459" t="s">
        <v>3284</v>
      </c>
      <c r="M459" t="s">
        <v>4022</v>
      </c>
      <c r="N459" t="s">
        <v>4023</v>
      </c>
      <c r="O459" t="s">
        <v>4289</v>
      </c>
      <c r="P459" t="s">
        <v>4563</v>
      </c>
      <c r="Q459" t="s">
        <v>4564</v>
      </c>
      <c r="R459" t="s">
        <v>4565</v>
      </c>
    </row>
    <row r="460" spans="1:18" x14ac:dyDescent="0.2">
      <c r="A460">
        <v>3074433</v>
      </c>
      <c r="B460" t="s">
        <v>4566</v>
      </c>
      <c r="C460">
        <v>0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 t="s">
        <v>3284</v>
      </c>
      <c r="M460" t="s">
        <v>3327</v>
      </c>
      <c r="N460" t="s">
        <v>3328</v>
      </c>
      <c r="O460" t="s">
        <v>4017</v>
      </c>
      <c r="P460" t="s">
        <v>4567</v>
      </c>
      <c r="Q460" t="s">
        <v>4568</v>
      </c>
      <c r="R460" t="s">
        <v>4569</v>
      </c>
    </row>
    <row r="461" spans="1:18" x14ac:dyDescent="0.2">
      <c r="A461">
        <v>3073814</v>
      </c>
      <c r="B461" t="s">
        <v>4570</v>
      </c>
      <c r="C461">
        <v>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 t="s">
        <v>3284</v>
      </c>
      <c r="M461" t="s">
        <v>3296</v>
      </c>
      <c r="N461" t="s">
        <v>3343</v>
      </c>
      <c r="O461" t="s">
        <v>3371</v>
      </c>
      <c r="P461" t="s">
        <v>3688</v>
      </c>
      <c r="Q461" t="s">
        <v>4406</v>
      </c>
      <c r="R461" t="s">
        <v>4571</v>
      </c>
    </row>
    <row r="462" spans="1:18" x14ac:dyDescent="0.2">
      <c r="A462">
        <v>3073638</v>
      </c>
      <c r="B462" t="s">
        <v>4572</v>
      </c>
      <c r="C462">
        <v>0</v>
      </c>
      <c r="D462">
        <v>0</v>
      </c>
      <c r="E462">
        <v>0</v>
      </c>
      <c r="F462">
        <v>3</v>
      </c>
      <c r="G462">
        <v>1</v>
      </c>
      <c r="H462">
        <v>0</v>
      </c>
      <c r="I462">
        <v>0</v>
      </c>
      <c r="J462">
        <v>0</v>
      </c>
      <c r="K462">
        <v>0</v>
      </c>
      <c r="L462" t="s">
        <v>3284</v>
      </c>
      <c r="M462" t="s">
        <v>3296</v>
      </c>
      <c r="N462" t="s">
        <v>3343</v>
      </c>
      <c r="O462" t="s">
        <v>3349</v>
      </c>
      <c r="P462" t="s">
        <v>3350</v>
      </c>
      <c r="Q462" t="s">
        <v>4175</v>
      </c>
      <c r="R462" t="s">
        <v>4573</v>
      </c>
    </row>
    <row r="463" spans="1:18" x14ac:dyDescent="0.2">
      <c r="A463">
        <v>3073604</v>
      </c>
      <c r="B463" t="s">
        <v>4574</v>
      </c>
      <c r="C463">
        <v>1</v>
      </c>
      <c r="D463">
        <v>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 t="s">
        <v>3284</v>
      </c>
      <c r="M463" t="s">
        <v>3296</v>
      </c>
      <c r="N463" t="s">
        <v>3343</v>
      </c>
      <c r="O463" t="s">
        <v>3371</v>
      </c>
      <c r="P463" t="s">
        <v>3688</v>
      </c>
      <c r="Q463" t="s">
        <v>4575</v>
      </c>
      <c r="R463" t="s">
        <v>4576</v>
      </c>
    </row>
    <row r="464" spans="1:18" x14ac:dyDescent="0.2">
      <c r="A464">
        <v>3073562</v>
      </c>
      <c r="B464" t="s">
        <v>4577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8</v>
      </c>
      <c r="J464">
        <v>2</v>
      </c>
      <c r="K464">
        <v>0</v>
      </c>
      <c r="L464" t="s">
        <v>3284</v>
      </c>
      <c r="M464" t="s">
        <v>3307</v>
      </c>
      <c r="N464" t="s">
        <v>3308</v>
      </c>
      <c r="O464" t="s">
        <v>3635</v>
      </c>
      <c r="P464" t="s">
        <v>4011</v>
      </c>
      <c r="Q464" t="s">
        <v>4012</v>
      </c>
      <c r="R464" t="s">
        <v>4578</v>
      </c>
    </row>
    <row r="465" spans="1:18" x14ac:dyDescent="0.2">
      <c r="A465">
        <v>3073100</v>
      </c>
      <c r="B465" t="s">
        <v>4579</v>
      </c>
      <c r="C465">
        <v>0</v>
      </c>
      <c r="D465">
        <v>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 t="s">
        <v>3284</v>
      </c>
      <c r="M465" t="s">
        <v>4580</v>
      </c>
      <c r="N465" t="s">
        <v>4581</v>
      </c>
      <c r="O465" t="s">
        <v>4582</v>
      </c>
      <c r="P465" t="s">
        <v>4583</v>
      </c>
      <c r="Q465" t="s">
        <v>4584</v>
      </c>
      <c r="R465" t="s">
        <v>4585</v>
      </c>
    </row>
    <row r="466" spans="1:18" x14ac:dyDescent="0.2">
      <c r="A466">
        <v>3072313</v>
      </c>
      <c r="B466" t="s">
        <v>4586</v>
      </c>
      <c r="C466">
        <v>0</v>
      </c>
      <c r="D466">
        <v>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 t="s">
        <v>3284</v>
      </c>
      <c r="M466" t="s">
        <v>3296</v>
      </c>
      <c r="N466" t="s">
        <v>3343</v>
      </c>
      <c r="O466" t="s">
        <v>3344</v>
      </c>
      <c r="P466" t="s">
        <v>3898</v>
      </c>
      <c r="Q466" t="s">
        <v>3899</v>
      </c>
      <c r="R466" t="s">
        <v>4587</v>
      </c>
    </row>
    <row r="467" spans="1:18" x14ac:dyDescent="0.2">
      <c r="A467">
        <v>3071710</v>
      </c>
      <c r="B467" t="s">
        <v>4588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1</v>
      </c>
      <c r="J467">
        <v>1</v>
      </c>
      <c r="K467">
        <v>0</v>
      </c>
      <c r="L467" t="s">
        <v>3284</v>
      </c>
      <c r="M467" t="s">
        <v>3307</v>
      </c>
      <c r="N467" t="s">
        <v>3308</v>
      </c>
      <c r="O467" t="s">
        <v>3359</v>
      </c>
      <c r="P467" t="s">
        <v>3360</v>
      </c>
      <c r="Q467" t="s">
        <v>3934</v>
      </c>
      <c r="R467" t="s">
        <v>4589</v>
      </c>
    </row>
    <row r="468" spans="1:18" x14ac:dyDescent="0.2">
      <c r="A468">
        <v>3071709</v>
      </c>
      <c r="B468" t="s">
        <v>4590</v>
      </c>
      <c r="C468">
        <v>0</v>
      </c>
      <c r="D468">
        <v>0</v>
      </c>
      <c r="E468">
        <v>0</v>
      </c>
      <c r="F468">
        <v>2</v>
      </c>
      <c r="G468">
        <v>2</v>
      </c>
      <c r="H468">
        <v>0</v>
      </c>
      <c r="I468">
        <v>0</v>
      </c>
      <c r="J468">
        <v>0</v>
      </c>
      <c r="K468">
        <v>0</v>
      </c>
      <c r="L468" t="s">
        <v>3284</v>
      </c>
      <c r="M468" t="s">
        <v>3296</v>
      </c>
      <c r="N468" t="s">
        <v>3321</v>
      </c>
      <c r="O468" t="s">
        <v>3322</v>
      </c>
      <c r="P468" t="s">
        <v>3398</v>
      </c>
      <c r="Q468" t="s">
        <v>3399</v>
      </c>
      <c r="R468" t="s">
        <v>4591</v>
      </c>
    </row>
    <row r="469" spans="1:18" x14ac:dyDescent="0.2">
      <c r="A469">
        <v>3071705</v>
      </c>
      <c r="B469" t="s">
        <v>4592</v>
      </c>
      <c r="C469">
        <v>0</v>
      </c>
      <c r="D469">
        <v>0</v>
      </c>
      <c r="E469">
        <v>0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 t="s">
        <v>3284</v>
      </c>
      <c r="M469" t="s">
        <v>3296</v>
      </c>
      <c r="N469" t="s">
        <v>3321</v>
      </c>
      <c r="O469" t="s">
        <v>3322</v>
      </c>
      <c r="P469" t="s">
        <v>3398</v>
      </c>
      <c r="Q469" t="s">
        <v>4593</v>
      </c>
      <c r="R469" t="s">
        <v>4594</v>
      </c>
    </row>
    <row r="470" spans="1:18" x14ac:dyDescent="0.2">
      <c r="A470">
        <v>3071414</v>
      </c>
      <c r="B470" t="s">
        <v>4595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1</v>
      </c>
      <c r="K470">
        <v>0</v>
      </c>
      <c r="L470" t="s">
        <v>3284</v>
      </c>
      <c r="M470" t="s">
        <v>3296</v>
      </c>
      <c r="N470" t="s">
        <v>3343</v>
      </c>
      <c r="O470" t="s">
        <v>3344</v>
      </c>
      <c r="P470" t="s">
        <v>3898</v>
      </c>
      <c r="Q470" t="s">
        <v>3899</v>
      </c>
      <c r="R470" t="s">
        <v>4596</v>
      </c>
    </row>
    <row r="471" spans="1:18" x14ac:dyDescent="0.2">
      <c r="A471">
        <v>3071413</v>
      </c>
      <c r="B471" t="s">
        <v>4597</v>
      </c>
      <c r="C471">
        <v>0</v>
      </c>
      <c r="D471">
        <v>0</v>
      </c>
      <c r="E471">
        <v>0</v>
      </c>
      <c r="F471">
        <v>1</v>
      </c>
      <c r="G471">
        <v>1</v>
      </c>
      <c r="H471">
        <v>0</v>
      </c>
      <c r="I471">
        <v>0</v>
      </c>
      <c r="J471">
        <v>0</v>
      </c>
      <c r="K471">
        <v>0</v>
      </c>
      <c r="L471" t="s">
        <v>3284</v>
      </c>
      <c r="M471" t="s">
        <v>3391</v>
      </c>
      <c r="N471" t="s">
        <v>3740</v>
      </c>
      <c r="O471" t="s">
        <v>3741</v>
      </c>
      <c r="P471" t="s">
        <v>3742</v>
      </c>
      <c r="Q471" t="s">
        <v>4598</v>
      </c>
      <c r="R471" t="s">
        <v>4599</v>
      </c>
    </row>
    <row r="472" spans="1:18" x14ac:dyDescent="0.2">
      <c r="A472">
        <v>3071411</v>
      </c>
      <c r="B472" t="s">
        <v>4600</v>
      </c>
      <c r="C472">
        <v>0</v>
      </c>
      <c r="D472">
        <v>0</v>
      </c>
      <c r="E472">
        <v>0</v>
      </c>
      <c r="F472">
        <v>3</v>
      </c>
      <c r="G472">
        <v>0</v>
      </c>
      <c r="H472">
        <v>0</v>
      </c>
      <c r="I472">
        <v>0</v>
      </c>
      <c r="J472">
        <v>0</v>
      </c>
      <c r="K472">
        <v>0</v>
      </c>
      <c r="L472" t="s">
        <v>3284</v>
      </c>
      <c r="M472" t="s">
        <v>3391</v>
      </c>
      <c r="N472" t="s">
        <v>3411</v>
      </c>
      <c r="O472" t="s">
        <v>3412</v>
      </c>
      <c r="P472" t="s">
        <v>3413</v>
      </c>
      <c r="Q472" t="s">
        <v>3414</v>
      </c>
      <c r="R472" t="s">
        <v>4601</v>
      </c>
    </row>
    <row r="473" spans="1:18" x14ac:dyDescent="0.2">
      <c r="A473">
        <v>3071410</v>
      </c>
      <c r="B473" t="s">
        <v>4602</v>
      </c>
      <c r="C473">
        <v>0</v>
      </c>
      <c r="D473">
        <v>0</v>
      </c>
      <c r="E473">
        <v>0</v>
      </c>
      <c r="F473">
        <v>4</v>
      </c>
      <c r="G473">
        <v>1</v>
      </c>
      <c r="H473">
        <v>0</v>
      </c>
      <c r="I473">
        <v>0</v>
      </c>
      <c r="J473">
        <v>0</v>
      </c>
      <c r="K473">
        <v>0</v>
      </c>
      <c r="L473" t="s">
        <v>3284</v>
      </c>
      <c r="M473" t="s">
        <v>3391</v>
      </c>
      <c r="N473" t="s">
        <v>3411</v>
      </c>
      <c r="O473" t="s">
        <v>3412</v>
      </c>
      <c r="P473" t="s">
        <v>3413</v>
      </c>
      <c r="Q473" t="s">
        <v>3414</v>
      </c>
      <c r="R473" t="s">
        <v>4603</v>
      </c>
    </row>
    <row r="474" spans="1:18" x14ac:dyDescent="0.2">
      <c r="A474">
        <v>3070999</v>
      </c>
      <c r="B474" t="s">
        <v>4604</v>
      </c>
      <c r="C474">
        <v>1</v>
      </c>
      <c r="D474">
        <v>2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 t="s">
        <v>3284</v>
      </c>
      <c r="M474" t="s">
        <v>3327</v>
      </c>
      <c r="N474" t="s">
        <v>4384</v>
      </c>
      <c r="O474" t="s">
        <v>4605</v>
      </c>
      <c r="P474" t="s">
        <v>4606</v>
      </c>
      <c r="Q474" t="s">
        <v>4607</v>
      </c>
      <c r="R474" t="s">
        <v>4608</v>
      </c>
    </row>
    <row r="475" spans="1:18" x14ac:dyDescent="0.2">
      <c r="A475">
        <v>3070997</v>
      </c>
      <c r="B475" t="s">
        <v>4609</v>
      </c>
      <c r="C475">
        <v>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1</v>
      </c>
      <c r="J475">
        <v>0</v>
      </c>
      <c r="K475">
        <v>0</v>
      </c>
      <c r="L475" t="s">
        <v>3284</v>
      </c>
      <c r="M475" t="s">
        <v>3327</v>
      </c>
      <c r="N475" t="s">
        <v>3328</v>
      </c>
      <c r="O475" t="s">
        <v>4017</v>
      </c>
      <c r="P475" t="s">
        <v>4018</v>
      </c>
      <c r="Q475" t="s">
        <v>4507</v>
      </c>
      <c r="R475" t="s">
        <v>4610</v>
      </c>
    </row>
    <row r="476" spans="1:18" x14ac:dyDescent="0.2">
      <c r="A476">
        <v>3070996</v>
      </c>
      <c r="B476" t="s">
        <v>4611</v>
      </c>
      <c r="C476">
        <v>3</v>
      </c>
      <c r="D476">
        <v>2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 t="s">
        <v>3284</v>
      </c>
      <c r="M476" t="s">
        <v>3327</v>
      </c>
      <c r="N476" t="s">
        <v>3328</v>
      </c>
      <c r="O476" t="s">
        <v>3329</v>
      </c>
      <c r="P476" t="s">
        <v>3330</v>
      </c>
      <c r="Q476" t="s">
        <v>3331</v>
      </c>
      <c r="R476" t="s">
        <v>4612</v>
      </c>
    </row>
    <row r="477" spans="1:18" x14ac:dyDescent="0.2">
      <c r="A477">
        <v>3070995</v>
      </c>
      <c r="B477" t="s">
        <v>4613</v>
      </c>
      <c r="C477">
        <v>1</v>
      </c>
      <c r="D477">
        <v>0</v>
      </c>
      <c r="E477">
        <v>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 t="s">
        <v>3284</v>
      </c>
      <c r="M477" t="s">
        <v>3327</v>
      </c>
      <c r="N477" t="s">
        <v>4384</v>
      </c>
      <c r="O477" t="s">
        <v>3271</v>
      </c>
      <c r="P477" t="s">
        <v>3271</v>
      </c>
      <c r="Q477" t="s">
        <v>4385</v>
      </c>
      <c r="R477" t="s">
        <v>4614</v>
      </c>
    </row>
    <row r="478" spans="1:18" x14ac:dyDescent="0.2">
      <c r="A478">
        <v>3070681</v>
      </c>
      <c r="B478" t="s">
        <v>4615</v>
      </c>
      <c r="C478">
        <v>7</v>
      </c>
      <c r="D478">
        <v>11</v>
      </c>
      <c r="E478">
        <v>4</v>
      </c>
      <c r="F478">
        <v>0</v>
      </c>
      <c r="G478">
        <v>0</v>
      </c>
      <c r="H478">
        <v>0</v>
      </c>
      <c r="I478">
        <v>1</v>
      </c>
      <c r="J478">
        <v>0</v>
      </c>
      <c r="K478">
        <v>0</v>
      </c>
      <c r="L478" t="s">
        <v>3284</v>
      </c>
      <c r="M478" t="s">
        <v>3327</v>
      </c>
      <c r="N478" t="s">
        <v>3328</v>
      </c>
      <c r="O478" t="s">
        <v>3329</v>
      </c>
      <c r="P478" t="s">
        <v>3330</v>
      </c>
      <c r="Q478" t="s">
        <v>3331</v>
      </c>
      <c r="R478" t="s">
        <v>4616</v>
      </c>
    </row>
    <row r="479" spans="1:18" x14ac:dyDescent="0.2">
      <c r="A479">
        <v>3070679</v>
      </c>
      <c r="B479" t="s">
        <v>4617</v>
      </c>
      <c r="C479">
        <v>0</v>
      </c>
      <c r="D479">
        <v>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 t="s">
        <v>3284</v>
      </c>
      <c r="M479" t="s">
        <v>3327</v>
      </c>
      <c r="N479" t="s">
        <v>3376</v>
      </c>
      <c r="O479" t="s">
        <v>3377</v>
      </c>
      <c r="P479" t="s">
        <v>3378</v>
      </c>
      <c r="Q479" t="s">
        <v>3608</v>
      </c>
      <c r="R479" t="s">
        <v>4618</v>
      </c>
    </row>
    <row r="480" spans="1:18" x14ac:dyDescent="0.2">
      <c r="A480">
        <v>3070656</v>
      </c>
      <c r="B480" t="s">
        <v>4619</v>
      </c>
      <c r="C480">
        <v>2</v>
      </c>
      <c r="D480">
        <v>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 t="s">
        <v>3284</v>
      </c>
      <c r="M480" t="s">
        <v>3327</v>
      </c>
      <c r="N480" t="s">
        <v>3328</v>
      </c>
      <c r="O480" t="s">
        <v>3329</v>
      </c>
      <c r="P480" t="s">
        <v>4620</v>
      </c>
      <c r="Q480" t="s">
        <v>4621</v>
      </c>
      <c r="R480" t="s">
        <v>4622</v>
      </c>
    </row>
    <row r="481" spans="1:18" x14ac:dyDescent="0.2">
      <c r="A481">
        <v>3069264</v>
      </c>
      <c r="B481" t="s">
        <v>4623</v>
      </c>
      <c r="C481">
        <v>0</v>
      </c>
      <c r="D481">
        <v>0</v>
      </c>
      <c r="E481">
        <v>0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 t="s">
        <v>3284</v>
      </c>
      <c r="M481" t="s">
        <v>3296</v>
      </c>
      <c r="N481" t="s">
        <v>3343</v>
      </c>
      <c r="O481" t="s">
        <v>3344</v>
      </c>
      <c r="P481" t="s">
        <v>4624</v>
      </c>
      <c r="Q481" t="s">
        <v>4625</v>
      </c>
      <c r="R481" t="s">
        <v>4626</v>
      </c>
    </row>
    <row r="482" spans="1:18" x14ac:dyDescent="0.2">
      <c r="A482">
        <v>3068640</v>
      </c>
      <c r="B482" t="s">
        <v>4627</v>
      </c>
      <c r="C482">
        <v>0</v>
      </c>
      <c r="D482">
        <v>0</v>
      </c>
      <c r="E482">
        <v>0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 t="s">
        <v>3284</v>
      </c>
      <c r="M482" t="s">
        <v>4628</v>
      </c>
      <c r="N482" t="s">
        <v>4629</v>
      </c>
      <c r="O482" t="s">
        <v>4630</v>
      </c>
      <c r="P482" t="s">
        <v>4631</v>
      </c>
      <c r="Q482" t="s">
        <v>4632</v>
      </c>
      <c r="R482" t="s">
        <v>4633</v>
      </c>
    </row>
    <row r="483" spans="1:18" x14ac:dyDescent="0.2">
      <c r="A483">
        <v>3068633</v>
      </c>
      <c r="B483" t="s">
        <v>4634</v>
      </c>
      <c r="C483">
        <v>0</v>
      </c>
      <c r="D483">
        <v>0</v>
      </c>
      <c r="E483">
        <v>0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0</v>
      </c>
      <c r="L483" t="s">
        <v>3284</v>
      </c>
      <c r="M483" t="s">
        <v>3296</v>
      </c>
      <c r="N483" t="s">
        <v>3321</v>
      </c>
      <c r="O483" t="s">
        <v>3322</v>
      </c>
      <c r="P483" t="s">
        <v>3323</v>
      </c>
      <c r="Q483" t="s">
        <v>4635</v>
      </c>
      <c r="R483" t="s">
        <v>4636</v>
      </c>
    </row>
    <row r="484" spans="1:18" x14ac:dyDescent="0.2">
      <c r="A484">
        <v>3068632</v>
      </c>
      <c r="B484" t="s">
        <v>4637</v>
      </c>
      <c r="C484">
        <v>0</v>
      </c>
      <c r="D484">
        <v>0</v>
      </c>
      <c r="E484">
        <v>0</v>
      </c>
      <c r="F484">
        <v>1</v>
      </c>
      <c r="G484">
        <v>2</v>
      </c>
      <c r="H484">
        <v>0</v>
      </c>
      <c r="I484">
        <v>4</v>
      </c>
      <c r="J484">
        <v>1</v>
      </c>
      <c r="K484">
        <v>1</v>
      </c>
      <c r="L484" t="s">
        <v>3284</v>
      </c>
      <c r="M484" t="s">
        <v>3296</v>
      </c>
      <c r="N484" t="s">
        <v>3343</v>
      </c>
      <c r="O484" t="s">
        <v>3344</v>
      </c>
      <c r="P484" t="s">
        <v>3367</v>
      </c>
      <c r="Q484" t="s">
        <v>3368</v>
      </c>
      <c r="R484" t="s">
        <v>4638</v>
      </c>
    </row>
    <row r="485" spans="1:18" x14ac:dyDescent="0.2">
      <c r="A485">
        <v>3068341</v>
      </c>
      <c r="B485" t="s">
        <v>4639</v>
      </c>
      <c r="C485">
        <v>0</v>
      </c>
      <c r="D485">
        <v>0</v>
      </c>
      <c r="E485">
        <v>0</v>
      </c>
      <c r="F485">
        <v>0</v>
      </c>
      <c r="G485">
        <v>1</v>
      </c>
      <c r="H485">
        <v>0</v>
      </c>
      <c r="I485">
        <v>0</v>
      </c>
      <c r="J485">
        <v>0</v>
      </c>
      <c r="K485">
        <v>0</v>
      </c>
      <c r="L485" t="s">
        <v>3284</v>
      </c>
      <c r="M485" t="s">
        <v>3296</v>
      </c>
      <c r="N485" t="s">
        <v>3321</v>
      </c>
      <c r="O485" t="s">
        <v>3322</v>
      </c>
      <c r="P485" t="s">
        <v>3398</v>
      </c>
      <c r="Q485" t="s">
        <v>3788</v>
      </c>
      <c r="R485" t="s">
        <v>4640</v>
      </c>
    </row>
    <row r="486" spans="1:18" x14ac:dyDescent="0.2">
      <c r="A486">
        <v>3068321</v>
      </c>
      <c r="B486" t="s">
        <v>4641</v>
      </c>
      <c r="C486">
        <v>0</v>
      </c>
      <c r="D486">
        <v>0</v>
      </c>
      <c r="E486">
        <v>0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0</v>
      </c>
      <c r="L486" t="s">
        <v>3284</v>
      </c>
      <c r="M486" t="s">
        <v>3307</v>
      </c>
      <c r="N486" t="s">
        <v>3308</v>
      </c>
      <c r="O486" t="s">
        <v>3359</v>
      </c>
      <c r="P486" t="s">
        <v>3360</v>
      </c>
      <c r="Q486" t="s">
        <v>3361</v>
      </c>
      <c r="R486" t="s">
        <v>4642</v>
      </c>
    </row>
    <row r="487" spans="1:18" x14ac:dyDescent="0.2">
      <c r="A487">
        <v>3068314</v>
      </c>
      <c r="B487" t="s">
        <v>4643</v>
      </c>
      <c r="C487">
        <v>0</v>
      </c>
      <c r="D487">
        <v>0</v>
      </c>
      <c r="E487">
        <v>0</v>
      </c>
      <c r="F487">
        <v>2</v>
      </c>
      <c r="G487">
        <v>1</v>
      </c>
      <c r="H487">
        <v>1</v>
      </c>
      <c r="I487">
        <v>0</v>
      </c>
      <c r="J487">
        <v>0</v>
      </c>
      <c r="K487">
        <v>0</v>
      </c>
      <c r="L487" t="s">
        <v>3284</v>
      </c>
      <c r="M487" t="s">
        <v>3296</v>
      </c>
      <c r="N487" t="s">
        <v>3343</v>
      </c>
      <c r="O487" t="s">
        <v>3402</v>
      </c>
      <c r="P487" t="s">
        <v>3403</v>
      </c>
      <c r="Q487" t="s">
        <v>3536</v>
      </c>
      <c r="R487" t="s">
        <v>4644</v>
      </c>
    </row>
    <row r="488" spans="1:18" x14ac:dyDescent="0.2">
      <c r="A488">
        <v>3065961</v>
      </c>
      <c r="B488" t="s">
        <v>4645</v>
      </c>
      <c r="C488">
        <v>0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 t="s">
        <v>3284</v>
      </c>
      <c r="M488" t="s">
        <v>3296</v>
      </c>
      <c r="N488" t="s">
        <v>3297</v>
      </c>
      <c r="O488" t="s">
        <v>3434</v>
      </c>
      <c r="P488" t="s">
        <v>4646</v>
      </c>
      <c r="Q488" t="s">
        <v>4647</v>
      </c>
      <c r="R488" t="s">
        <v>4648</v>
      </c>
    </row>
    <row r="489" spans="1:18" x14ac:dyDescent="0.2">
      <c r="A489">
        <v>3065955</v>
      </c>
      <c r="B489" t="s">
        <v>4649</v>
      </c>
      <c r="C489">
        <v>1</v>
      </c>
      <c r="D489">
        <v>0</v>
      </c>
      <c r="E489">
        <v>0</v>
      </c>
      <c r="F489">
        <v>1</v>
      </c>
      <c r="G489">
        <v>1</v>
      </c>
      <c r="H489">
        <v>0</v>
      </c>
      <c r="I489">
        <v>0</v>
      </c>
      <c r="J489">
        <v>0</v>
      </c>
      <c r="K489">
        <v>0</v>
      </c>
      <c r="L489" t="s">
        <v>3284</v>
      </c>
      <c r="M489" t="s">
        <v>3296</v>
      </c>
      <c r="N489" t="s">
        <v>3321</v>
      </c>
      <c r="O489" t="s">
        <v>3322</v>
      </c>
      <c r="P489" t="s">
        <v>3398</v>
      </c>
      <c r="Q489" t="s">
        <v>3399</v>
      </c>
      <c r="R489" t="s">
        <v>4650</v>
      </c>
    </row>
    <row r="490" spans="1:18" x14ac:dyDescent="0.2">
      <c r="A490">
        <v>3065910</v>
      </c>
      <c r="B490" t="s">
        <v>4651</v>
      </c>
      <c r="C490">
        <v>0</v>
      </c>
      <c r="D490">
        <v>0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 t="s">
        <v>3284</v>
      </c>
      <c r="M490" t="s">
        <v>3296</v>
      </c>
      <c r="N490" t="s">
        <v>3321</v>
      </c>
      <c r="O490" t="s">
        <v>3322</v>
      </c>
      <c r="P490" t="s">
        <v>3323</v>
      </c>
      <c r="Q490" t="s">
        <v>3577</v>
      </c>
      <c r="R490" t="s">
        <v>4652</v>
      </c>
    </row>
    <row r="491" spans="1:18" x14ac:dyDescent="0.2">
      <c r="A491">
        <v>3064897</v>
      </c>
      <c r="B491" t="s">
        <v>4653</v>
      </c>
      <c r="C491">
        <v>0</v>
      </c>
      <c r="D491">
        <v>0</v>
      </c>
      <c r="E491">
        <v>0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L491" t="s">
        <v>3284</v>
      </c>
      <c r="M491" t="s">
        <v>3391</v>
      </c>
      <c r="N491" t="s">
        <v>3411</v>
      </c>
      <c r="O491" t="s">
        <v>3412</v>
      </c>
      <c r="P491" t="s">
        <v>3413</v>
      </c>
      <c r="Q491" t="s">
        <v>3414</v>
      </c>
      <c r="R491" t="s">
        <v>4654</v>
      </c>
    </row>
    <row r="492" spans="1:18" x14ac:dyDescent="0.2">
      <c r="A492">
        <v>3064888</v>
      </c>
      <c r="B492" t="s">
        <v>4655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1</v>
      </c>
      <c r="J492">
        <v>0</v>
      </c>
      <c r="K492">
        <v>0</v>
      </c>
      <c r="L492" t="s">
        <v>3284</v>
      </c>
      <c r="M492" t="s">
        <v>3296</v>
      </c>
      <c r="N492" t="s">
        <v>3343</v>
      </c>
      <c r="O492" t="s">
        <v>3429</v>
      </c>
      <c r="P492" t="s">
        <v>3430</v>
      </c>
      <c r="Q492" t="s">
        <v>4656</v>
      </c>
      <c r="R492" t="s">
        <v>4657</v>
      </c>
    </row>
    <row r="493" spans="1:18" x14ac:dyDescent="0.2">
      <c r="A493">
        <v>3064705</v>
      </c>
      <c r="B493" t="s">
        <v>4658</v>
      </c>
      <c r="C493">
        <v>3</v>
      </c>
      <c r="D493">
        <v>2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 t="s">
        <v>3284</v>
      </c>
      <c r="M493" t="s">
        <v>3327</v>
      </c>
      <c r="N493" t="s">
        <v>3328</v>
      </c>
      <c r="O493" t="s">
        <v>3329</v>
      </c>
      <c r="P493" t="s">
        <v>3330</v>
      </c>
      <c r="Q493" t="s">
        <v>3331</v>
      </c>
      <c r="R493" t="s">
        <v>4659</v>
      </c>
    </row>
    <row r="494" spans="1:18" x14ac:dyDescent="0.2">
      <c r="A494">
        <v>3064654</v>
      </c>
      <c r="B494" t="s">
        <v>4660</v>
      </c>
      <c r="C494">
        <v>0</v>
      </c>
      <c r="D494">
        <v>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 t="s">
        <v>3284</v>
      </c>
      <c r="M494" t="s">
        <v>3307</v>
      </c>
      <c r="N494" t="s">
        <v>3308</v>
      </c>
      <c r="O494" t="s">
        <v>3359</v>
      </c>
      <c r="P494" t="s">
        <v>3588</v>
      </c>
      <c r="Q494" t="s">
        <v>4661</v>
      </c>
      <c r="R494" t="s">
        <v>4662</v>
      </c>
    </row>
    <row r="495" spans="1:18" x14ac:dyDescent="0.2">
      <c r="A495">
        <v>3064523</v>
      </c>
      <c r="B495" t="s">
        <v>4663</v>
      </c>
      <c r="C495">
        <v>0</v>
      </c>
      <c r="D495">
        <v>0</v>
      </c>
      <c r="E495">
        <v>0</v>
      </c>
      <c r="F495">
        <v>0</v>
      </c>
      <c r="G495">
        <v>3</v>
      </c>
      <c r="H495">
        <v>0</v>
      </c>
      <c r="I495">
        <v>31</v>
      </c>
      <c r="J495">
        <v>16</v>
      </c>
      <c r="K495">
        <v>3</v>
      </c>
      <c r="L495" t="s">
        <v>3284</v>
      </c>
      <c r="M495" t="s">
        <v>3307</v>
      </c>
      <c r="N495" t="s">
        <v>3308</v>
      </c>
      <c r="O495" t="s">
        <v>3359</v>
      </c>
      <c r="P495" t="s">
        <v>3360</v>
      </c>
      <c r="Q495" t="s">
        <v>4121</v>
      </c>
      <c r="R495" t="s">
        <v>4664</v>
      </c>
    </row>
    <row r="496" spans="1:18" x14ac:dyDescent="0.2">
      <c r="A496">
        <v>3064350</v>
      </c>
      <c r="B496" t="s">
        <v>4665</v>
      </c>
      <c r="C496">
        <v>0</v>
      </c>
      <c r="D496">
        <v>0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  <c r="L496" t="s">
        <v>3284</v>
      </c>
      <c r="M496" t="s">
        <v>3296</v>
      </c>
      <c r="N496" t="s">
        <v>3297</v>
      </c>
      <c r="O496" t="s">
        <v>3434</v>
      </c>
      <c r="P496" t="s">
        <v>3435</v>
      </c>
      <c r="Q496" t="s">
        <v>3436</v>
      </c>
      <c r="R496" t="s">
        <v>4666</v>
      </c>
    </row>
    <row r="497" spans="1:18" x14ac:dyDescent="0.2">
      <c r="A497">
        <v>3064347</v>
      </c>
      <c r="B497" t="s">
        <v>4667</v>
      </c>
      <c r="C497">
        <v>0</v>
      </c>
      <c r="D497">
        <v>0</v>
      </c>
      <c r="E497">
        <v>0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0</v>
      </c>
      <c r="L497" t="s">
        <v>3284</v>
      </c>
      <c r="M497" t="s">
        <v>3296</v>
      </c>
      <c r="N497" t="s">
        <v>3297</v>
      </c>
      <c r="O497" t="s">
        <v>3434</v>
      </c>
      <c r="P497" t="s">
        <v>3435</v>
      </c>
      <c r="Q497" t="s">
        <v>3436</v>
      </c>
      <c r="R497" t="s">
        <v>4668</v>
      </c>
    </row>
    <row r="498" spans="1:18" x14ac:dyDescent="0.2">
      <c r="A498">
        <v>3064282</v>
      </c>
      <c r="B498" t="s">
        <v>4669</v>
      </c>
      <c r="C498">
        <v>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 t="s">
        <v>3284</v>
      </c>
      <c r="M498" t="s">
        <v>3296</v>
      </c>
      <c r="N498" t="s">
        <v>3343</v>
      </c>
      <c r="O498" t="s">
        <v>3861</v>
      </c>
      <c r="P498" t="s">
        <v>4670</v>
      </c>
      <c r="Q498" t="s">
        <v>4671</v>
      </c>
      <c r="R498" t="s">
        <v>4672</v>
      </c>
    </row>
    <row r="499" spans="1:18" x14ac:dyDescent="0.2">
      <c r="A499">
        <v>3063997</v>
      </c>
      <c r="B499" t="s">
        <v>4673</v>
      </c>
      <c r="C499">
        <v>0</v>
      </c>
      <c r="D499">
        <v>0</v>
      </c>
      <c r="E499">
        <v>0</v>
      </c>
      <c r="F499">
        <v>0</v>
      </c>
      <c r="G499">
        <v>1</v>
      </c>
      <c r="H499">
        <v>0</v>
      </c>
      <c r="I499">
        <v>0</v>
      </c>
      <c r="J499">
        <v>0</v>
      </c>
      <c r="K499">
        <v>0</v>
      </c>
      <c r="L499" t="s">
        <v>3284</v>
      </c>
      <c r="M499" t="s">
        <v>3296</v>
      </c>
      <c r="N499" t="s">
        <v>3343</v>
      </c>
      <c r="O499" t="s">
        <v>3349</v>
      </c>
      <c r="P499" t="s">
        <v>3350</v>
      </c>
      <c r="Q499" t="s">
        <v>3580</v>
      </c>
      <c r="R499" t="s">
        <v>4674</v>
      </c>
    </row>
    <row r="500" spans="1:18" x14ac:dyDescent="0.2">
      <c r="A500">
        <v>3063330</v>
      </c>
      <c r="B500" t="s">
        <v>4675</v>
      </c>
      <c r="C500">
        <v>0</v>
      </c>
      <c r="D500">
        <v>0</v>
      </c>
      <c r="E500">
        <v>0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0</v>
      </c>
      <c r="L500" t="s">
        <v>3284</v>
      </c>
      <c r="M500" t="s">
        <v>3296</v>
      </c>
      <c r="N500" t="s">
        <v>3343</v>
      </c>
      <c r="O500" t="s">
        <v>3349</v>
      </c>
      <c r="P500" t="s">
        <v>3350</v>
      </c>
      <c r="Q500" t="s">
        <v>3580</v>
      </c>
      <c r="R500" t="s">
        <v>4676</v>
      </c>
    </row>
    <row r="501" spans="1:18" x14ac:dyDescent="0.2">
      <c r="A501">
        <v>3063329</v>
      </c>
      <c r="B501" t="s">
        <v>4677</v>
      </c>
      <c r="C501">
        <v>0</v>
      </c>
      <c r="D501">
        <v>0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 t="s">
        <v>3284</v>
      </c>
      <c r="M501" t="s">
        <v>3391</v>
      </c>
      <c r="N501" t="s">
        <v>4129</v>
      </c>
      <c r="O501" t="s">
        <v>4130</v>
      </c>
      <c r="P501" t="s">
        <v>4131</v>
      </c>
      <c r="Q501" t="s">
        <v>4678</v>
      </c>
      <c r="R501" t="s">
        <v>4679</v>
      </c>
    </row>
    <row r="502" spans="1:18" x14ac:dyDescent="0.2">
      <c r="A502">
        <v>3062664</v>
      </c>
      <c r="B502" t="s">
        <v>4680</v>
      </c>
      <c r="C502">
        <v>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 t="s">
        <v>3284</v>
      </c>
      <c r="M502" t="s">
        <v>3327</v>
      </c>
      <c r="N502" t="s">
        <v>3376</v>
      </c>
      <c r="O502" t="s">
        <v>3377</v>
      </c>
      <c r="P502" t="s">
        <v>4681</v>
      </c>
      <c r="Q502" t="s">
        <v>4682</v>
      </c>
      <c r="R502" t="s">
        <v>4683</v>
      </c>
    </row>
    <row r="503" spans="1:18" x14ac:dyDescent="0.2">
      <c r="A503">
        <v>3062491</v>
      </c>
      <c r="B503" t="s">
        <v>4684</v>
      </c>
      <c r="C503">
        <v>0</v>
      </c>
      <c r="D503">
        <v>0</v>
      </c>
      <c r="E503">
        <v>0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0</v>
      </c>
      <c r="L503" t="s">
        <v>3284</v>
      </c>
      <c r="M503" t="s">
        <v>3391</v>
      </c>
      <c r="N503" t="s">
        <v>3392</v>
      </c>
      <c r="O503" t="s">
        <v>3393</v>
      </c>
      <c r="P503" t="s">
        <v>3394</v>
      </c>
      <c r="Q503" t="s">
        <v>4082</v>
      </c>
      <c r="R503" t="s">
        <v>4685</v>
      </c>
    </row>
    <row r="504" spans="1:18" x14ac:dyDescent="0.2">
      <c r="A504">
        <v>3062276</v>
      </c>
      <c r="B504" t="s">
        <v>4686</v>
      </c>
      <c r="C504">
        <v>0</v>
      </c>
      <c r="D504">
        <v>0</v>
      </c>
      <c r="E504">
        <v>0</v>
      </c>
      <c r="F504">
        <v>0</v>
      </c>
      <c r="G504">
        <v>5</v>
      </c>
      <c r="H504">
        <v>0</v>
      </c>
      <c r="I504">
        <v>0</v>
      </c>
      <c r="J504">
        <v>0</v>
      </c>
      <c r="K504">
        <v>0</v>
      </c>
      <c r="L504" t="s">
        <v>3284</v>
      </c>
      <c r="M504" t="s">
        <v>3391</v>
      </c>
      <c r="N504" t="s">
        <v>3392</v>
      </c>
      <c r="O504" t="s">
        <v>3393</v>
      </c>
      <c r="P504" t="s">
        <v>3394</v>
      </c>
      <c r="Q504" t="s">
        <v>4082</v>
      </c>
      <c r="R504" t="s">
        <v>4687</v>
      </c>
    </row>
    <row r="505" spans="1:18" x14ac:dyDescent="0.2">
      <c r="A505">
        <v>3061648</v>
      </c>
      <c r="B505" t="s">
        <v>4688</v>
      </c>
      <c r="C505">
        <v>0</v>
      </c>
      <c r="D505">
        <v>0</v>
      </c>
      <c r="E505">
        <v>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 t="s">
        <v>3284</v>
      </c>
      <c r="M505" t="s">
        <v>3296</v>
      </c>
      <c r="N505" t="s">
        <v>3297</v>
      </c>
      <c r="O505" t="s">
        <v>3298</v>
      </c>
      <c r="P505" t="s">
        <v>3299</v>
      </c>
      <c r="Q505" t="s">
        <v>4689</v>
      </c>
      <c r="R505" t="s">
        <v>4690</v>
      </c>
    </row>
    <row r="506" spans="1:18" x14ac:dyDescent="0.2">
      <c r="A506">
        <v>3061099</v>
      </c>
      <c r="B506" t="s">
        <v>4691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1</v>
      </c>
      <c r="J506">
        <v>0</v>
      </c>
      <c r="K506">
        <v>0</v>
      </c>
      <c r="L506" t="s">
        <v>3284</v>
      </c>
      <c r="M506" t="s">
        <v>3296</v>
      </c>
      <c r="N506" t="s">
        <v>3297</v>
      </c>
      <c r="O506" t="s">
        <v>3469</v>
      </c>
      <c r="P506" t="s">
        <v>3470</v>
      </c>
      <c r="Q506" t="s">
        <v>3471</v>
      </c>
      <c r="R506" t="s">
        <v>4692</v>
      </c>
    </row>
    <row r="507" spans="1:18" x14ac:dyDescent="0.2">
      <c r="A507">
        <v>3060582</v>
      </c>
      <c r="B507" t="s">
        <v>4693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 t="s">
        <v>3284</v>
      </c>
      <c r="M507" t="s">
        <v>3296</v>
      </c>
      <c r="N507" t="s">
        <v>3321</v>
      </c>
      <c r="O507" t="s">
        <v>3322</v>
      </c>
      <c r="P507" t="s">
        <v>3323</v>
      </c>
      <c r="Q507" t="s">
        <v>4694</v>
      </c>
      <c r="R507" t="s">
        <v>4695</v>
      </c>
    </row>
    <row r="508" spans="1:18" x14ac:dyDescent="0.2">
      <c r="A508">
        <v>3060211</v>
      </c>
      <c r="B508" t="s">
        <v>4696</v>
      </c>
      <c r="C508">
        <v>1</v>
      </c>
      <c r="D508">
        <v>1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 t="s">
        <v>3284</v>
      </c>
      <c r="M508" t="s">
        <v>3296</v>
      </c>
      <c r="N508" t="s">
        <v>3297</v>
      </c>
      <c r="O508" t="s">
        <v>3469</v>
      </c>
      <c r="P508" t="s">
        <v>3470</v>
      </c>
      <c r="Q508" t="s">
        <v>3471</v>
      </c>
      <c r="R508" t="s">
        <v>4697</v>
      </c>
    </row>
    <row r="509" spans="1:18" x14ac:dyDescent="0.2">
      <c r="A509">
        <v>3059524</v>
      </c>
      <c r="B509" t="s">
        <v>4698</v>
      </c>
      <c r="C509">
        <v>0</v>
      </c>
      <c r="D509">
        <v>0</v>
      </c>
      <c r="E509">
        <v>0</v>
      </c>
      <c r="F509">
        <v>13</v>
      </c>
      <c r="G509">
        <v>4</v>
      </c>
      <c r="H509">
        <v>0</v>
      </c>
      <c r="I509">
        <v>0</v>
      </c>
      <c r="J509">
        <v>0</v>
      </c>
      <c r="K509">
        <v>0</v>
      </c>
      <c r="L509" t="s">
        <v>3284</v>
      </c>
      <c r="M509" t="s">
        <v>3296</v>
      </c>
      <c r="N509" t="s">
        <v>3321</v>
      </c>
      <c r="O509" t="s">
        <v>3322</v>
      </c>
      <c r="P509" t="s">
        <v>3398</v>
      </c>
      <c r="Q509" t="s">
        <v>3556</v>
      </c>
      <c r="R509" t="s">
        <v>4699</v>
      </c>
    </row>
    <row r="510" spans="1:18" x14ac:dyDescent="0.2">
      <c r="A510">
        <v>3059083</v>
      </c>
      <c r="B510" t="s">
        <v>4700</v>
      </c>
      <c r="C510">
        <v>0</v>
      </c>
      <c r="D510">
        <v>0</v>
      </c>
      <c r="E510">
        <v>0</v>
      </c>
      <c r="F510">
        <v>3</v>
      </c>
      <c r="G510">
        <v>0</v>
      </c>
      <c r="H510">
        <v>1</v>
      </c>
      <c r="I510">
        <v>0</v>
      </c>
      <c r="J510">
        <v>0</v>
      </c>
      <c r="K510">
        <v>0</v>
      </c>
      <c r="L510" t="s">
        <v>3284</v>
      </c>
      <c r="M510" t="s">
        <v>3296</v>
      </c>
      <c r="N510" t="s">
        <v>3297</v>
      </c>
      <c r="O510" t="s">
        <v>3434</v>
      </c>
      <c r="P510" t="s">
        <v>3435</v>
      </c>
      <c r="Q510" t="s">
        <v>3436</v>
      </c>
      <c r="R510" t="s">
        <v>4701</v>
      </c>
    </row>
    <row r="511" spans="1:18" x14ac:dyDescent="0.2">
      <c r="A511">
        <v>3058424</v>
      </c>
      <c r="B511" t="s">
        <v>4702</v>
      </c>
      <c r="C511">
        <v>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 t="s">
        <v>3284</v>
      </c>
      <c r="M511" t="s">
        <v>3327</v>
      </c>
      <c r="N511" t="s">
        <v>3376</v>
      </c>
      <c r="O511" t="s">
        <v>3377</v>
      </c>
      <c r="P511" t="s">
        <v>3378</v>
      </c>
      <c r="Q511" t="s">
        <v>4703</v>
      </c>
      <c r="R511" t="s">
        <v>4704</v>
      </c>
    </row>
    <row r="512" spans="1:18" x14ac:dyDescent="0.2">
      <c r="A512">
        <v>3058422</v>
      </c>
      <c r="B512" t="s">
        <v>4705</v>
      </c>
      <c r="C512">
        <v>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 t="s">
        <v>3284</v>
      </c>
      <c r="M512" t="s">
        <v>3327</v>
      </c>
      <c r="N512" t="s">
        <v>3376</v>
      </c>
      <c r="O512" t="s">
        <v>3377</v>
      </c>
      <c r="P512" t="s">
        <v>3378</v>
      </c>
      <c r="Q512" t="s">
        <v>4703</v>
      </c>
      <c r="R512" t="s">
        <v>4706</v>
      </c>
    </row>
    <row r="513" spans="1:18" x14ac:dyDescent="0.2">
      <c r="A513">
        <v>3058168</v>
      </c>
      <c r="B513" t="s">
        <v>4707</v>
      </c>
      <c r="C513">
        <v>0</v>
      </c>
      <c r="D513">
        <v>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 t="s">
        <v>3284</v>
      </c>
      <c r="M513" t="s">
        <v>3296</v>
      </c>
      <c r="N513" t="s">
        <v>3321</v>
      </c>
      <c r="O513" t="s">
        <v>3322</v>
      </c>
      <c r="P513" t="s">
        <v>4143</v>
      </c>
      <c r="Q513" t="s">
        <v>4708</v>
      </c>
      <c r="R513" t="s">
        <v>4709</v>
      </c>
    </row>
    <row r="514" spans="1:18" x14ac:dyDescent="0.2">
      <c r="A514">
        <v>3058045</v>
      </c>
      <c r="B514" t="s">
        <v>4710</v>
      </c>
      <c r="C514">
        <v>0</v>
      </c>
      <c r="D514">
        <v>0</v>
      </c>
      <c r="E514">
        <v>0</v>
      </c>
      <c r="F514">
        <v>0</v>
      </c>
      <c r="G514">
        <v>1</v>
      </c>
      <c r="H514">
        <v>0</v>
      </c>
      <c r="I514">
        <v>0</v>
      </c>
      <c r="J514">
        <v>0</v>
      </c>
      <c r="K514">
        <v>0</v>
      </c>
      <c r="L514" t="s">
        <v>3284</v>
      </c>
      <c r="M514" t="s">
        <v>3296</v>
      </c>
      <c r="N514" t="s">
        <v>3343</v>
      </c>
      <c r="O514" t="s">
        <v>3344</v>
      </c>
      <c r="P514" t="s">
        <v>3355</v>
      </c>
      <c r="Q514" t="s">
        <v>3356</v>
      </c>
      <c r="R514" t="s">
        <v>4711</v>
      </c>
    </row>
    <row r="515" spans="1:18" x14ac:dyDescent="0.2">
      <c r="A515">
        <v>3058042</v>
      </c>
      <c r="B515" t="s">
        <v>4712</v>
      </c>
      <c r="C515">
        <v>0</v>
      </c>
      <c r="D515">
        <v>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 t="s">
        <v>3284</v>
      </c>
      <c r="M515" t="s">
        <v>3296</v>
      </c>
      <c r="N515" t="s">
        <v>3321</v>
      </c>
      <c r="O515" t="s">
        <v>3322</v>
      </c>
      <c r="P515" t="s">
        <v>3671</v>
      </c>
      <c r="Q515" t="s">
        <v>3672</v>
      </c>
      <c r="R515" t="s">
        <v>4713</v>
      </c>
    </row>
    <row r="516" spans="1:18" x14ac:dyDescent="0.2">
      <c r="A516">
        <v>3057176</v>
      </c>
      <c r="B516" t="s">
        <v>4714</v>
      </c>
      <c r="C516">
        <v>4</v>
      </c>
      <c r="D516">
        <v>4</v>
      </c>
      <c r="E516">
        <v>28</v>
      </c>
      <c r="F516">
        <v>18</v>
      </c>
      <c r="G516">
        <v>13</v>
      </c>
      <c r="H516">
        <v>84</v>
      </c>
      <c r="I516">
        <v>32</v>
      </c>
      <c r="J516">
        <v>8</v>
      </c>
      <c r="K516">
        <v>122</v>
      </c>
      <c r="L516" t="s">
        <v>3284</v>
      </c>
      <c r="M516" t="s">
        <v>3296</v>
      </c>
      <c r="N516" t="s">
        <v>3297</v>
      </c>
      <c r="O516" t="s">
        <v>4715</v>
      </c>
      <c r="P516" t="s">
        <v>4716</v>
      </c>
      <c r="Q516" t="s">
        <v>4717</v>
      </c>
      <c r="R516" t="s">
        <v>4718</v>
      </c>
    </row>
    <row r="517" spans="1:18" x14ac:dyDescent="0.2">
      <c r="A517">
        <v>3056107</v>
      </c>
      <c r="B517" t="s">
        <v>4719</v>
      </c>
      <c r="C517">
        <v>0</v>
      </c>
      <c r="D517">
        <v>0</v>
      </c>
      <c r="E517">
        <v>0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 t="s">
        <v>3284</v>
      </c>
      <c r="M517" t="s">
        <v>3296</v>
      </c>
      <c r="N517" t="s">
        <v>3321</v>
      </c>
      <c r="O517" t="s">
        <v>3322</v>
      </c>
      <c r="P517" t="s">
        <v>3398</v>
      </c>
      <c r="Q517" t="s">
        <v>3556</v>
      </c>
      <c r="R517" t="s">
        <v>4720</v>
      </c>
    </row>
    <row r="518" spans="1:18" x14ac:dyDescent="0.2">
      <c r="A518">
        <v>3055777</v>
      </c>
      <c r="B518" t="s">
        <v>4721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1</v>
      </c>
      <c r="L518" t="s">
        <v>3284</v>
      </c>
      <c r="M518" t="s">
        <v>3327</v>
      </c>
      <c r="N518" t="s">
        <v>3376</v>
      </c>
      <c r="O518" t="s">
        <v>3377</v>
      </c>
      <c r="P518" t="s">
        <v>3378</v>
      </c>
      <c r="Q518" t="s">
        <v>3379</v>
      </c>
      <c r="R518" t="s">
        <v>4722</v>
      </c>
    </row>
    <row r="519" spans="1:18" x14ac:dyDescent="0.2">
      <c r="A519">
        <v>3055038</v>
      </c>
      <c r="B519" t="s">
        <v>4723</v>
      </c>
      <c r="C519">
        <v>0</v>
      </c>
      <c r="D519">
        <v>0</v>
      </c>
      <c r="E519">
        <v>0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 t="s">
        <v>3284</v>
      </c>
      <c r="M519" t="s">
        <v>3296</v>
      </c>
      <c r="N519" t="s">
        <v>3343</v>
      </c>
      <c r="O519" t="s">
        <v>3344</v>
      </c>
      <c r="P519" t="s">
        <v>3355</v>
      </c>
      <c r="Q519" t="s">
        <v>3356</v>
      </c>
      <c r="R519" t="s">
        <v>4724</v>
      </c>
    </row>
    <row r="520" spans="1:18" x14ac:dyDescent="0.2">
      <c r="A520">
        <v>3054953</v>
      </c>
      <c r="B520" t="s">
        <v>4725</v>
      </c>
      <c r="C520">
        <v>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3</v>
      </c>
      <c r="J520">
        <v>0</v>
      </c>
      <c r="K520">
        <v>0</v>
      </c>
      <c r="L520" t="s">
        <v>3284</v>
      </c>
      <c r="M520" t="s">
        <v>3296</v>
      </c>
      <c r="N520" t="s">
        <v>3321</v>
      </c>
      <c r="O520" t="s">
        <v>3322</v>
      </c>
      <c r="P520" t="s">
        <v>3671</v>
      </c>
      <c r="Q520" t="s">
        <v>3672</v>
      </c>
      <c r="R520" t="s">
        <v>4726</v>
      </c>
    </row>
    <row r="521" spans="1:18" x14ac:dyDescent="0.2">
      <c r="A521">
        <v>3054952</v>
      </c>
      <c r="B521" t="s">
        <v>4727</v>
      </c>
      <c r="C521">
        <v>0</v>
      </c>
      <c r="D521">
        <v>0</v>
      </c>
      <c r="E521">
        <v>0</v>
      </c>
      <c r="F521">
        <v>8</v>
      </c>
      <c r="G521">
        <v>6</v>
      </c>
      <c r="H521">
        <v>2</v>
      </c>
      <c r="I521">
        <v>1</v>
      </c>
      <c r="J521">
        <v>0</v>
      </c>
      <c r="K521">
        <v>0</v>
      </c>
      <c r="L521" t="s">
        <v>3284</v>
      </c>
      <c r="M521" t="s">
        <v>3307</v>
      </c>
      <c r="N521" t="s">
        <v>3308</v>
      </c>
      <c r="O521" t="s">
        <v>3359</v>
      </c>
      <c r="P521" t="s">
        <v>3360</v>
      </c>
      <c r="Q521" t="s">
        <v>4728</v>
      </c>
      <c r="R521" t="s">
        <v>4729</v>
      </c>
    </row>
    <row r="522" spans="1:18" x14ac:dyDescent="0.2">
      <c r="A522">
        <v>3053515</v>
      </c>
      <c r="B522" t="s">
        <v>4730</v>
      </c>
      <c r="C522">
        <v>0</v>
      </c>
      <c r="D522">
        <v>0</v>
      </c>
      <c r="E522">
        <v>0</v>
      </c>
      <c r="F522">
        <v>3</v>
      </c>
      <c r="G522">
        <v>2</v>
      </c>
      <c r="H522">
        <v>0</v>
      </c>
      <c r="I522">
        <v>1</v>
      </c>
      <c r="J522">
        <v>0</v>
      </c>
      <c r="K522">
        <v>0</v>
      </c>
      <c r="L522" t="s">
        <v>3284</v>
      </c>
      <c r="M522" t="s">
        <v>3296</v>
      </c>
      <c r="N522" t="s">
        <v>3321</v>
      </c>
      <c r="O522" t="s">
        <v>3322</v>
      </c>
      <c r="P522" t="s">
        <v>3398</v>
      </c>
      <c r="Q522" t="s">
        <v>3399</v>
      </c>
      <c r="R522" t="s">
        <v>4731</v>
      </c>
    </row>
    <row r="523" spans="1:18" x14ac:dyDescent="0.2">
      <c r="A523">
        <v>3053514</v>
      </c>
      <c r="B523" t="s">
        <v>4732</v>
      </c>
      <c r="C523">
        <v>0</v>
      </c>
      <c r="D523">
        <v>0</v>
      </c>
      <c r="E523">
        <v>0</v>
      </c>
      <c r="F523">
        <v>1</v>
      </c>
      <c r="G523">
        <v>0</v>
      </c>
      <c r="H523">
        <v>0</v>
      </c>
      <c r="I523">
        <v>0</v>
      </c>
      <c r="J523">
        <v>0</v>
      </c>
      <c r="K523">
        <v>0</v>
      </c>
      <c r="L523" t="s">
        <v>3284</v>
      </c>
      <c r="M523" t="s">
        <v>3296</v>
      </c>
      <c r="N523" t="s">
        <v>3321</v>
      </c>
      <c r="O523" t="s">
        <v>3322</v>
      </c>
      <c r="P523" t="s">
        <v>3398</v>
      </c>
      <c r="Q523" t="s">
        <v>3399</v>
      </c>
      <c r="R523" t="s">
        <v>4733</v>
      </c>
    </row>
    <row r="524" spans="1:18" x14ac:dyDescent="0.2">
      <c r="A524">
        <v>3053513</v>
      </c>
      <c r="B524" t="s">
        <v>4734</v>
      </c>
      <c r="C524">
        <v>0</v>
      </c>
      <c r="D524">
        <v>0</v>
      </c>
      <c r="E524">
        <v>0</v>
      </c>
      <c r="F524">
        <v>5</v>
      </c>
      <c r="G524">
        <v>6</v>
      </c>
      <c r="H524">
        <v>1</v>
      </c>
      <c r="I524">
        <v>0</v>
      </c>
      <c r="J524">
        <v>0</v>
      </c>
      <c r="K524">
        <v>0</v>
      </c>
      <c r="L524" t="s">
        <v>3284</v>
      </c>
      <c r="M524" t="s">
        <v>3296</v>
      </c>
      <c r="N524" t="s">
        <v>3321</v>
      </c>
      <c r="O524" t="s">
        <v>3322</v>
      </c>
      <c r="P524" t="s">
        <v>3398</v>
      </c>
      <c r="Q524" t="s">
        <v>3399</v>
      </c>
      <c r="R524" t="s">
        <v>4735</v>
      </c>
    </row>
    <row r="525" spans="1:18" x14ac:dyDescent="0.2">
      <c r="A525">
        <v>3053511</v>
      </c>
      <c r="B525" t="s">
        <v>4736</v>
      </c>
      <c r="C525">
        <v>0</v>
      </c>
      <c r="D525">
        <v>0</v>
      </c>
      <c r="E525">
        <v>0</v>
      </c>
      <c r="F525">
        <v>0</v>
      </c>
      <c r="G525">
        <v>2</v>
      </c>
      <c r="H525">
        <v>0</v>
      </c>
      <c r="I525">
        <v>0</v>
      </c>
      <c r="J525">
        <v>0</v>
      </c>
      <c r="K525">
        <v>0</v>
      </c>
      <c r="L525" t="s">
        <v>3284</v>
      </c>
      <c r="M525" t="s">
        <v>3296</v>
      </c>
      <c r="N525" t="s">
        <v>3321</v>
      </c>
      <c r="O525" t="s">
        <v>3322</v>
      </c>
      <c r="P525" t="s">
        <v>3398</v>
      </c>
      <c r="Q525" t="s">
        <v>3399</v>
      </c>
      <c r="R525" t="s">
        <v>4737</v>
      </c>
    </row>
    <row r="526" spans="1:18" x14ac:dyDescent="0.2">
      <c r="A526">
        <v>3053510</v>
      </c>
      <c r="B526" t="s">
        <v>4738</v>
      </c>
      <c r="C526">
        <v>1</v>
      </c>
      <c r="D526">
        <v>0</v>
      </c>
      <c r="E526">
        <v>0</v>
      </c>
      <c r="F526">
        <v>9</v>
      </c>
      <c r="G526">
        <v>2</v>
      </c>
      <c r="H526">
        <v>0</v>
      </c>
      <c r="I526">
        <v>1</v>
      </c>
      <c r="J526">
        <v>0</v>
      </c>
      <c r="K526">
        <v>0</v>
      </c>
      <c r="L526" t="s">
        <v>3284</v>
      </c>
      <c r="M526" t="s">
        <v>3296</v>
      </c>
      <c r="N526" t="s">
        <v>3321</v>
      </c>
      <c r="O526" t="s">
        <v>3322</v>
      </c>
      <c r="P526" t="s">
        <v>3398</v>
      </c>
      <c r="Q526" t="s">
        <v>3399</v>
      </c>
      <c r="R526" t="s">
        <v>4739</v>
      </c>
    </row>
    <row r="527" spans="1:18" x14ac:dyDescent="0.2">
      <c r="A527">
        <v>3053509</v>
      </c>
      <c r="B527" t="s">
        <v>4740</v>
      </c>
      <c r="C527">
        <v>0</v>
      </c>
      <c r="D527">
        <v>0</v>
      </c>
      <c r="E527">
        <v>0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0</v>
      </c>
      <c r="L527" t="s">
        <v>3284</v>
      </c>
      <c r="M527" t="s">
        <v>3296</v>
      </c>
      <c r="N527" t="s">
        <v>3321</v>
      </c>
      <c r="O527" t="s">
        <v>3322</v>
      </c>
      <c r="P527" t="s">
        <v>3398</v>
      </c>
      <c r="Q527" t="s">
        <v>3399</v>
      </c>
      <c r="R527" t="s">
        <v>4741</v>
      </c>
    </row>
    <row r="528" spans="1:18" x14ac:dyDescent="0.2">
      <c r="A528">
        <v>3053508</v>
      </c>
      <c r="B528" t="s">
        <v>4742</v>
      </c>
      <c r="C528">
        <v>0</v>
      </c>
      <c r="D528">
        <v>1</v>
      </c>
      <c r="E528">
        <v>0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 t="s">
        <v>3284</v>
      </c>
      <c r="M528" t="s">
        <v>3296</v>
      </c>
      <c r="N528" t="s">
        <v>3321</v>
      </c>
      <c r="O528" t="s">
        <v>3322</v>
      </c>
      <c r="P528" t="s">
        <v>3398</v>
      </c>
      <c r="Q528" t="s">
        <v>3399</v>
      </c>
      <c r="R528" t="s">
        <v>4743</v>
      </c>
    </row>
    <row r="529" spans="1:18" x14ac:dyDescent="0.2">
      <c r="A529">
        <v>3053506</v>
      </c>
      <c r="B529" t="s">
        <v>4744</v>
      </c>
      <c r="C529">
        <v>0</v>
      </c>
      <c r="D529">
        <v>0</v>
      </c>
      <c r="E529">
        <v>0</v>
      </c>
      <c r="F529">
        <v>1</v>
      </c>
      <c r="G529">
        <v>1</v>
      </c>
      <c r="H529">
        <v>1</v>
      </c>
      <c r="I529">
        <v>1</v>
      </c>
      <c r="J529">
        <v>0</v>
      </c>
      <c r="K529">
        <v>0</v>
      </c>
      <c r="L529" t="s">
        <v>3284</v>
      </c>
      <c r="M529" t="s">
        <v>3296</v>
      </c>
      <c r="N529" t="s">
        <v>3321</v>
      </c>
      <c r="O529" t="s">
        <v>3322</v>
      </c>
      <c r="P529" t="s">
        <v>3398</v>
      </c>
      <c r="Q529" t="s">
        <v>3399</v>
      </c>
      <c r="R529" t="s">
        <v>4745</v>
      </c>
    </row>
    <row r="530" spans="1:18" x14ac:dyDescent="0.2">
      <c r="A530">
        <v>3053503</v>
      </c>
      <c r="B530" t="s">
        <v>4746</v>
      </c>
      <c r="C530">
        <v>1</v>
      </c>
      <c r="D530">
        <v>0</v>
      </c>
      <c r="E530">
        <v>0</v>
      </c>
      <c r="F530">
        <v>1</v>
      </c>
      <c r="G530">
        <v>2</v>
      </c>
      <c r="H530">
        <v>0</v>
      </c>
      <c r="I530">
        <v>0</v>
      </c>
      <c r="J530">
        <v>0</v>
      </c>
      <c r="K530">
        <v>0</v>
      </c>
      <c r="L530" t="s">
        <v>3284</v>
      </c>
      <c r="M530" t="s">
        <v>3296</v>
      </c>
      <c r="N530" t="s">
        <v>3321</v>
      </c>
      <c r="O530" t="s">
        <v>3322</v>
      </c>
      <c r="P530" t="s">
        <v>3398</v>
      </c>
      <c r="Q530" t="s">
        <v>3399</v>
      </c>
      <c r="R530" t="s">
        <v>4747</v>
      </c>
    </row>
    <row r="531" spans="1:18" x14ac:dyDescent="0.2">
      <c r="A531">
        <v>3053502</v>
      </c>
      <c r="B531" t="s">
        <v>4748</v>
      </c>
      <c r="C531">
        <v>0</v>
      </c>
      <c r="D531">
        <v>1</v>
      </c>
      <c r="E531">
        <v>0</v>
      </c>
      <c r="F531">
        <v>2</v>
      </c>
      <c r="G531">
        <v>0</v>
      </c>
      <c r="H531">
        <v>0</v>
      </c>
      <c r="I531">
        <v>0</v>
      </c>
      <c r="J531">
        <v>1</v>
      </c>
      <c r="K531">
        <v>0</v>
      </c>
      <c r="L531" t="s">
        <v>3284</v>
      </c>
      <c r="M531" t="s">
        <v>3296</v>
      </c>
      <c r="N531" t="s">
        <v>3321</v>
      </c>
      <c r="O531" t="s">
        <v>3322</v>
      </c>
      <c r="P531" t="s">
        <v>3398</v>
      </c>
      <c r="Q531" t="s">
        <v>3399</v>
      </c>
      <c r="R531" t="s">
        <v>4749</v>
      </c>
    </row>
    <row r="532" spans="1:18" x14ac:dyDescent="0.2">
      <c r="A532">
        <v>3053501</v>
      </c>
      <c r="B532" t="s">
        <v>4750</v>
      </c>
      <c r="C532">
        <v>0</v>
      </c>
      <c r="D532">
        <v>0</v>
      </c>
      <c r="E532">
        <v>0</v>
      </c>
      <c r="F532">
        <v>2</v>
      </c>
      <c r="G532">
        <v>2</v>
      </c>
      <c r="H532">
        <v>0</v>
      </c>
      <c r="I532">
        <v>0</v>
      </c>
      <c r="J532">
        <v>0</v>
      </c>
      <c r="K532">
        <v>0</v>
      </c>
      <c r="L532" t="s">
        <v>3284</v>
      </c>
      <c r="M532" t="s">
        <v>3296</v>
      </c>
      <c r="N532" t="s">
        <v>3321</v>
      </c>
      <c r="O532" t="s">
        <v>3322</v>
      </c>
      <c r="P532" t="s">
        <v>3398</v>
      </c>
      <c r="Q532" t="s">
        <v>3399</v>
      </c>
      <c r="R532" t="s">
        <v>4751</v>
      </c>
    </row>
    <row r="533" spans="1:18" x14ac:dyDescent="0.2">
      <c r="A533">
        <v>3053353</v>
      </c>
      <c r="B533" t="s">
        <v>4752</v>
      </c>
      <c r="C533">
        <v>0</v>
      </c>
      <c r="D533">
        <v>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 t="s">
        <v>3284</v>
      </c>
      <c r="M533" t="s">
        <v>3296</v>
      </c>
      <c r="N533" t="s">
        <v>3321</v>
      </c>
      <c r="O533" t="s">
        <v>3322</v>
      </c>
      <c r="P533" t="s">
        <v>3671</v>
      </c>
      <c r="Q533" t="s">
        <v>3672</v>
      </c>
      <c r="R533" t="s">
        <v>4753</v>
      </c>
    </row>
    <row r="534" spans="1:18" x14ac:dyDescent="0.2">
      <c r="A534">
        <v>3051184</v>
      </c>
      <c r="B534" t="s">
        <v>4754</v>
      </c>
      <c r="C534">
        <v>0</v>
      </c>
      <c r="D534">
        <v>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 t="s">
        <v>3284</v>
      </c>
      <c r="M534" t="s">
        <v>3307</v>
      </c>
      <c r="N534" t="s">
        <v>3308</v>
      </c>
      <c r="O534" t="s">
        <v>3359</v>
      </c>
      <c r="P534" t="s">
        <v>3407</v>
      </c>
      <c r="Q534" t="s">
        <v>4755</v>
      </c>
      <c r="R534" t="s">
        <v>4756</v>
      </c>
    </row>
    <row r="535" spans="1:18" x14ac:dyDescent="0.2">
      <c r="A535">
        <v>3050581</v>
      </c>
      <c r="B535" t="s">
        <v>4757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3</v>
      </c>
      <c r="J535">
        <v>1</v>
      </c>
      <c r="K535">
        <v>0</v>
      </c>
      <c r="L535" t="s">
        <v>3284</v>
      </c>
      <c r="M535" t="s">
        <v>3307</v>
      </c>
      <c r="N535" t="s">
        <v>3308</v>
      </c>
      <c r="O535" t="s">
        <v>3635</v>
      </c>
      <c r="P535" t="s">
        <v>4011</v>
      </c>
      <c r="Q535" t="s">
        <v>4012</v>
      </c>
      <c r="R535" t="s">
        <v>4758</v>
      </c>
    </row>
    <row r="536" spans="1:18" x14ac:dyDescent="0.2">
      <c r="A536">
        <v>3050579</v>
      </c>
      <c r="B536" t="s">
        <v>4759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 t="s">
        <v>3284</v>
      </c>
      <c r="M536" t="s">
        <v>3307</v>
      </c>
      <c r="N536" t="s">
        <v>3308</v>
      </c>
      <c r="O536" t="s">
        <v>3635</v>
      </c>
      <c r="P536" t="s">
        <v>4011</v>
      </c>
      <c r="Q536" t="s">
        <v>4012</v>
      </c>
      <c r="R536" t="s">
        <v>4760</v>
      </c>
    </row>
    <row r="537" spans="1:18" x14ac:dyDescent="0.2">
      <c r="A537">
        <v>3050384</v>
      </c>
      <c r="B537" t="s">
        <v>4761</v>
      </c>
      <c r="C537">
        <v>0</v>
      </c>
      <c r="D537">
        <v>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 t="s">
        <v>3284</v>
      </c>
      <c r="M537" t="s">
        <v>3307</v>
      </c>
      <c r="N537" t="s">
        <v>3308</v>
      </c>
      <c r="O537" t="s">
        <v>3359</v>
      </c>
      <c r="P537" t="s">
        <v>3360</v>
      </c>
      <c r="Q537" t="s">
        <v>3361</v>
      </c>
      <c r="R537" t="s">
        <v>4762</v>
      </c>
    </row>
    <row r="538" spans="1:18" x14ac:dyDescent="0.2">
      <c r="A538">
        <v>3048640</v>
      </c>
      <c r="B538" t="s">
        <v>4763</v>
      </c>
      <c r="C538">
        <v>0</v>
      </c>
      <c r="D538">
        <v>0</v>
      </c>
      <c r="E538">
        <v>0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0</v>
      </c>
      <c r="L538" t="s">
        <v>3284</v>
      </c>
      <c r="M538" t="s">
        <v>3296</v>
      </c>
      <c r="N538" t="s">
        <v>3321</v>
      </c>
      <c r="O538" t="s">
        <v>3322</v>
      </c>
      <c r="P538" t="s">
        <v>3323</v>
      </c>
      <c r="Q538" t="s">
        <v>3518</v>
      </c>
      <c r="R538" t="s">
        <v>4764</v>
      </c>
    </row>
    <row r="539" spans="1:18" x14ac:dyDescent="0.2">
      <c r="A539">
        <v>3048631</v>
      </c>
      <c r="B539" t="s">
        <v>4765</v>
      </c>
      <c r="C539">
        <v>0</v>
      </c>
      <c r="D539">
        <v>0</v>
      </c>
      <c r="E539">
        <v>0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0</v>
      </c>
      <c r="L539" t="s">
        <v>3284</v>
      </c>
      <c r="M539" t="s">
        <v>3296</v>
      </c>
      <c r="N539" t="s">
        <v>3321</v>
      </c>
      <c r="O539" t="s">
        <v>3322</v>
      </c>
      <c r="P539" t="s">
        <v>3398</v>
      </c>
      <c r="Q539" t="s">
        <v>3399</v>
      </c>
      <c r="R539" t="s">
        <v>4766</v>
      </c>
    </row>
    <row r="540" spans="1:18" x14ac:dyDescent="0.2">
      <c r="A540">
        <v>3048626</v>
      </c>
      <c r="B540" t="s">
        <v>4767</v>
      </c>
      <c r="C540">
        <v>0</v>
      </c>
      <c r="D540">
        <v>0</v>
      </c>
      <c r="E540">
        <v>0</v>
      </c>
      <c r="F540">
        <v>1</v>
      </c>
      <c r="G540">
        <v>0</v>
      </c>
      <c r="H540">
        <v>0</v>
      </c>
      <c r="I540">
        <v>0</v>
      </c>
      <c r="J540">
        <v>0</v>
      </c>
      <c r="K540">
        <v>0</v>
      </c>
      <c r="L540" t="s">
        <v>3284</v>
      </c>
      <c r="M540" t="s">
        <v>3296</v>
      </c>
      <c r="N540" t="s">
        <v>3321</v>
      </c>
      <c r="O540" t="s">
        <v>3322</v>
      </c>
      <c r="P540" t="s">
        <v>3398</v>
      </c>
      <c r="Q540" t="s">
        <v>3399</v>
      </c>
      <c r="R540" t="s">
        <v>4768</v>
      </c>
    </row>
    <row r="541" spans="1:18" x14ac:dyDescent="0.2">
      <c r="A541">
        <v>3048616</v>
      </c>
      <c r="B541" t="s">
        <v>4769</v>
      </c>
      <c r="C541">
        <v>0</v>
      </c>
      <c r="D541">
        <v>1</v>
      </c>
      <c r="E541">
        <v>0</v>
      </c>
      <c r="F541">
        <v>0</v>
      </c>
      <c r="G541">
        <v>1</v>
      </c>
      <c r="H541">
        <v>0</v>
      </c>
      <c r="I541">
        <v>0</v>
      </c>
      <c r="J541">
        <v>0</v>
      </c>
      <c r="K541">
        <v>0</v>
      </c>
      <c r="L541" t="s">
        <v>3284</v>
      </c>
      <c r="M541" t="s">
        <v>3296</v>
      </c>
      <c r="N541" t="s">
        <v>3321</v>
      </c>
      <c r="O541" t="s">
        <v>3322</v>
      </c>
      <c r="P541" t="s">
        <v>3323</v>
      </c>
      <c r="Q541" t="s">
        <v>4770</v>
      </c>
      <c r="R541" t="s">
        <v>4771</v>
      </c>
    </row>
    <row r="542" spans="1:18" x14ac:dyDescent="0.2">
      <c r="A542">
        <v>3048580</v>
      </c>
      <c r="B542" t="s">
        <v>4772</v>
      </c>
      <c r="C542">
        <v>0</v>
      </c>
      <c r="D542">
        <v>0</v>
      </c>
      <c r="E542">
        <v>0</v>
      </c>
      <c r="F542">
        <v>1</v>
      </c>
      <c r="G542">
        <v>0</v>
      </c>
      <c r="H542">
        <v>0</v>
      </c>
      <c r="I542">
        <v>0</v>
      </c>
      <c r="J542">
        <v>0</v>
      </c>
      <c r="K542">
        <v>0</v>
      </c>
      <c r="L542" t="s">
        <v>3284</v>
      </c>
      <c r="M542" t="s">
        <v>3391</v>
      </c>
      <c r="N542" t="s">
        <v>3392</v>
      </c>
      <c r="O542" t="s">
        <v>3393</v>
      </c>
      <c r="P542" t="s">
        <v>3394</v>
      </c>
      <c r="Q542" t="s">
        <v>4082</v>
      </c>
      <c r="R542" t="s">
        <v>4773</v>
      </c>
    </row>
    <row r="543" spans="1:18" x14ac:dyDescent="0.2">
      <c r="A543">
        <v>3048013</v>
      </c>
      <c r="B543" t="s">
        <v>4774</v>
      </c>
      <c r="C543">
        <v>0</v>
      </c>
      <c r="D543">
        <v>0</v>
      </c>
      <c r="E543">
        <v>0</v>
      </c>
      <c r="F543">
        <v>0</v>
      </c>
      <c r="G543">
        <v>1</v>
      </c>
      <c r="H543">
        <v>0</v>
      </c>
      <c r="I543">
        <v>0</v>
      </c>
      <c r="J543">
        <v>0</v>
      </c>
      <c r="K543">
        <v>0</v>
      </c>
      <c r="L543" t="s">
        <v>3284</v>
      </c>
      <c r="M543" t="s">
        <v>3391</v>
      </c>
      <c r="N543" t="s">
        <v>3740</v>
      </c>
      <c r="O543" t="s">
        <v>3741</v>
      </c>
      <c r="P543" t="s">
        <v>4775</v>
      </c>
      <c r="Q543" t="s">
        <v>4776</v>
      </c>
      <c r="R543" t="s">
        <v>4777</v>
      </c>
    </row>
    <row r="544" spans="1:18" x14ac:dyDescent="0.2">
      <c r="A544">
        <v>3047025</v>
      </c>
      <c r="B544" t="s">
        <v>4778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1</v>
      </c>
      <c r="J544">
        <v>0</v>
      </c>
      <c r="K544">
        <v>1</v>
      </c>
      <c r="L544" t="s">
        <v>3284</v>
      </c>
      <c r="M544" t="s">
        <v>3296</v>
      </c>
      <c r="N544" t="s">
        <v>3321</v>
      </c>
      <c r="O544" t="s">
        <v>3322</v>
      </c>
      <c r="P544" t="s">
        <v>3398</v>
      </c>
      <c r="Q544" t="s">
        <v>3806</v>
      </c>
      <c r="R544" t="s">
        <v>4779</v>
      </c>
    </row>
    <row r="545" spans="1:18" x14ac:dyDescent="0.2">
      <c r="A545">
        <v>3046727</v>
      </c>
      <c r="B545" t="s">
        <v>4780</v>
      </c>
      <c r="C545">
        <v>0</v>
      </c>
      <c r="D545">
        <v>0</v>
      </c>
      <c r="E545">
        <v>0</v>
      </c>
      <c r="F545">
        <v>1</v>
      </c>
      <c r="G545">
        <v>2</v>
      </c>
      <c r="H545">
        <v>0</v>
      </c>
      <c r="I545">
        <v>0</v>
      </c>
      <c r="J545">
        <v>0</v>
      </c>
      <c r="K545">
        <v>0</v>
      </c>
      <c r="L545" t="s">
        <v>3284</v>
      </c>
      <c r="M545" t="s">
        <v>3296</v>
      </c>
      <c r="N545" t="s">
        <v>3321</v>
      </c>
      <c r="O545" t="s">
        <v>3322</v>
      </c>
      <c r="P545" t="s">
        <v>3398</v>
      </c>
      <c r="Q545" t="s">
        <v>3399</v>
      </c>
      <c r="R545" t="s">
        <v>4781</v>
      </c>
    </row>
    <row r="546" spans="1:18" x14ac:dyDescent="0.2">
      <c r="A546">
        <v>3046726</v>
      </c>
      <c r="B546" t="s">
        <v>4782</v>
      </c>
      <c r="C546">
        <v>0</v>
      </c>
      <c r="D546">
        <v>0</v>
      </c>
      <c r="E546">
        <v>0</v>
      </c>
      <c r="F546">
        <v>1</v>
      </c>
      <c r="G546">
        <v>0</v>
      </c>
      <c r="H546">
        <v>0</v>
      </c>
      <c r="I546">
        <v>0</v>
      </c>
      <c r="J546">
        <v>0</v>
      </c>
      <c r="K546">
        <v>0</v>
      </c>
      <c r="L546" t="s">
        <v>3284</v>
      </c>
      <c r="M546" t="s">
        <v>3296</v>
      </c>
      <c r="N546" t="s">
        <v>3297</v>
      </c>
      <c r="O546" t="s">
        <v>3434</v>
      </c>
      <c r="P546" t="s">
        <v>3435</v>
      </c>
      <c r="Q546" t="s">
        <v>3436</v>
      </c>
      <c r="R546" t="s">
        <v>4783</v>
      </c>
    </row>
    <row r="547" spans="1:18" x14ac:dyDescent="0.2">
      <c r="A547">
        <v>3046712</v>
      </c>
      <c r="B547" t="s">
        <v>4784</v>
      </c>
      <c r="C547">
        <v>0</v>
      </c>
      <c r="D547">
        <v>0</v>
      </c>
      <c r="E547">
        <v>0</v>
      </c>
      <c r="F547">
        <v>1</v>
      </c>
      <c r="G547">
        <v>0</v>
      </c>
      <c r="H547">
        <v>0</v>
      </c>
      <c r="I547">
        <v>0</v>
      </c>
      <c r="J547">
        <v>0</v>
      </c>
      <c r="K547">
        <v>0</v>
      </c>
      <c r="L547" t="s">
        <v>3284</v>
      </c>
      <c r="M547" t="s">
        <v>3296</v>
      </c>
      <c r="N547" t="s">
        <v>3343</v>
      </c>
      <c r="O547" t="s">
        <v>3344</v>
      </c>
      <c r="P547" t="s">
        <v>4785</v>
      </c>
      <c r="Q547" t="s">
        <v>4786</v>
      </c>
      <c r="R547" t="s">
        <v>4787</v>
      </c>
    </row>
    <row r="548" spans="1:18" x14ac:dyDescent="0.2">
      <c r="A548">
        <v>3046310</v>
      </c>
      <c r="B548" t="s">
        <v>4788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1</v>
      </c>
      <c r="J548">
        <v>0</v>
      </c>
      <c r="K548">
        <v>0</v>
      </c>
      <c r="L548" t="s">
        <v>3284</v>
      </c>
      <c r="M548" t="s">
        <v>3296</v>
      </c>
      <c r="N548" t="s">
        <v>3343</v>
      </c>
      <c r="O548" t="s">
        <v>3429</v>
      </c>
      <c r="P548" t="s">
        <v>3430</v>
      </c>
      <c r="Q548" t="s">
        <v>3651</v>
      </c>
      <c r="R548" t="s">
        <v>4789</v>
      </c>
    </row>
    <row r="549" spans="1:18" x14ac:dyDescent="0.2">
      <c r="A549">
        <v>3046208</v>
      </c>
      <c r="B549" t="s">
        <v>4790</v>
      </c>
      <c r="C549">
        <v>0</v>
      </c>
      <c r="D549">
        <v>0</v>
      </c>
      <c r="E549">
        <v>0</v>
      </c>
      <c r="F549">
        <v>1</v>
      </c>
      <c r="G549">
        <v>0</v>
      </c>
      <c r="H549">
        <v>1</v>
      </c>
      <c r="I549">
        <v>10</v>
      </c>
      <c r="J549">
        <v>6</v>
      </c>
      <c r="K549">
        <v>0</v>
      </c>
      <c r="L549" t="s">
        <v>3284</v>
      </c>
      <c r="M549" t="s">
        <v>3307</v>
      </c>
      <c r="N549" t="s">
        <v>3308</v>
      </c>
      <c r="O549" t="s">
        <v>3359</v>
      </c>
      <c r="P549" t="s">
        <v>3360</v>
      </c>
      <c r="Q549" t="s">
        <v>4121</v>
      </c>
      <c r="R549" t="s">
        <v>4791</v>
      </c>
    </row>
    <row r="550" spans="1:18" x14ac:dyDescent="0.2">
      <c r="A550">
        <v>3046205</v>
      </c>
      <c r="B550" t="s">
        <v>4792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</v>
      </c>
      <c r="J550">
        <v>0</v>
      </c>
      <c r="K550">
        <v>0</v>
      </c>
      <c r="L550" t="s">
        <v>3284</v>
      </c>
      <c r="M550" t="s">
        <v>3307</v>
      </c>
      <c r="N550" t="s">
        <v>3308</v>
      </c>
      <c r="O550" t="s">
        <v>3359</v>
      </c>
      <c r="P550" t="s">
        <v>3360</v>
      </c>
      <c r="Q550" t="s">
        <v>4793</v>
      </c>
      <c r="R550" t="s">
        <v>4794</v>
      </c>
    </row>
    <row r="551" spans="1:18" x14ac:dyDescent="0.2">
      <c r="A551">
        <v>3045173</v>
      </c>
      <c r="B551" t="s">
        <v>4795</v>
      </c>
      <c r="C551">
        <v>0</v>
      </c>
      <c r="D551">
        <v>1</v>
      </c>
      <c r="E551">
        <v>0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0</v>
      </c>
      <c r="L551" t="s">
        <v>3284</v>
      </c>
      <c r="M551" t="s">
        <v>3296</v>
      </c>
      <c r="N551" t="s">
        <v>3321</v>
      </c>
      <c r="O551" t="s">
        <v>3322</v>
      </c>
      <c r="P551" t="s">
        <v>3398</v>
      </c>
      <c r="Q551" t="s">
        <v>4796</v>
      </c>
      <c r="R551" t="s">
        <v>4797</v>
      </c>
    </row>
    <row r="552" spans="1:18" x14ac:dyDescent="0.2">
      <c r="A552">
        <v>3045146</v>
      </c>
      <c r="B552" t="s">
        <v>4798</v>
      </c>
      <c r="C552">
        <v>0</v>
      </c>
      <c r="D552">
        <v>2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 t="s">
        <v>3284</v>
      </c>
      <c r="M552" t="s">
        <v>3327</v>
      </c>
      <c r="N552" t="s">
        <v>3328</v>
      </c>
      <c r="O552" t="s">
        <v>3329</v>
      </c>
      <c r="P552" t="s">
        <v>4620</v>
      </c>
      <c r="Q552" t="s">
        <v>4799</v>
      </c>
      <c r="R552" t="s">
        <v>4800</v>
      </c>
    </row>
    <row r="553" spans="1:18" x14ac:dyDescent="0.2">
      <c r="A553">
        <v>3044279</v>
      </c>
      <c r="B553" t="s">
        <v>4801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2</v>
      </c>
      <c r="J553">
        <v>0</v>
      </c>
      <c r="K553">
        <v>0</v>
      </c>
      <c r="L553" t="s">
        <v>3284</v>
      </c>
      <c r="M553" t="s">
        <v>3296</v>
      </c>
      <c r="N553" t="s">
        <v>3321</v>
      </c>
      <c r="O553" t="s">
        <v>3322</v>
      </c>
      <c r="P553" t="s">
        <v>3323</v>
      </c>
      <c r="Q553" t="s">
        <v>3324</v>
      </c>
      <c r="R553" t="s">
        <v>4802</v>
      </c>
    </row>
    <row r="554" spans="1:18" x14ac:dyDescent="0.2">
      <c r="A554">
        <v>3044241</v>
      </c>
      <c r="B554" t="s">
        <v>4803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8</v>
      </c>
      <c r="J554">
        <v>1</v>
      </c>
      <c r="K554">
        <v>2</v>
      </c>
      <c r="L554" t="s">
        <v>3284</v>
      </c>
      <c r="M554" t="s">
        <v>3296</v>
      </c>
      <c r="N554" t="s">
        <v>3297</v>
      </c>
      <c r="O554" t="s">
        <v>4112</v>
      </c>
      <c r="P554" t="s">
        <v>4113</v>
      </c>
      <c r="Q554" t="s">
        <v>4114</v>
      </c>
      <c r="R554" t="s">
        <v>4804</v>
      </c>
    </row>
    <row r="555" spans="1:18" x14ac:dyDescent="0.2">
      <c r="A555">
        <v>3044166</v>
      </c>
      <c r="B555" t="s">
        <v>4805</v>
      </c>
      <c r="C555">
        <v>0</v>
      </c>
      <c r="D555">
        <v>0</v>
      </c>
      <c r="E555">
        <v>0</v>
      </c>
      <c r="F555">
        <v>0</v>
      </c>
      <c r="G555">
        <v>1</v>
      </c>
      <c r="H555">
        <v>0</v>
      </c>
      <c r="I555">
        <v>1</v>
      </c>
      <c r="J555">
        <v>3</v>
      </c>
      <c r="K555">
        <v>0</v>
      </c>
      <c r="L555" t="s">
        <v>3284</v>
      </c>
      <c r="M555" t="s">
        <v>3285</v>
      </c>
      <c r="N555" t="s">
        <v>3286</v>
      </c>
      <c r="O555" t="s">
        <v>3287</v>
      </c>
      <c r="P555" t="s">
        <v>3288</v>
      </c>
      <c r="Q555" t="s">
        <v>3289</v>
      </c>
      <c r="R555" t="s">
        <v>4806</v>
      </c>
    </row>
    <row r="556" spans="1:18" x14ac:dyDescent="0.2">
      <c r="A556">
        <v>3043862</v>
      </c>
      <c r="B556" t="s">
        <v>4807</v>
      </c>
      <c r="C556">
        <v>5</v>
      </c>
      <c r="D556">
        <v>2</v>
      </c>
      <c r="E556">
        <v>1</v>
      </c>
      <c r="F556">
        <v>0</v>
      </c>
      <c r="G556">
        <v>0</v>
      </c>
      <c r="H556">
        <v>0</v>
      </c>
      <c r="I556">
        <v>1</v>
      </c>
      <c r="J556">
        <v>0</v>
      </c>
      <c r="K556">
        <v>0</v>
      </c>
      <c r="L556" t="s">
        <v>3284</v>
      </c>
      <c r="M556" t="s">
        <v>3327</v>
      </c>
      <c r="N556" t="s">
        <v>3376</v>
      </c>
      <c r="O556" t="s">
        <v>3377</v>
      </c>
      <c r="P556" t="s">
        <v>3378</v>
      </c>
      <c r="Q556" t="s">
        <v>3379</v>
      </c>
      <c r="R556" t="s">
        <v>4808</v>
      </c>
    </row>
    <row r="557" spans="1:18" x14ac:dyDescent="0.2">
      <c r="A557">
        <v>3043860</v>
      </c>
      <c r="B557" t="s">
        <v>4809</v>
      </c>
      <c r="C557">
        <v>0</v>
      </c>
      <c r="D557">
        <v>0</v>
      </c>
      <c r="E557">
        <v>0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0</v>
      </c>
      <c r="L557" t="s">
        <v>3284</v>
      </c>
      <c r="M557" t="s">
        <v>3391</v>
      </c>
      <c r="N557" t="s">
        <v>3740</v>
      </c>
      <c r="O557" t="s">
        <v>3741</v>
      </c>
      <c r="P557" t="s">
        <v>3742</v>
      </c>
      <c r="Q557" t="s">
        <v>4598</v>
      </c>
      <c r="R557" t="s">
        <v>4810</v>
      </c>
    </row>
    <row r="558" spans="1:18" x14ac:dyDescent="0.2">
      <c r="A558">
        <v>3043856</v>
      </c>
      <c r="B558" t="s">
        <v>4811</v>
      </c>
      <c r="C558">
        <v>13</v>
      </c>
      <c r="D558">
        <v>8</v>
      </c>
      <c r="E558">
        <v>3</v>
      </c>
      <c r="F558">
        <v>0</v>
      </c>
      <c r="G558">
        <v>1</v>
      </c>
      <c r="H558">
        <v>0</v>
      </c>
      <c r="I558">
        <v>1</v>
      </c>
      <c r="J558">
        <v>0</v>
      </c>
      <c r="K558">
        <v>0</v>
      </c>
      <c r="L558" t="s">
        <v>3284</v>
      </c>
      <c r="M558" t="s">
        <v>3296</v>
      </c>
      <c r="N558" t="s">
        <v>3321</v>
      </c>
      <c r="O558" t="s">
        <v>3322</v>
      </c>
      <c r="P558" t="s">
        <v>3398</v>
      </c>
      <c r="Q558" t="s">
        <v>3841</v>
      </c>
      <c r="R558" t="s">
        <v>4812</v>
      </c>
    </row>
    <row r="559" spans="1:18" x14ac:dyDescent="0.2">
      <c r="A559">
        <v>3043848</v>
      </c>
      <c r="B559" t="s">
        <v>4813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1</v>
      </c>
      <c r="J559">
        <v>0</v>
      </c>
      <c r="K559">
        <v>0</v>
      </c>
      <c r="L559" t="s">
        <v>3284</v>
      </c>
      <c r="M559" t="s">
        <v>3307</v>
      </c>
      <c r="N559" t="s">
        <v>3308</v>
      </c>
      <c r="O559" t="s">
        <v>3309</v>
      </c>
      <c r="P559" t="s">
        <v>3310</v>
      </c>
      <c r="Q559" t="s">
        <v>3311</v>
      </c>
      <c r="R559" t="s">
        <v>4814</v>
      </c>
    </row>
    <row r="560" spans="1:18" x14ac:dyDescent="0.2">
      <c r="A560">
        <v>3043446</v>
      </c>
      <c r="B560" t="s">
        <v>4815</v>
      </c>
      <c r="C560">
        <v>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 t="s">
        <v>3284</v>
      </c>
      <c r="M560" t="s">
        <v>3296</v>
      </c>
      <c r="N560" t="s">
        <v>3297</v>
      </c>
      <c r="O560" t="s">
        <v>3434</v>
      </c>
      <c r="P560" t="s">
        <v>3435</v>
      </c>
      <c r="Q560" t="s">
        <v>3436</v>
      </c>
      <c r="R560" t="s">
        <v>4816</v>
      </c>
    </row>
    <row r="561" spans="1:18" x14ac:dyDescent="0.2">
      <c r="A561">
        <v>3043305</v>
      </c>
      <c r="B561" t="s">
        <v>4817</v>
      </c>
      <c r="C561">
        <v>0</v>
      </c>
      <c r="D561">
        <v>0</v>
      </c>
      <c r="E561">
        <v>0</v>
      </c>
      <c r="F561">
        <v>0</v>
      </c>
      <c r="G561">
        <v>2</v>
      </c>
      <c r="H561">
        <v>0</v>
      </c>
      <c r="I561">
        <v>0</v>
      </c>
      <c r="J561">
        <v>0</v>
      </c>
      <c r="K561">
        <v>0</v>
      </c>
      <c r="L561" t="s">
        <v>3284</v>
      </c>
      <c r="M561" t="s">
        <v>3296</v>
      </c>
      <c r="N561" t="s">
        <v>3297</v>
      </c>
      <c r="O561" t="s">
        <v>3298</v>
      </c>
      <c r="P561" t="s">
        <v>3299</v>
      </c>
      <c r="Q561" t="s">
        <v>3300</v>
      </c>
      <c r="R561" t="s">
        <v>4818</v>
      </c>
    </row>
    <row r="562" spans="1:18" x14ac:dyDescent="0.2">
      <c r="A562">
        <v>3043300</v>
      </c>
      <c r="B562" t="s">
        <v>4819</v>
      </c>
      <c r="C562">
        <v>0</v>
      </c>
      <c r="D562">
        <v>0</v>
      </c>
      <c r="E562">
        <v>0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0</v>
      </c>
      <c r="L562" t="s">
        <v>3284</v>
      </c>
      <c r="M562" t="s">
        <v>3296</v>
      </c>
      <c r="N562" t="s">
        <v>3297</v>
      </c>
      <c r="O562" t="s">
        <v>3469</v>
      </c>
      <c r="P562" t="s">
        <v>3470</v>
      </c>
      <c r="Q562" t="s">
        <v>3471</v>
      </c>
      <c r="R562" t="s">
        <v>4820</v>
      </c>
    </row>
    <row r="563" spans="1:18" x14ac:dyDescent="0.2">
      <c r="A563">
        <v>3043293</v>
      </c>
      <c r="B563" t="s">
        <v>4821</v>
      </c>
      <c r="C563">
        <v>1</v>
      </c>
      <c r="D563">
        <v>2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 t="s">
        <v>3284</v>
      </c>
      <c r="M563" t="s">
        <v>3296</v>
      </c>
      <c r="N563" t="s">
        <v>3297</v>
      </c>
      <c r="O563" t="s">
        <v>4500</v>
      </c>
      <c r="P563" t="s">
        <v>4501</v>
      </c>
      <c r="Q563" t="s">
        <v>4822</v>
      </c>
      <c r="R563" t="s">
        <v>4823</v>
      </c>
    </row>
    <row r="564" spans="1:18" x14ac:dyDescent="0.2">
      <c r="A564">
        <v>3042722</v>
      </c>
      <c r="B564" t="s">
        <v>4824</v>
      </c>
      <c r="C564">
        <v>0</v>
      </c>
      <c r="D564">
        <v>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 t="s">
        <v>3284</v>
      </c>
      <c r="M564" t="s">
        <v>3391</v>
      </c>
      <c r="N564" t="s">
        <v>3411</v>
      </c>
      <c r="O564" t="s">
        <v>3412</v>
      </c>
      <c r="P564" t="s">
        <v>3413</v>
      </c>
      <c r="Q564" t="s">
        <v>4825</v>
      </c>
      <c r="R564" t="s">
        <v>4826</v>
      </c>
    </row>
    <row r="565" spans="1:18" x14ac:dyDescent="0.2">
      <c r="A565">
        <v>3042517</v>
      </c>
      <c r="B565" t="s">
        <v>4827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1</v>
      </c>
      <c r="K565">
        <v>0</v>
      </c>
      <c r="L565" t="s">
        <v>3284</v>
      </c>
      <c r="M565" t="s">
        <v>3307</v>
      </c>
      <c r="N565" t="s">
        <v>3308</v>
      </c>
      <c r="O565" t="s">
        <v>3359</v>
      </c>
      <c r="P565" t="s">
        <v>3360</v>
      </c>
      <c r="Q565" t="s">
        <v>4828</v>
      </c>
      <c r="R565" t="s">
        <v>4829</v>
      </c>
    </row>
    <row r="566" spans="1:18" x14ac:dyDescent="0.2">
      <c r="A566">
        <v>3042299</v>
      </c>
      <c r="B566" t="s">
        <v>4830</v>
      </c>
      <c r="C566">
        <v>1</v>
      </c>
      <c r="D566">
        <v>4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 t="s">
        <v>3284</v>
      </c>
      <c r="M566" t="s">
        <v>3296</v>
      </c>
      <c r="N566" t="s">
        <v>3343</v>
      </c>
      <c r="O566" t="s">
        <v>3371</v>
      </c>
      <c r="P566" t="s">
        <v>3688</v>
      </c>
      <c r="Q566" t="s">
        <v>4831</v>
      </c>
      <c r="R566" t="s">
        <v>4832</v>
      </c>
    </row>
    <row r="567" spans="1:18" x14ac:dyDescent="0.2">
      <c r="A567">
        <v>3042295</v>
      </c>
      <c r="B567" t="s">
        <v>4833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2</v>
      </c>
      <c r="J567">
        <v>0</v>
      </c>
      <c r="K567">
        <v>0</v>
      </c>
      <c r="L567" t="s">
        <v>3284</v>
      </c>
      <c r="M567" t="s">
        <v>3307</v>
      </c>
      <c r="N567" t="s">
        <v>3308</v>
      </c>
      <c r="O567" t="s">
        <v>3359</v>
      </c>
      <c r="P567" t="s">
        <v>3360</v>
      </c>
      <c r="Q567" t="s">
        <v>3361</v>
      </c>
      <c r="R567" t="s">
        <v>4834</v>
      </c>
    </row>
    <row r="568" spans="1:18" x14ac:dyDescent="0.2">
      <c r="A568">
        <v>3042293</v>
      </c>
      <c r="B568" t="s">
        <v>4835</v>
      </c>
      <c r="C568">
        <v>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 t="s">
        <v>3284</v>
      </c>
      <c r="M568" t="s">
        <v>3391</v>
      </c>
      <c r="N568" t="s">
        <v>3411</v>
      </c>
      <c r="O568" t="s">
        <v>3412</v>
      </c>
      <c r="P568" t="s">
        <v>3564</v>
      </c>
      <c r="Q568" t="s">
        <v>3803</v>
      </c>
      <c r="R568" t="s">
        <v>4836</v>
      </c>
    </row>
    <row r="569" spans="1:18" x14ac:dyDescent="0.2">
      <c r="A569">
        <v>3042291</v>
      </c>
      <c r="B569" t="s">
        <v>4837</v>
      </c>
      <c r="C569">
        <v>0</v>
      </c>
      <c r="D569">
        <v>0</v>
      </c>
      <c r="E569">
        <v>0</v>
      </c>
      <c r="F569">
        <v>4</v>
      </c>
      <c r="G569">
        <v>1</v>
      </c>
      <c r="H569">
        <v>0</v>
      </c>
      <c r="I569">
        <v>0</v>
      </c>
      <c r="J569">
        <v>1</v>
      </c>
      <c r="K569">
        <v>0</v>
      </c>
      <c r="L569" t="s">
        <v>3284</v>
      </c>
      <c r="M569" t="s">
        <v>3391</v>
      </c>
      <c r="N569" t="s">
        <v>3392</v>
      </c>
      <c r="O569" t="s">
        <v>3393</v>
      </c>
      <c r="P569" t="s">
        <v>3394</v>
      </c>
      <c r="Q569" t="s">
        <v>3395</v>
      </c>
      <c r="R569" t="s">
        <v>4838</v>
      </c>
    </row>
    <row r="570" spans="1:18" x14ac:dyDescent="0.2">
      <c r="A570">
        <v>3042262</v>
      </c>
      <c r="B570" t="s">
        <v>4839</v>
      </c>
      <c r="C570">
        <v>0</v>
      </c>
      <c r="D570">
        <v>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 t="s">
        <v>3284</v>
      </c>
      <c r="M570" t="s">
        <v>3307</v>
      </c>
      <c r="N570" t="s">
        <v>3308</v>
      </c>
      <c r="O570" t="s">
        <v>3359</v>
      </c>
      <c r="P570" t="s">
        <v>3360</v>
      </c>
      <c r="Q570" t="s">
        <v>3361</v>
      </c>
      <c r="R570" t="s">
        <v>4840</v>
      </c>
    </row>
    <row r="571" spans="1:18" x14ac:dyDescent="0.2">
      <c r="A571">
        <v>3041922</v>
      </c>
      <c r="B571" t="s">
        <v>4841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1</v>
      </c>
      <c r="J571">
        <v>1</v>
      </c>
      <c r="K571">
        <v>0</v>
      </c>
      <c r="L571" t="s">
        <v>3284</v>
      </c>
      <c r="M571" t="s">
        <v>3307</v>
      </c>
      <c r="N571" t="s">
        <v>3308</v>
      </c>
      <c r="O571" t="s">
        <v>3359</v>
      </c>
      <c r="P571" t="s">
        <v>3360</v>
      </c>
      <c r="Q571" t="s">
        <v>3361</v>
      </c>
      <c r="R571" t="s">
        <v>4842</v>
      </c>
    </row>
    <row r="572" spans="1:18" x14ac:dyDescent="0.2">
      <c r="A572">
        <v>3041794</v>
      </c>
      <c r="B572" t="s">
        <v>4843</v>
      </c>
      <c r="C572">
        <v>0</v>
      </c>
      <c r="D572">
        <v>0</v>
      </c>
      <c r="E572">
        <v>0</v>
      </c>
      <c r="F572">
        <v>9</v>
      </c>
      <c r="G572">
        <v>9</v>
      </c>
      <c r="H572">
        <v>8</v>
      </c>
      <c r="I572">
        <v>0</v>
      </c>
      <c r="J572">
        <v>0</v>
      </c>
      <c r="K572">
        <v>0</v>
      </c>
      <c r="L572" t="s">
        <v>3284</v>
      </c>
      <c r="M572" t="s">
        <v>3296</v>
      </c>
      <c r="N572" t="s">
        <v>3343</v>
      </c>
      <c r="O572" t="s">
        <v>3402</v>
      </c>
      <c r="P572" t="s">
        <v>3403</v>
      </c>
      <c r="Q572" t="s">
        <v>3536</v>
      </c>
      <c r="R572" t="s">
        <v>4844</v>
      </c>
    </row>
    <row r="573" spans="1:18" x14ac:dyDescent="0.2">
      <c r="A573">
        <v>3041791</v>
      </c>
      <c r="B573" t="s">
        <v>4845</v>
      </c>
      <c r="C573">
        <v>2</v>
      </c>
      <c r="D573">
        <v>0</v>
      </c>
      <c r="E573">
        <v>0</v>
      </c>
      <c r="F573">
        <v>4</v>
      </c>
      <c r="G573">
        <v>4</v>
      </c>
      <c r="H573">
        <v>1</v>
      </c>
      <c r="I573">
        <v>1</v>
      </c>
      <c r="J573">
        <v>0</v>
      </c>
      <c r="K573">
        <v>0</v>
      </c>
      <c r="L573" t="s">
        <v>3284</v>
      </c>
      <c r="M573" t="s">
        <v>3307</v>
      </c>
      <c r="N573" t="s">
        <v>3308</v>
      </c>
      <c r="O573" t="s">
        <v>3359</v>
      </c>
      <c r="P573" t="s">
        <v>3360</v>
      </c>
      <c r="Q573" t="s">
        <v>3361</v>
      </c>
      <c r="R573" t="s">
        <v>4846</v>
      </c>
    </row>
    <row r="574" spans="1:18" x14ac:dyDescent="0.2">
      <c r="A574">
        <v>3041789</v>
      </c>
      <c r="B574" t="s">
        <v>4847</v>
      </c>
      <c r="C574">
        <v>0</v>
      </c>
      <c r="D574">
        <v>0</v>
      </c>
      <c r="E574">
        <v>0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 t="s">
        <v>3284</v>
      </c>
      <c r="M574" t="s">
        <v>3307</v>
      </c>
      <c r="N574" t="s">
        <v>3308</v>
      </c>
      <c r="O574" t="s">
        <v>3359</v>
      </c>
      <c r="P574" t="s">
        <v>3360</v>
      </c>
      <c r="Q574" t="s">
        <v>3361</v>
      </c>
      <c r="R574" t="s">
        <v>4848</v>
      </c>
    </row>
    <row r="575" spans="1:18" x14ac:dyDescent="0.2">
      <c r="A575">
        <v>3041787</v>
      </c>
      <c r="B575" t="s">
        <v>4849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1</v>
      </c>
      <c r="I575">
        <v>0</v>
      </c>
      <c r="J575">
        <v>0</v>
      </c>
      <c r="K575">
        <v>0</v>
      </c>
      <c r="L575" t="s">
        <v>3284</v>
      </c>
      <c r="M575" t="s">
        <v>3296</v>
      </c>
      <c r="N575" t="s">
        <v>3297</v>
      </c>
      <c r="O575" t="s">
        <v>3469</v>
      </c>
      <c r="P575" t="s">
        <v>3470</v>
      </c>
      <c r="Q575" t="s">
        <v>3471</v>
      </c>
      <c r="R575" t="s">
        <v>4850</v>
      </c>
    </row>
    <row r="576" spans="1:18" x14ac:dyDescent="0.2">
      <c r="A576">
        <v>3041775</v>
      </c>
      <c r="B576" t="s">
        <v>4851</v>
      </c>
      <c r="C576">
        <v>0</v>
      </c>
      <c r="D576">
        <v>0</v>
      </c>
      <c r="E576">
        <v>0</v>
      </c>
      <c r="F576">
        <v>1</v>
      </c>
      <c r="G576">
        <v>2</v>
      </c>
      <c r="H576">
        <v>0</v>
      </c>
      <c r="I576">
        <v>0</v>
      </c>
      <c r="J576">
        <v>0</v>
      </c>
      <c r="K576">
        <v>0</v>
      </c>
      <c r="L576" t="s">
        <v>3284</v>
      </c>
      <c r="M576" t="s">
        <v>3296</v>
      </c>
      <c r="N576" t="s">
        <v>3343</v>
      </c>
      <c r="O576" t="s">
        <v>3344</v>
      </c>
      <c r="P576" t="s">
        <v>3355</v>
      </c>
      <c r="Q576" t="s">
        <v>3546</v>
      </c>
      <c r="R576" t="s">
        <v>4852</v>
      </c>
    </row>
    <row r="577" spans="1:18" x14ac:dyDescent="0.2">
      <c r="A577">
        <v>3041772</v>
      </c>
      <c r="B577" t="s">
        <v>4853</v>
      </c>
      <c r="C577">
        <v>0</v>
      </c>
      <c r="D577">
        <v>0</v>
      </c>
      <c r="E577">
        <v>0</v>
      </c>
      <c r="F577">
        <v>3</v>
      </c>
      <c r="G577">
        <v>1</v>
      </c>
      <c r="H577">
        <v>0</v>
      </c>
      <c r="I577">
        <v>0</v>
      </c>
      <c r="J577">
        <v>0</v>
      </c>
      <c r="K577">
        <v>0</v>
      </c>
      <c r="L577" t="s">
        <v>3284</v>
      </c>
      <c r="M577" t="s">
        <v>3391</v>
      </c>
      <c r="N577" t="s">
        <v>3411</v>
      </c>
      <c r="O577" t="s">
        <v>3412</v>
      </c>
      <c r="P577" t="s">
        <v>3413</v>
      </c>
      <c r="Q577" t="s">
        <v>3414</v>
      </c>
      <c r="R577" t="s">
        <v>4854</v>
      </c>
    </row>
    <row r="578" spans="1:18" x14ac:dyDescent="0.2">
      <c r="A578">
        <v>3041769</v>
      </c>
      <c r="B578" t="s">
        <v>4855</v>
      </c>
      <c r="C578">
        <v>0</v>
      </c>
      <c r="D578">
        <v>0</v>
      </c>
      <c r="E578">
        <v>0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0</v>
      </c>
      <c r="L578" t="s">
        <v>3284</v>
      </c>
      <c r="M578" t="s">
        <v>3391</v>
      </c>
      <c r="N578" t="s">
        <v>3411</v>
      </c>
      <c r="O578" t="s">
        <v>3412</v>
      </c>
      <c r="P578" t="s">
        <v>3564</v>
      </c>
      <c r="Q578" t="s">
        <v>3803</v>
      </c>
      <c r="R578" t="s">
        <v>4856</v>
      </c>
    </row>
    <row r="579" spans="1:18" x14ac:dyDescent="0.2">
      <c r="A579">
        <v>3041768</v>
      </c>
      <c r="B579" t="s">
        <v>4857</v>
      </c>
      <c r="C579">
        <v>0</v>
      </c>
      <c r="D579">
        <v>0</v>
      </c>
      <c r="E579">
        <v>0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 t="s">
        <v>3284</v>
      </c>
      <c r="M579" t="s">
        <v>3307</v>
      </c>
      <c r="N579" t="s">
        <v>3308</v>
      </c>
      <c r="O579" t="s">
        <v>3359</v>
      </c>
      <c r="P579" t="s">
        <v>3360</v>
      </c>
      <c r="Q579" t="s">
        <v>3361</v>
      </c>
      <c r="R579" t="s">
        <v>4858</v>
      </c>
    </row>
    <row r="580" spans="1:18" x14ac:dyDescent="0.2">
      <c r="A580">
        <v>3041763</v>
      </c>
      <c r="B580" t="s">
        <v>4859</v>
      </c>
      <c r="C580">
        <v>0</v>
      </c>
      <c r="D580">
        <v>0</v>
      </c>
      <c r="E580">
        <v>0</v>
      </c>
      <c r="F580">
        <v>2</v>
      </c>
      <c r="G580">
        <v>2</v>
      </c>
      <c r="H580">
        <v>2</v>
      </c>
      <c r="I580">
        <v>1</v>
      </c>
      <c r="J580">
        <v>0</v>
      </c>
      <c r="K580">
        <v>0</v>
      </c>
      <c r="L580" t="s">
        <v>3284</v>
      </c>
      <c r="M580" t="s">
        <v>3296</v>
      </c>
      <c r="N580" t="s">
        <v>3297</v>
      </c>
      <c r="O580" t="s">
        <v>3469</v>
      </c>
      <c r="P580" t="s">
        <v>3470</v>
      </c>
      <c r="Q580" t="s">
        <v>3471</v>
      </c>
      <c r="R580" t="s">
        <v>4860</v>
      </c>
    </row>
    <row r="581" spans="1:18" x14ac:dyDescent="0.2">
      <c r="A581">
        <v>3041622</v>
      </c>
      <c r="B581" t="s">
        <v>4861</v>
      </c>
      <c r="C581">
        <v>0</v>
      </c>
      <c r="D581">
        <v>1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 t="s">
        <v>3284</v>
      </c>
      <c r="M581" t="s">
        <v>3296</v>
      </c>
      <c r="N581" t="s">
        <v>3297</v>
      </c>
      <c r="O581" t="s">
        <v>3434</v>
      </c>
      <c r="P581" t="s">
        <v>3435</v>
      </c>
      <c r="Q581" t="s">
        <v>4862</v>
      </c>
      <c r="R581" t="s">
        <v>4863</v>
      </c>
    </row>
    <row r="582" spans="1:18" x14ac:dyDescent="0.2">
      <c r="A582">
        <v>3041621</v>
      </c>
      <c r="B582" t="s">
        <v>4864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0</v>
      </c>
      <c r="L582" t="s">
        <v>3284</v>
      </c>
      <c r="M582" t="s">
        <v>3296</v>
      </c>
      <c r="N582" t="s">
        <v>3343</v>
      </c>
      <c r="O582" t="s">
        <v>3344</v>
      </c>
      <c r="P582" t="s">
        <v>3837</v>
      </c>
      <c r="Q582" t="s">
        <v>4865</v>
      </c>
      <c r="R582" t="s">
        <v>4866</v>
      </c>
    </row>
    <row r="583" spans="1:18" x14ac:dyDescent="0.2">
      <c r="A583">
        <v>3041496</v>
      </c>
      <c r="B583" t="s">
        <v>4867</v>
      </c>
      <c r="C583">
        <v>3</v>
      </c>
      <c r="D583">
        <v>0</v>
      </c>
      <c r="E583">
        <v>1</v>
      </c>
      <c r="F583">
        <v>0</v>
      </c>
      <c r="G583">
        <v>1</v>
      </c>
      <c r="H583">
        <v>0</v>
      </c>
      <c r="I583">
        <v>0</v>
      </c>
      <c r="J583">
        <v>0</v>
      </c>
      <c r="K583">
        <v>0</v>
      </c>
      <c r="L583" t="s">
        <v>3284</v>
      </c>
      <c r="M583" t="s">
        <v>3296</v>
      </c>
      <c r="N583" t="s">
        <v>3321</v>
      </c>
      <c r="O583" t="s">
        <v>3322</v>
      </c>
      <c r="P583" t="s">
        <v>3398</v>
      </c>
      <c r="Q583" t="s">
        <v>3806</v>
      </c>
      <c r="R583" t="s">
        <v>4868</v>
      </c>
    </row>
    <row r="584" spans="1:18" x14ac:dyDescent="0.2">
      <c r="A584">
        <v>3041495</v>
      </c>
      <c r="B584" t="s">
        <v>4869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1</v>
      </c>
      <c r="J584">
        <v>0</v>
      </c>
      <c r="K584">
        <v>0</v>
      </c>
      <c r="L584" t="s">
        <v>3284</v>
      </c>
      <c r="M584" t="s">
        <v>3391</v>
      </c>
      <c r="N584" t="s">
        <v>3392</v>
      </c>
      <c r="O584" t="s">
        <v>3393</v>
      </c>
      <c r="P584" t="s">
        <v>3394</v>
      </c>
      <c r="Q584" t="s">
        <v>3395</v>
      </c>
      <c r="R584" t="s">
        <v>4870</v>
      </c>
    </row>
    <row r="585" spans="1:18" x14ac:dyDescent="0.2">
      <c r="A585">
        <v>3041253</v>
      </c>
      <c r="B585" t="s">
        <v>4871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 t="s">
        <v>3284</v>
      </c>
      <c r="M585" t="s">
        <v>3391</v>
      </c>
      <c r="N585" t="s">
        <v>3411</v>
      </c>
      <c r="O585" t="s">
        <v>3412</v>
      </c>
      <c r="P585" t="s">
        <v>3413</v>
      </c>
      <c r="Q585" t="s">
        <v>3414</v>
      </c>
      <c r="R585" t="s">
        <v>4872</v>
      </c>
    </row>
    <row r="586" spans="1:18" x14ac:dyDescent="0.2">
      <c r="A586">
        <v>3041169</v>
      </c>
      <c r="B586" t="s">
        <v>4873</v>
      </c>
      <c r="C586">
        <v>0</v>
      </c>
      <c r="D586">
        <v>0</v>
      </c>
      <c r="E586">
        <v>0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 t="s">
        <v>3284</v>
      </c>
      <c r="M586" t="s">
        <v>3307</v>
      </c>
      <c r="N586" t="s">
        <v>3308</v>
      </c>
      <c r="O586" t="s">
        <v>3359</v>
      </c>
      <c r="P586" t="s">
        <v>3360</v>
      </c>
      <c r="Q586" t="s">
        <v>3361</v>
      </c>
      <c r="R586" t="s">
        <v>4874</v>
      </c>
    </row>
    <row r="587" spans="1:18" x14ac:dyDescent="0.2">
      <c r="A587">
        <v>3040673</v>
      </c>
      <c r="B587" t="s">
        <v>4875</v>
      </c>
      <c r="C587">
        <v>0</v>
      </c>
      <c r="D587">
        <v>0</v>
      </c>
      <c r="E587">
        <v>0</v>
      </c>
      <c r="F587">
        <v>1</v>
      </c>
      <c r="G587">
        <v>0</v>
      </c>
      <c r="H587">
        <v>0</v>
      </c>
      <c r="I587">
        <v>1</v>
      </c>
      <c r="J587">
        <v>1</v>
      </c>
      <c r="K587">
        <v>0</v>
      </c>
      <c r="L587" t="s">
        <v>3284</v>
      </c>
      <c r="M587" t="s">
        <v>3296</v>
      </c>
      <c r="N587" t="s">
        <v>3343</v>
      </c>
      <c r="O587" t="s">
        <v>3344</v>
      </c>
      <c r="P587" t="s">
        <v>3355</v>
      </c>
      <c r="Q587" t="s">
        <v>3356</v>
      </c>
      <c r="R587" t="s">
        <v>4876</v>
      </c>
    </row>
    <row r="588" spans="1:18" x14ac:dyDescent="0.2">
      <c r="A588">
        <v>3040670</v>
      </c>
      <c r="B588" t="s">
        <v>4877</v>
      </c>
      <c r="C588">
        <v>0</v>
      </c>
      <c r="D588">
        <v>0</v>
      </c>
      <c r="E588">
        <v>0</v>
      </c>
      <c r="F588">
        <v>0</v>
      </c>
      <c r="G588">
        <v>1</v>
      </c>
      <c r="H588">
        <v>0</v>
      </c>
      <c r="I588">
        <v>0</v>
      </c>
      <c r="J588">
        <v>0</v>
      </c>
      <c r="K588">
        <v>0</v>
      </c>
      <c r="L588" t="s">
        <v>3284</v>
      </c>
      <c r="M588" t="s">
        <v>3296</v>
      </c>
      <c r="N588" t="s">
        <v>3343</v>
      </c>
      <c r="O588" t="s">
        <v>3344</v>
      </c>
      <c r="P588" t="s">
        <v>3355</v>
      </c>
      <c r="Q588" t="s">
        <v>3356</v>
      </c>
      <c r="R588" t="s">
        <v>4878</v>
      </c>
    </row>
    <row r="589" spans="1:18" x14ac:dyDescent="0.2">
      <c r="A589">
        <v>3040600</v>
      </c>
      <c r="B589" t="s">
        <v>4879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1</v>
      </c>
      <c r="J589">
        <v>0</v>
      </c>
      <c r="K589">
        <v>0</v>
      </c>
      <c r="L589" t="s">
        <v>3284</v>
      </c>
      <c r="M589" t="s">
        <v>3296</v>
      </c>
      <c r="N589" t="s">
        <v>3297</v>
      </c>
      <c r="O589" t="s">
        <v>4500</v>
      </c>
      <c r="P589" t="s">
        <v>4880</v>
      </c>
      <c r="Q589" t="s">
        <v>4881</v>
      </c>
      <c r="R589" t="s">
        <v>4882</v>
      </c>
    </row>
    <row r="590" spans="1:18" x14ac:dyDescent="0.2">
      <c r="A590">
        <v>3040349</v>
      </c>
      <c r="B590" t="s">
        <v>4883</v>
      </c>
      <c r="C590">
        <v>0</v>
      </c>
      <c r="D590">
        <v>0</v>
      </c>
      <c r="E590">
        <v>0</v>
      </c>
      <c r="F590">
        <v>0</v>
      </c>
      <c r="G590">
        <v>1</v>
      </c>
      <c r="H590">
        <v>0</v>
      </c>
      <c r="I590">
        <v>0</v>
      </c>
      <c r="J590">
        <v>0</v>
      </c>
      <c r="K590">
        <v>0</v>
      </c>
      <c r="L590" t="s">
        <v>3284</v>
      </c>
      <c r="M590" t="s">
        <v>3296</v>
      </c>
      <c r="N590" t="s">
        <v>3343</v>
      </c>
      <c r="O590" t="s">
        <v>3402</v>
      </c>
      <c r="P590" t="s">
        <v>3403</v>
      </c>
      <c r="Q590" t="s">
        <v>4884</v>
      </c>
      <c r="R590" t="s">
        <v>4885</v>
      </c>
    </row>
    <row r="591" spans="1:18" x14ac:dyDescent="0.2">
      <c r="A591">
        <v>3040347</v>
      </c>
      <c r="B591" t="s">
        <v>4886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3</v>
      </c>
      <c r="J591">
        <v>2</v>
      </c>
      <c r="K591">
        <v>0</v>
      </c>
      <c r="L591" t="s">
        <v>3284</v>
      </c>
      <c r="M591" t="s">
        <v>3327</v>
      </c>
      <c r="N591" t="s">
        <v>3376</v>
      </c>
      <c r="O591" t="s">
        <v>3377</v>
      </c>
      <c r="P591" t="s">
        <v>3378</v>
      </c>
      <c r="Q591" t="s">
        <v>3379</v>
      </c>
      <c r="R591" t="s">
        <v>4887</v>
      </c>
    </row>
    <row r="592" spans="1:18" x14ac:dyDescent="0.2">
      <c r="A592">
        <v>3040317</v>
      </c>
      <c r="B592" t="s">
        <v>4888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1</v>
      </c>
      <c r="J592">
        <v>0</v>
      </c>
      <c r="K592">
        <v>0</v>
      </c>
      <c r="L592" t="s">
        <v>3284</v>
      </c>
      <c r="M592" t="s">
        <v>3296</v>
      </c>
      <c r="N592" t="s">
        <v>3297</v>
      </c>
      <c r="O592" t="s">
        <v>3434</v>
      </c>
      <c r="P592" t="s">
        <v>3435</v>
      </c>
      <c r="Q592" t="s">
        <v>3436</v>
      </c>
      <c r="R592" t="s">
        <v>4889</v>
      </c>
    </row>
    <row r="593" spans="1:18" x14ac:dyDescent="0.2">
      <c r="A593">
        <v>3040310</v>
      </c>
      <c r="B593" t="s">
        <v>4890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6</v>
      </c>
      <c r="J593">
        <v>1</v>
      </c>
      <c r="K593">
        <v>0</v>
      </c>
      <c r="L593" t="s">
        <v>3284</v>
      </c>
      <c r="M593" t="s">
        <v>3296</v>
      </c>
      <c r="N593" t="s">
        <v>3297</v>
      </c>
      <c r="O593" t="s">
        <v>3434</v>
      </c>
      <c r="P593" t="s">
        <v>3435</v>
      </c>
      <c r="Q593" t="s">
        <v>3436</v>
      </c>
      <c r="R593" t="s">
        <v>4891</v>
      </c>
    </row>
    <row r="594" spans="1:18" x14ac:dyDescent="0.2">
      <c r="A594">
        <v>3040298</v>
      </c>
      <c r="B594" t="s">
        <v>4892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1</v>
      </c>
      <c r="J594">
        <v>0</v>
      </c>
      <c r="K594">
        <v>0</v>
      </c>
      <c r="L594" t="s">
        <v>3284</v>
      </c>
      <c r="M594" t="s">
        <v>3307</v>
      </c>
      <c r="N594" t="s">
        <v>3308</v>
      </c>
      <c r="O594" t="s">
        <v>3359</v>
      </c>
      <c r="P594" t="s">
        <v>3360</v>
      </c>
      <c r="Q594" t="s">
        <v>4893</v>
      </c>
      <c r="R594" t="s">
        <v>4894</v>
      </c>
    </row>
    <row r="595" spans="1:18" x14ac:dyDescent="0.2">
      <c r="A595">
        <v>3040296</v>
      </c>
      <c r="B595" t="s">
        <v>4895</v>
      </c>
      <c r="C595">
        <v>0</v>
      </c>
      <c r="D595">
        <v>0</v>
      </c>
      <c r="E595">
        <v>0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0</v>
      </c>
      <c r="L595" t="s">
        <v>3284</v>
      </c>
      <c r="M595" t="s">
        <v>3296</v>
      </c>
      <c r="N595" t="s">
        <v>3343</v>
      </c>
      <c r="O595" t="s">
        <v>3349</v>
      </c>
      <c r="P595" t="s">
        <v>3350</v>
      </c>
      <c r="Q595" t="s">
        <v>3351</v>
      </c>
      <c r="R595" t="s">
        <v>4896</v>
      </c>
    </row>
    <row r="596" spans="1:18" x14ac:dyDescent="0.2">
      <c r="A596">
        <v>3040283</v>
      </c>
      <c r="B596" t="s">
        <v>4897</v>
      </c>
      <c r="C596">
        <v>0</v>
      </c>
      <c r="D596">
        <v>0</v>
      </c>
      <c r="E596">
        <v>0</v>
      </c>
      <c r="F596">
        <v>1</v>
      </c>
      <c r="G596">
        <v>2</v>
      </c>
      <c r="H596">
        <v>1</v>
      </c>
      <c r="I596">
        <v>0</v>
      </c>
      <c r="J596">
        <v>0</v>
      </c>
      <c r="K596">
        <v>0</v>
      </c>
      <c r="L596" t="s">
        <v>3284</v>
      </c>
      <c r="M596" t="s">
        <v>3296</v>
      </c>
      <c r="N596" t="s">
        <v>3343</v>
      </c>
      <c r="O596" t="s">
        <v>3402</v>
      </c>
      <c r="P596" t="s">
        <v>3403</v>
      </c>
      <c r="Q596" t="s">
        <v>3536</v>
      </c>
      <c r="R596" t="s">
        <v>4898</v>
      </c>
    </row>
    <row r="597" spans="1:18" x14ac:dyDescent="0.2">
      <c r="A597">
        <v>3040279</v>
      </c>
      <c r="B597" t="s">
        <v>4899</v>
      </c>
      <c r="C597">
        <v>0</v>
      </c>
      <c r="D597">
        <v>0</v>
      </c>
      <c r="E597">
        <v>0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0</v>
      </c>
      <c r="L597" t="s">
        <v>3284</v>
      </c>
      <c r="M597" t="s">
        <v>3307</v>
      </c>
      <c r="N597" t="s">
        <v>3308</v>
      </c>
      <c r="O597" t="s">
        <v>3359</v>
      </c>
      <c r="P597" t="s">
        <v>3407</v>
      </c>
      <c r="Q597" t="s">
        <v>3408</v>
      </c>
      <c r="R597" t="s">
        <v>4900</v>
      </c>
    </row>
    <row r="598" spans="1:18" x14ac:dyDescent="0.2">
      <c r="A598">
        <v>3040260</v>
      </c>
      <c r="B598" t="s">
        <v>4901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</v>
      </c>
      <c r="J598">
        <v>0</v>
      </c>
      <c r="K598">
        <v>0</v>
      </c>
      <c r="L598" t="s">
        <v>3284</v>
      </c>
      <c r="M598" t="s">
        <v>3327</v>
      </c>
      <c r="N598" t="s">
        <v>3376</v>
      </c>
      <c r="O598" t="s">
        <v>3377</v>
      </c>
      <c r="P598" t="s">
        <v>3378</v>
      </c>
      <c r="Q598" t="s">
        <v>3379</v>
      </c>
      <c r="R598" t="s">
        <v>4902</v>
      </c>
    </row>
    <row r="599" spans="1:18" x14ac:dyDescent="0.2">
      <c r="A599">
        <v>3040259</v>
      </c>
      <c r="B599" t="s">
        <v>4903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76</v>
      </c>
      <c r="J599">
        <v>40</v>
      </c>
      <c r="K599">
        <v>60</v>
      </c>
      <c r="L599" t="s">
        <v>3284</v>
      </c>
      <c r="M599" t="s">
        <v>3327</v>
      </c>
      <c r="N599" t="s">
        <v>3376</v>
      </c>
      <c r="O599" t="s">
        <v>3377</v>
      </c>
      <c r="P599" t="s">
        <v>3378</v>
      </c>
      <c r="Q599" t="s">
        <v>3379</v>
      </c>
      <c r="R599" t="s">
        <v>4904</v>
      </c>
    </row>
    <row r="600" spans="1:18" x14ac:dyDescent="0.2">
      <c r="A600">
        <v>3040258</v>
      </c>
      <c r="B600" t="s">
        <v>4905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5</v>
      </c>
      <c r="K600">
        <v>2</v>
      </c>
      <c r="L600" t="s">
        <v>3284</v>
      </c>
      <c r="M600" t="s">
        <v>3327</v>
      </c>
      <c r="N600" t="s">
        <v>3376</v>
      </c>
      <c r="O600" t="s">
        <v>3377</v>
      </c>
      <c r="P600" t="s">
        <v>3378</v>
      </c>
      <c r="Q600" t="s">
        <v>3379</v>
      </c>
      <c r="R600" t="s">
        <v>4906</v>
      </c>
    </row>
    <row r="601" spans="1:18" x14ac:dyDescent="0.2">
      <c r="A601">
        <v>3040254</v>
      </c>
      <c r="B601" t="s">
        <v>4907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1</v>
      </c>
      <c r="J601">
        <v>0</v>
      </c>
      <c r="K601">
        <v>0</v>
      </c>
      <c r="L601" t="s">
        <v>3284</v>
      </c>
      <c r="M601" t="s">
        <v>3327</v>
      </c>
      <c r="N601" t="s">
        <v>3376</v>
      </c>
      <c r="O601" t="s">
        <v>3377</v>
      </c>
      <c r="P601" t="s">
        <v>3378</v>
      </c>
      <c r="Q601" t="s">
        <v>3379</v>
      </c>
      <c r="R601" t="s">
        <v>4908</v>
      </c>
    </row>
    <row r="602" spans="1:18" x14ac:dyDescent="0.2">
      <c r="A602">
        <v>3040247</v>
      </c>
      <c r="B602" t="s">
        <v>4909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2</v>
      </c>
      <c r="J602">
        <v>1</v>
      </c>
      <c r="K602">
        <v>0</v>
      </c>
      <c r="L602" t="s">
        <v>3284</v>
      </c>
      <c r="M602" t="s">
        <v>3327</v>
      </c>
      <c r="N602" t="s">
        <v>3376</v>
      </c>
      <c r="O602" t="s">
        <v>3377</v>
      </c>
      <c r="P602" t="s">
        <v>3378</v>
      </c>
      <c r="Q602" t="s">
        <v>3379</v>
      </c>
      <c r="R602" t="s">
        <v>4910</v>
      </c>
    </row>
    <row r="603" spans="1:18" x14ac:dyDescent="0.2">
      <c r="A603">
        <v>3039801</v>
      </c>
      <c r="B603" t="s">
        <v>4911</v>
      </c>
      <c r="C603">
        <v>0</v>
      </c>
      <c r="D603">
        <v>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 t="s">
        <v>3284</v>
      </c>
      <c r="M603" t="s">
        <v>3296</v>
      </c>
      <c r="N603" t="s">
        <v>3343</v>
      </c>
      <c r="O603" t="s">
        <v>3344</v>
      </c>
      <c r="P603" t="s">
        <v>3661</v>
      </c>
      <c r="Q603" t="s">
        <v>3662</v>
      </c>
      <c r="R603" t="s">
        <v>4912</v>
      </c>
    </row>
    <row r="604" spans="1:18" x14ac:dyDescent="0.2">
      <c r="A604">
        <v>3039405</v>
      </c>
      <c r="B604" t="s">
        <v>4913</v>
      </c>
      <c r="C604">
        <v>0</v>
      </c>
      <c r="D604">
        <v>0</v>
      </c>
      <c r="E604">
        <v>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 t="s">
        <v>3284</v>
      </c>
      <c r="M604" t="s">
        <v>3296</v>
      </c>
      <c r="N604" t="s">
        <v>3297</v>
      </c>
      <c r="O604" t="s">
        <v>3298</v>
      </c>
      <c r="P604" t="s">
        <v>3873</v>
      </c>
      <c r="Q604" t="s">
        <v>4087</v>
      </c>
      <c r="R604" t="s">
        <v>4914</v>
      </c>
    </row>
    <row r="605" spans="1:18" x14ac:dyDescent="0.2">
      <c r="A605">
        <v>3039161</v>
      </c>
      <c r="B605" t="s">
        <v>4915</v>
      </c>
      <c r="C605">
        <v>0</v>
      </c>
      <c r="D605">
        <v>0</v>
      </c>
      <c r="E605">
        <v>0</v>
      </c>
      <c r="F605">
        <v>1</v>
      </c>
      <c r="G605">
        <v>1</v>
      </c>
      <c r="H605">
        <v>0</v>
      </c>
      <c r="I605">
        <v>0</v>
      </c>
      <c r="J605">
        <v>0</v>
      </c>
      <c r="K605">
        <v>0</v>
      </c>
      <c r="L605" t="s">
        <v>3284</v>
      </c>
      <c r="M605" t="s">
        <v>3307</v>
      </c>
      <c r="N605" t="s">
        <v>3308</v>
      </c>
      <c r="O605" t="s">
        <v>3359</v>
      </c>
      <c r="P605" t="s">
        <v>3360</v>
      </c>
      <c r="Q605" t="s">
        <v>4916</v>
      </c>
      <c r="R605" t="s">
        <v>4917</v>
      </c>
    </row>
    <row r="606" spans="1:18" x14ac:dyDescent="0.2">
      <c r="A606">
        <v>3039156</v>
      </c>
      <c r="B606" t="s">
        <v>4918</v>
      </c>
      <c r="C606">
        <v>0</v>
      </c>
      <c r="D606">
        <v>0</v>
      </c>
      <c r="E606">
        <v>0</v>
      </c>
      <c r="F606">
        <v>1</v>
      </c>
      <c r="G606">
        <v>0</v>
      </c>
      <c r="H606">
        <v>0</v>
      </c>
      <c r="I606">
        <v>1</v>
      </c>
      <c r="J606">
        <v>0</v>
      </c>
      <c r="K606">
        <v>0</v>
      </c>
      <c r="L606" t="s">
        <v>3284</v>
      </c>
      <c r="M606" t="s">
        <v>3296</v>
      </c>
      <c r="N606" t="s">
        <v>3343</v>
      </c>
      <c r="O606" t="s">
        <v>3344</v>
      </c>
      <c r="P606" t="s">
        <v>3355</v>
      </c>
      <c r="Q606" t="s">
        <v>3356</v>
      </c>
      <c r="R606" t="s">
        <v>4919</v>
      </c>
    </row>
    <row r="607" spans="1:18" x14ac:dyDescent="0.2">
      <c r="A607">
        <v>3039116</v>
      </c>
      <c r="B607" t="s">
        <v>4920</v>
      </c>
      <c r="C607">
        <v>2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3</v>
      </c>
      <c r="K607">
        <v>0</v>
      </c>
      <c r="L607" t="s">
        <v>3284</v>
      </c>
      <c r="M607" t="s">
        <v>3327</v>
      </c>
      <c r="N607" t="s">
        <v>3328</v>
      </c>
      <c r="O607" t="s">
        <v>4017</v>
      </c>
      <c r="P607" t="s">
        <v>4018</v>
      </c>
      <c r="Q607" t="s">
        <v>4507</v>
      </c>
      <c r="R607" t="s">
        <v>4921</v>
      </c>
    </row>
    <row r="608" spans="1:18" x14ac:dyDescent="0.2">
      <c r="A608">
        <v>3038567</v>
      </c>
      <c r="B608" t="s">
        <v>4922</v>
      </c>
      <c r="C608">
        <v>0</v>
      </c>
      <c r="D608">
        <v>0</v>
      </c>
      <c r="E608">
        <v>1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 t="s">
        <v>3284</v>
      </c>
      <c r="M608" t="s">
        <v>3296</v>
      </c>
      <c r="N608" t="s">
        <v>3321</v>
      </c>
      <c r="O608" t="s">
        <v>3322</v>
      </c>
      <c r="P608" t="s">
        <v>3423</v>
      </c>
      <c r="Q608" t="s">
        <v>4923</v>
      </c>
      <c r="R608" t="s">
        <v>4924</v>
      </c>
    </row>
    <row r="609" spans="1:18" x14ac:dyDescent="0.2">
      <c r="A609">
        <v>3038538</v>
      </c>
      <c r="B609" t="s">
        <v>4925</v>
      </c>
      <c r="C609">
        <v>0</v>
      </c>
      <c r="D609">
        <v>0</v>
      </c>
      <c r="E609">
        <v>0</v>
      </c>
      <c r="F609">
        <v>2</v>
      </c>
      <c r="G609">
        <v>0</v>
      </c>
      <c r="H609">
        <v>1</v>
      </c>
      <c r="I609">
        <v>0</v>
      </c>
      <c r="J609">
        <v>0</v>
      </c>
      <c r="K609">
        <v>0</v>
      </c>
      <c r="L609" t="s">
        <v>3284</v>
      </c>
      <c r="M609" t="s">
        <v>3307</v>
      </c>
      <c r="N609" t="s">
        <v>3308</v>
      </c>
      <c r="O609" t="s">
        <v>3309</v>
      </c>
      <c r="P609" t="s">
        <v>3310</v>
      </c>
      <c r="Q609" t="s">
        <v>3311</v>
      </c>
      <c r="R609" t="s">
        <v>4926</v>
      </c>
    </row>
    <row r="610" spans="1:18" x14ac:dyDescent="0.2">
      <c r="A610">
        <v>3037988</v>
      </c>
      <c r="B610" t="s">
        <v>4927</v>
      </c>
      <c r="C610">
        <v>0</v>
      </c>
      <c r="D610">
        <v>1</v>
      </c>
      <c r="E610">
        <v>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 t="s">
        <v>3284</v>
      </c>
      <c r="M610" t="s">
        <v>3327</v>
      </c>
      <c r="N610" t="s">
        <v>3328</v>
      </c>
      <c r="O610" t="s">
        <v>3329</v>
      </c>
      <c r="P610" t="s">
        <v>3330</v>
      </c>
      <c r="Q610" t="s">
        <v>3331</v>
      </c>
      <c r="R610" t="s">
        <v>4928</v>
      </c>
    </row>
    <row r="611" spans="1:18" x14ac:dyDescent="0.2">
      <c r="A611">
        <v>3037797</v>
      </c>
      <c r="B611" t="s">
        <v>4929</v>
      </c>
      <c r="C611">
        <v>0</v>
      </c>
      <c r="D611">
        <v>0</v>
      </c>
      <c r="E611">
        <v>0</v>
      </c>
      <c r="F611">
        <v>1</v>
      </c>
      <c r="G611">
        <v>0</v>
      </c>
      <c r="H611">
        <v>0</v>
      </c>
      <c r="I611">
        <v>0</v>
      </c>
      <c r="J611">
        <v>0</v>
      </c>
      <c r="K611">
        <v>0</v>
      </c>
      <c r="L611" t="s">
        <v>3284</v>
      </c>
      <c r="M611" t="s">
        <v>3296</v>
      </c>
      <c r="N611" t="s">
        <v>3321</v>
      </c>
      <c r="O611" t="s">
        <v>3322</v>
      </c>
      <c r="P611" t="s">
        <v>3671</v>
      </c>
      <c r="Q611" t="s">
        <v>4930</v>
      </c>
      <c r="R611" t="s">
        <v>4931</v>
      </c>
    </row>
    <row r="612" spans="1:18" x14ac:dyDescent="0.2">
      <c r="A612">
        <v>3037556</v>
      </c>
      <c r="B612" t="s">
        <v>4932</v>
      </c>
      <c r="C612">
        <v>0</v>
      </c>
      <c r="D612">
        <v>0</v>
      </c>
      <c r="E612">
        <v>0</v>
      </c>
      <c r="F612">
        <v>17</v>
      </c>
      <c r="G612">
        <v>14</v>
      </c>
      <c r="H612">
        <v>6</v>
      </c>
      <c r="I612">
        <v>0</v>
      </c>
      <c r="J612">
        <v>0</v>
      </c>
      <c r="K612">
        <v>0</v>
      </c>
      <c r="L612" t="s">
        <v>3284</v>
      </c>
      <c r="M612" t="s">
        <v>3296</v>
      </c>
      <c r="N612" t="s">
        <v>3343</v>
      </c>
      <c r="O612" t="s">
        <v>3344</v>
      </c>
      <c r="P612" t="s">
        <v>3355</v>
      </c>
      <c r="Q612" t="s">
        <v>3356</v>
      </c>
      <c r="R612" t="s">
        <v>4933</v>
      </c>
    </row>
    <row r="613" spans="1:18" x14ac:dyDescent="0.2">
      <c r="A613">
        <v>3037302</v>
      </c>
      <c r="B613" t="s">
        <v>4934</v>
      </c>
      <c r="C613">
        <v>0</v>
      </c>
      <c r="D613">
        <v>0</v>
      </c>
      <c r="E613">
        <v>0</v>
      </c>
      <c r="F613">
        <v>1</v>
      </c>
      <c r="G613">
        <v>0</v>
      </c>
      <c r="H613">
        <v>0</v>
      </c>
      <c r="I613">
        <v>0</v>
      </c>
      <c r="J613">
        <v>2</v>
      </c>
      <c r="K613">
        <v>1</v>
      </c>
      <c r="L613" t="s">
        <v>3284</v>
      </c>
      <c r="M613" t="s">
        <v>3296</v>
      </c>
      <c r="N613" t="s">
        <v>3343</v>
      </c>
      <c r="O613" t="s">
        <v>3344</v>
      </c>
      <c r="P613" t="s">
        <v>4935</v>
      </c>
      <c r="Q613" t="s">
        <v>4936</v>
      </c>
      <c r="R613" t="s">
        <v>4937</v>
      </c>
    </row>
    <row r="614" spans="1:18" x14ac:dyDescent="0.2">
      <c r="A614">
        <v>3037259</v>
      </c>
      <c r="B614" t="s">
        <v>4938</v>
      </c>
      <c r="C614">
        <v>1</v>
      </c>
      <c r="D614">
        <v>0</v>
      </c>
      <c r="E614">
        <v>0</v>
      </c>
      <c r="F614">
        <v>0</v>
      </c>
      <c r="G614">
        <v>1</v>
      </c>
      <c r="H614">
        <v>0</v>
      </c>
      <c r="I614">
        <v>0</v>
      </c>
      <c r="J614">
        <v>0</v>
      </c>
      <c r="K614">
        <v>0</v>
      </c>
      <c r="L614" t="s">
        <v>3284</v>
      </c>
      <c r="M614" t="s">
        <v>3296</v>
      </c>
      <c r="N614" t="s">
        <v>3343</v>
      </c>
      <c r="O614" t="s">
        <v>3344</v>
      </c>
      <c r="P614" t="s">
        <v>4785</v>
      </c>
      <c r="Q614" t="s">
        <v>4939</v>
      </c>
      <c r="R614" t="s">
        <v>4940</v>
      </c>
    </row>
    <row r="615" spans="1:18" x14ac:dyDescent="0.2">
      <c r="A615">
        <v>3037248</v>
      </c>
      <c r="B615" t="s">
        <v>4941</v>
      </c>
      <c r="C615">
        <v>0</v>
      </c>
      <c r="D615">
        <v>0</v>
      </c>
      <c r="E615">
        <v>0</v>
      </c>
      <c r="F615">
        <v>9</v>
      </c>
      <c r="G615">
        <v>6</v>
      </c>
      <c r="H615">
        <v>0</v>
      </c>
      <c r="I615">
        <v>0</v>
      </c>
      <c r="J615">
        <v>0</v>
      </c>
      <c r="K615">
        <v>0</v>
      </c>
      <c r="L615" t="s">
        <v>3284</v>
      </c>
      <c r="M615" t="s">
        <v>3296</v>
      </c>
      <c r="N615" t="s">
        <v>3297</v>
      </c>
      <c r="O615" t="s">
        <v>3469</v>
      </c>
      <c r="P615" t="s">
        <v>3470</v>
      </c>
      <c r="Q615" t="s">
        <v>3471</v>
      </c>
      <c r="R615" t="s">
        <v>4942</v>
      </c>
    </row>
    <row r="616" spans="1:18" x14ac:dyDescent="0.2">
      <c r="A616">
        <v>3037247</v>
      </c>
      <c r="B616" t="s">
        <v>4943</v>
      </c>
      <c r="C616">
        <v>0</v>
      </c>
      <c r="D616">
        <v>0</v>
      </c>
      <c r="E616">
        <v>0</v>
      </c>
      <c r="F616">
        <v>1</v>
      </c>
      <c r="G616">
        <v>4</v>
      </c>
      <c r="H616">
        <v>0</v>
      </c>
      <c r="I616">
        <v>0</v>
      </c>
      <c r="J616">
        <v>0</v>
      </c>
      <c r="K616">
        <v>0</v>
      </c>
      <c r="L616" t="s">
        <v>3284</v>
      </c>
      <c r="M616" t="s">
        <v>3296</v>
      </c>
      <c r="N616" t="s">
        <v>3343</v>
      </c>
      <c r="O616" t="s">
        <v>3349</v>
      </c>
      <c r="P616" t="s">
        <v>3350</v>
      </c>
      <c r="Q616" t="s">
        <v>3580</v>
      </c>
      <c r="R616" t="s">
        <v>4944</v>
      </c>
    </row>
    <row r="617" spans="1:18" x14ac:dyDescent="0.2">
      <c r="A617">
        <v>3036945</v>
      </c>
      <c r="B617" t="s">
        <v>4945</v>
      </c>
      <c r="C617">
        <v>0</v>
      </c>
      <c r="D617">
        <v>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 t="s">
        <v>3284</v>
      </c>
      <c r="M617" t="s">
        <v>3327</v>
      </c>
      <c r="N617" t="s">
        <v>3328</v>
      </c>
      <c r="O617" t="s">
        <v>3329</v>
      </c>
      <c r="P617" t="s">
        <v>3330</v>
      </c>
      <c r="Q617" t="s">
        <v>4946</v>
      </c>
      <c r="R617" t="s">
        <v>4947</v>
      </c>
    </row>
    <row r="618" spans="1:18" x14ac:dyDescent="0.2">
      <c r="A618">
        <v>3036374</v>
      </c>
      <c r="B618" t="s">
        <v>4948</v>
      </c>
      <c r="C618">
        <v>0</v>
      </c>
      <c r="D618">
        <v>0</v>
      </c>
      <c r="E618">
        <v>0</v>
      </c>
      <c r="F618">
        <v>2</v>
      </c>
      <c r="G618">
        <v>1</v>
      </c>
      <c r="H618">
        <v>0</v>
      </c>
      <c r="I618">
        <v>0</v>
      </c>
      <c r="J618">
        <v>0</v>
      </c>
      <c r="K618">
        <v>0</v>
      </c>
      <c r="L618" t="s">
        <v>3284</v>
      </c>
      <c r="M618" t="s">
        <v>3307</v>
      </c>
      <c r="N618" t="s">
        <v>3308</v>
      </c>
      <c r="O618" t="s">
        <v>3309</v>
      </c>
      <c r="P618" t="s">
        <v>3310</v>
      </c>
      <c r="Q618" t="s">
        <v>3311</v>
      </c>
      <c r="R618" t="s">
        <v>4949</v>
      </c>
    </row>
    <row r="619" spans="1:18" x14ac:dyDescent="0.2">
      <c r="A619">
        <v>3036359</v>
      </c>
      <c r="B619" t="s">
        <v>4950</v>
      </c>
      <c r="C619">
        <v>0</v>
      </c>
      <c r="D619">
        <v>0</v>
      </c>
      <c r="E619">
        <v>0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0</v>
      </c>
      <c r="L619" t="s">
        <v>3284</v>
      </c>
      <c r="M619" t="s">
        <v>3391</v>
      </c>
      <c r="N619" t="s">
        <v>3392</v>
      </c>
      <c r="O619" t="s">
        <v>3393</v>
      </c>
      <c r="P619" t="s">
        <v>4951</v>
      </c>
      <c r="Q619" t="s">
        <v>4952</v>
      </c>
      <c r="R619" t="s">
        <v>4953</v>
      </c>
    </row>
    <row r="620" spans="1:18" x14ac:dyDescent="0.2">
      <c r="A620">
        <v>3036128</v>
      </c>
      <c r="B620" t="s">
        <v>4954</v>
      </c>
      <c r="C620">
        <v>0</v>
      </c>
      <c r="D620">
        <v>0</v>
      </c>
      <c r="E620">
        <v>0</v>
      </c>
      <c r="F620">
        <v>1</v>
      </c>
      <c r="G620">
        <v>0</v>
      </c>
      <c r="H620">
        <v>0</v>
      </c>
      <c r="I620">
        <v>0</v>
      </c>
      <c r="J620">
        <v>0</v>
      </c>
      <c r="K620">
        <v>0</v>
      </c>
      <c r="L620" t="s">
        <v>3284</v>
      </c>
      <c r="M620" t="s">
        <v>3296</v>
      </c>
      <c r="N620" t="s">
        <v>3321</v>
      </c>
      <c r="O620" t="s">
        <v>3322</v>
      </c>
      <c r="P620" t="s">
        <v>3398</v>
      </c>
      <c r="Q620" t="s">
        <v>4955</v>
      </c>
      <c r="R620" t="s">
        <v>4956</v>
      </c>
    </row>
    <row r="621" spans="1:18" x14ac:dyDescent="0.2">
      <c r="A621">
        <v>3036126</v>
      </c>
      <c r="B621" t="s">
        <v>4957</v>
      </c>
      <c r="C621">
        <v>1</v>
      </c>
      <c r="D621">
        <v>0</v>
      </c>
      <c r="E621">
        <v>1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 t="s">
        <v>3284</v>
      </c>
      <c r="M621" t="s">
        <v>3327</v>
      </c>
      <c r="N621" t="s">
        <v>3328</v>
      </c>
      <c r="O621" t="s">
        <v>4184</v>
      </c>
      <c r="P621" t="s">
        <v>4185</v>
      </c>
      <c r="Q621" t="s">
        <v>4186</v>
      </c>
      <c r="R621" t="s">
        <v>4958</v>
      </c>
    </row>
    <row r="622" spans="1:18" x14ac:dyDescent="0.2">
      <c r="A622">
        <v>3035920</v>
      </c>
      <c r="B622" t="s">
        <v>4959</v>
      </c>
      <c r="C622">
        <v>0</v>
      </c>
      <c r="D622">
        <v>0</v>
      </c>
      <c r="E622">
        <v>0</v>
      </c>
      <c r="F622">
        <v>1</v>
      </c>
      <c r="G622">
        <v>0</v>
      </c>
      <c r="H622">
        <v>0</v>
      </c>
      <c r="I622">
        <v>0</v>
      </c>
      <c r="J622">
        <v>0</v>
      </c>
      <c r="K622">
        <v>0</v>
      </c>
      <c r="L622" t="s">
        <v>3284</v>
      </c>
      <c r="M622" t="s">
        <v>3307</v>
      </c>
      <c r="N622" t="s">
        <v>3308</v>
      </c>
      <c r="O622" t="s">
        <v>3359</v>
      </c>
      <c r="P622" t="s">
        <v>3407</v>
      </c>
      <c r="Q622" t="s">
        <v>3408</v>
      </c>
      <c r="R622" t="s">
        <v>4960</v>
      </c>
    </row>
    <row r="623" spans="1:18" x14ac:dyDescent="0.2">
      <c r="A623">
        <v>3035915</v>
      </c>
      <c r="B623" t="s">
        <v>4961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</v>
      </c>
      <c r="J623">
        <v>0</v>
      </c>
      <c r="K623">
        <v>0</v>
      </c>
      <c r="L623" t="s">
        <v>3284</v>
      </c>
      <c r="M623" t="s">
        <v>3307</v>
      </c>
      <c r="N623" t="s">
        <v>3308</v>
      </c>
      <c r="O623" t="s">
        <v>3359</v>
      </c>
      <c r="P623" t="s">
        <v>3360</v>
      </c>
      <c r="Q623" t="s">
        <v>3515</v>
      </c>
      <c r="R623" t="s">
        <v>4962</v>
      </c>
    </row>
    <row r="624" spans="1:18" x14ac:dyDescent="0.2">
      <c r="A624">
        <v>3035702</v>
      </c>
      <c r="B624" t="s">
        <v>4963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2</v>
      </c>
      <c r="J624">
        <v>0</v>
      </c>
      <c r="K624">
        <v>0</v>
      </c>
      <c r="L624" t="s">
        <v>3284</v>
      </c>
      <c r="M624" t="s">
        <v>4628</v>
      </c>
      <c r="N624" t="s">
        <v>4964</v>
      </c>
      <c r="O624" t="s">
        <v>4965</v>
      </c>
      <c r="P624" t="s">
        <v>4966</v>
      </c>
      <c r="Q624" t="s">
        <v>4967</v>
      </c>
      <c r="R624" t="s">
        <v>4968</v>
      </c>
    </row>
    <row r="625" spans="1:18" x14ac:dyDescent="0.2">
      <c r="A625">
        <v>3035297</v>
      </c>
      <c r="B625" t="s">
        <v>4969</v>
      </c>
      <c r="C625">
        <v>0</v>
      </c>
      <c r="D625">
        <v>0</v>
      </c>
      <c r="E625">
        <v>0</v>
      </c>
      <c r="F625">
        <v>1</v>
      </c>
      <c r="G625">
        <v>1</v>
      </c>
      <c r="H625">
        <v>0</v>
      </c>
      <c r="I625">
        <v>0</v>
      </c>
      <c r="J625">
        <v>0</v>
      </c>
      <c r="K625">
        <v>0</v>
      </c>
      <c r="L625" t="s">
        <v>3284</v>
      </c>
      <c r="M625" t="s">
        <v>3307</v>
      </c>
      <c r="N625" t="s">
        <v>3308</v>
      </c>
      <c r="O625" t="s">
        <v>3359</v>
      </c>
      <c r="P625" t="s">
        <v>3588</v>
      </c>
      <c r="Q625" t="s">
        <v>4970</v>
      </c>
      <c r="R625" t="s">
        <v>4971</v>
      </c>
    </row>
    <row r="626" spans="1:18" x14ac:dyDescent="0.2">
      <c r="A626">
        <v>3035294</v>
      </c>
      <c r="B626" t="s">
        <v>4972</v>
      </c>
      <c r="C626">
        <v>0</v>
      </c>
      <c r="D626">
        <v>0</v>
      </c>
      <c r="E626">
        <v>0</v>
      </c>
      <c r="F626">
        <v>2</v>
      </c>
      <c r="G626">
        <v>0</v>
      </c>
      <c r="H626">
        <v>0</v>
      </c>
      <c r="I626">
        <v>0</v>
      </c>
      <c r="J626">
        <v>0</v>
      </c>
      <c r="K626">
        <v>0</v>
      </c>
      <c r="L626" t="s">
        <v>3284</v>
      </c>
      <c r="M626" t="s">
        <v>3296</v>
      </c>
      <c r="N626" t="s">
        <v>3297</v>
      </c>
      <c r="O626" t="s">
        <v>3434</v>
      </c>
      <c r="P626" t="s">
        <v>3435</v>
      </c>
      <c r="Q626" t="s">
        <v>3436</v>
      </c>
      <c r="R626" t="s">
        <v>4973</v>
      </c>
    </row>
    <row r="627" spans="1:18" x14ac:dyDescent="0.2">
      <c r="A627">
        <v>3034151</v>
      </c>
      <c r="B627" t="s">
        <v>4974</v>
      </c>
      <c r="C627">
        <v>0</v>
      </c>
      <c r="D627">
        <v>0</v>
      </c>
      <c r="E627">
        <v>0</v>
      </c>
      <c r="F627">
        <v>3</v>
      </c>
      <c r="G627">
        <v>0</v>
      </c>
      <c r="H627">
        <v>0</v>
      </c>
      <c r="I627">
        <v>1</v>
      </c>
      <c r="J627">
        <v>0</v>
      </c>
      <c r="K627">
        <v>0</v>
      </c>
      <c r="L627" t="s">
        <v>3284</v>
      </c>
      <c r="M627" t="s">
        <v>3391</v>
      </c>
      <c r="N627" t="s">
        <v>3392</v>
      </c>
      <c r="O627" t="s">
        <v>3393</v>
      </c>
      <c r="P627" t="s">
        <v>3394</v>
      </c>
      <c r="Q627" t="s">
        <v>3395</v>
      </c>
      <c r="R627" t="s">
        <v>4975</v>
      </c>
    </row>
    <row r="628" spans="1:18" x14ac:dyDescent="0.2">
      <c r="A628">
        <v>3034150</v>
      </c>
      <c r="B628" t="s">
        <v>4976</v>
      </c>
      <c r="C628">
        <v>0</v>
      </c>
      <c r="D628">
        <v>0</v>
      </c>
      <c r="E628">
        <v>0</v>
      </c>
      <c r="F628">
        <v>1</v>
      </c>
      <c r="G628">
        <v>2</v>
      </c>
      <c r="H628">
        <v>0</v>
      </c>
      <c r="I628">
        <v>0</v>
      </c>
      <c r="J628">
        <v>1</v>
      </c>
      <c r="K628">
        <v>0</v>
      </c>
      <c r="L628" t="s">
        <v>3284</v>
      </c>
      <c r="M628" t="s">
        <v>3391</v>
      </c>
      <c r="N628" t="s">
        <v>4129</v>
      </c>
      <c r="O628" t="s">
        <v>4130</v>
      </c>
      <c r="P628" t="s">
        <v>4131</v>
      </c>
      <c r="Q628" t="s">
        <v>4977</v>
      </c>
      <c r="R628" t="s">
        <v>4978</v>
      </c>
    </row>
    <row r="629" spans="1:18" x14ac:dyDescent="0.2">
      <c r="A629">
        <v>3034149</v>
      </c>
      <c r="B629" t="s">
        <v>4979</v>
      </c>
      <c r="C629">
        <v>0</v>
      </c>
      <c r="D629">
        <v>0</v>
      </c>
      <c r="E629">
        <v>0</v>
      </c>
      <c r="F629">
        <v>1</v>
      </c>
      <c r="G629">
        <v>0</v>
      </c>
      <c r="H629">
        <v>0</v>
      </c>
      <c r="I629">
        <v>0</v>
      </c>
      <c r="J629">
        <v>0</v>
      </c>
      <c r="K629">
        <v>0</v>
      </c>
      <c r="L629" t="s">
        <v>3284</v>
      </c>
      <c r="M629" t="s">
        <v>3391</v>
      </c>
      <c r="N629" t="s">
        <v>3411</v>
      </c>
      <c r="O629" t="s">
        <v>3412</v>
      </c>
      <c r="P629" t="s">
        <v>3413</v>
      </c>
      <c r="Q629" t="s">
        <v>3414</v>
      </c>
      <c r="R629" t="s">
        <v>4980</v>
      </c>
    </row>
    <row r="630" spans="1:18" x14ac:dyDescent="0.2">
      <c r="A630">
        <v>3034147</v>
      </c>
      <c r="B630" t="s">
        <v>4981</v>
      </c>
      <c r="C630">
        <v>0</v>
      </c>
      <c r="D630">
        <v>0</v>
      </c>
      <c r="E630">
        <v>0</v>
      </c>
      <c r="F630">
        <v>1</v>
      </c>
      <c r="G630">
        <v>1</v>
      </c>
      <c r="H630">
        <v>0</v>
      </c>
      <c r="I630">
        <v>0</v>
      </c>
      <c r="J630">
        <v>0</v>
      </c>
      <c r="K630">
        <v>0</v>
      </c>
      <c r="L630" t="s">
        <v>3284</v>
      </c>
      <c r="M630" t="s">
        <v>3391</v>
      </c>
      <c r="N630" t="s">
        <v>4129</v>
      </c>
      <c r="O630" t="s">
        <v>4130</v>
      </c>
      <c r="P630" t="s">
        <v>4131</v>
      </c>
      <c r="Q630" t="s">
        <v>4982</v>
      </c>
      <c r="R630" t="s">
        <v>4983</v>
      </c>
    </row>
    <row r="631" spans="1:18" x14ac:dyDescent="0.2">
      <c r="A631">
        <v>3034146</v>
      </c>
      <c r="B631" t="s">
        <v>4984</v>
      </c>
      <c r="C631">
        <v>0</v>
      </c>
      <c r="D631">
        <v>1</v>
      </c>
      <c r="E631">
        <v>0</v>
      </c>
      <c r="F631">
        <v>34</v>
      </c>
      <c r="G631">
        <v>23</v>
      </c>
      <c r="H631">
        <v>1</v>
      </c>
      <c r="I631">
        <v>1</v>
      </c>
      <c r="J631">
        <v>0</v>
      </c>
      <c r="K631">
        <v>0</v>
      </c>
      <c r="L631" t="s">
        <v>3284</v>
      </c>
      <c r="M631" t="s">
        <v>3391</v>
      </c>
      <c r="N631" t="s">
        <v>3411</v>
      </c>
      <c r="O631" t="s">
        <v>3412</v>
      </c>
      <c r="P631" t="s">
        <v>3413</v>
      </c>
      <c r="Q631" t="s">
        <v>3414</v>
      </c>
      <c r="R631" t="s">
        <v>4985</v>
      </c>
    </row>
    <row r="632" spans="1:18" x14ac:dyDescent="0.2">
      <c r="A632">
        <v>3034021</v>
      </c>
      <c r="B632" t="s">
        <v>4986</v>
      </c>
      <c r="C632">
        <v>0</v>
      </c>
      <c r="D632">
        <v>1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 t="s">
        <v>3284</v>
      </c>
      <c r="M632" t="s">
        <v>3816</v>
      </c>
      <c r="N632" t="s">
        <v>4987</v>
      </c>
      <c r="O632" t="s">
        <v>4988</v>
      </c>
      <c r="P632" t="s">
        <v>4989</v>
      </c>
      <c r="Q632" t="s">
        <v>4990</v>
      </c>
      <c r="R632" t="s">
        <v>4991</v>
      </c>
    </row>
    <row r="633" spans="1:18" x14ac:dyDescent="0.2">
      <c r="A633">
        <v>3034019</v>
      </c>
      <c r="B633" t="s">
        <v>4992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1</v>
      </c>
      <c r="L633" t="s">
        <v>3284</v>
      </c>
      <c r="M633" t="s">
        <v>3391</v>
      </c>
      <c r="N633" t="s">
        <v>3740</v>
      </c>
      <c r="O633" t="s">
        <v>3741</v>
      </c>
      <c r="P633" t="s">
        <v>4993</v>
      </c>
      <c r="Q633" t="s">
        <v>4994</v>
      </c>
      <c r="R633" t="s">
        <v>4995</v>
      </c>
    </row>
    <row r="634" spans="1:18" x14ac:dyDescent="0.2">
      <c r="A634">
        <v>3034018</v>
      </c>
      <c r="B634" t="s">
        <v>4996</v>
      </c>
      <c r="C634">
        <v>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 t="s">
        <v>3284</v>
      </c>
      <c r="M634" t="s">
        <v>3391</v>
      </c>
      <c r="N634" t="s">
        <v>3740</v>
      </c>
      <c r="O634" t="s">
        <v>3741</v>
      </c>
      <c r="P634" t="s">
        <v>3742</v>
      </c>
      <c r="Q634" t="s">
        <v>4997</v>
      </c>
      <c r="R634" t="s">
        <v>4998</v>
      </c>
    </row>
    <row r="635" spans="1:18" x14ac:dyDescent="0.2">
      <c r="A635">
        <v>3032596</v>
      </c>
      <c r="B635" t="s">
        <v>4999</v>
      </c>
      <c r="C635">
        <v>1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 t="s">
        <v>3284</v>
      </c>
      <c r="M635" t="s">
        <v>3296</v>
      </c>
      <c r="N635" t="s">
        <v>3343</v>
      </c>
      <c r="O635" t="s">
        <v>3371</v>
      </c>
      <c r="P635" t="s">
        <v>3271</v>
      </c>
      <c r="Q635" t="s">
        <v>5000</v>
      </c>
      <c r="R635" t="s">
        <v>5001</v>
      </c>
    </row>
    <row r="636" spans="1:18" x14ac:dyDescent="0.2">
      <c r="A636">
        <v>3031997</v>
      </c>
      <c r="B636" t="s">
        <v>5002</v>
      </c>
      <c r="C636">
        <v>0</v>
      </c>
      <c r="D636">
        <v>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 t="s">
        <v>3284</v>
      </c>
      <c r="M636" t="s">
        <v>3391</v>
      </c>
      <c r="N636" t="s">
        <v>3411</v>
      </c>
      <c r="O636" t="s">
        <v>3412</v>
      </c>
      <c r="P636" t="s">
        <v>3413</v>
      </c>
      <c r="Q636" t="s">
        <v>3414</v>
      </c>
      <c r="R636" t="s">
        <v>5003</v>
      </c>
    </row>
    <row r="637" spans="1:18" x14ac:dyDescent="0.2">
      <c r="A637">
        <v>3031728</v>
      </c>
      <c r="B637" t="s">
        <v>5004</v>
      </c>
      <c r="C637">
        <v>0</v>
      </c>
      <c r="D637">
        <v>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 t="s">
        <v>3284</v>
      </c>
      <c r="M637" t="s">
        <v>3307</v>
      </c>
      <c r="N637" t="s">
        <v>3308</v>
      </c>
      <c r="O637" t="s">
        <v>3359</v>
      </c>
      <c r="P637" t="s">
        <v>5005</v>
      </c>
      <c r="Q637" t="s">
        <v>5006</v>
      </c>
      <c r="R637" t="s">
        <v>5007</v>
      </c>
    </row>
    <row r="638" spans="1:18" x14ac:dyDescent="0.2">
      <c r="A638">
        <v>3031331</v>
      </c>
      <c r="B638" t="s">
        <v>5008</v>
      </c>
      <c r="C638">
        <v>0</v>
      </c>
      <c r="D638">
        <v>0</v>
      </c>
      <c r="E638">
        <v>0</v>
      </c>
      <c r="F638">
        <v>2</v>
      </c>
      <c r="G638">
        <v>0</v>
      </c>
      <c r="H638">
        <v>0</v>
      </c>
      <c r="I638">
        <v>0</v>
      </c>
      <c r="J638">
        <v>0</v>
      </c>
      <c r="K638">
        <v>0</v>
      </c>
      <c r="L638" t="s">
        <v>3284</v>
      </c>
      <c r="M638" t="s">
        <v>3296</v>
      </c>
      <c r="N638" t="s">
        <v>3321</v>
      </c>
      <c r="O638" t="s">
        <v>3322</v>
      </c>
      <c r="P638" t="s">
        <v>3398</v>
      </c>
      <c r="Q638" t="s">
        <v>3696</v>
      </c>
      <c r="R638" t="s">
        <v>5009</v>
      </c>
    </row>
    <row r="639" spans="1:18" x14ac:dyDescent="0.2">
      <c r="A639">
        <v>3031326</v>
      </c>
      <c r="B639" t="s">
        <v>5010</v>
      </c>
      <c r="C639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 t="s">
        <v>3284</v>
      </c>
      <c r="M639" t="s">
        <v>3327</v>
      </c>
      <c r="N639" t="s">
        <v>3376</v>
      </c>
      <c r="O639" t="s">
        <v>3377</v>
      </c>
      <c r="P639" t="s">
        <v>3378</v>
      </c>
      <c r="Q639" t="s">
        <v>3583</v>
      </c>
      <c r="R639" t="s">
        <v>5011</v>
      </c>
    </row>
    <row r="640" spans="1:18" x14ac:dyDescent="0.2">
      <c r="A640">
        <v>3031322</v>
      </c>
      <c r="B640" t="s">
        <v>5012</v>
      </c>
      <c r="C640">
        <v>0</v>
      </c>
      <c r="D640">
        <v>0</v>
      </c>
      <c r="E640">
        <v>0</v>
      </c>
      <c r="F640">
        <v>1</v>
      </c>
      <c r="G640">
        <v>0</v>
      </c>
      <c r="H640">
        <v>0</v>
      </c>
      <c r="I640">
        <v>0</v>
      </c>
      <c r="J640">
        <v>0</v>
      </c>
      <c r="K640">
        <v>0</v>
      </c>
      <c r="L640" t="s">
        <v>3284</v>
      </c>
      <c r="M640" t="s">
        <v>3296</v>
      </c>
      <c r="N640" t="s">
        <v>3321</v>
      </c>
      <c r="O640" t="s">
        <v>3322</v>
      </c>
      <c r="P640" t="s">
        <v>3398</v>
      </c>
      <c r="Q640" t="s">
        <v>5013</v>
      </c>
      <c r="R640" t="s">
        <v>5014</v>
      </c>
    </row>
    <row r="641" spans="1:18" x14ac:dyDescent="0.2">
      <c r="A641">
        <v>3031321</v>
      </c>
      <c r="B641" t="s">
        <v>5015</v>
      </c>
      <c r="C641">
        <v>0</v>
      </c>
      <c r="D641">
        <v>0</v>
      </c>
      <c r="E641">
        <v>0</v>
      </c>
      <c r="F641">
        <v>3</v>
      </c>
      <c r="G641">
        <v>0</v>
      </c>
      <c r="H641">
        <v>0</v>
      </c>
      <c r="I641">
        <v>23</v>
      </c>
      <c r="J641">
        <v>8</v>
      </c>
      <c r="K641">
        <v>4</v>
      </c>
      <c r="L641" t="s">
        <v>3284</v>
      </c>
      <c r="M641" t="s">
        <v>3307</v>
      </c>
      <c r="N641" t="s">
        <v>3308</v>
      </c>
      <c r="O641" t="s">
        <v>3359</v>
      </c>
      <c r="P641" t="s">
        <v>3360</v>
      </c>
      <c r="Q641" t="s">
        <v>4121</v>
      </c>
      <c r="R641" t="s">
        <v>5016</v>
      </c>
    </row>
    <row r="642" spans="1:18" x14ac:dyDescent="0.2">
      <c r="A642">
        <v>3031132</v>
      </c>
      <c r="B642" t="s">
        <v>5017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1</v>
      </c>
      <c r="J642">
        <v>0</v>
      </c>
      <c r="K642">
        <v>0</v>
      </c>
      <c r="L642" t="s">
        <v>3284</v>
      </c>
      <c r="M642" t="s">
        <v>3307</v>
      </c>
      <c r="N642" t="s">
        <v>3308</v>
      </c>
      <c r="O642" t="s">
        <v>3359</v>
      </c>
      <c r="P642" t="s">
        <v>3360</v>
      </c>
      <c r="Q642" t="s">
        <v>3361</v>
      </c>
      <c r="R642" t="s">
        <v>5018</v>
      </c>
    </row>
    <row r="643" spans="1:18" x14ac:dyDescent="0.2">
      <c r="A643">
        <v>3031130</v>
      </c>
      <c r="B643" t="s">
        <v>5019</v>
      </c>
      <c r="C643">
        <v>0</v>
      </c>
      <c r="D643">
        <v>0</v>
      </c>
      <c r="E643">
        <v>0</v>
      </c>
      <c r="F643">
        <v>1</v>
      </c>
      <c r="G643">
        <v>2</v>
      </c>
      <c r="H643">
        <v>0</v>
      </c>
      <c r="I643">
        <v>0</v>
      </c>
      <c r="J643">
        <v>0</v>
      </c>
      <c r="K643">
        <v>0</v>
      </c>
      <c r="L643" t="s">
        <v>3284</v>
      </c>
      <c r="M643" t="s">
        <v>3296</v>
      </c>
      <c r="N643" t="s">
        <v>3343</v>
      </c>
      <c r="O643" t="s">
        <v>3349</v>
      </c>
      <c r="P643" t="s">
        <v>3350</v>
      </c>
      <c r="Q643" t="s">
        <v>3351</v>
      </c>
      <c r="R643" t="s">
        <v>5020</v>
      </c>
    </row>
    <row r="644" spans="1:18" x14ac:dyDescent="0.2">
      <c r="A644">
        <v>3030834</v>
      </c>
      <c r="B644" t="s">
        <v>5021</v>
      </c>
      <c r="C644">
        <v>0</v>
      </c>
      <c r="D644">
        <v>0</v>
      </c>
      <c r="E644">
        <v>0</v>
      </c>
      <c r="F644">
        <v>1</v>
      </c>
      <c r="G644">
        <v>1</v>
      </c>
      <c r="H644">
        <v>0</v>
      </c>
      <c r="I644">
        <v>0</v>
      </c>
      <c r="J644">
        <v>0</v>
      </c>
      <c r="K644">
        <v>0</v>
      </c>
      <c r="L644" t="s">
        <v>3284</v>
      </c>
      <c r="M644" t="s">
        <v>3296</v>
      </c>
      <c r="N644" t="s">
        <v>3343</v>
      </c>
      <c r="O644" t="s">
        <v>3349</v>
      </c>
      <c r="P644" t="s">
        <v>3350</v>
      </c>
      <c r="Q644" t="s">
        <v>4175</v>
      </c>
      <c r="R644" t="s">
        <v>5022</v>
      </c>
    </row>
    <row r="645" spans="1:18" x14ac:dyDescent="0.2">
      <c r="A645">
        <v>3029569</v>
      </c>
      <c r="B645" t="s">
        <v>5023</v>
      </c>
      <c r="C645">
        <v>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</v>
      </c>
      <c r="J645">
        <v>1</v>
      </c>
      <c r="K645">
        <v>0</v>
      </c>
      <c r="L645" t="s">
        <v>3284</v>
      </c>
      <c r="M645" t="s">
        <v>3327</v>
      </c>
      <c r="N645" t="s">
        <v>3753</v>
      </c>
      <c r="O645" t="s">
        <v>3754</v>
      </c>
      <c r="P645" t="s">
        <v>3755</v>
      </c>
      <c r="Q645" t="s">
        <v>3756</v>
      </c>
      <c r="R645" t="s">
        <v>5024</v>
      </c>
    </row>
    <row r="646" spans="1:18" x14ac:dyDescent="0.2">
      <c r="A646">
        <v>3029053</v>
      </c>
      <c r="B646" t="s">
        <v>5025</v>
      </c>
      <c r="C646">
        <v>0</v>
      </c>
      <c r="D646">
        <v>0</v>
      </c>
      <c r="E646">
        <v>0</v>
      </c>
      <c r="F646">
        <v>0</v>
      </c>
      <c r="G646">
        <v>1</v>
      </c>
      <c r="H646">
        <v>0</v>
      </c>
      <c r="I646">
        <v>0</v>
      </c>
      <c r="J646">
        <v>0</v>
      </c>
      <c r="K646">
        <v>0</v>
      </c>
      <c r="L646" t="s">
        <v>3284</v>
      </c>
      <c r="M646" t="s">
        <v>3391</v>
      </c>
      <c r="N646" t="s">
        <v>3392</v>
      </c>
      <c r="O646" t="s">
        <v>3393</v>
      </c>
      <c r="P646" t="s">
        <v>3394</v>
      </c>
      <c r="Q646" t="s">
        <v>4082</v>
      </c>
      <c r="R646" t="s">
        <v>5026</v>
      </c>
    </row>
    <row r="647" spans="1:18" x14ac:dyDescent="0.2">
      <c r="A647">
        <v>3028296</v>
      </c>
      <c r="B647" t="s">
        <v>5027</v>
      </c>
      <c r="C647">
        <v>0</v>
      </c>
      <c r="D647">
        <v>0</v>
      </c>
      <c r="E647">
        <v>2</v>
      </c>
      <c r="F647">
        <v>1</v>
      </c>
      <c r="G647">
        <v>0</v>
      </c>
      <c r="H647">
        <v>1</v>
      </c>
      <c r="I647">
        <v>0</v>
      </c>
      <c r="J647">
        <v>0</v>
      </c>
      <c r="K647">
        <v>0</v>
      </c>
      <c r="L647" t="s">
        <v>4270</v>
      </c>
      <c r="M647" t="s">
        <v>4271</v>
      </c>
      <c r="N647" t="s">
        <v>4272</v>
      </c>
      <c r="O647" t="s">
        <v>4273</v>
      </c>
      <c r="P647" t="s">
        <v>4274</v>
      </c>
      <c r="Q647" t="s">
        <v>5028</v>
      </c>
      <c r="R647" t="s">
        <v>5029</v>
      </c>
    </row>
    <row r="648" spans="1:18" x14ac:dyDescent="0.2">
      <c r="A648">
        <v>3027921</v>
      </c>
      <c r="B648" t="s">
        <v>5030</v>
      </c>
      <c r="C648">
        <v>0</v>
      </c>
      <c r="D648">
        <v>1</v>
      </c>
      <c r="E648">
        <v>0</v>
      </c>
      <c r="F648">
        <v>1</v>
      </c>
      <c r="G648">
        <v>0</v>
      </c>
      <c r="H648">
        <v>0</v>
      </c>
      <c r="I648">
        <v>0</v>
      </c>
      <c r="J648">
        <v>0</v>
      </c>
      <c r="K648">
        <v>0</v>
      </c>
      <c r="L648" t="s">
        <v>3284</v>
      </c>
      <c r="M648" t="s">
        <v>3307</v>
      </c>
      <c r="N648" t="s">
        <v>3308</v>
      </c>
      <c r="O648" t="s">
        <v>3359</v>
      </c>
      <c r="P648" t="s">
        <v>3360</v>
      </c>
      <c r="Q648" t="s">
        <v>3361</v>
      </c>
      <c r="R648" t="s">
        <v>5031</v>
      </c>
    </row>
    <row r="649" spans="1:18" x14ac:dyDescent="0.2">
      <c r="A649">
        <v>3027474</v>
      </c>
      <c r="B649" t="s">
        <v>5032</v>
      </c>
      <c r="C649">
        <v>4</v>
      </c>
      <c r="D649">
        <v>4</v>
      </c>
      <c r="E649">
        <v>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 t="s">
        <v>3284</v>
      </c>
      <c r="M649" t="s">
        <v>3327</v>
      </c>
      <c r="N649" t="s">
        <v>3328</v>
      </c>
      <c r="O649" t="s">
        <v>3329</v>
      </c>
      <c r="P649" t="s">
        <v>3330</v>
      </c>
      <c r="Q649" t="s">
        <v>3331</v>
      </c>
      <c r="R649" t="s">
        <v>5033</v>
      </c>
    </row>
    <row r="650" spans="1:18" x14ac:dyDescent="0.2">
      <c r="A650">
        <v>3027225</v>
      </c>
      <c r="B650" t="s">
        <v>5034</v>
      </c>
      <c r="C650">
        <v>0</v>
      </c>
      <c r="D650">
        <v>0</v>
      </c>
      <c r="E650">
        <v>0</v>
      </c>
      <c r="F650">
        <v>1</v>
      </c>
      <c r="G650">
        <v>0</v>
      </c>
      <c r="H650">
        <v>2</v>
      </c>
      <c r="I650">
        <v>0</v>
      </c>
      <c r="J650">
        <v>0</v>
      </c>
      <c r="K650">
        <v>0</v>
      </c>
      <c r="L650" t="s">
        <v>3284</v>
      </c>
      <c r="M650" t="s">
        <v>3296</v>
      </c>
      <c r="N650" t="s">
        <v>3297</v>
      </c>
      <c r="O650" t="s">
        <v>3469</v>
      </c>
      <c r="P650" t="s">
        <v>3470</v>
      </c>
      <c r="Q650" t="s">
        <v>3471</v>
      </c>
      <c r="R650" t="s">
        <v>5035</v>
      </c>
    </row>
    <row r="651" spans="1:18" x14ac:dyDescent="0.2">
      <c r="A651">
        <v>3026422</v>
      </c>
      <c r="B651" t="s">
        <v>5036</v>
      </c>
      <c r="C651">
        <v>14</v>
      </c>
      <c r="D651">
        <v>15</v>
      </c>
      <c r="E651">
        <v>10</v>
      </c>
      <c r="F651">
        <v>0</v>
      </c>
      <c r="G651">
        <v>1</v>
      </c>
      <c r="H651">
        <v>0</v>
      </c>
      <c r="I651">
        <v>0</v>
      </c>
      <c r="J651">
        <v>0</v>
      </c>
      <c r="K651">
        <v>0</v>
      </c>
      <c r="L651" t="s">
        <v>3284</v>
      </c>
      <c r="M651" t="s">
        <v>3296</v>
      </c>
      <c r="N651" t="s">
        <v>3321</v>
      </c>
      <c r="O651" t="s">
        <v>3322</v>
      </c>
      <c r="P651" t="s">
        <v>3398</v>
      </c>
      <c r="Q651" t="s">
        <v>4542</v>
      </c>
      <c r="R651" t="s">
        <v>5037</v>
      </c>
    </row>
    <row r="652" spans="1:18" x14ac:dyDescent="0.2">
      <c r="A652">
        <v>3026419</v>
      </c>
      <c r="B652" t="s">
        <v>5038</v>
      </c>
      <c r="C652">
        <v>2</v>
      </c>
      <c r="D652">
        <v>1</v>
      </c>
      <c r="E652">
        <v>4</v>
      </c>
      <c r="F652">
        <v>0</v>
      </c>
      <c r="G652">
        <v>0</v>
      </c>
      <c r="H652">
        <v>0</v>
      </c>
      <c r="I652">
        <v>1</v>
      </c>
      <c r="J652">
        <v>1</v>
      </c>
      <c r="K652">
        <v>0</v>
      </c>
      <c r="L652" t="s">
        <v>3284</v>
      </c>
      <c r="M652" t="s">
        <v>3296</v>
      </c>
      <c r="N652" t="s">
        <v>3321</v>
      </c>
      <c r="O652" t="s">
        <v>3322</v>
      </c>
      <c r="P652" t="s">
        <v>3398</v>
      </c>
      <c r="Q652" t="s">
        <v>4542</v>
      </c>
      <c r="R652" t="s">
        <v>5039</v>
      </c>
    </row>
    <row r="653" spans="1:18" x14ac:dyDescent="0.2">
      <c r="A653">
        <v>3025938</v>
      </c>
      <c r="B653" t="s">
        <v>5040</v>
      </c>
      <c r="C653">
        <v>0</v>
      </c>
      <c r="D653">
        <v>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 t="s">
        <v>3284</v>
      </c>
      <c r="M653" t="s">
        <v>3296</v>
      </c>
      <c r="N653" t="s">
        <v>3343</v>
      </c>
      <c r="O653" t="s">
        <v>3344</v>
      </c>
      <c r="P653" t="s">
        <v>3345</v>
      </c>
      <c r="Q653" t="s">
        <v>3346</v>
      </c>
      <c r="R653" t="s">
        <v>5041</v>
      </c>
    </row>
    <row r="654" spans="1:18" x14ac:dyDescent="0.2">
      <c r="A654">
        <v>3025878</v>
      </c>
      <c r="B654" t="s">
        <v>5042</v>
      </c>
      <c r="C654">
        <v>1</v>
      </c>
      <c r="D654">
        <v>0</v>
      </c>
      <c r="E654">
        <v>0</v>
      </c>
      <c r="F654">
        <v>0</v>
      </c>
      <c r="G654">
        <v>1</v>
      </c>
      <c r="H654">
        <v>1</v>
      </c>
      <c r="I654">
        <v>0</v>
      </c>
      <c r="J654">
        <v>0</v>
      </c>
      <c r="K654">
        <v>0</v>
      </c>
      <c r="L654" t="s">
        <v>3284</v>
      </c>
      <c r="M654" t="s">
        <v>3296</v>
      </c>
      <c r="N654" t="s">
        <v>3297</v>
      </c>
      <c r="O654" t="s">
        <v>3298</v>
      </c>
      <c r="P654" t="s">
        <v>4399</v>
      </c>
      <c r="Q654" t="s">
        <v>5043</v>
      </c>
      <c r="R654" t="s">
        <v>5044</v>
      </c>
    </row>
    <row r="655" spans="1:18" x14ac:dyDescent="0.2">
      <c r="A655">
        <v>3025671</v>
      </c>
      <c r="B655" t="s">
        <v>5045</v>
      </c>
      <c r="C655">
        <v>0</v>
      </c>
      <c r="D655">
        <v>0</v>
      </c>
      <c r="E655">
        <v>0</v>
      </c>
      <c r="F655">
        <v>0</v>
      </c>
      <c r="G655">
        <v>1</v>
      </c>
      <c r="H655">
        <v>0</v>
      </c>
      <c r="I655">
        <v>0</v>
      </c>
      <c r="J655">
        <v>0</v>
      </c>
      <c r="K655">
        <v>0</v>
      </c>
      <c r="L655" t="s">
        <v>3284</v>
      </c>
      <c r="M655" t="s">
        <v>3391</v>
      </c>
      <c r="N655" t="s">
        <v>3392</v>
      </c>
      <c r="O655" t="s">
        <v>3393</v>
      </c>
      <c r="P655" t="s">
        <v>3394</v>
      </c>
      <c r="Q655" t="s">
        <v>4082</v>
      </c>
      <c r="R655" t="s">
        <v>5046</v>
      </c>
    </row>
    <row r="656" spans="1:18" x14ac:dyDescent="0.2">
      <c r="A656">
        <v>3025670</v>
      </c>
      <c r="B656" t="s">
        <v>5047</v>
      </c>
      <c r="C656">
        <v>0</v>
      </c>
      <c r="D656">
        <v>0</v>
      </c>
      <c r="E656">
        <v>0</v>
      </c>
      <c r="F656">
        <v>2</v>
      </c>
      <c r="G656">
        <v>0</v>
      </c>
      <c r="H656">
        <v>0</v>
      </c>
      <c r="I656">
        <v>0</v>
      </c>
      <c r="J656">
        <v>0</v>
      </c>
      <c r="K656">
        <v>0</v>
      </c>
      <c r="L656" t="s">
        <v>3284</v>
      </c>
      <c r="M656" t="s">
        <v>3296</v>
      </c>
      <c r="N656" t="s">
        <v>3343</v>
      </c>
      <c r="O656" t="s">
        <v>3349</v>
      </c>
      <c r="P656" t="s">
        <v>3350</v>
      </c>
      <c r="Q656" t="s">
        <v>3351</v>
      </c>
      <c r="R656" t="s">
        <v>5048</v>
      </c>
    </row>
    <row r="657" spans="1:18" x14ac:dyDescent="0.2">
      <c r="A657">
        <v>3025668</v>
      </c>
      <c r="B657" t="s">
        <v>5049</v>
      </c>
      <c r="C657">
        <v>0</v>
      </c>
      <c r="D657">
        <v>0</v>
      </c>
      <c r="E657">
        <v>0</v>
      </c>
      <c r="F657">
        <v>1</v>
      </c>
      <c r="G657">
        <v>3</v>
      </c>
      <c r="H657">
        <v>0</v>
      </c>
      <c r="I657">
        <v>0</v>
      </c>
      <c r="J657">
        <v>0</v>
      </c>
      <c r="K657">
        <v>0</v>
      </c>
      <c r="L657" t="s">
        <v>3284</v>
      </c>
      <c r="M657" t="s">
        <v>3391</v>
      </c>
      <c r="N657" t="s">
        <v>3411</v>
      </c>
      <c r="O657" t="s">
        <v>3412</v>
      </c>
      <c r="P657" t="s">
        <v>3413</v>
      </c>
      <c r="Q657" t="s">
        <v>3414</v>
      </c>
      <c r="R657" t="s">
        <v>5050</v>
      </c>
    </row>
    <row r="658" spans="1:18" x14ac:dyDescent="0.2">
      <c r="A658">
        <v>3025667</v>
      </c>
      <c r="B658" t="s">
        <v>5051</v>
      </c>
      <c r="C658">
        <v>0</v>
      </c>
      <c r="D658">
        <v>0</v>
      </c>
      <c r="E658">
        <v>0</v>
      </c>
      <c r="F658">
        <v>5</v>
      </c>
      <c r="G658">
        <v>4</v>
      </c>
      <c r="H658">
        <v>0</v>
      </c>
      <c r="I658">
        <v>0</v>
      </c>
      <c r="J658">
        <v>0</v>
      </c>
      <c r="K658">
        <v>0</v>
      </c>
      <c r="L658" t="s">
        <v>3284</v>
      </c>
      <c r="M658" t="s">
        <v>3391</v>
      </c>
      <c r="N658" t="s">
        <v>3411</v>
      </c>
      <c r="O658" t="s">
        <v>3412</v>
      </c>
      <c r="P658" t="s">
        <v>3413</v>
      </c>
      <c r="Q658" t="s">
        <v>3414</v>
      </c>
      <c r="R658" t="s">
        <v>5052</v>
      </c>
    </row>
    <row r="659" spans="1:18" x14ac:dyDescent="0.2">
      <c r="A659">
        <v>3025666</v>
      </c>
      <c r="B659" t="s">
        <v>5053</v>
      </c>
      <c r="C659">
        <v>0</v>
      </c>
      <c r="D659">
        <v>0</v>
      </c>
      <c r="E659">
        <v>0</v>
      </c>
      <c r="F659">
        <v>1</v>
      </c>
      <c r="G659">
        <v>1</v>
      </c>
      <c r="H659">
        <v>0</v>
      </c>
      <c r="I659">
        <v>0</v>
      </c>
      <c r="J659">
        <v>0</v>
      </c>
      <c r="K659">
        <v>0</v>
      </c>
      <c r="L659" t="s">
        <v>3284</v>
      </c>
      <c r="M659" t="s">
        <v>3391</v>
      </c>
      <c r="N659" t="s">
        <v>3392</v>
      </c>
      <c r="O659" t="s">
        <v>3393</v>
      </c>
      <c r="P659" t="s">
        <v>3394</v>
      </c>
      <c r="Q659" t="s">
        <v>4082</v>
      </c>
      <c r="R659" t="s">
        <v>5054</v>
      </c>
    </row>
    <row r="660" spans="1:18" x14ac:dyDescent="0.2">
      <c r="A660">
        <v>3025503</v>
      </c>
      <c r="B660" t="s">
        <v>5055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1</v>
      </c>
      <c r="J660">
        <v>0</v>
      </c>
      <c r="K660">
        <v>0</v>
      </c>
      <c r="L660" t="s">
        <v>3284</v>
      </c>
      <c r="M660" t="s">
        <v>3296</v>
      </c>
      <c r="N660" t="s">
        <v>3321</v>
      </c>
      <c r="O660" t="s">
        <v>3322</v>
      </c>
      <c r="P660" t="s">
        <v>3323</v>
      </c>
      <c r="Q660" t="s">
        <v>3324</v>
      </c>
      <c r="R660" t="s">
        <v>5056</v>
      </c>
    </row>
    <row r="661" spans="1:18" x14ac:dyDescent="0.2">
      <c r="A661">
        <v>3025502</v>
      </c>
      <c r="B661" t="s">
        <v>5057</v>
      </c>
      <c r="C661">
        <v>0</v>
      </c>
      <c r="D661">
        <v>0</v>
      </c>
      <c r="E661">
        <v>0</v>
      </c>
      <c r="F661">
        <v>1</v>
      </c>
      <c r="G661">
        <v>1</v>
      </c>
      <c r="H661">
        <v>0</v>
      </c>
      <c r="I661">
        <v>0</v>
      </c>
      <c r="J661">
        <v>0</v>
      </c>
      <c r="K661">
        <v>0</v>
      </c>
      <c r="L661" t="s">
        <v>3284</v>
      </c>
      <c r="M661" t="s">
        <v>3296</v>
      </c>
      <c r="N661" t="s">
        <v>3321</v>
      </c>
      <c r="O661" t="s">
        <v>3322</v>
      </c>
      <c r="P661" t="s">
        <v>3323</v>
      </c>
      <c r="Q661" t="s">
        <v>5058</v>
      </c>
      <c r="R661" t="s">
        <v>5059</v>
      </c>
    </row>
    <row r="662" spans="1:18" x14ac:dyDescent="0.2">
      <c r="A662">
        <v>3025314</v>
      </c>
      <c r="B662" t="s">
        <v>5060</v>
      </c>
      <c r="C662">
        <v>0</v>
      </c>
      <c r="D662">
        <v>0</v>
      </c>
      <c r="E662">
        <v>0</v>
      </c>
      <c r="F662">
        <v>1</v>
      </c>
      <c r="G662">
        <v>0</v>
      </c>
      <c r="H662">
        <v>0</v>
      </c>
      <c r="I662">
        <v>0</v>
      </c>
      <c r="J662">
        <v>0</v>
      </c>
      <c r="K662">
        <v>0</v>
      </c>
      <c r="L662" t="s">
        <v>3284</v>
      </c>
      <c r="M662" t="s">
        <v>3296</v>
      </c>
      <c r="N662" t="s">
        <v>3297</v>
      </c>
      <c r="O662" t="s">
        <v>3434</v>
      </c>
      <c r="P662" t="s">
        <v>3435</v>
      </c>
      <c r="Q662" t="s">
        <v>3436</v>
      </c>
      <c r="R662" t="s">
        <v>5061</v>
      </c>
    </row>
    <row r="663" spans="1:18" x14ac:dyDescent="0.2">
      <c r="A663">
        <v>3024247</v>
      </c>
      <c r="B663" t="s">
        <v>5062</v>
      </c>
      <c r="C663">
        <v>0</v>
      </c>
      <c r="D663">
        <v>0</v>
      </c>
      <c r="E663">
        <v>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 t="s">
        <v>3284</v>
      </c>
      <c r="M663" t="s">
        <v>3296</v>
      </c>
      <c r="N663" t="s">
        <v>3297</v>
      </c>
      <c r="O663" t="s">
        <v>3298</v>
      </c>
      <c r="P663" t="s">
        <v>3873</v>
      </c>
      <c r="Q663" t="s">
        <v>5063</v>
      </c>
      <c r="R663" t="s">
        <v>5064</v>
      </c>
    </row>
    <row r="664" spans="1:18" x14ac:dyDescent="0.2">
      <c r="A664">
        <v>3024215</v>
      </c>
      <c r="B664" t="s">
        <v>5065</v>
      </c>
      <c r="C664">
        <v>0</v>
      </c>
      <c r="D664">
        <v>0</v>
      </c>
      <c r="E664">
        <v>0</v>
      </c>
      <c r="F664">
        <v>0</v>
      </c>
      <c r="G664">
        <v>1</v>
      </c>
      <c r="H664">
        <v>0</v>
      </c>
      <c r="I664">
        <v>0</v>
      </c>
      <c r="J664">
        <v>0</v>
      </c>
      <c r="K664">
        <v>0</v>
      </c>
      <c r="L664" t="s">
        <v>3284</v>
      </c>
      <c r="M664" t="s">
        <v>3296</v>
      </c>
      <c r="N664" t="s">
        <v>3343</v>
      </c>
      <c r="O664" t="s">
        <v>3349</v>
      </c>
      <c r="P664" t="s">
        <v>3350</v>
      </c>
      <c r="Q664" t="s">
        <v>3351</v>
      </c>
      <c r="R664" t="s">
        <v>5066</v>
      </c>
    </row>
    <row r="665" spans="1:18" x14ac:dyDescent="0.2">
      <c r="A665">
        <v>3022773</v>
      </c>
      <c r="B665" t="s">
        <v>5067</v>
      </c>
      <c r="C665">
        <v>0</v>
      </c>
      <c r="D665">
        <v>1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 t="s">
        <v>3284</v>
      </c>
      <c r="M665" t="s">
        <v>3327</v>
      </c>
      <c r="N665" t="s">
        <v>3376</v>
      </c>
      <c r="O665" t="s">
        <v>3377</v>
      </c>
      <c r="P665" t="s">
        <v>3378</v>
      </c>
      <c r="Q665" t="s">
        <v>3379</v>
      </c>
      <c r="R665" t="s">
        <v>5068</v>
      </c>
    </row>
    <row r="666" spans="1:18" x14ac:dyDescent="0.2">
      <c r="A666">
        <v>3022772</v>
      </c>
      <c r="B666" t="s">
        <v>5069</v>
      </c>
      <c r="C666">
        <v>0</v>
      </c>
      <c r="D666">
        <v>0</v>
      </c>
      <c r="E666">
        <v>0</v>
      </c>
      <c r="F666">
        <v>2</v>
      </c>
      <c r="G666">
        <v>0</v>
      </c>
      <c r="H666">
        <v>0</v>
      </c>
      <c r="I666">
        <v>1</v>
      </c>
      <c r="J666">
        <v>1</v>
      </c>
      <c r="K666">
        <v>0</v>
      </c>
      <c r="L666" t="s">
        <v>3284</v>
      </c>
      <c r="M666" t="s">
        <v>3296</v>
      </c>
      <c r="N666" t="s">
        <v>3321</v>
      </c>
      <c r="O666" t="s">
        <v>3322</v>
      </c>
      <c r="P666" t="s">
        <v>3398</v>
      </c>
      <c r="Q666" t="s">
        <v>3439</v>
      </c>
      <c r="R666" t="s">
        <v>5070</v>
      </c>
    </row>
    <row r="667" spans="1:18" x14ac:dyDescent="0.2">
      <c r="A667">
        <v>3022697</v>
      </c>
      <c r="B667" t="s">
        <v>5071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 t="s">
        <v>3284</v>
      </c>
      <c r="M667" t="s">
        <v>3327</v>
      </c>
      <c r="N667" t="s">
        <v>3376</v>
      </c>
      <c r="O667" t="s">
        <v>3377</v>
      </c>
      <c r="P667" t="s">
        <v>3604</v>
      </c>
      <c r="Q667" t="s">
        <v>5072</v>
      </c>
      <c r="R667" t="s">
        <v>5073</v>
      </c>
    </row>
    <row r="668" spans="1:18" x14ac:dyDescent="0.2">
      <c r="A668">
        <v>3021979</v>
      </c>
      <c r="B668" t="s">
        <v>5074</v>
      </c>
      <c r="C668">
        <v>2</v>
      </c>
      <c r="D668">
        <v>0</v>
      </c>
      <c r="E668">
        <v>1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 t="s">
        <v>3284</v>
      </c>
      <c r="M668" t="s">
        <v>3327</v>
      </c>
      <c r="N668" t="s">
        <v>3376</v>
      </c>
      <c r="O668" t="s">
        <v>3377</v>
      </c>
      <c r="P668" t="s">
        <v>3271</v>
      </c>
      <c r="Q668" t="s">
        <v>3648</v>
      </c>
      <c r="R668" t="s">
        <v>5075</v>
      </c>
    </row>
    <row r="669" spans="1:18" x14ac:dyDescent="0.2">
      <c r="A669">
        <v>3021410</v>
      </c>
      <c r="B669" t="s">
        <v>5076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1</v>
      </c>
      <c r="K669">
        <v>0</v>
      </c>
      <c r="L669" t="s">
        <v>3284</v>
      </c>
      <c r="M669" t="s">
        <v>3296</v>
      </c>
      <c r="N669" t="s">
        <v>3343</v>
      </c>
      <c r="O669" t="s">
        <v>3344</v>
      </c>
      <c r="P669" t="s">
        <v>3355</v>
      </c>
      <c r="Q669" t="s">
        <v>3356</v>
      </c>
      <c r="R669" t="s">
        <v>5077</v>
      </c>
    </row>
    <row r="670" spans="1:18" x14ac:dyDescent="0.2">
      <c r="A670">
        <v>3020863</v>
      </c>
      <c r="B670" t="s">
        <v>5078</v>
      </c>
      <c r="C670">
        <v>0</v>
      </c>
      <c r="D670">
        <v>1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 t="s">
        <v>3284</v>
      </c>
      <c r="M670" t="s">
        <v>3327</v>
      </c>
      <c r="N670" t="s">
        <v>3376</v>
      </c>
      <c r="O670" t="s">
        <v>3377</v>
      </c>
      <c r="P670" t="s">
        <v>3604</v>
      </c>
      <c r="Q670" t="s">
        <v>3668</v>
      </c>
      <c r="R670" t="s">
        <v>5079</v>
      </c>
    </row>
    <row r="671" spans="1:18" x14ac:dyDescent="0.2">
      <c r="A671">
        <v>3020057</v>
      </c>
      <c r="B671" t="s">
        <v>5080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3</v>
      </c>
      <c r="J671">
        <v>4</v>
      </c>
      <c r="K671">
        <v>1</v>
      </c>
      <c r="L671" t="s">
        <v>3284</v>
      </c>
      <c r="M671" t="s">
        <v>3296</v>
      </c>
      <c r="N671" t="s">
        <v>3297</v>
      </c>
      <c r="O671" t="s">
        <v>3298</v>
      </c>
      <c r="P671" t="s">
        <v>3873</v>
      </c>
      <c r="Q671" t="s">
        <v>4087</v>
      </c>
      <c r="R671" t="s">
        <v>5081</v>
      </c>
    </row>
    <row r="672" spans="1:18" x14ac:dyDescent="0.2">
      <c r="A672">
        <v>3019969</v>
      </c>
      <c r="B672" t="s">
        <v>5082</v>
      </c>
      <c r="C672">
        <v>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 t="s">
        <v>3284</v>
      </c>
      <c r="M672" t="s">
        <v>3296</v>
      </c>
      <c r="N672" t="s">
        <v>3297</v>
      </c>
      <c r="O672" t="s">
        <v>4124</v>
      </c>
      <c r="P672" t="s">
        <v>4125</v>
      </c>
      <c r="Q672" t="s">
        <v>5083</v>
      </c>
      <c r="R672" t="s">
        <v>5084</v>
      </c>
    </row>
    <row r="673" spans="1:18" x14ac:dyDescent="0.2">
      <c r="A673">
        <v>3019932</v>
      </c>
      <c r="B673" t="s">
        <v>5085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1</v>
      </c>
      <c r="K673">
        <v>0</v>
      </c>
      <c r="L673" t="s">
        <v>3284</v>
      </c>
      <c r="M673" t="s">
        <v>3296</v>
      </c>
      <c r="N673" t="s">
        <v>3343</v>
      </c>
      <c r="O673" t="s">
        <v>3344</v>
      </c>
      <c r="P673" t="s">
        <v>3355</v>
      </c>
      <c r="Q673" t="s">
        <v>3356</v>
      </c>
      <c r="R673" t="s">
        <v>5086</v>
      </c>
    </row>
    <row r="674" spans="1:18" x14ac:dyDescent="0.2">
      <c r="A674">
        <v>3019553</v>
      </c>
      <c r="B674" t="s">
        <v>5087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1</v>
      </c>
      <c r="J674">
        <v>0</v>
      </c>
      <c r="K674">
        <v>0</v>
      </c>
      <c r="L674" t="s">
        <v>3284</v>
      </c>
      <c r="M674" t="s">
        <v>3296</v>
      </c>
      <c r="N674" t="s">
        <v>3321</v>
      </c>
      <c r="O674" t="s">
        <v>3322</v>
      </c>
      <c r="P674" t="s">
        <v>3671</v>
      </c>
      <c r="Q674" t="s">
        <v>3672</v>
      </c>
      <c r="R674" t="s">
        <v>5088</v>
      </c>
    </row>
    <row r="675" spans="1:18" x14ac:dyDescent="0.2">
      <c r="A675">
        <v>3019445</v>
      </c>
      <c r="B675" t="s">
        <v>5089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1</v>
      </c>
      <c r="I675">
        <v>0</v>
      </c>
      <c r="J675">
        <v>0</v>
      </c>
      <c r="K675">
        <v>0</v>
      </c>
      <c r="L675" t="s">
        <v>3284</v>
      </c>
      <c r="M675" t="s">
        <v>3296</v>
      </c>
      <c r="N675" t="s">
        <v>3343</v>
      </c>
      <c r="O675" t="s">
        <v>3371</v>
      </c>
      <c r="P675" t="s">
        <v>3688</v>
      </c>
      <c r="Q675" t="s">
        <v>4406</v>
      </c>
      <c r="R675" t="s">
        <v>5090</v>
      </c>
    </row>
    <row r="676" spans="1:18" x14ac:dyDescent="0.2">
      <c r="A676">
        <v>3018117</v>
      </c>
      <c r="B676" t="s">
        <v>5091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1</v>
      </c>
      <c r="L676" t="s">
        <v>3284</v>
      </c>
      <c r="M676" t="s">
        <v>3327</v>
      </c>
      <c r="N676" t="s">
        <v>3376</v>
      </c>
      <c r="O676" t="s">
        <v>3377</v>
      </c>
      <c r="P676" t="s">
        <v>3378</v>
      </c>
      <c r="Q676" t="s">
        <v>3379</v>
      </c>
      <c r="R676" t="s">
        <v>5092</v>
      </c>
    </row>
    <row r="677" spans="1:18" x14ac:dyDescent="0.2">
      <c r="A677">
        <v>3018092</v>
      </c>
      <c r="B677" t="s">
        <v>5093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2</v>
      </c>
      <c r="L677" t="s">
        <v>3284</v>
      </c>
      <c r="M677" t="s">
        <v>3327</v>
      </c>
      <c r="N677" t="s">
        <v>3376</v>
      </c>
      <c r="O677" t="s">
        <v>3377</v>
      </c>
      <c r="P677" t="s">
        <v>3378</v>
      </c>
      <c r="Q677" t="s">
        <v>3379</v>
      </c>
      <c r="R677" t="s">
        <v>5094</v>
      </c>
    </row>
    <row r="678" spans="1:18" x14ac:dyDescent="0.2">
      <c r="A678">
        <v>3018088</v>
      </c>
      <c r="B678" t="s">
        <v>5095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1</v>
      </c>
      <c r="K678">
        <v>0</v>
      </c>
      <c r="L678" t="s">
        <v>3284</v>
      </c>
      <c r="M678" t="s">
        <v>3327</v>
      </c>
      <c r="N678" t="s">
        <v>3376</v>
      </c>
      <c r="O678" t="s">
        <v>3377</v>
      </c>
      <c r="P678" t="s">
        <v>3378</v>
      </c>
      <c r="Q678" t="s">
        <v>3379</v>
      </c>
      <c r="R678" t="s">
        <v>5096</v>
      </c>
    </row>
    <row r="679" spans="1:18" x14ac:dyDescent="0.2">
      <c r="A679">
        <v>3018060</v>
      </c>
      <c r="B679" t="s">
        <v>5097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1</v>
      </c>
      <c r="L679" t="s">
        <v>3284</v>
      </c>
      <c r="M679" t="s">
        <v>3327</v>
      </c>
      <c r="N679" t="s">
        <v>3376</v>
      </c>
      <c r="O679" t="s">
        <v>3377</v>
      </c>
      <c r="P679" t="s">
        <v>3378</v>
      </c>
      <c r="Q679" t="s">
        <v>3379</v>
      </c>
      <c r="R679" t="s">
        <v>5098</v>
      </c>
    </row>
    <row r="680" spans="1:18" x14ac:dyDescent="0.2">
      <c r="A680">
        <v>3018041</v>
      </c>
      <c r="B680" t="s">
        <v>5099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1</v>
      </c>
      <c r="L680" t="s">
        <v>3284</v>
      </c>
      <c r="M680" t="s">
        <v>3327</v>
      </c>
      <c r="N680" t="s">
        <v>3376</v>
      </c>
      <c r="O680" t="s">
        <v>3377</v>
      </c>
      <c r="P680" t="s">
        <v>3378</v>
      </c>
      <c r="Q680" t="s">
        <v>3379</v>
      </c>
      <c r="R680" t="s">
        <v>5100</v>
      </c>
    </row>
    <row r="681" spans="1:18" x14ac:dyDescent="0.2">
      <c r="A681">
        <v>3016095</v>
      </c>
      <c r="B681" t="s">
        <v>5101</v>
      </c>
      <c r="C681">
        <v>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 t="s">
        <v>3284</v>
      </c>
      <c r="M681" t="s">
        <v>3307</v>
      </c>
      <c r="N681" t="s">
        <v>3308</v>
      </c>
      <c r="O681" t="s">
        <v>3494</v>
      </c>
      <c r="P681" t="s">
        <v>3495</v>
      </c>
      <c r="Q681" t="s">
        <v>5102</v>
      </c>
      <c r="R681" t="s">
        <v>5103</v>
      </c>
    </row>
    <row r="682" spans="1:18" x14ac:dyDescent="0.2">
      <c r="A682">
        <v>3016000</v>
      </c>
      <c r="B682" t="s">
        <v>5104</v>
      </c>
      <c r="C682">
        <v>2</v>
      </c>
      <c r="D682">
        <v>0</v>
      </c>
      <c r="E682">
        <v>1</v>
      </c>
      <c r="F682">
        <v>2</v>
      </c>
      <c r="G682">
        <v>0</v>
      </c>
      <c r="H682">
        <v>0</v>
      </c>
      <c r="I682">
        <v>0</v>
      </c>
      <c r="J682">
        <v>0</v>
      </c>
      <c r="K682">
        <v>1</v>
      </c>
      <c r="L682" t="s">
        <v>3284</v>
      </c>
      <c r="M682" t="s">
        <v>3296</v>
      </c>
      <c r="N682" t="s">
        <v>3343</v>
      </c>
      <c r="O682" t="s">
        <v>3402</v>
      </c>
      <c r="P682" t="s">
        <v>3403</v>
      </c>
      <c r="Q682" t="s">
        <v>3404</v>
      </c>
      <c r="R682" t="s">
        <v>5105</v>
      </c>
    </row>
    <row r="683" spans="1:18" x14ac:dyDescent="0.2">
      <c r="A683">
        <v>3015999</v>
      </c>
      <c r="B683" t="s">
        <v>5106</v>
      </c>
      <c r="C683">
        <v>0</v>
      </c>
      <c r="D683">
        <v>0</v>
      </c>
      <c r="E683">
        <v>0</v>
      </c>
      <c r="F683">
        <v>4</v>
      </c>
      <c r="G683">
        <v>1</v>
      </c>
      <c r="H683">
        <v>0</v>
      </c>
      <c r="I683">
        <v>0</v>
      </c>
      <c r="J683">
        <v>0</v>
      </c>
      <c r="K683">
        <v>0</v>
      </c>
      <c r="L683" t="s">
        <v>3284</v>
      </c>
      <c r="M683" t="s">
        <v>3296</v>
      </c>
      <c r="N683" t="s">
        <v>3343</v>
      </c>
      <c r="O683" t="s">
        <v>3402</v>
      </c>
      <c r="P683" t="s">
        <v>3403</v>
      </c>
      <c r="Q683" t="s">
        <v>3536</v>
      </c>
      <c r="R683" t="s">
        <v>5107</v>
      </c>
    </row>
    <row r="684" spans="1:18" x14ac:dyDescent="0.2">
      <c r="A684">
        <v>3015998</v>
      </c>
      <c r="B684" t="s">
        <v>5108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 t="s">
        <v>3284</v>
      </c>
      <c r="M684" t="s">
        <v>3296</v>
      </c>
      <c r="N684" t="s">
        <v>3321</v>
      </c>
      <c r="O684" t="s">
        <v>3322</v>
      </c>
      <c r="P684" t="s">
        <v>3671</v>
      </c>
      <c r="Q684" t="s">
        <v>3672</v>
      </c>
      <c r="R684" t="s">
        <v>5109</v>
      </c>
    </row>
    <row r="685" spans="1:18" x14ac:dyDescent="0.2">
      <c r="A685">
        <v>3015997</v>
      </c>
      <c r="B685" t="s">
        <v>5110</v>
      </c>
      <c r="C685">
        <v>0</v>
      </c>
      <c r="D685">
        <v>0</v>
      </c>
      <c r="E685">
        <v>0</v>
      </c>
      <c r="F685">
        <v>2</v>
      </c>
      <c r="G685">
        <v>1</v>
      </c>
      <c r="H685">
        <v>0</v>
      </c>
      <c r="I685">
        <v>0</v>
      </c>
      <c r="J685">
        <v>0</v>
      </c>
      <c r="K685">
        <v>0</v>
      </c>
      <c r="L685" t="s">
        <v>3284</v>
      </c>
      <c r="M685" t="s">
        <v>3296</v>
      </c>
      <c r="N685" t="s">
        <v>3343</v>
      </c>
      <c r="O685" t="s">
        <v>3402</v>
      </c>
      <c r="P685" t="s">
        <v>3403</v>
      </c>
      <c r="Q685" t="s">
        <v>3536</v>
      </c>
      <c r="R685" t="s">
        <v>5111</v>
      </c>
    </row>
    <row r="686" spans="1:18" x14ac:dyDescent="0.2">
      <c r="A686">
        <v>3015996</v>
      </c>
      <c r="B686" t="s">
        <v>5112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2</v>
      </c>
      <c r="K686">
        <v>0</v>
      </c>
      <c r="L686" t="s">
        <v>3284</v>
      </c>
      <c r="M686" t="s">
        <v>3296</v>
      </c>
      <c r="N686" t="s">
        <v>3343</v>
      </c>
      <c r="O686" t="s">
        <v>3402</v>
      </c>
      <c r="P686" t="s">
        <v>3403</v>
      </c>
      <c r="Q686" t="s">
        <v>3404</v>
      </c>
      <c r="R686" t="s">
        <v>5113</v>
      </c>
    </row>
    <row r="687" spans="1:18" x14ac:dyDescent="0.2">
      <c r="A687">
        <v>3014562</v>
      </c>
      <c r="B687" t="s">
        <v>5114</v>
      </c>
      <c r="C687">
        <v>0</v>
      </c>
      <c r="D687">
        <v>0</v>
      </c>
      <c r="E687">
        <v>0</v>
      </c>
      <c r="F687">
        <v>0</v>
      </c>
      <c r="G687">
        <v>1</v>
      </c>
      <c r="H687">
        <v>0</v>
      </c>
      <c r="I687">
        <v>0</v>
      </c>
      <c r="J687">
        <v>0</v>
      </c>
      <c r="K687">
        <v>0</v>
      </c>
      <c r="L687" t="s">
        <v>3284</v>
      </c>
      <c r="M687" t="s">
        <v>3391</v>
      </c>
      <c r="N687" t="s">
        <v>4129</v>
      </c>
      <c r="O687" t="s">
        <v>4130</v>
      </c>
      <c r="P687" t="s">
        <v>4131</v>
      </c>
      <c r="Q687" t="s">
        <v>5115</v>
      </c>
      <c r="R687" t="s">
        <v>5116</v>
      </c>
    </row>
    <row r="688" spans="1:18" x14ac:dyDescent="0.2">
      <c r="A688">
        <v>3012344</v>
      </c>
      <c r="B688" t="s">
        <v>5117</v>
      </c>
      <c r="C688">
        <v>0</v>
      </c>
      <c r="D688">
        <v>0</v>
      </c>
      <c r="E688">
        <v>0</v>
      </c>
      <c r="F688">
        <v>1</v>
      </c>
      <c r="G688">
        <v>1</v>
      </c>
      <c r="H688">
        <v>0</v>
      </c>
      <c r="I688">
        <v>0</v>
      </c>
      <c r="J688">
        <v>0</v>
      </c>
      <c r="K688">
        <v>0</v>
      </c>
      <c r="L688" t="s">
        <v>3284</v>
      </c>
      <c r="M688" t="s">
        <v>3296</v>
      </c>
      <c r="N688" t="s">
        <v>3343</v>
      </c>
      <c r="O688" t="s">
        <v>3349</v>
      </c>
      <c r="P688" t="s">
        <v>3350</v>
      </c>
      <c r="Q688" t="s">
        <v>3580</v>
      </c>
      <c r="R688" t="s">
        <v>5118</v>
      </c>
    </row>
    <row r="689" spans="1:18" x14ac:dyDescent="0.2">
      <c r="A689">
        <v>3004104</v>
      </c>
      <c r="B689" t="s">
        <v>5119</v>
      </c>
      <c r="C689">
        <v>0</v>
      </c>
      <c r="D689">
        <v>0</v>
      </c>
      <c r="E689">
        <v>0</v>
      </c>
      <c r="F689">
        <v>0</v>
      </c>
      <c r="G689">
        <v>1</v>
      </c>
      <c r="H689">
        <v>0</v>
      </c>
      <c r="I689">
        <v>0</v>
      </c>
      <c r="J689">
        <v>0</v>
      </c>
      <c r="K689">
        <v>0</v>
      </c>
      <c r="L689" t="s">
        <v>3284</v>
      </c>
      <c r="M689" t="s">
        <v>3296</v>
      </c>
      <c r="N689" t="s">
        <v>3321</v>
      </c>
      <c r="O689" t="s">
        <v>3322</v>
      </c>
      <c r="P689" t="s">
        <v>3423</v>
      </c>
      <c r="Q689" t="s">
        <v>4170</v>
      </c>
      <c r="R689" t="s">
        <v>5120</v>
      </c>
    </row>
    <row r="690" spans="1:18" x14ac:dyDescent="0.2">
      <c r="A690">
        <v>3004098</v>
      </c>
      <c r="B690" t="s">
        <v>5121</v>
      </c>
      <c r="C690">
        <v>0</v>
      </c>
      <c r="D690">
        <v>2</v>
      </c>
      <c r="E690">
        <v>0</v>
      </c>
      <c r="F690">
        <v>2</v>
      </c>
      <c r="G690">
        <v>2</v>
      </c>
      <c r="H690">
        <v>0</v>
      </c>
      <c r="I690">
        <v>0</v>
      </c>
      <c r="J690">
        <v>0</v>
      </c>
      <c r="K690">
        <v>0</v>
      </c>
      <c r="L690" t="s">
        <v>3284</v>
      </c>
      <c r="M690" t="s">
        <v>3391</v>
      </c>
      <c r="N690" t="s">
        <v>3392</v>
      </c>
      <c r="O690" t="s">
        <v>3393</v>
      </c>
      <c r="P690" t="s">
        <v>3394</v>
      </c>
      <c r="Q690" t="s">
        <v>3395</v>
      </c>
      <c r="R690" t="s">
        <v>5122</v>
      </c>
    </row>
    <row r="691" spans="1:18" x14ac:dyDescent="0.2">
      <c r="A691">
        <v>3004097</v>
      </c>
      <c r="B691" t="s">
        <v>5123</v>
      </c>
      <c r="C691">
        <v>0</v>
      </c>
      <c r="D691">
        <v>0</v>
      </c>
      <c r="E691">
        <v>1</v>
      </c>
      <c r="F691">
        <v>1</v>
      </c>
      <c r="G691">
        <v>0</v>
      </c>
      <c r="H691">
        <v>0</v>
      </c>
      <c r="I691">
        <v>0</v>
      </c>
      <c r="J691">
        <v>0</v>
      </c>
      <c r="K691">
        <v>0</v>
      </c>
      <c r="L691" t="s">
        <v>3284</v>
      </c>
      <c r="M691" t="s">
        <v>3391</v>
      </c>
      <c r="N691" t="s">
        <v>3392</v>
      </c>
      <c r="O691" t="s">
        <v>3393</v>
      </c>
      <c r="P691" t="s">
        <v>3394</v>
      </c>
      <c r="Q691" t="s">
        <v>3395</v>
      </c>
      <c r="R691" t="s">
        <v>5124</v>
      </c>
    </row>
    <row r="692" spans="1:18" x14ac:dyDescent="0.2">
      <c r="A692">
        <v>3003272</v>
      </c>
      <c r="B692" t="s">
        <v>5125</v>
      </c>
      <c r="C692">
        <v>0</v>
      </c>
      <c r="D692">
        <v>0</v>
      </c>
      <c r="E692">
        <v>0</v>
      </c>
      <c r="F692">
        <v>1</v>
      </c>
      <c r="G692">
        <v>2</v>
      </c>
      <c r="H692">
        <v>2</v>
      </c>
      <c r="I692">
        <v>0</v>
      </c>
      <c r="J692">
        <v>0</v>
      </c>
      <c r="K692">
        <v>0</v>
      </c>
      <c r="L692" t="s">
        <v>3284</v>
      </c>
      <c r="M692" t="s">
        <v>3296</v>
      </c>
      <c r="N692" t="s">
        <v>3297</v>
      </c>
      <c r="O692" t="s">
        <v>3469</v>
      </c>
      <c r="P692" t="s">
        <v>3470</v>
      </c>
      <c r="Q692" t="s">
        <v>3471</v>
      </c>
      <c r="R692" t="s">
        <v>5126</v>
      </c>
    </row>
    <row r="693" spans="1:18" x14ac:dyDescent="0.2">
      <c r="A693">
        <v>3003271</v>
      </c>
      <c r="B693" t="s">
        <v>5127</v>
      </c>
      <c r="C693">
        <v>0</v>
      </c>
      <c r="D693">
        <v>0</v>
      </c>
      <c r="E693">
        <v>0</v>
      </c>
      <c r="F693">
        <v>5</v>
      </c>
      <c r="G693">
        <v>3</v>
      </c>
      <c r="H693">
        <v>1</v>
      </c>
      <c r="I693">
        <v>0</v>
      </c>
      <c r="J693">
        <v>0</v>
      </c>
      <c r="K693">
        <v>0</v>
      </c>
      <c r="L693" t="s">
        <v>3284</v>
      </c>
      <c r="M693" t="s">
        <v>3296</v>
      </c>
      <c r="N693" t="s">
        <v>3297</v>
      </c>
      <c r="O693" t="s">
        <v>3469</v>
      </c>
      <c r="P693" t="s">
        <v>3470</v>
      </c>
      <c r="Q693" t="s">
        <v>3471</v>
      </c>
      <c r="R693" t="s">
        <v>5128</v>
      </c>
    </row>
    <row r="694" spans="1:18" x14ac:dyDescent="0.2">
      <c r="A694">
        <v>3003261</v>
      </c>
      <c r="B694" t="s">
        <v>5129</v>
      </c>
      <c r="C694">
        <v>0</v>
      </c>
      <c r="D694">
        <v>0</v>
      </c>
      <c r="E694">
        <v>0</v>
      </c>
      <c r="F694">
        <v>1</v>
      </c>
      <c r="G694">
        <v>0</v>
      </c>
      <c r="H694">
        <v>0</v>
      </c>
      <c r="I694">
        <v>0</v>
      </c>
      <c r="J694">
        <v>0</v>
      </c>
      <c r="K694">
        <v>0</v>
      </c>
      <c r="L694" t="s">
        <v>3284</v>
      </c>
      <c r="M694" t="s">
        <v>3391</v>
      </c>
      <c r="N694" t="s">
        <v>3411</v>
      </c>
      <c r="O694" t="s">
        <v>3412</v>
      </c>
      <c r="P694" t="s">
        <v>3413</v>
      </c>
      <c r="Q694" t="s">
        <v>3414</v>
      </c>
      <c r="R694" t="s">
        <v>5130</v>
      </c>
    </row>
    <row r="695" spans="1:18" x14ac:dyDescent="0.2">
      <c r="A695">
        <v>3003260</v>
      </c>
      <c r="B695" t="s">
        <v>5131</v>
      </c>
      <c r="C695">
        <v>0</v>
      </c>
      <c r="D695">
        <v>0</v>
      </c>
      <c r="E695">
        <v>0</v>
      </c>
      <c r="F695">
        <v>3</v>
      </c>
      <c r="G695">
        <v>3</v>
      </c>
      <c r="H695">
        <v>0</v>
      </c>
      <c r="I695">
        <v>0</v>
      </c>
      <c r="J695">
        <v>0</v>
      </c>
      <c r="K695">
        <v>0</v>
      </c>
      <c r="L695" t="s">
        <v>3284</v>
      </c>
      <c r="M695" t="s">
        <v>3391</v>
      </c>
      <c r="N695" t="s">
        <v>3411</v>
      </c>
      <c r="O695" t="s">
        <v>3412</v>
      </c>
      <c r="P695" t="s">
        <v>3413</v>
      </c>
      <c r="Q695" t="s">
        <v>3414</v>
      </c>
      <c r="R695" t="s">
        <v>5132</v>
      </c>
    </row>
    <row r="696" spans="1:18" x14ac:dyDescent="0.2">
      <c r="A696">
        <v>3003259</v>
      </c>
      <c r="B696" t="s">
        <v>5133</v>
      </c>
      <c r="C696">
        <v>0</v>
      </c>
      <c r="D696">
        <v>0</v>
      </c>
      <c r="E696">
        <v>0</v>
      </c>
      <c r="F696">
        <v>1</v>
      </c>
      <c r="G696">
        <v>0</v>
      </c>
      <c r="H696">
        <v>0</v>
      </c>
      <c r="I696">
        <v>0</v>
      </c>
      <c r="J696">
        <v>0</v>
      </c>
      <c r="K696">
        <v>0</v>
      </c>
      <c r="L696" t="s">
        <v>3284</v>
      </c>
      <c r="M696" t="s">
        <v>3391</v>
      </c>
      <c r="N696" t="s">
        <v>3411</v>
      </c>
      <c r="O696" t="s">
        <v>3412</v>
      </c>
      <c r="P696" t="s">
        <v>3413</v>
      </c>
      <c r="Q696" t="s">
        <v>3414</v>
      </c>
      <c r="R696" t="s">
        <v>5134</v>
      </c>
    </row>
    <row r="697" spans="1:18" x14ac:dyDescent="0.2">
      <c r="A697">
        <v>3003134</v>
      </c>
      <c r="B697" t="s">
        <v>5135</v>
      </c>
      <c r="C697">
        <v>0</v>
      </c>
      <c r="D697">
        <v>0</v>
      </c>
      <c r="E697">
        <v>0</v>
      </c>
      <c r="F697">
        <v>2</v>
      </c>
      <c r="G697">
        <v>0</v>
      </c>
      <c r="H697">
        <v>0</v>
      </c>
      <c r="I697">
        <v>0</v>
      </c>
      <c r="J697">
        <v>0</v>
      </c>
      <c r="K697">
        <v>0</v>
      </c>
      <c r="L697" t="s">
        <v>3284</v>
      </c>
      <c r="M697" t="s">
        <v>3296</v>
      </c>
      <c r="N697" t="s">
        <v>3343</v>
      </c>
      <c r="O697" t="s">
        <v>3344</v>
      </c>
      <c r="P697" t="s">
        <v>5136</v>
      </c>
      <c r="Q697" t="s">
        <v>5137</v>
      </c>
      <c r="R697" t="s">
        <v>5138</v>
      </c>
    </row>
    <row r="698" spans="1:18" x14ac:dyDescent="0.2">
      <c r="A698">
        <v>3002903</v>
      </c>
      <c r="B698" t="s">
        <v>5139</v>
      </c>
      <c r="C698">
        <v>0</v>
      </c>
      <c r="D698">
        <v>0</v>
      </c>
      <c r="E698">
        <v>0</v>
      </c>
      <c r="F698">
        <v>1</v>
      </c>
      <c r="G698">
        <v>0</v>
      </c>
      <c r="H698">
        <v>0</v>
      </c>
      <c r="I698">
        <v>0</v>
      </c>
      <c r="J698">
        <v>0</v>
      </c>
      <c r="K698">
        <v>0</v>
      </c>
      <c r="L698" t="s">
        <v>3284</v>
      </c>
      <c r="M698" t="s">
        <v>3296</v>
      </c>
      <c r="N698" t="s">
        <v>3297</v>
      </c>
      <c r="O698" t="s">
        <v>3434</v>
      </c>
      <c r="P698" t="s">
        <v>3435</v>
      </c>
      <c r="Q698" t="s">
        <v>3436</v>
      </c>
      <c r="R698" t="s">
        <v>5140</v>
      </c>
    </row>
    <row r="699" spans="1:18" x14ac:dyDescent="0.2">
      <c r="A699">
        <v>3002900</v>
      </c>
      <c r="B699" t="s">
        <v>5141</v>
      </c>
      <c r="C699">
        <v>0</v>
      </c>
      <c r="D699">
        <v>0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0</v>
      </c>
      <c r="L699" t="s">
        <v>3284</v>
      </c>
      <c r="M699" t="s">
        <v>3391</v>
      </c>
      <c r="N699" t="s">
        <v>3411</v>
      </c>
      <c r="O699" t="s">
        <v>3412</v>
      </c>
      <c r="P699" t="s">
        <v>3413</v>
      </c>
      <c r="Q699" t="s">
        <v>3414</v>
      </c>
      <c r="R699" t="s">
        <v>5142</v>
      </c>
    </row>
    <row r="700" spans="1:18" x14ac:dyDescent="0.2">
      <c r="A700">
        <v>3002521</v>
      </c>
      <c r="B700" t="s">
        <v>5143</v>
      </c>
      <c r="C700">
        <v>0</v>
      </c>
      <c r="D700">
        <v>0</v>
      </c>
      <c r="E700">
        <v>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 t="s">
        <v>3284</v>
      </c>
      <c r="M700" t="s">
        <v>3327</v>
      </c>
      <c r="N700" t="s">
        <v>3328</v>
      </c>
      <c r="O700" t="s">
        <v>3329</v>
      </c>
      <c r="P700" t="s">
        <v>5144</v>
      </c>
      <c r="Q700" t="s">
        <v>5145</v>
      </c>
      <c r="R700" t="s">
        <v>5146</v>
      </c>
    </row>
    <row r="701" spans="1:18" x14ac:dyDescent="0.2">
      <c r="A701">
        <v>3002441</v>
      </c>
      <c r="B701" t="s">
        <v>5147</v>
      </c>
      <c r="C701">
        <v>0</v>
      </c>
      <c r="D701">
        <v>1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 t="s">
        <v>3284</v>
      </c>
      <c r="M701" t="s">
        <v>3391</v>
      </c>
      <c r="N701" t="s">
        <v>3411</v>
      </c>
      <c r="O701" t="s">
        <v>3412</v>
      </c>
      <c r="P701" t="s">
        <v>3413</v>
      </c>
      <c r="Q701" t="s">
        <v>3414</v>
      </c>
      <c r="R701" t="s">
        <v>5148</v>
      </c>
    </row>
    <row r="702" spans="1:18" x14ac:dyDescent="0.2">
      <c r="A702">
        <v>3002440</v>
      </c>
      <c r="B702" t="s">
        <v>5149</v>
      </c>
      <c r="C702">
        <v>0</v>
      </c>
      <c r="D702">
        <v>0</v>
      </c>
      <c r="E702">
        <v>1</v>
      </c>
      <c r="F702">
        <v>0</v>
      </c>
      <c r="G702">
        <v>0</v>
      </c>
      <c r="H702">
        <v>0</v>
      </c>
      <c r="I702">
        <v>1</v>
      </c>
      <c r="J702">
        <v>0</v>
      </c>
      <c r="K702">
        <v>0</v>
      </c>
      <c r="L702" t="s">
        <v>3284</v>
      </c>
      <c r="M702" t="s">
        <v>3391</v>
      </c>
      <c r="N702" t="s">
        <v>3411</v>
      </c>
      <c r="O702" t="s">
        <v>3412</v>
      </c>
      <c r="P702" t="s">
        <v>3413</v>
      </c>
      <c r="Q702" t="s">
        <v>3414</v>
      </c>
      <c r="R702" t="s">
        <v>5150</v>
      </c>
    </row>
    <row r="703" spans="1:18" x14ac:dyDescent="0.2">
      <c r="A703">
        <v>2999116</v>
      </c>
      <c r="B703" t="s">
        <v>5151</v>
      </c>
      <c r="C703">
        <v>31</v>
      </c>
      <c r="D703">
        <v>16</v>
      </c>
      <c r="E703">
        <v>12</v>
      </c>
      <c r="F703">
        <v>0</v>
      </c>
      <c r="G703">
        <v>0</v>
      </c>
      <c r="H703">
        <v>0</v>
      </c>
      <c r="I703">
        <v>1</v>
      </c>
      <c r="J703">
        <v>0</v>
      </c>
      <c r="K703">
        <v>0</v>
      </c>
      <c r="L703" t="s">
        <v>3284</v>
      </c>
      <c r="M703" t="s">
        <v>3327</v>
      </c>
      <c r="N703" t="s">
        <v>3328</v>
      </c>
      <c r="O703" t="s">
        <v>3329</v>
      </c>
      <c r="P703" t="s">
        <v>3330</v>
      </c>
      <c r="Q703" t="s">
        <v>5152</v>
      </c>
      <c r="R703" t="s">
        <v>5153</v>
      </c>
    </row>
    <row r="704" spans="1:18" x14ac:dyDescent="0.2">
      <c r="A704">
        <v>2999072</v>
      </c>
      <c r="B704" t="s">
        <v>5154</v>
      </c>
      <c r="C704">
        <v>4</v>
      </c>
      <c r="D704">
        <v>2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 t="s">
        <v>3284</v>
      </c>
      <c r="M704" t="s">
        <v>3327</v>
      </c>
      <c r="N704" t="s">
        <v>3328</v>
      </c>
      <c r="O704" t="s">
        <v>3329</v>
      </c>
      <c r="P704" t="s">
        <v>3330</v>
      </c>
      <c r="Q704" t="s">
        <v>3331</v>
      </c>
      <c r="R704" t="s">
        <v>5155</v>
      </c>
    </row>
    <row r="705" spans="1:18" x14ac:dyDescent="0.2">
      <c r="A705">
        <v>2997354</v>
      </c>
      <c r="B705" t="s">
        <v>5156</v>
      </c>
      <c r="C705">
        <v>0</v>
      </c>
      <c r="D705">
        <v>0</v>
      </c>
      <c r="E705">
        <v>0</v>
      </c>
      <c r="F705">
        <v>0</v>
      </c>
      <c r="G705">
        <v>1</v>
      </c>
      <c r="H705">
        <v>0</v>
      </c>
      <c r="I705">
        <v>0</v>
      </c>
      <c r="J705">
        <v>0</v>
      </c>
      <c r="K705">
        <v>0</v>
      </c>
      <c r="L705" t="s">
        <v>3284</v>
      </c>
      <c r="M705" t="s">
        <v>3296</v>
      </c>
      <c r="N705" t="s">
        <v>3343</v>
      </c>
      <c r="O705" t="s">
        <v>3349</v>
      </c>
      <c r="P705" t="s">
        <v>3350</v>
      </c>
      <c r="Q705" t="s">
        <v>3580</v>
      </c>
      <c r="R705" t="s">
        <v>5157</v>
      </c>
    </row>
    <row r="706" spans="1:18" x14ac:dyDescent="0.2">
      <c r="A706">
        <v>2996794</v>
      </c>
      <c r="B706" t="s">
        <v>5158</v>
      </c>
      <c r="C706">
        <v>0</v>
      </c>
      <c r="D706">
        <v>0</v>
      </c>
      <c r="E706">
        <v>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 t="s">
        <v>3284</v>
      </c>
      <c r="M706" t="s">
        <v>4580</v>
      </c>
      <c r="N706" t="s">
        <v>4581</v>
      </c>
      <c r="O706" t="s">
        <v>4582</v>
      </c>
      <c r="P706" t="s">
        <v>5159</v>
      </c>
      <c r="Q706" t="s">
        <v>5160</v>
      </c>
      <c r="R706" t="s">
        <v>5161</v>
      </c>
    </row>
    <row r="707" spans="1:18" x14ac:dyDescent="0.2">
      <c r="A707">
        <v>2996790</v>
      </c>
      <c r="B707" t="s">
        <v>5162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1</v>
      </c>
      <c r="L707" t="s">
        <v>3284</v>
      </c>
      <c r="M707" t="s">
        <v>5163</v>
      </c>
      <c r="N707" t="s">
        <v>5164</v>
      </c>
      <c r="O707" t="s">
        <v>5165</v>
      </c>
      <c r="P707" t="s">
        <v>5166</v>
      </c>
      <c r="Q707" t="s">
        <v>5167</v>
      </c>
      <c r="R707" t="s">
        <v>5168</v>
      </c>
    </row>
    <row r="708" spans="1:18" x14ac:dyDescent="0.2">
      <c r="A708">
        <v>2996261</v>
      </c>
      <c r="B708" t="s">
        <v>5169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1</v>
      </c>
      <c r="J708">
        <v>0</v>
      </c>
      <c r="K708">
        <v>0</v>
      </c>
      <c r="L708" t="s">
        <v>3284</v>
      </c>
      <c r="M708" t="s">
        <v>3307</v>
      </c>
      <c r="N708" t="s">
        <v>3308</v>
      </c>
      <c r="O708" t="s">
        <v>3359</v>
      </c>
      <c r="P708" t="s">
        <v>3407</v>
      </c>
      <c r="Q708" t="s">
        <v>3408</v>
      </c>
      <c r="R708" t="s">
        <v>5170</v>
      </c>
    </row>
    <row r="709" spans="1:18" x14ac:dyDescent="0.2">
      <c r="A709">
        <v>2995588</v>
      </c>
      <c r="B709" t="s">
        <v>5171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2</v>
      </c>
      <c r="J709">
        <v>0</v>
      </c>
      <c r="K709">
        <v>0</v>
      </c>
      <c r="L709" t="s">
        <v>3284</v>
      </c>
      <c r="M709" t="s">
        <v>3307</v>
      </c>
      <c r="N709" t="s">
        <v>3308</v>
      </c>
      <c r="O709" t="s">
        <v>3359</v>
      </c>
      <c r="P709" t="s">
        <v>3360</v>
      </c>
      <c r="Q709" t="s">
        <v>3361</v>
      </c>
      <c r="R709" t="s">
        <v>5172</v>
      </c>
    </row>
    <row r="710" spans="1:18" x14ac:dyDescent="0.2">
      <c r="A710">
        <v>2995176</v>
      </c>
      <c r="B710" t="s">
        <v>5173</v>
      </c>
      <c r="C710">
        <v>0</v>
      </c>
      <c r="D710">
        <v>0</v>
      </c>
      <c r="E710">
        <v>0</v>
      </c>
      <c r="F710">
        <v>1</v>
      </c>
      <c r="G710">
        <v>0</v>
      </c>
      <c r="H710">
        <v>0</v>
      </c>
      <c r="I710">
        <v>0</v>
      </c>
      <c r="J710">
        <v>0</v>
      </c>
      <c r="K710">
        <v>0</v>
      </c>
      <c r="L710" t="s">
        <v>3284</v>
      </c>
      <c r="M710" t="s">
        <v>3296</v>
      </c>
      <c r="N710" t="s">
        <v>3297</v>
      </c>
      <c r="O710" t="s">
        <v>3298</v>
      </c>
      <c r="P710" t="s">
        <v>3826</v>
      </c>
      <c r="Q710" t="s">
        <v>5174</v>
      </c>
      <c r="R710" t="s">
        <v>5175</v>
      </c>
    </row>
    <row r="711" spans="1:18" x14ac:dyDescent="0.2">
      <c r="A711">
        <v>2995170</v>
      </c>
      <c r="B711" t="s">
        <v>5176</v>
      </c>
      <c r="C71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 t="s">
        <v>3284</v>
      </c>
      <c r="M711" t="s">
        <v>3816</v>
      </c>
      <c r="N711" t="s">
        <v>3817</v>
      </c>
      <c r="O711" t="s">
        <v>3818</v>
      </c>
      <c r="P711" t="s">
        <v>3819</v>
      </c>
      <c r="Q711" t="s">
        <v>3820</v>
      </c>
      <c r="R711" t="s">
        <v>5177</v>
      </c>
    </row>
    <row r="712" spans="1:18" x14ac:dyDescent="0.2">
      <c r="A712">
        <v>2995166</v>
      </c>
      <c r="B712" t="s">
        <v>5178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1</v>
      </c>
      <c r="J712">
        <v>0</v>
      </c>
      <c r="K712">
        <v>0</v>
      </c>
      <c r="L712" t="s">
        <v>3284</v>
      </c>
      <c r="M712" t="s">
        <v>3296</v>
      </c>
      <c r="N712" t="s">
        <v>3343</v>
      </c>
      <c r="O712" t="s">
        <v>3344</v>
      </c>
      <c r="P712" t="s">
        <v>3661</v>
      </c>
      <c r="Q712" t="s">
        <v>3662</v>
      </c>
      <c r="R712" t="s">
        <v>5179</v>
      </c>
    </row>
    <row r="713" spans="1:18" x14ac:dyDescent="0.2">
      <c r="A713">
        <v>2995161</v>
      </c>
      <c r="B713" t="s">
        <v>5180</v>
      </c>
      <c r="C713">
        <v>0</v>
      </c>
      <c r="D713">
        <v>2</v>
      </c>
      <c r="E713">
        <v>0</v>
      </c>
      <c r="F713">
        <v>0</v>
      </c>
      <c r="G713">
        <v>0</v>
      </c>
      <c r="H713">
        <v>0</v>
      </c>
      <c r="I713">
        <v>1</v>
      </c>
      <c r="J713">
        <v>1</v>
      </c>
      <c r="K713">
        <v>0</v>
      </c>
      <c r="L713" t="s">
        <v>3284</v>
      </c>
      <c r="M713" t="s">
        <v>3391</v>
      </c>
      <c r="N713" t="s">
        <v>3392</v>
      </c>
      <c r="O713" t="s">
        <v>3393</v>
      </c>
      <c r="P713" t="s">
        <v>3394</v>
      </c>
      <c r="Q713" t="s">
        <v>3395</v>
      </c>
      <c r="R713" t="s">
        <v>5181</v>
      </c>
    </row>
    <row r="714" spans="1:18" x14ac:dyDescent="0.2">
      <c r="A714">
        <v>2995156</v>
      </c>
      <c r="B714" t="s">
        <v>5182</v>
      </c>
      <c r="C714">
        <v>0</v>
      </c>
      <c r="D714">
        <v>0</v>
      </c>
      <c r="E714">
        <v>0</v>
      </c>
      <c r="F714">
        <v>1</v>
      </c>
      <c r="G714">
        <v>0</v>
      </c>
      <c r="H714">
        <v>0</v>
      </c>
      <c r="I714">
        <v>0</v>
      </c>
      <c r="J714">
        <v>0</v>
      </c>
      <c r="K714">
        <v>0</v>
      </c>
      <c r="L714" t="s">
        <v>3284</v>
      </c>
      <c r="M714" t="s">
        <v>3296</v>
      </c>
      <c r="N714" t="s">
        <v>3343</v>
      </c>
      <c r="O714" t="s">
        <v>3402</v>
      </c>
      <c r="P714" t="s">
        <v>3403</v>
      </c>
      <c r="Q714" t="s">
        <v>3404</v>
      </c>
      <c r="R714" t="s">
        <v>5183</v>
      </c>
    </row>
    <row r="715" spans="1:18" x14ac:dyDescent="0.2">
      <c r="A715">
        <v>2995153</v>
      </c>
      <c r="B715" t="s">
        <v>5184</v>
      </c>
      <c r="C715">
        <v>4</v>
      </c>
      <c r="D715">
        <v>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 t="s">
        <v>3284</v>
      </c>
      <c r="M715" t="s">
        <v>3296</v>
      </c>
      <c r="N715" t="s">
        <v>3343</v>
      </c>
      <c r="O715" t="s">
        <v>3344</v>
      </c>
      <c r="P715" t="s">
        <v>4785</v>
      </c>
      <c r="Q715" t="s">
        <v>5185</v>
      </c>
      <c r="R715" t="s">
        <v>5186</v>
      </c>
    </row>
    <row r="716" spans="1:18" x14ac:dyDescent="0.2">
      <c r="A716">
        <v>2995150</v>
      </c>
      <c r="B716" t="s">
        <v>5187</v>
      </c>
      <c r="C716">
        <v>5</v>
      </c>
      <c r="D716">
        <v>5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 t="s">
        <v>3284</v>
      </c>
      <c r="M716" t="s">
        <v>3296</v>
      </c>
      <c r="N716" t="s">
        <v>3343</v>
      </c>
      <c r="O716" t="s">
        <v>3349</v>
      </c>
      <c r="P716" t="s">
        <v>3350</v>
      </c>
      <c r="Q716" t="s">
        <v>3351</v>
      </c>
      <c r="R716" t="s">
        <v>5188</v>
      </c>
    </row>
    <row r="717" spans="1:18" x14ac:dyDescent="0.2">
      <c r="A717">
        <v>2995143</v>
      </c>
      <c r="B717" t="s">
        <v>5189</v>
      </c>
      <c r="C717">
        <v>0</v>
      </c>
      <c r="D717">
        <v>0</v>
      </c>
      <c r="E717">
        <v>0</v>
      </c>
      <c r="F717">
        <v>4</v>
      </c>
      <c r="G717">
        <v>1</v>
      </c>
      <c r="H717">
        <v>1</v>
      </c>
      <c r="I717">
        <v>0</v>
      </c>
      <c r="J717">
        <v>0</v>
      </c>
      <c r="K717">
        <v>0</v>
      </c>
      <c r="L717" t="s">
        <v>3284</v>
      </c>
      <c r="M717" t="s">
        <v>3296</v>
      </c>
      <c r="N717" t="s">
        <v>3343</v>
      </c>
      <c r="O717" t="s">
        <v>3402</v>
      </c>
      <c r="P717" t="s">
        <v>3403</v>
      </c>
      <c r="Q717" t="s">
        <v>3536</v>
      </c>
      <c r="R717" t="s">
        <v>5190</v>
      </c>
    </row>
    <row r="718" spans="1:18" x14ac:dyDescent="0.2">
      <c r="A718">
        <v>2995138</v>
      </c>
      <c r="B718" t="s">
        <v>5191</v>
      </c>
      <c r="C718">
        <v>1</v>
      </c>
      <c r="D718">
        <v>0</v>
      </c>
      <c r="E718">
        <v>0</v>
      </c>
      <c r="F718">
        <v>1</v>
      </c>
      <c r="G718">
        <v>0</v>
      </c>
      <c r="H718">
        <v>0</v>
      </c>
      <c r="I718">
        <v>0</v>
      </c>
      <c r="J718">
        <v>0</v>
      </c>
      <c r="K718">
        <v>0</v>
      </c>
      <c r="L718" t="s">
        <v>3284</v>
      </c>
      <c r="M718" t="s">
        <v>3296</v>
      </c>
      <c r="N718" t="s">
        <v>3321</v>
      </c>
      <c r="O718" t="s">
        <v>3322</v>
      </c>
      <c r="P718" t="s">
        <v>3671</v>
      </c>
      <c r="Q718" t="s">
        <v>3672</v>
      </c>
      <c r="R718" t="s">
        <v>5192</v>
      </c>
    </row>
    <row r="719" spans="1:18" x14ac:dyDescent="0.2">
      <c r="A719">
        <v>2994661</v>
      </c>
      <c r="B719" t="s">
        <v>5193</v>
      </c>
      <c r="C719">
        <v>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 t="s">
        <v>3284</v>
      </c>
      <c r="M719" t="s">
        <v>3296</v>
      </c>
      <c r="N719" t="s">
        <v>3297</v>
      </c>
      <c r="O719" t="s">
        <v>3434</v>
      </c>
      <c r="P719" t="s">
        <v>3435</v>
      </c>
      <c r="Q719" t="s">
        <v>3436</v>
      </c>
      <c r="R719" t="s">
        <v>5194</v>
      </c>
    </row>
    <row r="720" spans="1:18" x14ac:dyDescent="0.2">
      <c r="A720">
        <v>2994654</v>
      </c>
      <c r="B720" t="s">
        <v>5195</v>
      </c>
      <c r="C720">
        <v>0</v>
      </c>
      <c r="D720">
        <v>0</v>
      </c>
      <c r="E720">
        <v>0</v>
      </c>
      <c r="F720">
        <v>1</v>
      </c>
      <c r="G720">
        <v>1</v>
      </c>
      <c r="H720">
        <v>0</v>
      </c>
      <c r="I720">
        <v>1</v>
      </c>
      <c r="J720">
        <v>0</v>
      </c>
      <c r="K720">
        <v>1</v>
      </c>
      <c r="L720" t="s">
        <v>3284</v>
      </c>
      <c r="M720" t="s">
        <v>3296</v>
      </c>
      <c r="N720" t="s">
        <v>3343</v>
      </c>
      <c r="O720" t="s">
        <v>3344</v>
      </c>
      <c r="P720" t="s">
        <v>3387</v>
      </c>
      <c r="Q720" t="s">
        <v>3388</v>
      </c>
      <c r="R720" t="s">
        <v>5196</v>
      </c>
    </row>
    <row r="721" spans="1:18" x14ac:dyDescent="0.2">
      <c r="A721">
        <v>2994521</v>
      </c>
      <c r="B721" t="s">
        <v>5197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1</v>
      </c>
      <c r="J721">
        <v>0</v>
      </c>
      <c r="K721">
        <v>0</v>
      </c>
      <c r="L721" t="s">
        <v>3284</v>
      </c>
      <c r="M721" t="s">
        <v>3307</v>
      </c>
      <c r="N721" t="s">
        <v>3308</v>
      </c>
      <c r="O721" t="s">
        <v>3359</v>
      </c>
      <c r="P721" t="s">
        <v>3360</v>
      </c>
      <c r="Q721" t="s">
        <v>3364</v>
      </c>
      <c r="R721" t="s">
        <v>5198</v>
      </c>
    </row>
    <row r="722" spans="1:18" x14ac:dyDescent="0.2">
      <c r="A722">
        <v>2994496</v>
      </c>
      <c r="B722" t="s">
        <v>5199</v>
      </c>
      <c r="C722">
        <v>0</v>
      </c>
      <c r="D722">
        <v>1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 t="s">
        <v>3284</v>
      </c>
      <c r="M722" t="s">
        <v>3296</v>
      </c>
      <c r="N722" t="s">
        <v>3297</v>
      </c>
      <c r="O722" t="s">
        <v>3469</v>
      </c>
      <c r="P722" t="s">
        <v>5200</v>
      </c>
      <c r="Q722" t="s">
        <v>5201</v>
      </c>
      <c r="R722" t="s">
        <v>5202</v>
      </c>
    </row>
    <row r="723" spans="1:18" x14ac:dyDescent="0.2">
      <c r="A723">
        <v>2994474</v>
      </c>
      <c r="B723" t="s">
        <v>5203</v>
      </c>
      <c r="C723">
        <v>0</v>
      </c>
      <c r="D723">
        <v>0</v>
      </c>
      <c r="E723">
        <v>0</v>
      </c>
      <c r="F723">
        <v>7</v>
      </c>
      <c r="G723">
        <v>8</v>
      </c>
      <c r="H723">
        <v>0</v>
      </c>
      <c r="I723">
        <v>0</v>
      </c>
      <c r="J723">
        <v>0</v>
      </c>
      <c r="K723">
        <v>0</v>
      </c>
      <c r="L723" t="s">
        <v>3284</v>
      </c>
      <c r="M723" t="s">
        <v>3391</v>
      </c>
      <c r="N723" t="s">
        <v>3392</v>
      </c>
      <c r="O723" t="s">
        <v>3393</v>
      </c>
      <c r="P723" t="s">
        <v>3394</v>
      </c>
      <c r="Q723" t="s">
        <v>3395</v>
      </c>
      <c r="R723" t="s">
        <v>5204</v>
      </c>
    </row>
    <row r="724" spans="1:18" x14ac:dyDescent="0.2">
      <c r="A724">
        <v>2994473</v>
      </c>
      <c r="B724" t="s">
        <v>5205</v>
      </c>
      <c r="C724">
        <v>0</v>
      </c>
      <c r="D724">
        <v>0</v>
      </c>
      <c r="E724">
        <v>0</v>
      </c>
      <c r="F724">
        <v>1</v>
      </c>
      <c r="G724">
        <v>0</v>
      </c>
      <c r="H724">
        <v>0</v>
      </c>
      <c r="I724">
        <v>0</v>
      </c>
      <c r="J724">
        <v>0</v>
      </c>
      <c r="K724">
        <v>0</v>
      </c>
      <c r="L724" t="s">
        <v>3284</v>
      </c>
      <c r="M724" t="s">
        <v>3391</v>
      </c>
      <c r="N724" t="s">
        <v>3392</v>
      </c>
      <c r="O724" t="s">
        <v>3393</v>
      </c>
      <c r="P724" t="s">
        <v>3394</v>
      </c>
      <c r="Q724" t="s">
        <v>3395</v>
      </c>
      <c r="R724" t="s">
        <v>5206</v>
      </c>
    </row>
    <row r="725" spans="1:18" x14ac:dyDescent="0.2">
      <c r="A725">
        <v>2994472</v>
      </c>
      <c r="B725" t="s">
        <v>5207</v>
      </c>
      <c r="C725">
        <v>0</v>
      </c>
      <c r="D725">
        <v>0</v>
      </c>
      <c r="E725">
        <v>0</v>
      </c>
      <c r="F725">
        <v>1</v>
      </c>
      <c r="G725">
        <v>0</v>
      </c>
      <c r="H725">
        <v>0</v>
      </c>
      <c r="I725">
        <v>0</v>
      </c>
      <c r="J725">
        <v>1</v>
      </c>
      <c r="K725">
        <v>0</v>
      </c>
      <c r="L725" t="s">
        <v>3284</v>
      </c>
      <c r="M725" t="s">
        <v>3391</v>
      </c>
      <c r="N725" t="s">
        <v>3392</v>
      </c>
      <c r="O725" t="s">
        <v>3393</v>
      </c>
      <c r="P725" t="s">
        <v>3394</v>
      </c>
      <c r="Q725" t="s">
        <v>3395</v>
      </c>
      <c r="R725" t="s">
        <v>5208</v>
      </c>
    </row>
    <row r="726" spans="1:18" x14ac:dyDescent="0.2">
      <c r="A726">
        <v>2994466</v>
      </c>
      <c r="B726" t="s">
        <v>5209</v>
      </c>
      <c r="C726">
        <v>0</v>
      </c>
      <c r="D726">
        <v>0</v>
      </c>
      <c r="E726">
        <v>0</v>
      </c>
      <c r="F726">
        <v>1</v>
      </c>
      <c r="G726">
        <v>1</v>
      </c>
      <c r="H726">
        <v>0</v>
      </c>
      <c r="I726">
        <v>0</v>
      </c>
      <c r="J726">
        <v>0</v>
      </c>
      <c r="K726">
        <v>0</v>
      </c>
      <c r="L726" t="s">
        <v>3284</v>
      </c>
      <c r="M726" t="s">
        <v>3391</v>
      </c>
      <c r="N726" t="s">
        <v>3392</v>
      </c>
      <c r="O726" t="s">
        <v>3393</v>
      </c>
      <c r="P726" t="s">
        <v>3394</v>
      </c>
      <c r="Q726" t="s">
        <v>3395</v>
      </c>
      <c r="R726" t="s">
        <v>5210</v>
      </c>
    </row>
    <row r="727" spans="1:18" x14ac:dyDescent="0.2">
      <c r="A727">
        <v>2994319</v>
      </c>
      <c r="B727" t="s">
        <v>5211</v>
      </c>
      <c r="C727">
        <v>0</v>
      </c>
      <c r="D727">
        <v>0</v>
      </c>
      <c r="E727">
        <v>0</v>
      </c>
      <c r="F727">
        <v>3</v>
      </c>
      <c r="G727">
        <v>0</v>
      </c>
      <c r="H727">
        <v>0</v>
      </c>
      <c r="I727">
        <v>0</v>
      </c>
      <c r="J727">
        <v>0</v>
      </c>
      <c r="K727">
        <v>0</v>
      </c>
      <c r="L727" t="s">
        <v>3284</v>
      </c>
      <c r="M727" t="s">
        <v>3391</v>
      </c>
      <c r="N727" t="s">
        <v>3411</v>
      </c>
      <c r="O727" t="s">
        <v>3412</v>
      </c>
      <c r="P727" t="s">
        <v>3413</v>
      </c>
      <c r="Q727" t="s">
        <v>3414</v>
      </c>
      <c r="R727" t="s">
        <v>5212</v>
      </c>
    </row>
    <row r="728" spans="1:18" x14ac:dyDescent="0.2">
      <c r="A728">
        <v>2994102</v>
      </c>
      <c r="B728" t="s">
        <v>5213</v>
      </c>
      <c r="C728">
        <v>0</v>
      </c>
      <c r="D728">
        <v>0</v>
      </c>
      <c r="E728">
        <v>0</v>
      </c>
      <c r="F728">
        <v>1</v>
      </c>
      <c r="G728">
        <v>2</v>
      </c>
      <c r="H728">
        <v>0</v>
      </c>
      <c r="I728">
        <v>0</v>
      </c>
      <c r="J728">
        <v>0</v>
      </c>
      <c r="K728">
        <v>0</v>
      </c>
      <c r="L728" t="s">
        <v>3284</v>
      </c>
      <c r="M728" t="s">
        <v>3307</v>
      </c>
      <c r="N728" t="s">
        <v>3308</v>
      </c>
      <c r="O728" t="s">
        <v>3635</v>
      </c>
      <c r="P728" t="s">
        <v>4011</v>
      </c>
      <c r="Q728" t="s">
        <v>4012</v>
      </c>
      <c r="R728" t="s">
        <v>5214</v>
      </c>
    </row>
    <row r="729" spans="1:18" x14ac:dyDescent="0.2">
      <c r="A729">
        <v>2993655</v>
      </c>
      <c r="B729" t="s">
        <v>5215</v>
      </c>
      <c r="C729">
        <v>0</v>
      </c>
      <c r="D729">
        <v>1</v>
      </c>
      <c r="E729">
        <v>0</v>
      </c>
      <c r="F729">
        <v>0</v>
      </c>
      <c r="G729">
        <v>2</v>
      </c>
      <c r="H729">
        <v>0</v>
      </c>
      <c r="I729">
        <v>0</v>
      </c>
      <c r="J729">
        <v>0</v>
      </c>
      <c r="K729">
        <v>0</v>
      </c>
      <c r="L729" t="s">
        <v>3284</v>
      </c>
      <c r="M729" t="s">
        <v>3296</v>
      </c>
      <c r="N729" t="s">
        <v>3321</v>
      </c>
      <c r="O729" t="s">
        <v>3322</v>
      </c>
      <c r="P729" t="s">
        <v>3671</v>
      </c>
      <c r="Q729" t="s">
        <v>3672</v>
      </c>
      <c r="R729" t="s">
        <v>5216</v>
      </c>
    </row>
    <row r="730" spans="1:18" x14ac:dyDescent="0.2">
      <c r="A730">
        <v>2993436</v>
      </c>
      <c r="B730" t="s">
        <v>5217</v>
      </c>
      <c r="C730">
        <v>0</v>
      </c>
      <c r="D730">
        <v>0</v>
      </c>
      <c r="E730">
        <v>0</v>
      </c>
      <c r="F730">
        <v>0</v>
      </c>
      <c r="G730">
        <v>1</v>
      </c>
      <c r="H730">
        <v>0</v>
      </c>
      <c r="I730">
        <v>0</v>
      </c>
      <c r="J730">
        <v>0</v>
      </c>
      <c r="K730">
        <v>0</v>
      </c>
      <c r="L730" t="s">
        <v>3284</v>
      </c>
      <c r="M730" t="s">
        <v>3296</v>
      </c>
      <c r="N730" t="s">
        <v>3343</v>
      </c>
      <c r="O730" t="s">
        <v>3349</v>
      </c>
      <c r="P730" t="s">
        <v>3350</v>
      </c>
      <c r="Q730" t="s">
        <v>4175</v>
      </c>
      <c r="R730" t="s">
        <v>5218</v>
      </c>
    </row>
    <row r="731" spans="1:18" x14ac:dyDescent="0.2">
      <c r="A731">
        <v>2992742</v>
      </c>
      <c r="B731" t="s">
        <v>5219</v>
      </c>
      <c r="C731">
        <v>0</v>
      </c>
      <c r="D731">
        <v>0</v>
      </c>
      <c r="E731">
        <v>0</v>
      </c>
      <c r="F731">
        <v>0</v>
      </c>
      <c r="G731">
        <v>1</v>
      </c>
      <c r="H731">
        <v>0</v>
      </c>
      <c r="I731">
        <v>0</v>
      </c>
      <c r="J731">
        <v>0</v>
      </c>
      <c r="K731">
        <v>0</v>
      </c>
      <c r="L731" t="s">
        <v>3284</v>
      </c>
      <c r="M731" t="s">
        <v>3307</v>
      </c>
      <c r="N731" t="s">
        <v>3308</v>
      </c>
      <c r="O731" t="s">
        <v>3635</v>
      </c>
      <c r="P731" t="s">
        <v>5220</v>
      </c>
      <c r="Q731" t="s">
        <v>5221</v>
      </c>
      <c r="R731" t="s">
        <v>5222</v>
      </c>
    </row>
    <row r="732" spans="1:18" x14ac:dyDescent="0.2">
      <c r="A732">
        <v>2991837</v>
      </c>
      <c r="B732" t="s">
        <v>5223</v>
      </c>
      <c r="C732">
        <v>1</v>
      </c>
      <c r="D732">
        <v>0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 t="s">
        <v>3284</v>
      </c>
      <c r="M732" t="s">
        <v>3327</v>
      </c>
      <c r="N732" t="s">
        <v>3328</v>
      </c>
      <c r="O732" t="s">
        <v>3329</v>
      </c>
      <c r="P732" t="s">
        <v>3330</v>
      </c>
      <c r="Q732" t="s">
        <v>3331</v>
      </c>
      <c r="R732" t="s">
        <v>5224</v>
      </c>
    </row>
    <row r="733" spans="1:18" x14ac:dyDescent="0.2">
      <c r="A733">
        <v>2991709</v>
      </c>
      <c r="B733" t="s">
        <v>5225</v>
      </c>
      <c r="C733">
        <v>0</v>
      </c>
      <c r="D733">
        <v>0</v>
      </c>
      <c r="E733">
        <v>0</v>
      </c>
      <c r="F733">
        <v>1</v>
      </c>
      <c r="G733">
        <v>0</v>
      </c>
      <c r="H733">
        <v>0</v>
      </c>
      <c r="I733">
        <v>0</v>
      </c>
      <c r="J733">
        <v>0</v>
      </c>
      <c r="K733">
        <v>0</v>
      </c>
      <c r="L733" t="s">
        <v>3284</v>
      </c>
      <c r="M733" t="s">
        <v>3391</v>
      </c>
      <c r="N733" t="s">
        <v>4129</v>
      </c>
      <c r="O733" t="s">
        <v>4130</v>
      </c>
      <c r="P733" t="s">
        <v>4131</v>
      </c>
      <c r="Q733" t="s">
        <v>4132</v>
      </c>
      <c r="R733" t="s">
        <v>5226</v>
      </c>
    </row>
    <row r="734" spans="1:18" x14ac:dyDescent="0.2">
      <c r="A734">
        <v>2991443</v>
      </c>
      <c r="B734" t="s">
        <v>5227</v>
      </c>
      <c r="C734">
        <v>0</v>
      </c>
      <c r="D734">
        <v>0</v>
      </c>
      <c r="E734">
        <v>0</v>
      </c>
      <c r="F734">
        <v>0</v>
      </c>
      <c r="G734">
        <v>1</v>
      </c>
      <c r="H734">
        <v>0</v>
      </c>
      <c r="I734">
        <v>0</v>
      </c>
      <c r="J734">
        <v>0</v>
      </c>
      <c r="K734">
        <v>0</v>
      </c>
      <c r="L734" t="s">
        <v>3284</v>
      </c>
      <c r="M734" t="s">
        <v>3296</v>
      </c>
      <c r="N734" t="s">
        <v>3297</v>
      </c>
      <c r="O734" t="s">
        <v>3434</v>
      </c>
      <c r="P734" t="s">
        <v>3435</v>
      </c>
      <c r="Q734" t="s">
        <v>3436</v>
      </c>
      <c r="R734" t="s">
        <v>5228</v>
      </c>
    </row>
    <row r="735" spans="1:18" x14ac:dyDescent="0.2">
      <c r="A735">
        <v>2991434</v>
      </c>
      <c r="B735" t="s">
        <v>5229</v>
      </c>
      <c r="C735">
        <v>1</v>
      </c>
      <c r="D735">
        <v>0</v>
      </c>
      <c r="E735">
        <v>0</v>
      </c>
      <c r="F735">
        <v>1</v>
      </c>
      <c r="G735">
        <v>1</v>
      </c>
      <c r="H735">
        <v>0</v>
      </c>
      <c r="I735">
        <v>0</v>
      </c>
      <c r="J735">
        <v>0</v>
      </c>
      <c r="K735">
        <v>0</v>
      </c>
      <c r="L735" t="s">
        <v>3284</v>
      </c>
      <c r="M735" t="s">
        <v>3296</v>
      </c>
      <c r="N735" t="s">
        <v>3297</v>
      </c>
      <c r="O735" t="s">
        <v>3434</v>
      </c>
      <c r="P735" t="s">
        <v>3435</v>
      </c>
      <c r="Q735" t="s">
        <v>3436</v>
      </c>
      <c r="R735" t="s">
        <v>5230</v>
      </c>
    </row>
    <row r="736" spans="1:18" x14ac:dyDescent="0.2">
      <c r="A736">
        <v>2991427</v>
      </c>
      <c r="B736" t="s">
        <v>5231</v>
      </c>
      <c r="C736">
        <v>0</v>
      </c>
      <c r="D736">
        <v>0</v>
      </c>
      <c r="E736">
        <v>0</v>
      </c>
      <c r="F736">
        <v>1</v>
      </c>
      <c r="G736">
        <v>0</v>
      </c>
      <c r="H736">
        <v>0</v>
      </c>
      <c r="I736">
        <v>0</v>
      </c>
      <c r="J736">
        <v>0</v>
      </c>
      <c r="K736">
        <v>0</v>
      </c>
      <c r="L736" t="s">
        <v>3284</v>
      </c>
      <c r="M736" t="s">
        <v>3296</v>
      </c>
      <c r="N736" t="s">
        <v>3297</v>
      </c>
      <c r="O736" t="s">
        <v>3469</v>
      </c>
      <c r="P736" t="s">
        <v>3470</v>
      </c>
      <c r="Q736" t="s">
        <v>3471</v>
      </c>
      <c r="R736" t="s">
        <v>5232</v>
      </c>
    </row>
    <row r="737" spans="1:18" x14ac:dyDescent="0.2">
      <c r="A737">
        <v>2991426</v>
      </c>
      <c r="B737" t="s">
        <v>5233</v>
      </c>
      <c r="C737">
        <v>0</v>
      </c>
      <c r="D737">
        <v>0</v>
      </c>
      <c r="E737">
        <v>0</v>
      </c>
      <c r="F737">
        <v>16</v>
      </c>
      <c r="G737">
        <v>14</v>
      </c>
      <c r="H737">
        <v>10</v>
      </c>
      <c r="I737">
        <v>0</v>
      </c>
      <c r="J737">
        <v>0</v>
      </c>
      <c r="K737">
        <v>0</v>
      </c>
      <c r="L737" t="s">
        <v>3284</v>
      </c>
      <c r="M737" t="s">
        <v>3296</v>
      </c>
      <c r="N737" t="s">
        <v>3297</v>
      </c>
      <c r="O737" t="s">
        <v>3469</v>
      </c>
      <c r="P737" t="s">
        <v>3470</v>
      </c>
      <c r="Q737" t="s">
        <v>3471</v>
      </c>
      <c r="R737" t="s">
        <v>5234</v>
      </c>
    </row>
    <row r="738" spans="1:18" x14ac:dyDescent="0.2">
      <c r="A738">
        <v>2991422</v>
      </c>
      <c r="B738" t="s">
        <v>5235</v>
      </c>
      <c r="C738">
        <v>0</v>
      </c>
      <c r="D738">
        <v>0</v>
      </c>
      <c r="E738">
        <v>0</v>
      </c>
      <c r="F738">
        <v>1</v>
      </c>
      <c r="G738">
        <v>0</v>
      </c>
      <c r="H738">
        <v>0</v>
      </c>
      <c r="I738">
        <v>0</v>
      </c>
      <c r="J738">
        <v>0</v>
      </c>
      <c r="K738">
        <v>0</v>
      </c>
      <c r="L738" t="s">
        <v>3284</v>
      </c>
      <c r="M738" t="s">
        <v>3296</v>
      </c>
      <c r="N738" t="s">
        <v>3297</v>
      </c>
      <c r="O738" t="s">
        <v>3469</v>
      </c>
      <c r="P738" t="s">
        <v>3470</v>
      </c>
      <c r="Q738" t="s">
        <v>3471</v>
      </c>
      <c r="R738" t="s">
        <v>5236</v>
      </c>
    </row>
    <row r="739" spans="1:18" x14ac:dyDescent="0.2">
      <c r="A739">
        <v>2990508</v>
      </c>
      <c r="B739" t="s">
        <v>5237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3</v>
      </c>
      <c r="J739">
        <v>1</v>
      </c>
      <c r="K739">
        <v>0</v>
      </c>
      <c r="L739" t="s">
        <v>3284</v>
      </c>
      <c r="M739" t="s">
        <v>3296</v>
      </c>
      <c r="N739" t="s">
        <v>3297</v>
      </c>
      <c r="O739" t="s">
        <v>4112</v>
      </c>
      <c r="P739" t="s">
        <v>4113</v>
      </c>
      <c r="Q739" t="s">
        <v>4114</v>
      </c>
      <c r="R739" t="s">
        <v>5238</v>
      </c>
    </row>
    <row r="740" spans="1:18" x14ac:dyDescent="0.2">
      <c r="A740">
        <v>2990502</v>
      </c>
      <c r="B740" t="s">
        <v>5239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4</v>
      </c>
      <c r="J740">
        <v>3</v>
      </c>
      <c r="K740">
        <v>1</v>
      </c>
      <c r="L740" t="s">
        <v>3284</v>
      </c>
      <c r="M740" t="s">
        <v>3296</v>
      </c>
      <c r="N740" t="s">
        <v>3297</v>
      </c>
      <c r="O740" t="s">
        <v>4112</v>
      </c>
      <c r="P740" t="s">
        <v>4113</v>
      </c>
      <c r="Q740" t="s">
        <v>4114</v>
      </c>
      <c r="R740" t="s">
        <v>5240</v>
      </c>
    </row>
    <row r="741" spans="1:18" x14ac:dyDescent="0.2">
      <c r="A741">
        <v>2989839</v>
      </c>
      <c r="B741" t="s">
        <v>5241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3</v>
      </c>
      <c r="J741">
        <v>2</v>
      </c>
      <c r="K741">
        <v>2</v>
      </c>
      <c r="L741" t="s">
        <v>3284</v>
      </c>
      <c r="M741" t="s">
        <v>3296</v>
      </c>
      <c r="N741" t="s">
        <v>3297</v>
      </c>
      <c r="O741" t="s">
        <v>4112</v>
      </c>
      <c r="P741" t="s">
        <v>4113</v>
      </c>
      <c r="Q741" t="s">
        <v>4114</v>
      </c>
      <c r="R741" t="s">
        <v>5242</v>
      </c>
    </row>
    <row r="742" spans="1:18" x14ac:dyDescent="0.2">
      <c r="A742">
        <v>2989826</v>
      </c>
      <c r="B742" t="s">
        <v>5243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1</v>
      </c>
      <c r="J742">
        <v>0</v>
      </c>
      <c r="K742">
        <v>1</v>
      </c>
      <c r="L742" t="s">
        <v>3284</v>
      </c>
      <c r="M742" t="s">
        <v>3296</v>
      </c>
      <c r="N742" t="s">
        <v>3297</v>
      </c>
      <c r="O742" t="s">
        <v>4112</v>
      </c>
      <c r="P742" t="s">
        <v>4113</v>
      </c>
      <c r="Q742" t="s">
        <v>4114</v>
      </c>
      <c r="R742" t="s">
        <v>5244</v>
      </c>
    </row>
    <row r="743" spans="1:18" x14ac:dyDescent="0.2">
      <c r="A743">
        <v>2989819</v>
      </c>
      <c r="B743" t="s">
        <v>5245</v>
      </c>
      <c r="C743">
        <v>1</v>
      </c>
      <c r="D743">
        <v>0</v>
      </c>
      <c r="E743">
        <v>0</v>
      </c>
      <c r="F743">
        <v>2</v>
      </c>
      <c r="G743">
        <v>0</v>
      </c>
      <c r="H743">
        <v>0</v>
      </c>
      <c r="I743">
        <v>0</v>
      </c>
      <c r="J743">
        <v>0</v>
      </c>
      <c r="K743">
        <v>0</v>
      </c>
      <c r="L743" t="s">
        <v>3284</v>
      </c>
      <c r="M743" t="s">
        <v>3296</v>
      </c>
      <c r="N743" t="s">
        <v>3297</v>
      </c>
      <c r="O743" t="s">
        <v>3469</v>
      </c>
      <c r="P743" t="s">
        <v>3470</v>
      </c>
      <c r="Q743" t="s">
        <v>5246</v>
      </c>
      <c r="R743" t="s">
        <v>5247</v>
      </c>
    </row>
    <row r="744" spans="1:18" x14ac:dyDescent="0.2">
      <c r="A744">
        <v>2989816</v>
      </c>
      <c r="B744" t="s">
        <v>5248</v>
      </c>
      <c r="C744">
        <v>1</v>
      </c>
      <c r="D744">
        <v>0</v>
      </c>
      <c r="E744">
        <v>0</v>
      </c>
      <c r="F744">
        <v>1</v>
      </c>
      <c r="G744">
        <v>0</v>
      </c>
      <c r="H744">
        <v>0</v>
      </c>
      <c r="I744">
        <v>0</v>
      </c>
      <c r="J744">
        <v>0</v>
      </c>
      <c r="K744">
        <v>0</v>
      </c>
      <c r="L744" t="s">
        <v>3284</v>
      </c>
      <c r="M744" t="s">
        <v>3391</v>
      </c>
      <c r="N744" t="s">
        <v>3411</v>
      </c>
      <c r="O744" t="s">
        <v>3412</v>
      </c>
      <c r="P744" t="s">
        <v>3413</v>
      </c>
      <c r="Q744" t="s">
        <v>3414</v>
      </c>
      <c r="R744" t="s">
        <v>5249</v>
      </c>
    </row>
    <row r="745" spans="1:18" x14ac:dyDescent="0.2">
      <c r="A745">
        <v>2989731</v>
      </c>
      <c r="B745" t="s">
        <v>5250</v>
      </c>
      <c r="C745">
        <v>1</v>
      </c>
      <c r="D745">
        <v>1</v>
      </c>
      <c r="E745">
        <v>0</v>
      </c>
      <c r="F745">
        <v>1</v>
      </c>
      <c r="G745">
        <v>2</v>
      </c>
      <c r="H745">
        <v>0</v>
      </c>
      <c r="I745">
        <v>0</v>
      </c>
      <c r="J745">
        <v>0</v>
      </c>
      <c r="K745">
        <v>0</v>
      </c>
      <c r="L745" t="s">
        <v>3284</v>
      </c>
      <c r="M745" t="s">
        <v>3296</v>
      </c>
      <c r="N745" t="s">
        <v>3343</v>
      </c>
      <c r="O745" t="s">
        <v>3349</v>
      </c>
      <c r="P745" t="s">
        <v>3350</v>
      </c>
      <c r="Q745" t="s">
        <v>3351</v>
      </c>
      <c r="R745" t="s">
        <v>5251</v>
      </c>
    </row>
    <row r="746" spans="1:18" x14ac:dyDescent="0.2">
      <c r="A746">
        <v>2989719</v>
      </c>
      <c r="B746" t="s">
        <v>5252</v>
      </c>
      <c r="C746">
        <v>1</v>
      </c>
      <c r="D746">
        <v>0</v>
      </c>
      <c r="E746">
        <v>0</v>
      </c>
      <c r="F746">
        <v>4</v>
      </c>
      <c r="G746">
        <v>2</v>
      </c>
      <c r="H746">
        <v>0</v>
      </c>
      <c r="I746">
        <v>0</v>
      </c>
      <c r="J746">
        <v>0</v>
      </c>
      <c r="K746">
        <v>0</v>
      </c>
      <c r="L746" t="s">
        <v>3284</v>
      </c>
      <c r="M746" t="s">
        <v>3816</v>
      </c>
      <c r="N746" t="s">
        <v>3817</v>
      </c>
      <c r="O746" t="s">
        <v>3818</v>
      </c>
      <c r="P746" t="s">
        <v>3819</v>
      </c>
      <c r="Q746" t="s">
        <v>3820</v>
      </c>
      <c r="R746" t="s">
        <v>5253</v>
      </c>
    </row>
    <row r="747" spans="1:18" x14ac:dyDescent="0.2">
      <c r="A747">
        <v>2987703</v>
      </c>
      <c r="B747" t="s">
        <v>5254</v>
      </c>
      <c r="C747">
        <v>3</v>
      </c>
      <c r="D747">
        <v>5</v>
      </c>
      <c r="E747">
        <v>5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1</v>
      </c>
      <c r="L747" t="s">
        <v>3284</v>
      </c>
      <c r="M747" t="s">
        <v>3327</v>
      </c>
      <c r="N747" t="s">
        <v>3328</v>
      </c>
      <c r="O747" t="s">
        <v>3329</v>
      </c>
      <c r="P747" t="s">
        <v>3330</v>
      </c>
      <c r="Q747" t="s">
        <v>3331</v>
      </c>
      <c r="R747" t="s">
        <v>5255</v>
      </c>
    </row>
    <row r="748" spans="1:18" x14ac:dyDescent="0.2">
      <c r="A748">
        <v>2987531</v>
      </c>
      <c r="B748" t="s">
        <v>5256</v>
      </c>
      <c r="C748">
        <v>0</v>
      </c>
      <c r="D748">
        <v>0</v>
      </c>
      <c r="E748">
        <v>0</v>
      </c>
      <c r="F748">
        <v>1</v>
      </c>
      <c r="G748">
        <v>0</v>
      </c>
      <c r="H748">
        <v>0</v>
      </c>
      <c r="I748">
        <v>0</v>
      </c>
      <c r="J748">
        <v>0</v>
      </c>
      <c r="K748">
        <v>0</v>
      </c>
      <c r="L748" t="s">
        <v>3284</v>
      </c>
      <c r="M748" t="s">
        <v>3296</v>
      </c>
      <c r="N748" t="s">
        <v>3343</v>
      </c>
      <c r="O748" t="s">
        <v>3344</v>
      </c>
      <c r="P748" t="s">
        <v>5257</v>
      </c>
      <c r="Q748" t="s">
        <v>5258</v>
      </c>
      <c r="R748" t="s">
        <v>5259</v>
      </c>
    </row>
    <row r="749" spans="1:18" x14ac:dyDescent="0.2">
      <c r="A749">
        <v>2987530</v>
      </c>
      <c r="B749" t="s">
        <v>5260</v>
      </c>
      <c r="C749">
        <v>5</v>
      </c>
      <c r="D749">
        <v>4</v>
      </c>
      <c r="E749">
        <v>1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 t="s">
        <v>3284</v>
      </c>
      <c r="M749" t="s">
        <v>3327</v>
      </c>
      <c r="N749" t="s">
        <v>3328</v>
      </c>
      <c r="O749" t="s">
        <v>3329</v>
      </c>
      <c r="P749" t="s">
        <v>3330</v>
      </c>
      <c r="Q749" t="s">
        <v>3331</v>
      </c>
      <c r="R749" t="s">
        <v>5261</v>
      </c>
    </row>
    <row r="750" spans="1:18" x14ac:dyDescent="0.2">
      <c r="A750">
        <v>2987526</v>
      </c>
      <c r="B750" t="s">
        <v>5262</v>
      </c>
      <c r="C750">
        <v>1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1</v>
      </c>
      <c r="J750">
        <v>0</v>
      </c>
      <c r="K750">
        <v>0</v>
      </c>
      <c r="L750" t="s">
        <v>3284</v>
      </c>
      <c r="M750" t="s">
        <v>3296</v>
      </c>
      <c r="N750" t="s">
        <v>3321</v>
      </c>
      <c r="O750" t="s">
        <v>3322</v>
      </c>
      <c r="P750" t="s">
        <v>3671</v>
      </c>
      <c r="Q750" t="s">
        <v>3672</v>
      </c>
      <c r="R750" t="s">
        <v>5263</v>
      </c>
    </row>
    <row r="751" spans="1:18" x14ac:dyDescent="0.2">
      <c r="A751">
        <v>2987525</v>
      </c>
      <c r="B751" t="s">
        <v>5264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1</v>
      </c>
      <c r="J751">
        <v>0</v>
      </c>
      <c r="K751">
        <v>0</v>
      </c>
      <c r="L751" t="s">
        <v>3284</v>
      </c>
      <c r="M751" t="s">
        <v>3296</v>
      </c>
      <c r="N751" t="s">
        <v>3321</v>
      </c>
      <c r="O751" t="s">
        <v>3322</v>
      </c>
      <c r="P751" t="s">
        <v>3671</v>
      </c>
      <c r="Q751" t="s">
        <v>3672</v>
      </c>
      <c r="R751" t="s">
        <v>5265</v>
      </c>
    </row>
    <row r="752" spans="1:18" x14ac:dyDescent="0.2">
      <c r="A752">
        <v>2987524</v>
      </c>
      <c r="B752" t="s">
        <v>5266</v>
      </c>
      <c r="C752">
        <v>0</v>
      </c>
      <c r="D752">
        <v>0</v>
      </c>
      <c r="E752">
        <v>0</v>
      </c>
      <c r="F752">
        <v>0</v>
      </c>
      <c r="G752">
        <v>1</v>
      </c>
      <c r="H752">
        <v>0</v>
      </c>
      <c r="I752">
        <v>0</v>
      </c>
      <c r="J752">
        <v>0</v>
      </c>
      <c r="K752">
        <v>0</v>
      </c>
      <c r="L752" t="s">
        <v>3284</v>
      </c>
      <c r="M752" t="s">
        <v>3296</v>
      </c>
      <c r="N752" t="s">
        <v>3321</v>
      </c>
      <c r="O752" t="s">
        <v>3322</v>
      </c>
      <c r="P752" t="s">
        <v>3323</v>
      </c>
      <c r="Q752" t="s">
        <v>3577</v>
      </c>
      <c r="R752" t="s">
        <v>5267</v>
      </c>
    </row>
    <row r="753" spans="1:18" x14ac:dyDescent="0.2">
      <c r="A753">
        <v>2987520</v>
      </c>
      <c r="B753" t="s">
        <v>5268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1</v>
      </c>
      <c r="J753">
        <v>0</v>
      </c>
      <c r="K753">
        <v>0</v>
      </c>
      <c r="L753" t="s">
        <v>3284</v>
      </c>
      <c r="M753" t="s">
        <v>3296</v>
      </c>
      <c r="N753" t="s">
        <v>3321</v>
      </c>
      <c r="O753" t="s">
        <v>3322</v>
      </c>
      <c r="P753" t="s">
        <v>3398</v>
      </c>
      <c r="Q753" t="s">
        <v>3556</v>
      </c>
      <c r="R753" t="s">
        <v>5269</v>
      </c>
    </row>
    <row r="754" spans="1:18" x14ac:dyDescent="0.2">
      <c r="A754">
        <v>2986928</v>
      </c>
      <c r="B754" t="s">
        <v>5270</v>
      </c>
      <c r="C754">
        <v>0</v>
      </c>
      <c r="D754">
        <v>0</v>
      </c>
      <c r="E754">
        <v>0</v>
      </c>
      <c r="F754">
        <v>0</v>
      </c>
      <c r="G754">
        <v>1</v>
      </c>
      <c r="H754">
        <v>0</v>
      </c>
      <c r="I754">
        <v>0</v>
      </c>
      <c r="J754">
        <v>0</v>
      </c>
      <c r="K754">
        <v>0</v>
      </c>
      <c r="L754" t="s">
        <v>3284</v>
      </c>
      <c r="M754" t="s">
        <v>3296</v>
      </c>
      <c r="N754" t="s">
        <v>3343</v>
      </c>
      <c r="O754" t="s">
        <v>3402</v>
      </c>
      <c r="P754" t="s">
        <v>3403</v>
      </c>
      <c r="Q754" t="s">
        <v>3536</v>
      </c>
      <c r="R754" t="s">
        <v>5271</v>
      </c>
    </row>
    <row r="755" spans="1:18" x14ac:dyDescent="0.2">
      <c r="A755">
        <v>2986920</v>
      </c>
      <c r="B755" t="s">
        <v>5272</v>
      </c>
      <c r="C755">
        <v>0</v>
      </c>
      <c r="D755">
        <v>0</v>
      </c>
      <c r="E755">
        <v>0</v>
      </c>
      <c r="F755">
        <v>1</v>
      </c>
      <c r="G755">
        <v>0</v>
      </c>
      <c r="H755">
        <v>0</v>
      </c>
      <c r="I755">
        <v>0</v>
      </c>
      <c r="J755">
        <v>0</v>
      </c>
      <c r="K755">
        <v>0</v>
      </c>
      <c r="L755" t="s">
        <v>3284</v>
      </c>
      <c r="M755" t="s">
        <v>3296</v>
      </c>
      <c r="N755" t="s">
        <v>3343</v>
      </c>
      <c r="O755" t="s">
        <v>3344</v>
      </c>
      <c r="P755" t="s">
        <v>3355</v>
      </c>
      <c r="Q755" t="s">
        <v>5273</v>
      </c>
      <c r="R755" t="s">
        <v>5274</v>
      </c>
    </row>
    <row r="756" spans="1:18" x14ac:dyDescent="0.2">
      <c r="A756">
        <v>2986838</v>
      </c>
      <c r="B756" t="s">
        <v>5275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1</v>
      </c>
      <c r="J756">
        <v>0</v>
      </c>
      <c r="K756">
        <v>0</v>
      </c>
      <c r="L756" t="s">
        <v>3284</v>
      </c>
      <c r="M756" t="s">
        <v>3391</v>
      </c>
      <c r="N756" t="s">
        <v>3411</v>
      </c>
      <c r="O756" t="s">
        <v>3412</v>
      </c>
      <c r="P756" t="s">
        <v>3413</v>
      </c>
      <c r="Q756" t="s">
        <v>3414</v>
      </c>
      <c r="R756" t="s">
        <v>5276</v>
      </c>
    </row>
    <row r="757" spans="1:18" x14ac:dyDescent="0.2">
      <c r="A757">
        <v>2986831</v>
      </c>
      <c r="B757" t="s">
        <v>5277</v>
      </c>
      <c r="C757">
        <v>1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 t="s">
        <v>3284</v>
      </c>
      <c r="M757" t="s">
        <v>3391</v>
      </c>
      <c r="N757" t="s">
        <v>3411</v>
      </c>
      <c r="O757" t="s">
        <v>3412</v>
      </c>
      <c r="P757" t="s">
        <v>3413</v>
      </c>
      <c r="Q757" t="s">
        <v>3414</v>
      </c>
      <c r="R757" t="s">
        <v>5278</v>
      </c>
    </row>
    <row r="758" spans="1:18" x14ac:dyDescent="0.2">
      <c r="A758">
        <v>2986823</v>
      </c>
      <c r="B758" t="s">
        <v>5279</v>
      </c>
      <c r="C758">
        <v>0</v>
      </c>
      <c r="D758">
        <v>0</v>
      </c>
      <c r="E758">
        <v>0</v>
      </c>
      <c r="F758">
        <v>2</v>
      </c>
      <c r="G758">
        <v>0</v>
      </c>
      <c r="H758">
        <v>0</v>
      </c>
      <c r="I758">
        <v>0</v>
      </c>
      <c r="J758">
        <v>0</v>
      </c>
      <c r="K758">
        <v>0</v>
      </c>
      <c r="L758" t="s">
        <v>3284</v>
      </c>
      <c r="M758" t="s">
        <v>3391</v>
      </c>
      <c r="N758" t="s">
        <v>3411</v>
      </c>
      <c r="O758" t="s">
        <v>3412</v>
      </c>
      <c r="P758" t="s">
        <v>3413</v>
      </c>
      <c r="Q758" t="s">
        <v>3414</v>
      </c>
      <c r="R758" t="s">
        <v>5280</v>
      </c>
    </row>
    <row r="759" spans="1:18" x14ac:dyDescent="0.2">
      <c r="A759">
        <v>2986805</v>
      </c>
      <c r="B759" t="s">
        <v>5281</v>
      </c>
      <c r="C759">
        <v>0</v>
      </c>
      <c r="D759">
        <v>0</v>
      </c>
      <c r="E759">
        <v>0</v>
      </c>
      <c r="F759">
        <v>0</v>
      </c>
      <c r="G759">
        <v>1</v>
      </c>
      <c r="H759">
        <v>0</v>
      </c>
      <c r="I759">
        <v>0</v>
      </c>
      <c r="J759">
        <v>0</v>
      </c>
      <c r="K759">
        <v>0</v>
      </c>
      <c r="L759" t="s">
        <v>3284</v>
      </c>
      <c r="M759" t="s">
        <v>3307</v>
      </c>
      <c r="N759" t="s">
        <v>3308</v>
      </c>
      <c r="O759" t="s">
        <v>3359</v>
      </c>
      <c r="P759" t="s">
        <v>3360</v>
      </c>
      <c r="Q759" t="s">
        <v>4121</v>
      </c>
      <c r="R759" t="s">
        <v>5282</v>
      </c>
    </row>
    <row r="760" spans="1:18" x14ac:dyDescent="0.2">
      <c r="A760">
        <v>2986766</v>
      </c>
      <c r="B760" t="s">
        <v>5283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1</v>
      </c>
      <c r="K760">
        <v>0</v>
      </c>
      <c r="L760" t="s">
        <v>3284</v>
      </c>
      <c r="M760" t="s">
        <v>3296</v>
      </c>
      <c r="N760" t="s">
        <v>3321</v>
      </c>
      <c r="O760" t="s">
        <v>3322</v>
      </c>
      <c r="P760" t="s">
        <v>3398</v>
      </c>
      <c r="Q760" t="s">
        <v>3439</v>
      </c>
      <c r="R760" t="s">
        <v>5284</v>
      </c>
    </row>
    <row r="761" spans="1:18" x14ac:dyDescent="0.2">
      <c r="A761">
        <v>2986763</v>
      </c>
      <c r="B761" t="s">
        <v>5285</v>
      </c>
      <c r="C761">
        <v>778</v>
      </c>
      <c r="D761">
        <v>751</v>
      </c>
      <c r="E761">
        <v>1471</v>
      </c>
      <c r="F761">
        <v>1</v>
      </c>
      <c r="G761">
        <v>1</v>
      </c>
      <c r="H761">
        <v>1</v>
      </c>
      <c r="I761">
        <v>0</v>
      </c>
      <c r="J761">
        <v>0</v>
      </c>
      <c r="K761">
        <v>2</v>
      </c>
      <c r="L761" t="s">
        <v>3284</v>
      </c>
      <c r="M761" t="s">
        <v>3296</v>
      </c>
      <c r="N761" t="s">
        <v>3297</v>
      </c>
      <c r="O761" t="s">
        <v>3298</v>
      </c>
      <c r="P761" t="s">
        <v>3299</v>
      </c>
      <c r="Q761" t="s">
        <v>3300</v>
      </c>
      <c r="R761" t="s">
        <v>5286</v>
      </c>
    </row>
    <row r="762" spans="1:18" x14ac:dyDescent="0.2">
      <c r="A762">
        <v>2986280</v>
      </c>
      <c r="B762" t="s">
        <v>5287</v>
      </c>
      <c r="C762">
        <v>2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 t="s">
        <v>3284</v>
      </c>
      <c r="M762" t="s">
        <v>3296</v>
      </c>
      <c r="N762" t="s">
        <v>3321</v>
      </c>
      <c r="O762" t="s">
        <v>3322</v>
      </c>
      <c r="P762" t="s">
        <v>3398</v>
      </c>
      <c r="Q762" t="s">
        <v>4796</v>
      </c>
      <c r="R762" t="s">
        <v>5288</v>
      </c>
    </row>
    <row r="763" spans="1:18" x14ac:dyDescent="0.2">
      <c r="A763">
        <v>2985506</v>
      </c>
      <c r="B763" t="s">
        <v>5289</v>
      </c>
      <c r="C763">
        <v>0</v>
      </c>
      <c r="D763">
        <v>0</v>
      </c>
      <c r="E763">
        <v>1</v>
      </c>
      <c r="F763">
        <v>0</v>
      </c>
      <c r="G763">
        <v>1</v>
      </c>
      <c r="H763">
        <v>0</v>
      </c>
      <c r="I763">
        <v>0</v>
      </c>
      <c r="J763">
        <v>0</v>
      </c>
      <c r="K763">
        <v>0</v>
      </c>
      <c r="L763" t="s">
        <v>3284</v>
      </c>
      <c r="M763" t="s">
        <v>3307</v>
      </c>
      <c r="N763" t="s">
        <v>3308</v>
      </c>
      <c r="O763" t="s">
        <v>3359</v>
      </c>
      <c r="P763" t="s">
        <v>3360</v>
      </c>
      <c r="Q763" t="s">
        <v>5290</v>
      </c>
      <c r="R763" t="s">
        <v>5291</v>
      </c>
    </row>
    <row r="764" spans="1:18" x14ac:dyDescent="0.2">
      <c r="A764">
        <v>2984948</v>
      </c>
      <c r="B764" t="s">
        <v>5292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46</v>
      </c>
      <c r="J764">
        <v>15</v>
      </c>
      <c r="K764">
        <v>6</v>
      </c>
      <c r="L764" t="s">
        <v>3284</v>
      </c>
      <c r="M764" t="s">
        <v>3296</v>
      </c>
      <c r="N764" t="s">
        <v>3343</v>
      </c>
      <c r="O764" t="s">
        <v>3429</v>
      </c>
      <c r="P764" t="s">
        <v>4336</v>
      </c>
      <c r="Q764" t="s">
        <v>5293</v>
      </c>
      <c r="R764" t="s">
        <v>5294</v>
      </c>
    </row>
    <row r="765" spans="1:18" x14ac:dyDescent="0.2">
      <c r="A765">
        <v>2984212</v>
      </c>
      <c r="B765" t="s">
        <v>5295</v>
      </c>
      <c r="C765">
        <v>0</v>
      </c>
      <c r="D765">
        <v>0</v>
      </c>
      <c r="E765">
        <v>0</v>
      </c>
      <c r="F765">
        <v>3</v>
      </c>
      <c r="G765">
        <v>0</v>
      </c>
      <c r="H765">
        <v>0</v>
      </c>
      <c r="I765">
        <v>0</v>
      </c>
      <c r="J765">
        <v>0</v>
      </c>
      <c r="K765">
        <v>0</v>
      </c>
      <c r="L765" t="s">
        <v>3284</v>
      </c>
      <c r="M765" t="s">
        <v>3296</v>
      </c>
      <c r="N765" t="s">
        <v>3343</v>
      </c>
      <c r="O765" t="s">
        <v>3402</v>
      </c>
      <c r="P765" t="s">
        <v>3403</v>
      </c>
      <c r="Q765" t="s">
        <v>4884</v>
      </c>
      <c r="R765" t="s">
        <v>5296</v>
      </c>
    </row>
    <row r="766" spans="1:18" x14ac:dyDescent="0.2">
      <c r="A766">
        <v>2984211</v>
      </c>
      <c r="B766" t="s">
        <v>5297</v>
      </c>
      <c r="C766">
        <v>0</v>
      </c>
      <c r="D766">
        <v>1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 t="s">
        <v>3284</v>
      </c>
      <c r="M766" t="s">
        <v>3296</v>
      </c>
      <c r="N766" t="s">
        <v>3343</v>
      </c>
      <c r="O766" t="s">
        <v>3402</v>
      </c>
      <c r="P766" t="s">
        <v>3403</v>
      </c>
      <c r="Q766" t="s">
        <v>4884</v>
      </c>
      <c r="R766" t="s">
        <v>5298</v>
      </c>
    </row>
    <row r="767" spans="1:18" x14ac:dyDescent="0.2">
      <c r="A767">
        <v>2984209</v>
      </c>
      <c r="B767" t="s">
        <v>5299</v>
      </c>
      <c r="C767">
        <v>3</v>
      </c>
      <c r="D767">
        <v>5</v>
      </c>
      <c r="E767">
        <v>0</v>
      </c>
      <c r="F767">
        <v>1</v>
      </c>
      <c r="G767">
        <v>0</v>
      </c>
      <c r="H767">
        <v>0</v>
      </c>
      <c r="I767">
        <v>9</v>
      </c>
      <c r="J767">
        <v>7</v>
      </c>
      <c r="K767">
        <v>2</v>
      </c>
      <c r="L767" t="s">
        <v>3284</v>
      </c>
      <c r="M767" t="s">
        <v>3391</v>
      </c>
      <c r="N767" t="s">
        <v>3740</v>
      </c>
      <c r="O767" t="s">
        <v>3741</v>
      </c>
      <c r="P767" t="s">
        <v>5300</v>
      </c>
      <c r="Q767" t="s">
        <v>5301</v>
      </c>
      <c r="R767" t="s">
        <v>5302</v>
      </c>
    </row>
    <row r="768" spans="1:18" x14ac:dyDescent="0.2">
      <c r="A768">
        <v>2984207</v>
      </c>
      <c r="B768" t="s">
        <v>5303</v>
      </c>
      <c r="C768">
        <v>0</v>
      </c>
      <c r="D768">
        <v>3</v>
      </c>
      <c r="E768">
        <v>0</v>
      </c>
      <c r="F768">
        <v>0</v>
      </c>
      <c r="G768">
        <v>0</v>
      </c>
      <c r="H768">
        <v>0</v>
      </c>
      <c r="I768">
        <v>1</v>
      </c>
      <c r="J768">
        <v>5</v>
      </c>
      <c r="K768">
        <v>2</v>
      </c>
      <c r="L768" t="s">
        <v>3284</v>
      </c>
      <c r="M768" t="s">
        <v>3391</v>
      </c>
      <c r="N768" t="s">
        <v>3740</v>
      </c>
      <c r="O768" t="s">
        <v>3741</v>
      </c>
      <c r="P768" t="s">
        <v>5300</v>
      </c>
      <c r="Q768" t="s">
        <v>5301</v>
      </c>
      <c r="R768" t="s">
        <v>5304</v>
      </c>
    </row>
    <row r="769" spans="1:18" x14ac:dyDescent="0.2">
      <c r="A769">
        <v>2984206</v>
      </c>
      <c r="B769" t="s">
        <v>5305</v>
      </c>
      <c r="C769">
        <v>2</v>
      </c>
      <c r="D769">
        <v>3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 t="s">
        <v>3284</v>
      </c>
      <c r="M769" t="s">
        <v>3296</v>
      </c>
      <c r="N769" t="s">
        <v>3321</v>
      </c>
      <c r="O769" t="s">
        <v>5306</v>
      </c>
      <c r="P769" t="s">
        <v>5307</v>
      </c>
      <c r="Q769" t="s">
        <v>5308</v>
      </c>
      <c r="R769" t="s">
        <v>5309</v>
      </c>
    </row>
    <row r="770" spans="1:18" x14ac:dyDescent="0.2">
      <c r="A770">
        <v>2984196</v>
      </c>
      <c r="B770" t="s">
        <v>5310</v>
      </c>
      <c r="C770">
        <v>37</v>
      </c>
      <c r="D770">
        <v>54</v>
      </c>
      <c r="E770">
        <v>1123</v>
      </c>
      <c r="F770">
        <v>70</v>
      </c>
      <c r="G770">
        <v>56</v>
      </c>
      <c r="H770">
        <v>611</v>
      </c>
      <c r="I770">
        <v>145</v>
      </c>
      <c r="J770">
        <v>122</v>
      </c>
      <c r="K770">
        <v>1452</v>
      </c>
      <c r="L770" t="s">
        <v>3284</v>
      </c>
      <c r="M770" t="s">
        <v>3391</v>
      </c>
      <c r="N770" t="s">
        <v>3740</v>
      </c>
      <c r="O770" t="s">
        <v>3741</v>
      </c>
      <c r="P770" t="s">
        <v>5300</v>
      </c>
      <c r="Q770" t="s">
        <v>5311</v>
      </c>
      <c r="R770" t="s">
        <v>5312</v>
      </c>
    </row>
    <row r="771" spans="1:18" x14ac:dyDescent="0.2">
      <c r="A771">
        <v>2984195</v>
      </c>
      <c r="B771" t="s">
        <v>5313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1</v>
      </c>
      <c r="J771">
        <v>0</v>
      </c>
      <c r="K771">
        <v>0</v>
      </c>
      <c r="L771" t="s">
        <v>3284</v>
      </c>
      <c r="M771" t="s">
        <v>3391</v>
      </c>
      <c r="N771" t="s">
        <v>3740</v>
      </c>
      <c r="O771" t="s">
        <v>3741</v>
      </c>
      <c r="P771" t="s">
        <v>5300</v>
      </c>
      <c r="Q771" t="s">
        <v>5311</v>
      </c>
      <c r="R771" t="s">
        <v>5314</v>
      </c>
    </row>
    <row r="772" spans="1:18" x14ac:dyDescent="0.2">
      <c r="A772">
        <v>2984194</v>
      </c>
      <c r="B772" t="s">
        <v>5315</v>
      </c>
      <c r="C772">
        <v>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 t="s">
        <v>3284</v>
      </c>
      <c r="M772" t="s">
        <v>3296</v>
      </c>
      <c r="N772" t="s">
        <v>3321</v>
      </c>
      <c r="O772" t="s">
        <v>3322</v>
      </c>
      <c r="P772" t="s">
        <v>3671</v>
      </c>
      <c r="Q772" t="s">
        <v>5316</v>
      </c>
      <c r="R772" t="s">
        <v>5317</v>
      </c>
    </row>
    <row r="773" spans="1:18" x14ac:dyDescent="0.2">
      <c r="A773">
        <v>2984193</v>
      </c>
      <c r="B773" t="s">
        <v>5318</v>
      </c>
      <c r="C773">
        <v>0</v>
      </c>
      <c r="D773">
        <v>2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 t="s">
        <v>3284</v>
      </c>
      <c r="M773" t="s">
        <v>3296</v>
      </c>
      <c r="N773" t="s">
        <v>3321</v>
      </c>
      <c r="O773" t="s">
        <v>3322</v>
      </c>
      <c r="P773" t="s">
        <v>3671</v>
      </c>
      <c r="Q773" t="s">
        <v>4354</v>
      </c>
      <c r="R773" t="s">
        <v>5319</v>
      </c>
    </row>
    <row r="774" spans="1:18" x14ac:dyDescent="0.2">
      <c r="A774">
        <v>2984192</v>
      </c>
      <c r="B774" t="s">
        <v>5320</v>
      </c>
      <c r="C774">
        <v>0</v>
      </c>
      <c r="D774">
        <v>1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 t="s">
        <v>3284</v>
      </c>
      <c r="M774" t="s">
        <v>3296</v>
      </c>
      <c r="N774" t="s">
        <v>3321</v>
      </c>
      <c r="O774" t="s">
        <v>3322</v>
      </c>
      <c r="P774" t="s">
        <v>3671</v>
      </c>
      <c r="Q774" t="s">
        <v>5316</v>
      </c>
      <c r="R774" t="s">
        <v>5321</v>
      </c>
    </row>
    <row r="775" spans="1:18" x14ac:dyDescent="0.2">
      <c r="A775">
        <v>2984191</v>
      </c>
      <c r="B775" t="s">
        <v>5322</v>
      </c>
      <c r="C775">
        <v>1</v>
      </c>
      <c r="D775">
        <v>0</v>
      </c>
      <c r="E775">
        <v>1</v>
      </c>
      <c r="F775">
        <v>1</v>
      </c>
      <c r="G775">
        <v>1</v>
      </c>
      <c r="H775">
        <v>0</v>
      </c>
      <c r="I775">
        <v>0</v>
      </c>
      <c r="J775">
        <v>0</v>
      </c>
      <c r="K775">
        <v>0</v>
      </c>
      <c r="L775" t="s">
        <v>3284</v>
      </c>
      <c r="M775" t="s">
        <v>3296</v>
      </c>
      <c r="N775" t="s">
        <v>3321</v>
      </c>
      <c r="O775" t="s">
        <v>3322</v>
      </c>
      <c r="P775" t="s">
        <v>3671</v>
      </c>
      <c r="Q775" t="s">
        <v>4354</v>
      </c>
      <c r="R775" t="s">
        <v>5323</v>
      </c>
    </row>
    <row r="776" spans="1:18" x14ac:dyDescent="0.2">
      <c r="A776">
        <v>2983767</v>
      </c>
      <c r="B776" t="s">
        <v>5324</v>
      </c>
      <c r="C776">
        <v>0</v>
      </c>
      <c r="D776">
        <v>0</v>
      </c>
      <c r="E776">
        <v>0</v>
      </c>
      <c r="F776">
        <v>1</v>
      </c>
      <c r="G776">
        <v>5</v>
      </c>
      <c r="H776">
        <v>0</v>
      </c>
      <c r="I776">
        <v>0</v>
      </c>
      <c r="J776">
        <v>0</v>
      </c>
      <c r="K776">
        <v>0</v>
      </c>
      <c r="L776" t="s">
        <v>3284</v>
      </c>
      <c r="M776" t="s">
        <v>3391</v>
      </c>
      <c r="N776" t="s">
        <v>3411</v>
      </c>
      <c r="O776" t="s">
        <v>3412</v>
      </c>
      <c r="P776" t="s">
        <v>3413</v>
      </c>
      <c r="Q776" t="s">
        <v>3414</v>
      </c>
      <c r="R776" t="s">
        <v>5325</v>
      </c>
    </row>
    <row r="777" spans="1:18" x14ac:dyDescent="0.2">
      <c r="A777">
        <v>2983766</v>
      </c>
      <c r="B777" t="s">
        <v>5326</v>
      </c>
      <c r="C777">
        <v>0</v>
      </c>
      <c r="D777">
        <v>0</v>
      </c>
      <c r="E777">
        <v>0</v>
      </c>
      <c r="F777">
        <v>1</v>
      </c>
      <c r="G777">
        <v>0</v>
      </c>
      <c r="H777">
        <v>0</v>
      </c>
      <c r="I777">
        <v>0</v>
      </c>
      <c r="J777">
        <v>0</v>
      </c>
      <c r="K777">
        <v>0</v>
      </c>
      <c r="L777" t="s">
        <v>3284</v>
      </c>
      <c r="M777" t="s">
        <v>3391</v>
      </c>
      <c r="N777" t="s">
        <v>3411</v>
      </c>
      <c r="O777" t="s">
        <v>3412</v>
      </c>
      <c r="P777" t="s">
        <v>3564</v>
      </c>
      <c r="Q777" t="s">
        <v>3803</v>
      </c>
      <c r="R777" t="s">
        <v>5327</v>
      </c>
    </row>
    <row r="778" spans="1:18" x14ac:dyDescent="0.2">
      <c r="A778">
        <v>2983762</v>
      </c>
      <c r="B778" t="s">
        <v>5328</v>
      </c>
      <c r="C778">
        <v>1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 t="s">
        <v>3284</v>
      </c>
      <c r="M778" t="s">
        <v>3307</v>
      </c>
      <c r="N778" t="s">
        <v>3308</v>
      </c>
      <c r="O778" t="s">
        <v>3359</v>
      </c>
      <c r="P778" t="s">
        <v>3588</v>
      </c>
      <c r="Q778" t="s">
        <v>4661</v>
      </c>
      <c r="R778" t="s">
        <v>5329</v>
      </c>
    </row>
    <row r="779" spans="1:18" x14ac:dyDescent="0.2">
      <c r="A779">
        <v>2983392</v>
      </c>
      <c r="B779" t="s">
        <v>5330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1</v>
      </c>
      <c r="J779">
        <v>1</v>
      </c>
      <c r="K779">
        <v>0</v>
      </c>
      <c r="L779" t="s">
        <v>3284</v>
      </c>
      <c r="M779" t="s">
        <v>3327</v>
      </c>
      <c r="N779" t="s">
        <v>3376</v>
      </c>
      <c r="O779" t="s">
        <v>3377</v>
      </c>
      <c r="P779" t="s">
        <v>3378</v>
      </c>
      <c r="Q779" t="s">
        <v>3379</v>
      </c>
      <c r="R779" t="s">
        <v>5331</v>
      </c>
    </row>
    <row r="780" spans="1:18" x14ac:dyDescent="0.2">
      <c r="A780">
        <v>2983371</v>
      </c>
      <c r="B780" t="s">
        <v>5332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1</v>
      </c>
      <c r="J780">
        <v>1</v>
      </c>
      <c r="K780">
        <v>0</v>
      </c>
      <c r="L780" t="s">
        <v>3284</v>
      </c>
      <c r="M780" t="s">
        <v>3296</v>
      </c>
      <c r="N780" t="s">
        <v>3297</v>
      </c>
      <c r="O780" t="s">
        <v>3434</v>
      </c>
      <c r="P780" t="s">
        <v>3435</v>
      </c>
      <c r="Q780" t="s">
        <v>3436</v>
      </c>
      <c r="R780" t="s">
        <v>5333</v>
      </c>
    </row>
    <row r="781" spans="1:18" x14ac:dyDescent="0.2">
      <c r="A781">
        <v>2983267</v>
      </c>
      <c r="B781" t="s">
        <v>5334</v>
      </c>
      <c r="C781">
        <v>0</v>
      </c>
      <c r="D781">
        <v>0</v>
      </c>
      <c r="E781">
        <v>0</v>
      </c>
      <c r="F781">
        <v>2</v>
      </c>
      <c r="G781">
        <v>0</v>
      </c>
      <c r="H781">
        <v>0</v>
      </c>
      <c r="I781">
        <v>0</v>
      </c>
      <c r="J781">
        <v>0</v>
      </c>
      <c r="K781">
        <v>0</v>
      </c>
      <c r="L781" t="s">
        <v>3284</v>
      </c>
      <c r="M781" t="s">
        <v>3391</v>
      </c>
      <c r="N781" t="s">
        <v>3411</v>
      </c>
      <c r="O781" t="s">
        <v>3412</v>
      </c>
      <c r="P781" t="s">
        <v>3564</v>
      </c>
      <c r="Q781" t="s">
        <v>3803</v>
      </c>
      <c r="R781" t="s">
        <v>5335</v>
      </c>
    </row>
    <row r="782" spans="1:18" x14ac:dyDescent="0.2">
      <c r="A782">
        <v>2982689</v>
      </c>
      <c r="B782" t="s">
        <v>5336</v>
      </c>
      <c r="C782">
        <v>0</v>
      </c>
      <c r="D782">
        <v>0</v>
      </c>
      <c r="E782">
        <v>0</v>
      </c>
      <c r="F782">
        <v>1</v>
      </c>
      <c r="G782">
        <v>0</v>
      </c>
      <c r="H782">
        <v>0</v>
      </c>
      <c r="I782">
        <v>0</v>
      </c>
      <c r="J782">
        <v>0</v>
      </c>
      <c r="K782">
        <v>0</v>
      </c>
      <c r="L782" t="s">
        <v>3284</v>
      </c>
      <c r="M782" t="s">
        <v>3296</v>
      </c>
      <c r="N782" t="s">
        <v>3343</v>
      </c>
      <c r="O782" t="s">
        <v>3402</v>
      </c>
      <c r="P782" t="s">
        <v>3403</v>
      </c>
      <c r="Q782" t="s">
        <v>5337</v>
      </c>
      <c r="R782" t="s">
        <v>5338</v>
      </c>
    </row>
    <row r="783" spans="1:18" x14ac:dyDescent="0.2">
      <c r="A783">
        <v>2982615</v>
      </c>
      <c r="B783" t="s">
        <v>5339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1</v>
      </c>
      <c r="K783">
        <v>0</v>
      </c>
      <c r="L783" t="s">
        <v>3284</v>
      </c>
      <c r="M783" t="s">
        <v>3296</v>
      </c>
      <c r="N783" t="s">
        <v>3321</v>
      </c>
      <c r="O783" t="s">
        <v>3322</v>
      </c>
      <c r="P783" t="s">
        <v>3423</v>
      </c>
      <c r="Q783" t="s">
        <v>4394</v>
      </c>
      <c r="R783" t="s">
        <v>5340</v>
      </c>
    </row>
    <row r="784" spans="1:18" x14ac:dyDescent="0.2">
      <c r="A784">
        <v>2982496</v>
      </c>
      <c r="B784" t="s">
        <v>5341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1</v>
      </c>
      <c r="J784">
        <v>0</v>
      </c>
      <c r="K784">
        <v>0</v>
      </c>
      <c r="L784" t="s">
        <v>3284</v>
      </c>
      <c r="M784" t="s">
        <v>3391</v>
      </c>
      <c r="N784" t="s">
        <v>4129</v>
      </c>
      <c r="O784" t="s">
        <v>4130</v>
      </c>
      <c r="P784" t="s">
        <v>4131</v>
      </c>
      <c r="Q784" t="s">
        <v>4261</v>
      </c>
      <c r="R784" t="s">
        <v>5342</v>
      </c>
    </row>
    <row r="785" spans="1:18" x14ac:dyDescent="0.2">
      <c r="A785">
        <v>2982024</v>
      </c>
      <c r="B785" t="s">
        <v>5343</v>
      </c>
      <c r="C785">
        <v>0</v>
      </c>
      <c r="D785">
        <v>0</v>
      </c>
      <c r="E785">
        <v>0</v>
      </c>
      <c r="F785">
        <v>0</v>
      </c>
      <c r="G785">
        <v>1</v>
      </c>
      <c r="H785">
        <v>0</v>
      </c>
      <c r="I785">
        <v>0</v>
      </c>
      <c r="J785">
        <v>0</v>
      </c>
      <c r="K785">
        <v>0</v>
      </c>
      <c r="L785" t="s">
        <v>3284</v>
      </c>
      <c r="M785" t="s">
        <v>3391</v>
      </c>
      <c r="N785" t="s">
        <v>5344</v>
      </c>
      <c r="O785" t="s">
        <v>5345</v>
      </c>
      <c r="P785" t="s">
        <v>5346</v>
      </c>
      <c r="Q785" t="s">
        <v>5347</v>
      </c>
      <c r="R785" t="s">
        <v>5348</v>
      </c>
    </row>
    <row r="786" spans="1:18" x14ac:dyDescent="0.2">
      <c r="A786">
        <v>2981772</v>
      </c>
      <c r="B786" t="s">
        <v>5349</v>
      </c>
      <c r="C786">
        <v>1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 t="s">
        <v>3284</v>
      </c>
      <c r="M786" t="s">
        <v>3327</v>
      </c>
      <c r="N786" t="s">
        <v>3328</v>
      </c>
      <c r="O786" t="s">
        <v>4017</v>
      </c>
      <c r="P786" t="s">
        <v>4018</v>
      </c>
      <c r="Q786" t="s">
        <v>5350</v>
      </c>
      <c r="R786" t="s">
        <v>5351</v>
      </c>
    </row>
    <row r="787" spans="1:18" x14ac:dyDescent="0.2">
      <c r="A787">
        <v>2980555</v>
      </c>
      <c r="B787" t="s">
        <v>5352</v>
      </c>
      <c r="C787">
        <v>1</v>
      </c>
      <c r="D787">
        <v>0</v>
      </c>
      <c r="E787">
        <v>0</v>
      </c>
      <c r="F787">
        <v>14</v>
      </c>
      <c r="G787">
        <v>12</v>
      </c>
      <c r="H787">
        <v>1</v>
      </c>
      <c r="I787">
        <v>2</v>
      </c>
      <c r="J787">
        <v>0</v>
      </c>
      <c r="K787">
        <v>0</v>
      </c>
      <c r="L787" t="s">
        <v>3284</v>
      </c>
      <c r="M787" t="s">
        <v>3296</v>
      </c>
      <c r="N787" t="s">
        <v>3321</v>
      </c>
      <c r="O787" t="s">
        <v>3322</v>
      </c>
      <c r="P787" t="s">
        <v>3398</v>
      </c>
      <c r="Q787" t="s">
        <v>3399</v>
      </c>
      <c r="R787" t="s">
        <v>5353</v>
      </c>
    </row>
    <row r="788" spans="1:18" x14ac:dyDescent="0.2">
      <c r="A788">
        <v>2980102</v>
      </c>
      <c r="B788" t="s">
        <v>5354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1</v>
      </c>
      <c r="J788">
        <v>0</v>
      </c>
      <c r="K788">
        <v>0</v>
      </c>
      <c r="L788" t="s">
        <v>3284</v>
      </c>
      <c r="M788" t="s">
        <v>3327</v>
      </c>
      <c r="N788" t="s">
        <v>3376</v>
      </c>
      <c r="O788" t="s">
        <v>3377</v>
      </c>
      <c r="P788" t="s">
        <v>3378</v>
      </c>
      <c r="Q788" t="s">
        <v>3379</v>
      </c>
      <c r="R788" t="s">
        <v>5355</v>
      </c>
    </row>
    <row r="789" spans="1:18" x14ac:dyDescent="0.2">
      <c r="A789">
        <v>2979862</v>
      </c>
      <c r="B789" t="s">
        <v>5356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1</v>
      </c>
      <c r="J789">
        <v>0</v>
      </c>
      <c r="K789">
        <v>0</v>
      </c>
      <c r="L789" t="s">
        <v>3284</v>
      </c>
      <c r="M789" t="s">
        <v>3296</v>
      </c>
      <c r="N789" t="s">
        <v>3343</v>
      </c>
      <c r="O789" t="s">
        <v>3344</v>
      </c>
      <c r="P789" t="s">
        <v>3355</v>
      </c>
      <c r="Q789" t="s">
        <v>3356</v>
      </c>
      <c r="R789" t="s">
        <v>5357</v>
      </c>
    </row>
    <row r="790" spans="1:18" x14ac:dyDescent="0.2">
      <c r="A790">
        <v>2978350</v>
      </c>
      <c r="B790" t="s">
        <v>5358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1</v>
      </c>
      <c r="J790">
        <v>0</v>
      </c>
      <c r="K790">
        <v>0</v>
      </c>
      <c r="L790" t="s">
        <v>3284</v>
      </c>
      <c r="M790" t="s">
        <v>3307</v>
      </c>
      <c r="N790" t="s">
        <v>3308</v>
      </c>
      <c r="O790" t="s">
        <v>3359</v>
      </c>
      <c r="P790" t="s">
        <v>3360</v>
      </c>
      <c r="Q790" t="s">
        <v>3361</v>
      </c>
      <c r="R790" t="s">
        <v>5359</v>
      </c>
    </row>
    <row r="791" spans="1:18" x14ac:dyDescent="0.2">
      <c r="A791">
        <v>2978346</v>
      </c>
      <c r="B791" t="s">
        <v>5360</v>
      </c>
      <c r="C791">
        <v>1</v>
      </c>
      <c r="D791">
        <v>1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 t="s">
        <v>3284</v>
      </c>
      <c r="M791" t="s">
        <v>3327</v>
      </c>
      <c r="N791" t="s">
        <v>3328</v>
      </c>
      <c r="O791" t="s">
        <v>3329</v>
      </c>
      <c r="P791" t="s">
        <v>3330</v>
      </c>
      <c r="Q791" t="s">
        <v>3331</v>
      </c>
      <c r="R791" t="s">
        <v>5361</v>
      </c>
    </row>
    <row r="792" spans="1:18" x14ac:dyDescent="0.2">
      <c r="A792">
        <v>2978127</v>
      </c>
      <c r="B792" t="s">
        <v>5362</v>
      </c>
      <c r="C792">
        <v>1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 t="s">
        <v>3284</v>
      </c>
      <c r="M792" t="s">
        <v>3296</v>
      </c>
      <c r="N792" t="s">
        <v>3321</v>
      </c>
      <c r="O792" t="s">
        <v>3322</v>
      </c>
      <c r="P792" t="s">
        <v>3271</v>
      </c>
      <c r="Q792" t="s">
        <v>4214</v>
      </c>
      <c r="R792" t="s">
        <v>5363</v>
      </c>
    </row>
    <row r="793" spans="1:18" x14ac:dyDescent="0.2">
      <c r="A793">
        <v>2978125</v>
      </c>
      <c r="B793" t="s">
        <v>5364</v>
      </c>
      <c r="C793">
        <v>1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7</v>
      </c>
      <c r="J793">
        <v>1</v>
      </c>
      <c r="K793">
        <v>1</v>
      </c>
      <c r="L793" t="s">
        <v>3284</v>
      </c>
      <c r="M793" t="s">
        <v>3296</v>
      </c>
      <c r="N793" t="s">
        <v>3321</v>
      </c>
      <c r="O793" t="s">
        <v>3322</v>
      </c>
      <c r="P793" t="s">
        <v>3398</v>
      </c>
      <c r="Q793" t="s">
        <v>3556</v>
      </c>
      <c r="R793" t="s">
        <v>5365</v>
      </c>
    </row>
    <row r="794" spans="1:18" x14ac:dyDescent="0.2">
      <c r="A794">
        <v>2978004</v>
      </c>
      <c r="B794" t="s">
        <v>5366</v>
      </c>
      <c r="C794">
        <v>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 t="s">
        <v>3284</v>
      </c>
      <c r="M794" t="s">
        <v>3296</v>
      </c>
      <c r="N794" t="s">
        <v>3321</v>
      </c>
      <c r="O794" t="s">
        <v>3322</v>
      </c>
      <c r="P794" t="s">
        <v>4143</v>
      </c>
      <c r="Q794" t="s">
        <v>4708</v>
      </c>
      <c r="R794" t="s">
        <v>5367</v>
      </c>
    </row>
    <row r="795" spans="1:18" x14ac:dyDescent="0.2">
      <c r="A795">
        <v>2977811</v>
      </c>
      <c r="B795" t="s">
        <v>5368</v>
      </c>
      <c r="C795">
        <v>0</v>
      </c>
      <c r="D795">
        <v>1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 t="s">
        <v>3284</v>
      </c>
      <c r="M795" t="s">
        <v>3296</v>
      </c>
      <c r="N795" t="s">
        <v>3297</v>
      </c>
      <c r="O795" t="s">
        <v>4124</v>
      </c>
      <c r="P795" t="s">
        <v>4125</v>
      </c>
      <c r="Q795" t="s">
        <v>5083</v>
      </c>
      <c r="R795" t="s">
        <v>5369</v>
      </c>
    </row>
    <row r="796" spans="1:18" x14ac:dyDescent="0.2">
      <c r="A796">
        <v>2977321</v>
      </c>
      <c r="B796" t="s">
        <v>5370</v>
      </c>
      <c r="C796">
        <v>0</v>
      </c>
      <c r="D796">
        <v>0</v>
      </c>
      <c r="E796">
        <v>0</v>
      </c>
      <c r="F796">
        <v>2</v>
      </c>
      <c r="G796">
        <v>0</v>
      </c>
      <c r="H796">
        <v>0</v>
      </c>
      <c r="I796">
        <v>1</v>
      </c>
      <c r="J796">
        <v>0</v>
      </c>
      <c r="K796">
        <v>0</v>
      </c>
      <c r="L796" t="s">
        <v>3284</v>
      </c>
      <c r="M796" t="s">
        <v>3391</v>
      </c>
      <c r="N796" t="s">
        <v>3411</v>
      </c>
      <c r="O796" t="s">
        <v>3412</v>
      </c>
      <c r="P796" t="s">
        <v>3413</v>
      </c>
      <c r="Q796" t="s">
        <v>3414</v>
      </c>
      <c r="R796" t="s">
        <v>5371</v>
      </c>
    </row>
    <row r="797" spans="1:18" x14ac:dyDescent="0.2">
      <c r="A797">
        <v>2977320</v>
      </c>
      <c r="B797" t="s">
        <v>5372</v>
      </c>
      <c r="C797">
        <v>0</v>
      </c>
      <c r="D797">
        <v>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 t="s">
        <v>3284</v>
      </c>
      <c r="M797" t="s">
        <v>3296</v>
      </c>
      <c r="N797" t="s">
        <v>3321</v>
      </c>
      <c r="O797" t="s">
        <v>3322</v>
      </c>
      <c r="P797" t="s">
        <v>3398</v>
      </c>
      <c r="Q797" t="s">
        <v>3806</v>
      </c>
      <c r="R797" t="s">
        <v>5373</v>
      </c>
    </row>
    <row r="798" spans="1:18" x14ac:dyDescent="0.2">
      <c r="A798">
        <v>2977283</v>
      </c>
      <c r="B798" t="s">
        <v>5374</v>
      </c>
      <c r="C798">
        <v>0</v>
      </c>
      <c r="D798">
        <v>0</v>
      </c>
      <c r="E798">
        <v>0</v>
      </c>
      <c r="F798">
        <v>2</v>
      </c>
      <c r="G798">
        <v>0</v>
      </c>
      <c r="H798">
        <v>0</v>
      </c>
      <c r="I798">
        <v>0</v>
      </c>
      <c r="J798">
        <v>0</v>
      </c>
      <c r="K798">
        <v>0</v>
      </c>
      <c r="L798" t="s">
        <v>3284</v>
      </c>
      <c r="M798" t="s">
        <v>3296</v>
      </c>
      <c r="N798" t="s">
        <v>3297</v>
      </c>
      <c r="O798" t="s">
        <v>3469</v>
      </c>
      <c r="P798" t="s">
        <v>3470</v>
      </c>
      <c r="Q798" t="s">
        <v>3471</v>
      </c>
      <c r="R798" t="s">
        <v>5375</v>
      </c>
    </row>
    <row r="799" spans="1:18" x14ac:dyDescent="0.2">
      <c r="A799">
        <v>2976818</v>
      </c>
      <c r="B799" t="s">
        <v>5376</v>
      </c>
      <c r="C799">
        <v>1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 t="s">
        <v>3284</v>
      </c>
      <c r="M799" t="s">
        <v>3391</v>
      </c>
      <c r="N799" t="s">
        <v>3411</v>
      </c>
      <c r="O799" t="s">
        <v>3412</v>
      </c>
      <c r="P799" t="s">
        <v>3564</v>
      </c>
      <c r="Q799" t="s">
        <v>5377</v>
      </c>
      <c r="R799" t="s">
        <v>5378</v>
      </c>
    </row>
    <row r="800" spans="1:18" x14ac:dyDescent="0.2">
      <c r="A800">
        <v>2976704</v>
      </c>
      <c r="B800" t="s">
        <v>5379</v>
      </c>
      <c r="C800">
        <v>0</v>
      </c>
      <c r="D800">
        <v>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 t="s">
        <v>3284</v>
      </c>
      <c r="M800" t="s">
        <v>3327</v>
      </c>
      <c r="N800" t="s">
        <v>3376</v>
      </c>
      <c r="O800" t="s">
        <v>3377</v>
      </c>
      <c r="P800" t="s">
        <v>3378</v>
      </c>
      <c r="Q800" t="s">
        <v>5380</v>
      </c>
      <c r="R800" t="s">
        <v>5381</v>
      </c>
    </row>
    <row r="801" spans="1:18" x14ac:dyDescent="0.2">
      <c r="A801">
        <v>2976702</v>
      </c>
      <c r="B801" t="s">
        <v>5382</v>
      </c>
      <c r="C801">
        <v>0</v>
      </c>
      <c r="D801">
        <v>0</v>
      </c>
      <c r="E801">
        <v>0</v>
      </c>
      <c r="F801">
        <v>1</v>
      </c>
      <c r="G801">
        <v>1</v>
      </c>
      <c r="H801">
        <v>0</v>
      </c>
      <c r="I801">
        <v>0</v>
      </c>
      <c r="J801">
        <v>0</v>
      </c>
      <c r="K801">
        <v>0</v>
      </c>
      <c r="L801" t="s">
        <v>3284</v>
      </c>
      <c r="M801" t="s">
        <v>3296</v>
      </c>
      <c r="N801" t="s">
        <v>3321</v>
      </c>
      <c r="O801" t="s">
        <v>3322</v>
      </c>
      <c r="P801" t="s">
        <v>3398</v>
      </c>
      <c r="Q801" t="s">
        <v>3556</v>
      </c>
      <c r="R801" t="s">
        <v>5383</v>
      </c>
    </row>
    <row r="802" spans="1:18" x14ac:dyDescent="0.2">
      <c r="A802">
        <v>2976696</v>
      </c>
      <c r="B802" t="s">
        <v>5384</v>
      </c>
      <c r="C802">
        <v>0</v>
      </c>
      <c r="D802">
        <v>1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 t="s">
        <v>3284</v>
      </c>
      <c r="M802" t="s">
        <v>3296</v>
      </c>
      <c r="N802" t="s">
        <v>3321</v>
      </c>
      <c r="O802" t="s">
        <v>5306</v>
      </c>
      <c r="P802" t="s">
        <v>5385</v>
      </c>
      <c r="Q802" t="s">
        <v>5386</v>
      </c>
      <c r="R802" t="s">
        <v>5387</v>
      </c>
    </row>
    <row r="803" spans="1:18" x14ac:dyDescent="0.2">
      <c r="A803">
        <v>2976532</v>
      </c>
      <c r="B803" t="s">
        <v>5388</v>
      </c>
      <c r="C803">
        <v>0</v>
      </c>
      <c r="D803">
        <v>0</v>
      </c>
      <c r="E803">
        <v>0</v>
      </c>
      <c r="F803">
        <v>1</v>
      </c>
      <c r="G803">
        <v>0</v>
      </c>
      <c r="H803">
        <v>0</v>
      </c>
      <c r="I803">
        <v>0</v>
      </c>
      <c r="J803">
        <v>0</v>
      </c>
      <c r="K803">
        <v>0</v>
      </c>
      <c r="L803" t="s">
        <v>3284</v>
      </c>
      <c r="M803" t="s">
        <v>3391</v>
      </c>
      <c r="N803" t="s">
        <v>3411</v>
      </c>
      <c r="O803" t="s">
        <v>3412</v>
      </c>
      <c r="P803" t="s">
        <v>3564</v>
      </c>
      <c r="Q803" t="s">
        <v>3803</v>
      </c>
      <c r="R803" t="s">
        <v>5389</v>
      </c>
    </row>
    <row r="804" spans="1:18" x14ac:dyDescent="0.2">
      <c r="A804">
        <v>2976432</v>
      </c>
      <c r="B804" t="s">
        <v>5390</v>
      </c>
      <c r="C804">
        <v>0</v>
      </c>
      <c r="D804">
        <v>0</v>
      </c>
      <c r="E804">
        <v>0</v>
      </c>
      <c r="F804">
        <v>2</v>
      </c>
      <c r="G804">
        <v>3</v>
      </c>
      <c r="H804">
        <v>0</v>
      </c>
      <c r="I804">
        <v>0</v>
      </c>
      <c r="J804">
        <v>0</v>
      </c>
      <c r="K804">
        <v>0</v>
      </c>
      <c r="L804" t="s">
        <v>3284</v>
      </c>
      <c r="M804" t="s">
        <v>3296</v>
      </c>
      <c r="N804" t="s">
        <v>3343</v>
      </c>
      <c r="O804" t="s">
        <v>3349</v>
      </c>
      <c r="P804" t="s">
        <v>3350</v>
      </c>
      <c r="Q804" t="s">
        <v>3351</v>
      </c>
      <c r="R804" t="s">
        <v>5391</v>
      </c>
    </row>
    <row r="805" spans="1:18" x14ac:dyDescent="0.2">
      <c r="A805">
        <v>2975989</v>
      </c>
      <c r="B805" t="s">
        <v>5392</v>
      </c>
      <c r="C805">
        <v>0</v>
      </c>
      <c r="D805">
        <v>1</v>
      </c>
      <c r="E805">
        <v>0</v>
      </c>
      <c r="F805">
        <v>1</v>
      </c>
      <c r="G805">
        <v>0</v>
      </c>
      <c r="H805">
        <v>0</v>
      </c>
      <c r="I805">
        <v>0</v>
      </c>
      <c r="J805">
        <v>0</v>
      </c>
      <c r="K805">
        <v>0</v>
      </c>
      <c r="L805" t="s">
        <v>3284</v>
      </c>
      <c r="M805" t="s">
        <v>3307</v>
      </c>
      <c r="N805" t="s">
        <v>3308</v>
      </c>
      <c r="O805" t="s">
        <v>3635</v>
      </c>
      <c r="P805" t="s">
        <v>4011</v>
      </c>
      <c r="Q805" t="s">
        <v>4012</v>
      </c>
      <c r="R805" t="s">
        <v>5393</v>
      </c>
    </row>
    <row r="806" spans="1:18" x14ac:dyDescent="0.2">
      <c r="A806">
        <v>2975984</v>
      </c>
      <c r="B806" t="s">
        <v>5394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1</v>
      </c>
      <c r="J806">
        <v>0</v>
      </c>
      <c r="K806">
        <v>0</v>
      </c>
      <c r="L806" t="s">
        <v>3284</v>
      </c>
      <c r="M806" t="s">
        <v>3307</v>
      </c>
      <c r="N806" t="s">
        <v>3308</v>
      </c>
      <c r="O806" t="s">
        <v>3494</v>
      </c>
      <c r="P806" t="s">
        <v>3495</v>
      </c>
      <c r="Q806" t="s">
        <v>3496</v>
      </c>
      <c r="R806" t="s">
        <v>5395</v>
      </c>
    </row>
    <row r="807" spans="1:18" x14ac:dyDescent="0.2">
      <c r="A807">
        <v>2975409</v>
      </c>
      <c r="B807" t="s">
        <v>5396</v>
      </c>
      <c r="C807">
        <v>0</v>
      </c>
      <c r="D807">
        <v>0</v>
      </c>
      <c r="E807">
        <v>0</v>
      </c>
      <c r="F807">
        <v>1</v>
      </c>
      <c r="G807">
        <v>0</v>
      </c>
      <c r="H807">
        <v>0</v>
      </c>
      <c r="I807">
        <v>0</v>
      </c>
      <c r="J807">
        <v>0</v>
      </c>
      <c r="K807">
        <v>0</v>
      </c>
      <c r="L807" t="s">
        <v>3284</v>
      </c>
      <c r="M807" t="s">
        <v>3296</v>
      </c>
      <c r="N807" t="s">
        <v>3297</v>
      </c>
      <c r="O807" t="s">
        <v>3434</v>
      </c>
      <c r="P807" t="s">
        <v>3435</v>
      </c>
      <c r="Q807" t="s">
        <v>3436</v>
      </c>
      <c r="R807" t="s">
        <v>5397</v>
      </c>
    </row>
    <row r="808" spans="1:18" x14ac:dyDescent="0.2">
      <c r="A808">
        <v>2975389</v>
      </c>
      <c r="B808" t="s">
        <v>5398</v>
      </c>
      <c r="C808">
        <v>1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 t="s">
        <v>3284</v>
      </c>
      <c r="M808" t="s">
        <v>3296</v>
      </c>
      <c r="N808" t="s">
        <v>3297</v>
      </c>
      <c r="O808" t="s">
        <v>3434</v>
      </c>
      <c r="P808" t="s">
        <v>3435</v>
      </c>
      <c r="Q808" t="s">
        <v>3436</v>
      </c>
      <c r="R808" t="s">
        <v>5399</v>
      </c>
    </row>
    <row r="809" spans="1:18" x14ac:dyDescent="0.2">
      <c r="A809">
        <v>2975342</v>
      </c>
      <c r="B809" t="s">
        <v>5400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2</v>
      </c>
      <c r="J809">
        <v>0</v>
      </c>
      <c r="K809">
        <v>0</v>
      </c>
      <c r="L809" t="s">
        <v>3284</v>
      </c>
      <c r="M809" t="s">
        <v>3327</v>
      </c>
      <c r="N809" t="s">
        <v>3376</v>
      </c>
      <c r="O809" t="s">
        <v>3377</v>
      </c>
      <c r="P809" t="s">
        <v>3378</v>
      </c>
      <c r="Q809" t="s">
        <v>3379</v>
      </c>
      <c r="R809" t="s">
        <v>5401</v>
      </c>
    </row>
    <row r="810" spans="1:18" x14ac:dyDescent="0.2">
      <c r="A810">
        <v>2975328</v>
      </c>
      <c r="B810" t="s">
        <v>5402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1</v>
      </c>
      <c r="J810">
        <v>2</v>
      </c>
      <c r="K810">
        <v>0</v>
      </c>
      <c r="L810" t="s">
        <v>3284</v>
      </c>
      <c r="M810" t="s">
        <v>3327</v>
      </c>
      <c r="N810" t="s">
        <v>3376</v>
      </c>
      <c r="O810" t="s">
        <v>3377</v>
      </c>
      <c r="P810" t="s">
        <v>3378</v>
      </c>
      <c r="Q810" t="s">
        <v>3379</v>
      </c>
      <c r="R810" t="s">
        <v>5403</v>
      </c>
    </row>
    <row r="811" spans="1:18" x14ac:dyDescent="0.2">
      <c r="A811">
        <v>2975054</v>
      </c>
      <c r="B811" t="s">
        <v>5404</v>
      </c>
      <c r="C811">
        <v>7</v>
      </c>
      <c r="D811">
        <v>4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 t="s">
        <v>3284</v>
      </c>
      <c r="M811" t="s">
        <v>3296</v>
      </c>
      <c r="N811" t="s">
        <v>3321</v>
      </c>
      <c r="O811" t="s">
        <v>3322</v>
      </c>
      <c r="P811" t="s">
        <v>3671</v>
      </c>
      <c r="Q811" t="s">
        <v>3672</v>
      </c>
      <c r="R811" t="s">
        <v>5405</v>
      </c>
    </row>
    <row r="812" spans="1:18" x14ac:dyDescent="0.2">
      <c r="A812">
        <v>2975052</v>
      </c>
      <c r="B812" t="s">
        <v>5406</v>
      </c>
      <c r="C812">
        <v>0</v>
      </c>
      <c r="D812">
        <v>0</v>
      </c>
      <c r="E812">
        <v>0</v>
      </c>
      <c r="F812">
        <v>1</v>
      </c>
      <c r="G812">
        <v>0</v>
      </c>
      <c r="H812">
        <v>0</v>
      </c>
      <c r="I812">
        <v>0</v>
      </c>
      <c r="J812">
        <v>0</v>
      </c>
      <c r="K812">
        <v>0</v>
      </c>
      <c r="L812" t="s">
        <v>3284</v>
      </c>
      <c r="M812" t="s">
        <v>3296</v>
      </c>
      <c r="N812" t="s">
        <v>3343</v>
      </c>
      <c r="O812" t="s">
        <v>3344</v>
      </c>
      <c r="P812" t="s">
        <v>4076</v>
      </c>
      <c r="Q812" t="s">
        <v>4077</v>
      </c>
      <c r="R812" t="s">
        <v>5407</v>
      </c>
    </row>
    <row r="813" spans="1:18" x14ac:dyDescent="0.2">
      <c r="A813">
        <v>2974588</v>
      </c>
      <c r="B813" t="s">
        <v>5408</v>
      </c>
      <c r="C813">
        <v>6</v>
      </c>
      <c r="D813">
        <v>2</v>
      </c>
      <c r="E813">
        <v>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 t="s">
        <v>3284</v>
      </c>
      <c r="M813" t="s">
        <v>3296</v>
      </c>
      <c r="N813" t="s">
        <v>3343</v>
      </c>
      <c r="O813" t="s">
        <v>3371</v>
      </c>
      <c r="P813" t="s">
        <v>3271</v>
      </c>
      <c r="Q813" t="s">
        <v>5409</v>
      </c>
      <c r="R813" t="s">
        <v>5410</v>
      </c>
    </row>
    <row r="814" spans="1:18" x14ac:dyDescent="0.2">
      <c r="A814">
        <v>2974299</v>
      </c>
      <c r="B814" t="s">
        <v>5411</v>
      </c>
      <c r="C814">
        <v>0</v>
      </c>
      <c r="D814">
        <v>0</v>
      </c>
      <c r="E814">
        <v>0</v>
      </c>
      <c r="F814">
        <v>1</v>
      </c>
      <c r="G814">
        <v>0</v>
      </c>
      <c r="H814">
        <v>0</v>
      </c>
      <c r="I814">
        <v>0</v>
      </c>
      <c r="J814">
        <v>0</v>
      </c>
      <c r="K814">
        <v>0</v>
      </c>
      <c r="L814" t="s">
        <v>3284</v>
      </c>
      <c r="M814" t="s">
        <v>3296</v>
      </c>
      <c r="N814" t="s">
        <v>3321</v>
      </c>
      <c r="O814" t="s">
        <v>4147</v>
      </c>
      <c r="P814" t="s">
        <v>4148</v>
      </c>
      <c r="Q814" t="s">
        <v>4149</v>
      </c>
      <c r="R814" t="s">
        <v>5412</v>
      </c>
    </row>
    <row r="815" spans="1:18" x14ac:dyDescent="0.2">
      <c r="A815">
        <v>2972972</v>
      </c>
      <c r="B815" t="s">
        <v>5413</v>
      </c>
      <c r="C815">
        <v>0</v>
      </c>
      <c r="D815">
        <v>0</v>
      </c>
      <c r="E815">
        <v>0</v>
      </c>
      <c r="F815">
        <v>9</v>
      </c>
      <c r="G815">
        <v>8</v>
      </c>
      <c r="H815">
        <v>0</v>
      </c>
      <c r="I815">
        <v>23</v>
      </c>
      <c r="J815">
        <v>21</v>
      </c>
      <c r="K815">
        <v>0</v>
      </c>
      <c r="L815" t="s">
        <v>3284</v>
      </c>
      <c r="M815" t="s">
        <v>3285</v>
      </c>
      <c r="N815" t="s">
        <v>3286</v>
      </c>
      <c r="O815" t="s">
        <v>3287</v>
      </c>
      <c r="P815" t="s">
        <v>3288</v>
      </c>
      <c r="Q815" t="s">
        <v>3289</v>
      </c>
      <c r="R815" t="s">
        <v>5414</v>
      </c>
    </row>
    <row r="816" spans="1:18" x14ac:dyDescent="0.2">
      <c r="A816">
        <v>2972673</v>
      </c>
      <c r="B816" t="s">
        <v>5415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1</v>
      </c>
      <c r="J816">
        <v>4</v>
      </c>
      <c r="K816">
        <v>0</v>
      </c>
      <c r="L816" t="s">
        <v>3284</v>
      </c>
      <c r="M816" t="s">
        <v>3296</v>
      </c>
      <c r="N816" t="s">
        <v>3343</v>
      </c>
      <c r="O816" t="s">
        <v>3429</v>
      </c>
      <c r="P816" t="s">
        <v>3430</v>
      </c>
      <c r="Q816" t="s">
        <v>5416</v>
      </c>
      <c r="R816" t="s">
        <v>5417</v>
      </c>
    </row>
    <row r="817" spans="1:18" x14ac:dyDescent="0.2">
      <c r="A817">
        <v>2971624</v>
      </c>
      <c r="B817" t="s">
        <v>5418</v>
      </c>
      <c r="C817">
        <v>0</v>
      </c>
      <c r="D817">
        <v>0</v>
      </c>
      <c r="E817">
        <v>0</v>
      </c>
      <c r="F817">
        <v>0</v>
      </c>
      <c r="G817">
        <v>2</v>
      </c>
      <c r="H817">
        <v>0</v>
      </c>
      <c r="I817">
        <v>0</v>
      </c>
      <c r="J817">
        <v>0</v>
      </c>
      <c r="K817">
        <v>0</v>
      </c>
      <c r="L817" t="s">
        <v>3284</v>
      </c>
      <c r="M817" t="s">
        <v>3296</v>
      </c>
      <c r="N817" t="s">
        <v>3297</v>
      </c>
      <c r="O817" t="s">
        <v>3434</v>
      </c>
      <c r="P817" t="s">
        <v>3435</v>
      </c>
      <c r="Q817" t="s">
        <v>3436</v>
      </c>
      <c r="R817" t="s">
        <v>5419</v>
      </c>
    </row>
    <row r="818" spans="1:18" x14ac:dyDescent="0.2">
      <c r="A818">
        <v>2971255</v>
      </c>
      <c r="B818" t="s">
        <v>5420</v>
      </c>
      <c r="C818">
        <v>0</v>
      </c>
      <c r="D818">
        <v>0</v>
      </c>
      <c r="E818">
        <v>0</v>
      </c>
      <c r="F818">
        <v>1</v>
      </c>
      <c r="G818">
        <v>0</v>
      </c>
      <c r="H818">
        <v>0</v>
      </c>
      <c r="I818">
        <v>0</v>
      </c>
      <c r="J818">
        <v>0</v>
      </c>
      <c r="K818">
        <v>0</v>
      </c>
      <c r="L818" t="s">
        <v>3284</v>
      </c>
      <c r="M818" t="s">
        <v>3296</v>
      </c>
      <c r="N818" t="s">
        <v>3321</v>
      </c>
      <c r="O818" t="s">
        <v>3322</v>
      </c>
      <c r="P818" t="s">
        <v>3398</v>
      </c>
      <c r="Q818" t="s">
        <v>3399</v>
      </c>
      <c r="R818" t="s">
        <v>5421</v>
      </c>
    </row>
    <row r="819" spans="1:18" x14ac:dyDescent="0.2">
      <c r="A819">
        <v>2970966</v>
      </c>
      <c r="B819" t="s">
        <v>5422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1</v>
      </c>
      <c r="J819">
        <v>0</v>
      </c>
      <c r="K819">
        <v>0</v>
      </c>
      <c r="L819" t="s">
        <v>3284</v>
      </c>
      <c r="M819" t="s">
        <v>3296</v>
      </c>
      <c r="N819" t="s">
        <v>3297</v>
      </c>
      <c r="O819" t="s">
        <v>4112</v>
      </c>
      <c r="P819" t="s">
        <v>4113</v>
      </c>
      <c r="Q819" t="s">
        <v>4114</v>
      </c>
      <c r="R819" t="s">
        <v>5423</v>
      </c>
    </row>
    <row r="820" spans="1:18" x14ac:dyDescent="0.2">
      <c r="A820">
        <v>2970926</v>
      </c>
      <c r="B820" t="s">
        <v>5424</v>
      </c>
      <c r="C820">
        <v>0</v>
      </c>
      <c r="D820">
        <v>1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 t="s">
        <v>3284</v>
      </c>
      <c r="M820" t="s">
        <v>3307</v>
      </c>
      <c r="N820" t="s">
        <v>3308</v>
      </c>
      <c r="O820" t="s">
        <v>3359</v>
      </c>
      <c r="P820" t="s">
        <v>3360</v>
      </c>
      <c r="Q820" t="s">
        <v>5425</v>
      </c>
      <c r="R820" t="s">
        <v>5426</v>
      </c>
    </row>
    <row r="821" spans="1:18" x14ac:dyDescent="0.2">
      <c r="A821">
        <v>2970914</v>
      </c>
      <c r="B821" t="s">
        <v>5427</v>
      </c>
      <c r="C821">
        <v>0</v>
      </c>
      <c r="D821">
        <v>0</v>
      </c>
      <c r="E821">
        <v>0</v>
      </c>
      <c r="F821">
        <v>7</v>
      </c>
      <c r="G821">
        <v>4</v>
      </c>
      <c r="H821">
        <v>3</v>
      </c>
      <c r="I821">
        <v>1</v>
      </c>
      <c r="J821">
        <v>0</v>
      </c>
      <c r="K821">
        <v>0</v>
      </c>
      <c r="L821" t="s">
        <v>3284</v>
      </c>
      <c r="M821" t="s">
        <v>3307</v>
      </c>
      <c r="N821" t="s">
        <v>3308</v>
      </c>
      <c r="O821" t="s">
        <v>3359</v>
      </c>
      <c r="P821" t="s">
        <v>3360</v>
      </c>
      <c r="Q821" t="s">
        <v>3561</v>
      </c>
      <c r="R821" t="s">
        <v>5428</v>
      </c>
    </row>
    <row r="822" spans="1:18" x14ac:dyDescent="0.2">
      <c r="A822">
        <v>2970913</v>
      </c>
      <c r="B822" t="s">
        <v>5429</v>
      </c>
      <c r="C822">
        <v>0</v>
      </c>
      <c r="D822">
        <v>0</v>
      </c>
      <c r="E822">
        <v>0</v>
      </c>
      <c r="F822">
        <v>4</v>
      </c>
      <c r="G822">
        <v>0</v>
      </c>
      <c r="H822">
        <v>0</v>
      </c>
      <c r="I822">
        <v>1</v>
      </c>
      <c r="J822">
        <v>0</v>
      </c>
      <c r="K822">
        <v>0</v>
      </c>
      <c r="L822" t="s">
        <v>3284</v>
      </c>
      <c r="M822" t="s">
        <v>3307</v>
      </c>
      <c r="N822" t="s">
        <v>3308</v>
      </c>
      <c r="O822" t="s">
        <v>3359</v>
      </c>
      <c r="P822" t="s">
        <v>3360</v>
      </c>
      <c r="Q822" t="s">
        <v>3561</v>
      </c>
      <c r="R822" t="s">
        <v>5430</v>
      </c>
    </row>
    <row r="823" spans="1:18" x14ac:dyDescent="0.2">
      <c r="A823">
        <v>2970912</v>
      </c>
      <c r="B823" t="s">
        <v>5431</v>
      </c>
      <c r="C823">
        <v>0</v>
      </c>
      <c r="D823">
        <v>0</v>
      </c>
      <c r="E823">
        <v>0</v>
      </c>
      <c r="F823">
        <v>1</v>
      </c>
      <c r="G823">
        <v>0</v>
      </c>
      <c r="H823">
        <v>1</v>
      </c>
      <c r="I823">
        <v>0</v>
      </c>
      <c r="J823">
        <v>0</v>
      </c>
      <c r="K823">
        <v>0</v>
      </c>
      <c r="L823" t="s">
        <v>3284</v>
      </c>
      <c r="M823" t="s">
        <v>3307</v>
      </c>
      <c r="N823" t="s">
        <v>3308</v>
      </c>
      <c r="O823" t="s">
        <v>3359</v>
      </c>
      <c r="P823" t="s">
        <v>3360</v>
      </c>
      <c r="Q823" t="s">
        <v>3561</v>
      </c>
      <c r="R823" t="s">
        <v>5432</v>
      </c>
    </row>
    <row r="824" spans="1:18" x14ac:dyDescent="0.2">
      <c r="A824">
        <v>2969621</v>
      </c>
      <c r="B824" t="s">
        <v>5433</v>
      </c>
      <c r="C824">
        <v>0</v>
      </c>
      <c r="D824">
        <v>0</v>
      </c>
      <c r="E824">
        <v>0</v>
      </c>
      <c r="F824">
        <v>1</v>
      </c>
      <c r="G824">
        <v>1</v>
      </c>
      <c r="H824">
        <v>0</v>
      </c>
      <c r="I824">
        <v>2</v>
      </c>
      <c r="J824">
        <v>1</v>
      </c>
      <c r="K824">
        <v>1</v>
      </c>
      <c r="L824" t="s">
        <v>3284</v>
      </c>
      <c r="M824" t="s">
        <v>3296</v>
      </c>
      <c r="N824" t="s">
        <v>3343</v>
      </c>
      <c r="O824" t="s">
        <v>3344</v>
      </c>
      <c r="P824" t="s">
        <v>3367</v>
      </c>
      <c r="Q824" t="s">
        <v>3368</v>
      </c>
      <c r="R824" t="s">
        <v>5434</v>
      </c>
    </row>
    <row r="825" spans="1:18" x14ac:dyDescent="0.2">
      <c r="A825">
        <v>2969408</v>
      </c>
      <c r="B825" t="s">
        <v>5435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1</v>
      </c>
      <c r="J825">
        <v>0</v>
      </c>
      <c r="K825">
        <v>0</v>
      </c>
      <c r="L825" t="s">
        <v>3284</v>
      </c>
      <c r="M825" t="s">
        <v>3307</v>
      </c>
      <c r="N825" t="s">
        <v>3308</v>
      </c>
      <c r="O825" t="s">
        <v>3359</v>
      </c>
      <c r="P825" t="s">
        <v>3360</v>
      </c>
      <c r="Q825" t="s">
        <v>3361</v>
      </c>
      <c r="R825" t="s">
        <v>5436</v>
      </c>
    </row>
    <row r="826" spans="1:18" x14ac:dyDescent="0.2">
      <c r="A826">
        <v>2968969</v>
      </c>
      <c r="B826" t="s">
        <v>5437</v>
      </c>
      <c r="C826">
        <v>0</v>
      </c>
      <c r="D826">
        <v>0</v>
      </c>
      <c r="E826">
        <v>0</v>
      </c>
      <c r="F826">
        <v>1</v>
      </c>
      <c r="G826">
        <v>0</v>
      </c>
      <c r="H826">
        <v>0</v>
      </c>
      <c r="I826">
        <v>0</v>
      </c>
      <c r="J826">
        <v>0</v>
      </c>
      <c r="K826">
        <v>0</v>
      </c>
      <c r="L826" t="s">
        <v>3284</v>
      </c>
      <c r="M826" t="s">
        <v>3296</v>
      </c>
      <c r="N826" t="s">
        <v>3297</v>
      </c>
      <c r="O826" t="s">
        <v>3434</v>
      </c>
      <c r="P826" t="s">
        <v>3435</v>
      </c>
      <c r="Q826" t="s">
        <v>5438</v>
      </c>
      <c r="R826" t="s">
        <v>5439</v>
      </c>
    </row>
    <row r="827" spans="1:18" x14ac:dyDescent="0.2">
      <c r="A827">
        <v>2968831</v>
      </c>
      <c r="B827" t="s">
        <v>5440</v>
      </c>
      <c r="C827">
        <v>4</v>
      </c>
      <c r="D827">
        <v>8</v>
      </c>
      <c r="E827">
        <v>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 t="s">
        <v>3284</v>
      </c>
      <c r="M827" t="s">
        <v>3307</v>
      </c>
      <c r="N827" t="s">
        <v>3308</v>
      </c>
      <c r="O827" t="s">
        <v>3359</v>
      </c>
      <c r="P827" t="s">
        <v>3360</v>
      </c>
      <c r="Q827" t="s">
        <v>5441</v>
      </c>
      <c r="R827" t="s">
        <v>5442</v>
      </c>
    </row>
    <row r="828" spans="1:18" x14ac:dyDescent="0.2">
      <c r="A828">
        <v>2968500</v>
      </c>
      <c r="B828" t="s">
        <v>5443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1</v>
      </c>
      <c r="J828">
        <v>0</v>
      </c>
      <c r="K828">
        <v>0</v>
      </c>
      <c r="L828" t="s">
        <v>3284</v>
      </c>
      <c r="M828" t="s">
        <v>3296</v>
      </c>
      <c r="N828" t="s">
        <v>3343</v>
      </c>
      <c r="O828" t="s">
        <v>3349</v>
      </c>
      <c r="P828" t="s">
        <v>3350</v>
      </c>
      <c r="Q828" t="s">
        <v>5444</v>
      </c>
      <c r="R828" t="s">
        <v>5445</v>
      </c>
    </row>
    <row r="829" spans="1:18" x14ac:dyDescent="0.2">
      <c r="A829">
        <v>2968473</v>
      </c>
      <c r="B829" t="s">
        <v>5446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3</v>
      </c>
      <c r="J829">
        <v>0</v>
      </c>
      <c r="K829">
        <v>1</v>
      </c>
      <c r="L829" t="s">
        <v>3284</v>
      </c>
      <c r="M829" t="s">
        <v>3296</v>
      </c>
      <c r="N829" t="s">
        <v>3343</v>
      </c>
      <c r="O829" t="s">
        <v>3344</v>
      </c>
      <c r="P829" t="s">
        <v>4347</v>
      </c>
      <c r="Q829" t="s">
        <v>5447</v>
      </c>
      <c r="R829" t="s">
        <v>5448</v>
      </c>
    </row>
    <row r="830" spans="1:18" x14ac:dyDescent="0.2">
      <c r="A830">
        <v>2968057</v>
      </c>
      <c r="B830" t="s">
        <v>5449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1</v>
      </c>
      <c r="J830">
        <v>1</v>
      </c>
      <c r="K830">
        <v>0</v>
      </c>
      <c r="L830" t="s">
        <v>3284</v>
      </c>
      <c r="M830" t="s">
        <v>3296</v>
      </c>
      <c r="N830" t="s">
        <v>3343</v>
      </c>
      <c r="O830" t="s">
        <v>3349</v>
      </c>
      <c r="P830" t="s">
        <v>3350</v>
      </c>
      <c r="Q830" t="s">
        <v>3580</v>
      </c>
      <c r="R830" t="s">
        <v>5450</v>
      </c>
    </row>
    <row r="831" spans="1:18" x14ac:dyDescent="0.2">
      <c r="A831">
        <v>2967225</v>
      </c>
      <c r="B831" t="s">
        <v>5451</v>
      </c>
      <c r="C831">
        <v>0</v>
      </c>
      <c r="D831">
        <v>0</v>
      </c>
      <c r="E831">
        <v>0</v>
      </c>
      <c r="F831">
        <v>3</v>
      </c>
      <c r="G831">
        <v>0</v>
      </c>
      <c r="H831">
        <v>0</v>
      </c>
      <c r="I831">
        <v>0</v>
      </c>
      <c r="J831">
        <v>0</v>
      </c>
      <c r="K831">
        <v>0</v>
      </c>
      <c r="L831" t="s">
        <v>3284</v>
      </c>
      <c r="M831" t="s">
        <v>3391</v>
      </c>
      <c r="N831" t="s">
        <v>3392</v>
      </c>
      <c r="O831" t="s">
        <v>3393</v>
      </c>
      <c r="P831" t="s">
        <v>3394</v>
      </c>
      <c r="Q831" t="s">
        <v>4082</v>
      </c>
      <c r="R831" t="s">
        <v>5452</v>
      </c>
    </row>
    <row r="832" spans="1:18" x14ac:dyDescent="0.2">
      <c r="A832">
        <v>2966554</v>
      </c>
      <c r="B832" t="s">
        <v>5453</v>
      </c>
      <c r="C832">
        <v>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 t="s">
        <v>3284</v>
      </c>
      <c r="M832" t="s">
        <v>3296</v>
      </c>
      <c r="N832" t="s">
        <v>3321</v>
      </c>
      <c r="O832" t="s">
        <v>3322</v>
      </c>
      <c r="P832" t="s">
        <v>3398</v>
      </c>
      <c r="Q832" t="s">
        <v>3806</v>
      </c>
      <c r="R832" t="s">
        <v>5454</v>
      </c>
    </row>
    <row r="833" spans="1:18" x14ac:dyDescent="0.2">
      <c r="A833">
        <v>2965071</v>
      </c>
      <c r="B833" t="s">
        <v>5455</v>
      </c>
      <c r="C833">
        <v>0</v>
      </c>
      <c r="D833">
        <v>0</v>
      </c>
      <c r="E833">
        <v>0</v>
      </c>
      <c r="F833">
        <v>0</v>
      </c>
      <c r="G833">
        <v>1</v>
      </c>
      <c r="H833">
        <v>0</v>
      </c>
      <c r="I833">
        <v>0</v>
      </c>
      <c r="J833">
        <v>0</v>
      </c>
      <c r="K833">
        <v>0</v>
      </c>
      <c r="L833" t="s">
        <v>3284</v>
      </c>
      <c r="M833" t="s">
        <v>3296</v>
      </c>
      <c r="N833" t="s">
        <v>3343</v>
      </c>
      <c r="O833" t="s">
        <v>3344</v>
      </c>
      <c r="P833" t="s">
        <v>3355</v>
      </c>
      <c r="Q833" t="s">
        <v>5456</v>
      </c>
      <c r="R833" t="s">
        <v>5457</v>
      </c>
    </row>
    <row r="834" spans="1:18" x14ac:dyDescent="0.2">
      <c r="A834">
        <v>2964692</v>
      </c>
      <c r="B834" t="s">
        <v>5458</v>
      </c>
      <c r="C834">
        <v>0</v>
      </c>
      <c r="D834">
        <v>0</v>
      </c>
      <c r="E834">
        <v>0</v>
      </c>
      <c r="F834">
        <v>1</v>
      </c>
      <c r="G834">
        <v>0</v>
      </c>
      <c r="H834">
        <v>0</v>
      </c>
      <c r="I834">
        <v>0</v>
      </c>
      <c r="J834">
        <v>0</v>
      </c>
      <c r="K834">
        <v>0</v>
      </c>
      <c r="L834" t="s">
        <v>3284</v>
      </c>
      <c r="M834" t="s">
        <v>4022</v>
      </c>
      <c r="N834" t="s">
        <v>4023</v>
      </c>
      <c r="O834" t="s">
        <v>5459</v>
      </c>
      <c r="P834" t="s">
        <v>5460</v>
      </c>
      <c r="Q834" t="s">
        <v>5461</v>
      </c>
      <c r="R834" t="s">
        <v>5462</v>
      </c>
    </row>
    <row r="835" spans="1:18" x14ac:dyDescent="0.2">
      <c r="A835">
        <v>2964670</v>
      </c>
      <c r="B835" t="s">
        <v>5463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1</v>
      </c>
      <c r="J835">
        <v>0</v>
      </c>
      <c r="K835">
        <v>0</v>
      </c>
      <c r="L835" t="s">
        <v>3284</v>
      </c>
      <c r="M835" t="s">
        <v>3296</v>
      </c>
      <c r="N835" t="s">
        <v>3297</v>
      </c>
      <c r="O835" t="s">
        <v>3434</v>
      </c>
      <c r="P835" t="s">
        <v>3435</v>
      </c>
      <c r="Q835" t="s">
        <v>3436</v>
      </c>
      <c r="R835" t="s">
        <v>5464</v>
      </c>
    </row>
    <row r="836" spans="1:18" x14ac:dyDescent="0.2">
      <c r="A836">
        <v>2963937</v>
      </c>
      <c r="B836" t="s">
        <v>5465</v>
      </c>
      <c r="C836">
        <v>0</v>
      </c>
      <c r="D836">
        <v>1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 t="s">
        <v>3284</v>
      </c>
      <c r="M836" t="s">
        <v>3296</v>
      </c>
      <c r="N836" t="s">
        <v>3297</v>
      </c>
      <c r="O836" t="s">
        <v>3469</v>
      </c>
      <c r="P836" t="s">
        <v>5200</v>
      </c>
      <c r="Q836" t="s">
        <v>5466</v>
      </c>
      <c r="R836" t="s">
        <v>5467</v>
      </c>
    </row>
    <row r="837" spans="1:18" x14ac:dyDescent="0.2">
      <c r="A837">
        <v>2963429</v>
      </c>
      <c r="B837" t="s">
        <v>5468</v>
      </c>
      <c r="C837">
        <v>0</v>
      </c>
      <c r="D837">
        <v>2</v>
      </c>
      <c r="E837">
        <v>4</v>
      </c>
      <c r="F837">
        <v>2</v>
      </c>
      <c r="G837">
        <v>3</v>
      </c>
      <c r="H837">
        <v>6</v>
      </c>
      <c r="I837">
        <v>9</v>
      </c>
      <c r="J837">
        <v>3</v>
      </c>
      <c r="K837">
        <v>11</v>
      </c>
      <c r="L837" t="s">
        <v>3284</v>
      </c>
      <c r="M837" t="s">
        <v>3296</v>
      </c>
      <c r="N837" t="s">
        <v>3321</v>
      </c>
      <c r="O837" t="s">
        <v>5469</v>
      </c>
      <c r="P837" t="s">
        <v>5470</v>
      </c>
      <c r="Q837" t="s">
        <v>5471</v>
      </c>
      <c r="R837" t="s">
        <v>5472</v>
      </c>
    </row>
    <row r="838" spans="1:18" x14ac:dyDescent="0.2">
      <c r="A838">
        <v>2963406</v>
      </c>
      <c r="B838" t="s">
        <v>5473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1</v>
      </c>
      <c r="K838">
        <v>0</v>
      </c>
      <c r="L838" t="s">
        <v>3284</v>
      </c>
      <c r="M838" t="s">
        <v>3307</v>
      </c>
      <c r="N838" t="s">
        <v>3308</v>
      </c>
      <c r="O838" t="s">
        <v>3359</v>
      </c>
      <c r="P838" t="s">
        <v>3360</v>
      </c>
      <c r="Q838" t="s">
        <v>5474</v>
      </c>
      <c r="R838" t="s">
        <v>5475</v>
      </c>
    </row>
    <row r="839" spans="1:18" x14ac:dyDescent="0.2">
      <c r="A839">
        <v>2963283</v>
      </c>
      <c r="B839" t="s">
        <v>5476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1</v>
      </c>
      <c r="L839" t="s">
        <v>3284</v>
      </c>
      <c r="M839" t="s">
        <v>3296</v>
      </c>
      <c r="N839" t="s">
        <v>3297</v>
      </c>
      <c r="O839" t="s">
        <v>3469</v>
      </c>
      <c r="P839" t="s">
        <v>3470</v>
      </c>
      <c r="Q839" t="s">
        <v>3471</v>
      </c>
      <c r="R839" t="s">
        <v>5477</v>
      </c>
    </row>
    <row r="840" spans="1:18" x14ac:dyDescent="0.2">
      <c r="A840">
        <v>2962936</v>
      </c>
      <c r="B840" t="s">
        <v>5478</v>
      </c>
      <c r="C840">
        <v>1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 t="s">
        <v>3284</v>
      </c>
      <c r="M840" t="s">
        <v>3296</v>
      </c>
      <c r="N840" t="s">
        <v>3343</v>
      </c>
      <c r="O840" t="s">
        <v>3344</v>
      </c>
      <c r="P840" t="s">
        <v>4033</v>
      </c>
      <c r="Q840" t="s">
        <v>4034</v>
      </c>
      <c r="R840" t="s">
        <v>5479</v>
      </c>
    </row>
    <row r="841" spans="1:18" x14ac:dyDescent="0.2">
      <c r="A841">
        <v>2962064</v>
      </c>
      <c r="B841" t="s">
        <v>5480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1</v>
      </c>
      <c r="I841">
        <v>0</v>
      </c>
      <c r="J841">
        <v>0</v>
      </c>
      <c r="K841">
        <v>0</v>
      </c>
      <c r="L841" t="s">
        <v>3284</v>
      </c>
      <c r="M841" t="s">
        <v>3307</v>
      </c>
      <c r="N841" t="s">
        <v>3308</v>
      </c>
      <c r="O841" t="s">
        <v>3359</v>
      </c>
      <c r="P841" t="s">
        <v>3360</v>
      </c>
      <c r="Q841" t="s">
        <v>3361</v>
      </c>
      <c r="R841" t="s">
        <v>5481</v>
      </c>
    </row>
    <row r="842" spans="1:18" x14ac:dyDescent="0.2">
      <c r="A842">
        <v>2961943</v>
      </c>
      <c r="B842" t="s">
        <v>5482</v>
      </c>
      <c r="C842">
        <v>0</v>
      </c>
      <c r="D842">
        <v>0</v>
      </c>
      <c r="E842">
        <v>0</v>
      </c>
      <c r="F842">
        <v>0</v>
      </c>
      <c r="G842">
        <v>1</v>
      </c>
      <c r="H842">
        <v>0</v>
      </c>
      <c r="I842">
        <v>0</v>
      </c>
      <c r="J842">
        <v>0</v>
      </c>
      <c r="K842">
        <v>0</v>
      </c>
      <c r="L842" t="s">
        <v>3284</v>
      </c>
      <c r="M842" t="s">
        <v>3391</v>
      </c>
      <c r="N842" t="s">
        <v>3740</v>
      </c>
      <c r="O842" t="s">
        <v>3741</v>
      </c>
      <c r="P842" t="s">
        <v>4388</v>
      </c>
      <c r="Q842" t="s">
        <v>5483</v>
      </c>
      <c r="R842" t="s">
        <v>5484</v>
      </c>
    </row>
    <row r="843" spans="1:18" x14ac:dyDescent="0.2">
      <c r="A843">
        <v>2961531</v>
      </c>
      <c r="B843" t="s">
        <v>5485</v>
      </c>
      <c r="C843">
        <v>0</v>
      </c>
      <c r="D843">
        <v>0</v>
      </c>
      <c r="E843">
        <v>0</v>
      </c>
      <c r="F843">
        <v>1</v>
      </c>
      <c r="G843">
        <v>0</v>
      </c>
      <c r="H843">
        <v>0</v>
      </c>
      <c r="I843">
        <v>0</v>
      </c>
      <c r="J843">
        <v>0</v>
      </c>
      <c r="K843">
        <v>0</v>
      </c>
      <c r="L843" t="s">
        <v>3284</v>
      </c>
      <c r="M843" t="s">
        <v>3296</v>
      </c>
      <c r="N843" t="s">
        <v>3297</v>
      </c>
      <c r="O843" t="s">
        <v>3434</v>
      </c>
      <c r="P843" t="s">
        <v>3435</v>
      </c>
      <c r="Q843" t="s">
        <v>3436</v>
      </c>
      <c r="R843" t="s">
        <v>5486</v>
      </c>
    </row>
    <row r="844" spans="1:18" x14ac:dyDescent="0.2">
      <c r="A844">
        <v>2957099</v>
      </c>
      <c r="B844" t="s">
        <v>5487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2</v>
      </c>
      <c r="L844" t="s">
        <v>3284</v>
      </c>
      <c r="M844" t="s">
        <v>3296</v>
      </c>
      <c r="N844" t="s">
        <v>3343</v>
      </c>
      <c r="O844" t="s">
        <v>3344</v>
      </c>
      <c r="P844" t="s">
        <v>3898</v>
      </c>
      <c r="Q844" t="s">
        <v>3899</v>
      </c>
      <c r="R844" t="s">
        <v>5488</v>
      </c>
    </row>
    <row r="845" spans="1:18" x14ac:dyDescent="0.2">
      <c r="A845">
        <v>2956981</v>
      </c>
      <c r="B845" t="s">
        <v>5489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1</v>
      </c>
      <c r="K845">
        <v>0</v>
      </c>
      <c r="L845" t="s">
        <v>3284</v>
      </c>
      <c r="M845" t="s">
        <v>3296</v>
      </c>
      <c r="N845" t="s">
        <v>3343</v>
      </c>
      <c r="O845" t="s">
        <v>3344</v>
      </c>
      <c r="P845" t="s">
        <v>3898</v>
      </c>
      <c r="Q845" t="s">
        <v>3899</v>
      </c>
      <c r="R845" t="s">
        <v>5490</v>
      </c>
    </row>
    <row r="846" spans="1:18" x14ac:dyDescent="0.2">
      <c r="A846">
        <v>2956942</v>
      </c>
      <c r="B846" t="s">
        <v>5491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1</v>
      </c>
      <c r="K846">
        <v>0</v>
      </c>
      <c r="L846" t="s">
        <v>3284</v>
      </c>
      <c r="M846" t="s">
        <v>3296</v>
      </c>
      <c r="N846" t="s">
        <v>3343</v>
      </c>
      <c r="O846" t="s">
        <v>3344</v>
      </c>
      <c r="P846" t="s">
        <v>3898</v>
      </c>
      <c r="Q846" t="s">
        <v>3899</v>
      </c>
      <c r="R846" t="s">
        <v>5492</v>
      </c>
    </row>
    <row r="847" spans="1:18" x14ac:dyDescent="0.2">
      <c r="A847">
        <v>2956928</v>
      </c>
      <c r="B847" t="s">
        <v>5493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2</v>
      </c>
      <c r="J847">
        <v>1</v>
      </c>
      <c r="K847">
        <v>0</v>
      </c>
      <c r="L847" t="s">
        <v>3284</v>
      </c>
      <c r="M847" t="s">
        <v>3296</v>
      </c>
      <c r="N847" t="s">
        <v>3343</v>
      </c>
      <c r="O847" t="s">
        <v>3344</v>
      </c>
      <c r="P847" t="s">
        <v>3898</v>
      </c>
      <c r="Q847" t="s">
        <v>3899</v>
      </c>
      <c r="R847" t="s">
        <v>5494</v>
      </c>
    </row>
    <row r="848" spans="1:18" x14ac:dyDescent="0.2">
      <c r="A848">
        <v>2956912</v>
      </c>
      <c r="B848" t="s">
        <v>5495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1</v>
      </c>
      <c r="J848">
        <v>0</v>
      </c>
      <c r="K848">
        <v>0</v>
      </c>
      <c r="L848" t="s">
        <v>3284</v>
      </c>
      <c r="M848" t="s">
        <v>3296</v>
      </c>
      <c r="N848" t="s">
        <v>3343</v>
      </c>
      <c r="O848" t="s">
        <v>3344</v>
      </c>
      <c r="P848" t="s">
        <v>3898</v>
      </c>
      <c r="Q848" t="s">
        <v>3899</v>
      </c>
      <c r="R848" t="s">
        <v>5496</v>
      </c>
    </row>
    <row r="849" spans="1:18" x14ac:dyDescent="0.2">
      <c r="A849">
        <v>2956855</v>
      </c>
      <c r="B849" t="s">
        <v>5497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1</v>
      </c>
      <c r="K849">
        <v>2</v>
      </c>
      <c r="L849" t="s">
        <v>3284</v>
      </c>
      <c r="M849" t="s">
        <v>3296</v>
      </c>
      <c r="N849" t="s">
        <v>3343</v>
      </c>
      <c r="O849" t="s">
        <v>3344</v>
      </c>
      <c r="P849" t="s">
        <v>3898</v>
      </c>
      <c r="Q849" t="s">
        <v>3899</v>
      </c>
      <c r="R849" t="s">
        <v>5498</v>
      </c>
    </row>
    <row r="850" spans="1:18" x14ac:dyDescent="0.2">
      <c r="A850">
        <v>2955208</v>
      </c>
      <c r="B850" t="s">
        <v>5499</v>
      </c>
      <c r="C850">
        <v>0</v>
      </c>
      <c r="D850">
        <v>1</v>
      </c>
      <c r="E850">
        <v>0</v>
      </c>
      <c r="F850">
        <v>0</v>
      </c>
      <c r="G850">
        <v>0</v>
      </c>
      <c r="H850">
        <v>0</v>
      </c>
      <c r="I850">
        <v>1</v>
      </c>
      <c r="J850">
        <v>0</v>
      </c>
      <c r="K850">
        <v>0</v>
      </c>
      <c r="L850" t="s">
        <v>3284</v>
      </c>
      <c r="M850" t="s">
        <v>3296</v>
      </c>
      <c r="N850" t="s">
        <v>3321</v>
      </c>
      <c r="O850" t="s">
        <v>3322</v>
      </c>
      <c r="P850" t="s">
        <v>3423</v>
      </c>
      <c r="Q850" t="s">
        <v>4394</v>
      </c>
      <c r="R850" t="s">
        <v>5500</v>
      </c>
    </row>
    <row r="851" spans="1:18" x14ac:dyDescent="0.2">
      <c r="A851">
        <v>2954933</v>
      </c>
      <c r="B851" t="s">
        <v>5501</v>
      </c>
      <c r="C851">
        <v>0</v>
      </c>
      <c r="D851">
        <v>0</v>
      </c>
      <c r="E851">
        <v>0</v>
      </c>
      <c r="F851">
        <v>1</v>
      </c>
      <c r="G851">
        <v>0</v>
      </c>
      <c r="H851">
        <v>0</v>
      </c>
      <c r="I851">
        <v>0</v>
      </c>
      <c r="J851">
        <v>0</v>
      </c>
      <c r="K851">
        <v>0</v>
      </c>
      <c r="L851" t="s">
        <v>3284</v>
      </c>
      <c r="M851" t="s">
        <v>3296</v>
      </c>
      <c r="N851" t="s">
        <v>3343</v>
      </c>
      <c r="O851" t="s">
        <v>3344</v>
      </c>
      <c r="P851" t="s">
        <v>3355</v>
      </c>
      <c r="Q851" t="s">
        <v>3356</v>
      </c>
      <c r="R851" t="s">
        <v>5502</v>
      </c>
    </row>
    <row r="852" spans="1:18" x14ac:dyDescent="0.2">
      <c r="A852">
        <v>2954932</v>
      </c>
      <c r="B852" t="s">
        <v>5503</v>
      </c>
      <c r="C852">
        <v>0</v>
      </c>
      <c r="D852">
        <v>0</v>
      </c>
      <c r="E852">
        <v>0</v>
      </c>
      <c r="F852">
        <v>0</v>
      </c>
      <c r="G852">
        <v>2</v>
      </c>
      <c r="H852">
        <v>0</v>
      </c>
      <c r="I852">
        <v>0</v>
      </c>
      <c r="J852">
        <v>0</v>
      </c>
      <c r="K852">
        <v>0</v>
      </c>
      <c r="L852" t="s">
        <v>3284</v>
      </c>
      <c r="M852" t="s">
        <v>3296</v>
      </c>
      <c r="N852" t="s">
        <v>3343</v>
      </c>
      <c r="O852" t="s">
        <v>3344</v>
      </c>
      <c r="P852" t="s">
        <v>3355</v>
      </c>
      <c r="Q852" t="s">
        <v>3656</v>
      </c>
      <c r="R852" t="s">
        <v>5504</v>
      </c>
    </row>
    <row r="853" spans="1:18" x14ac:dyDescent="0.2">
      <c r="A853">
        <v>2954738</v>
      </c>
      <c r="B853" t="s">
        <v>5505</v>
      </c>
      <c r="C853">
        <v>0</v>
      </c>
      <c r="D853">
        <v>0</v>
      </c>
      <c r="E853">
        <v>0</v>
      </c>
      <c r="F853">
        <v>0</v>
      </c>
      <c r="G853">
        <v>1</v>
      </c>
      <c r="H853">
        <v>0</v>
      </c>
      <c r="I853">
        <v>0</v>
      </c>
      <c r="J853">
        <v>0</v>
      </c>
      <c r="K853">
        <v>0</v>
      </c>
      <c r="L853" t="s">
        <v>3284</v>
      </c>
      <c r="M853" t="s">
        <v>3327</v>
      </c>
      <c r="N853" t="s">
        <v>3376</v>
      </c>
      <c r="O853" t="s">
        <v>3377</v>
      </c>
      <c r="P853" t="s">
        <v>3604</v>
      </c>
      <c r="Q853" t="s">
        <v>3668</v>
      </c>
      <c r="R853" t="s">
        <v>5506</v>
      </c>
    </row>
    <row r="854" spans="1:18" x14ac:dyDescent="0.2">
      <c r="A854">
        <v>2954727</v>
      </c>
      <c r="B854" t="s">
        <v>5507</v>
      </c>
      <c r="C854">
        <v>1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 t="s">
        <v>3284</v>
      </c>
      <c r="M854" t="s">
        <v>3327</v>
      </c>
      <c r="N854" t="s">
        <v>3376</v>
      </c>
      <c r="O854" t="s">
        <v>3377</v>
      </c>
      <c r="P854" t="s">
        <v>3604</v>
      </c>
      <c r="Q854" t="s">
        <v>3668</v>
      </c>
      <c r="R854" t="s">
        <v>5508</v>
      </c>
    </row>
    <row r="855" spans="1:18" x14ac:dyDescent="0.2">
      <c r="A855">
        <v>2954672</v>
      </c>
      <c r="B855" t="s">
        <v>5509</v>
      </c>
      <c r="C855">
        <v>1</v>
      </c>
      <c r="D855">
        <v>0</v>
      </c>
      <c r="E855">
        <v>0</v>
      </c>
      <c r="F855">
        <v>1</v>
      </c>
      <c r="G855">
        <v>0</v>
      </c>
      <c r="H855">
        <v>0</v>
      </c>
      <c r="I855">
        <v>0</v>
      </c>
      <c r="J855">
        <v>0</v>
      </c>
      <c r="K855">
        <v>0</v>
      </c>
      <c r="L855" t="s">
        <v>3284</v>
      </c>
      <c r="M855" t="s">
        <v>3327</v>
      </c>
      <c r="N855" t="s">
        <v>3376</v>
      </c>
      <c r="O855" t="s">
        <v>3377</v>
      </c>
      <c r="P855" t="s">
        <v>3378</v>
      </c>
      <c r="Q855" t="s">
        <v>3608</v>
      </c>
      <c r="R855" t="s">
        <v>5510</v>
      </c>
    </row>
    <row r="856" spans="1:18" x14ac:dyDescent="0.2">
      <c r="A856">
        <v>2954598</v>
      </c>
      <c r="B856" t="s">
        <v>5511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1</v>
      </c>
      <c r="K856">
        <v>0</v>
      </c>
      <c r="L856" t="s">
        <v>3284</v>
      </c>
      <c r="M856" t="s">
        <v>3327</v>
      </c>
      <c r="N856" t="s">
        <v>3376</v>
      </c>
      <c r="O856" t="s">
        <v>3377</v>
      </c>
      <c r="P856" t="s">
        <v>3378</v>
      </c>
      <c r="Q856" t="s">
        <v>3379</v>
      </c>
      <c r="R856" t="s">
        <v>5512</v>
      </c>
    </row>
    <row r="857" spans="1:18" x14ac:dyDescent="0.2">
      <c r="A857">
        <v>2954596</v>
      </c>
      <c r="B857" t="s">
        <v>5513</v>
      </c>
      <c r="C857">
        <v>0</v>
      </c>
      <c r="D857">
        <v>1</v>
      </c>
      <c r="E857">
        <v>1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 t="s">
        <v>3284</v>
      </c>
      <c r="M857" t="s">
        <v>3327</v>
      </c>
      <c r="N857" t="s">
        <v>3376</v>
      </c>
      <c r="O857" t="s">
        <v>3377</v>
      </c>
      <c r="P857" t="s">
        <v>5514</v>
      </c>
      <c r="Q857" t="s">
        <v>5515</v>
      </c>
      <c r="R857" t="s">
        <v>5516</v>
      </c>
    </row>
    <row r="858" spans="1:18" x14ac:dyDescent="0.2">
      <c r="A858">
        <v>2954511</v>
      </c>
      <c r="B858" t="s">
        <v>5517</v>
      </c>
      <c r="C858">
        <v>0</v>
      </c>
      <c r="D858">
        <v>2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 t="s">
        <v>3284</v>
      </c>
      <c r="M858" t="s">
        <v>3327</v>
      </c>
      <c r="N858" t="s">
        <v>3376</v>
      </c>
      <c r="O858" t="s">
        <v>3377</v>
      </c>
      <c r="P858" t="s">
        <v>5514</v>
      </c>
      <c r="Q858" t="s">
        <v>5518</v>
      </c>
      <c r="R858" t="s">
        <v>5519</v>
      </c>
    </row>
    <row r="859" spans="1:18" x14ac:dyDescent="0.2">
      <c r="A859">
        <v>2954386</v>
      </c>
      <c r="B859" t="s">
        <v>5520</v>
      </c>
      <c r="C859">
        <v>1</v>
      </c>
      <c r="D859">
        <v>1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 t="s">
        <v>3284</v>
      </c>
      <c r="M859" t="s">
        <v>3296</v>
      </c>
      <c r="N859" t="s">
        <v>3321</v>
      </c>
      <c r="O859" t="s">
        <v>3271</v>
      </c>
      <c r="P859" t="s">
        <v>3271</v>
      </c>
      <c r="Q859" t="s">
        <v>5521</v>
      </c>
      <c r="R859" t="s">
        <v>5522</v>
      </c>
    </row>
    <row r="860" spans="1:18" x14ac:dyDescent="0.2">
      <c r="A860">
        <v>2954117</v>
      </c>
      <c r="B860" t="s">
        <v>5523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1</v>
      </c>
      <c r="L860" t="s">
        <v>3284</v>
      </c>
      <c r="M860" t="s">
        <v>3296</v>
      </c>
      <c r="N860" t="s">
        <v>3343</v>
      </c>
      <c r="O860" t="s">
        <v>3344</v>
      </c>
      <c r="P860" t="s">
        <v>5524</v>
      </c>
      <c r="Q860" t="s">
        <v>5525</v>
      </c>
      <c r="R860" t="s">
        <v>5526</v>
      </c>
    </row>
    <row r="861" spans="1:18" x14ac:dyDescent="0.2">
      <c r="A861">
        <v>2954084</v>
      </c>
      <c r="B861" t="s">
        <v>5527</v>
      </c>
      <c r="C861">
        <v>0</v>
      </c>
      <c r="D861">
        <v>0</v>
      </c>
      <c r="E861">
        <v>0</v>
      </c>
      <c r="F861">
        <v>1</v>
      </c>
      <c r="G861">
        <v>0</v>
      </c>
      <c r="H861">
        <v>0</v>
      </c>
      <c r="I861">
        <v>0</v>
      </c>
      <c r="J861">
        <v>0</v>
      </c>
      <c r="K861">
        <v>0</v>
      </c>
      <c r="L861" t="s">
        <v>3284</v>
      </c>
      <c r="M861" t="s">
        <v>3296</v>
      </c>
      <c r="N861" t="s">
        <v>3297</v>
      </c>
      <c r="O861" t="s">
        <v>3434</v>
      </c>
      <c r="P861" t="s">
        <v>3435</v>
      </c>
      <c r="Q861" t="s">
        <v>3436</v>
      </c>
      <c r="R861" t="s">
        <v>5528</v>
      </c>
    </row>
    <row r="862" spans="1:18" x14ac:dyDescent="0.2">
      <c r="A862">
        <v>2953654</v>
      </c>
      <c r="B862" t="s">
        <v>5529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1</v>
      </c>
      <c r="K862">
        <v>0</v>
      </c>
      <c r="L862" t="s">
        <v>3284</v>
      </c>
      <c r="M862" t="s">
        <v>3307</v>
      </c>
      <c r="N862" t="s">
        <v>3308</v>
      </c>
      <c r="O862" t="s">
        <v>3359</v>
      </c>
      <c r="P862" t="s">
        <v>3407</v>
      </c>
      <c r="Q862" t="s">
        <v>5530</v>
      </c>
      <c r="R862" t="s">
        <v>5531</v>
      </c>
    </row>
    <row r="863" spans="1:18" x14ac:dyDescent="0.2">
      <c r="A863">
        <v>2953240</v>
      </c>
      <c r="B863" t="s">
        <v>5532</v>
      </c>
      <c r="C863">
        <v>0</v>
      </c>
      <c r="D863">
        <v>0</v>
      </c>
      <c r="E863">
        <v>0</v>
      </c>
      <c r="F863">
        <v>0</v>
      </c>
      <c r="G863">
        <v>1</v>
      </c>
      <c r="H863">
        <v>0</v>
      </c>
      <c r="I863">
        <v>0</v>
      </c>
      <c r="J863">
        <v>0</v>
      </c>
      <c r="K863">
        <v>0</v>
      </c>
      <c r="L863" t="s">
        <v>3284</v>
      </c>
      <c r="M863" t="s">
        <v>3307</v>
      </c>
      <c r="N863" t="s">
        <v>3308</v>
      </c>
      <c r="O863" t="s">
        <v>3446</v>
      </c>
      <c r="P863" t="s">
        <v>3447</v>
      </c>
      <c r="Q863" t="s">
        <v>3448</v>
      </c>
      <c r="R863" t="s">
        <v>5533</v>
      </c>
    </row>
    <row r="864" spans="1:18" x14ac:dyDescent="0.2">
      <c r="A864">
        <v>2952933</v>
      </c>
      <c r="B864" t="s">
        <v>5534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2</v>
      </c>
      <c r="I864">
        <v>0</v>
      </c>
      <c r="J864">
        <v>0</v>
      </c>
      <c r="K864">
        <v>0</v>
      </c>
      <c r="L864" t="s">
        <v>3284</v>
      </c>
      <c r="M864" t="s">
        <v>3296</v>
      </c>
      <c r="N864" t="s">
        <v>3297</v>
      </c>
      <c r="O864" t="s">
        <v>3434</v>
      </c>
      <c r="P864" t="s">
        <v>3435</v>
      </c>
      <c r="Q864" t="s">
        <v>3436</v>
      </c>
      <c r="R864" t="s">
        <v>5535</v>
      </c>
    </row>
    <row r="865" spans="1:18" x14ac:dyDescent="0.2">
      <c r="A865">
        <v>2952915</v>
      </c>
      <c r="B865" t="s">
        <v>5536</v>
      </c>
      <c r="C865">
        <v>0</v>
      </c>
      <c r="D865">
        <v>1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 t="s">
        <v>3284</v>
      </c>
      <c r="M865" t="s">
        <v>3391</v>
      </c>
      <c r="N865" t="s">
        <v>3765</v>
      </c>
      <c r="O865" t="s">
        <v>3766</v>
      </c>
      <c r="P865" t="s">
        <v>3271</v>
      </c>
      <c r="Q865" t="s">
        <v>5537</v>
      </c>
      <c r="R865" t="s">
        <v>5538</v>
      </c>
    </row>
    <row r="866" spans="1:18" x14ac:dyDescent="0.2">
      <c r="A866">
        <v>2952201</v>
      </c>
      <c r="B866" t="s">
        <v>5539</v>
      </c>
      <c r="C866">
        <v>0</v>
      </c>
      <c r="D866">
        <v>0</v>
      </c>
      <c r="E866">
        <v>1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 t="s">
        <v>3284</v>
      </c>
      <c r="M866" t="s">
        <v>3296</v>
      </c>
      <c r="N866" t="s">
        <v>3297</v>
      </c>
      <c r="O866" t="s">
        <v>3298</v>
      </c>
      <c r="P866" t="s">
        <v>3299</v>
      </c>
      <c r="Q866" t="s">
        <v>3300</v>
      </c>
      <c r="R866" t="s">
        <v>5540</v>
      </c>
    </row>
    <row r="867" spans="1:18" x14ac:dyDescent="0.2">
      <c r="A867">
        <v>2950553</v>
      </c>
      <c r="B867" t="s">
        <v>5541</v>
      </c>
      <c r="C867">
        <v>0</v>
      </c>
      <c r="D867">
        <v>0</v>
      </c>
      <c r="E867">
        <v>0</v>
      </c>
      <c r="F867">
        <v>0</v>
      </c>
      <c r="G867">
        <v>1</v>
      </c>
      <c r="H867">
        <v>0</v>
      </c>
      <c r="I867">
        <v>0</v>
      </c>
      <c r="J867">
        <v>0</v>
      </c>
      <c r="K867">
        <v>0</v>
      </c>
      <c r="L867" t="s">
        <v>3284</v>
      </c>
      <c r="M867" t="s">
        <v>3307</v>
      </c>
      <c r="N867" t="s">
        <v>3308</v>
      </c>
      <c r="O867" t="s">
        <v>5542</v>
      </c>
      <c r="P867" t="s">
        <v>5543</v>
      </c>
      <c r="Q867" t="s">
        <v>5544</v>
      </c>
      <c r="R867" t="s">
        <v>5545</v>
      </c>
    </row>
    <row r="868" spans="1:18" x14ac:dyDescent="0.2">
      <c r="A868">
        <v>2950549</v>
      </c>
      <c r="B868" t="s">
        <v>5546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2</v>
      </c>
      <c r="L868" t="s">
        <v>3284</v>
      </c>
      <c r="M868" t="s">
        <v>3296</v>
      </c>
      <c r="N868" t="s">
        <v>3297</v>
      </c>
      <c r="O868" t="s">
        <v>4112</v>
      </c>
      <c r="P868" t="s">
        <v>4113</v>
      </c>
      <c r="Q868" t="s">
        <v>4114</v>
      </c>
      <c r="R868" t="s">
        <v>5547</v>
      </c>
    </row>
    <row r="869" spans="1:18" x14ac:dyDescent="0.2">
      <c r="A869">
        <v>2950278</v>
      </c>
      <c r="B869" t="s">
        <v>5548</v>
      </c>
      <c r="C869">
        <v>1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1</v>
      </c>
      <c r="K869">
        <v>0</v>
      </c>
      <c r="L869" t="s">
        <v>3284</v>
      </c>
      <c r="M869" t="s">
        <v>3391</v>
      </c>
      <c r="N869" t="s">
        <v>3740</v>
      </c>
      <c r="O869" t="s">
        <v>3741</v>
      </c>
      <c r="P869" t="s">
        <v>3742</v>
      </c>
      <c r="Q869" t="s">
        <v>4997</v>
      </c>
      <c r="R869" t="s">
        <v>5549</v>
      </c>
    </row>
    <row r="870" spans="1:18" x14ac:dyDescent="0.2">
      <c r="A870">
        <v>2950153</v>
      </c>
      <c r="B870" t="s">
        <v>5550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20</v>
      </c>
      <c r="J870">
        <v>10</v>
      </c>
      <c r="K870">
        <v>5</v>
      </c>
      <c r="L870" t="s">
        <v>3284</v>
      </c>
      <c r="M870" t="s">
        <v>3296</v>
      </c>
      <c r="N870" t="s">
        <v>3297</v>
      </c>
      <c r="O870" t="s">
        <v>3469</v>
      </c>
      <c r="P870" t="s">
        <v>3470</v>
      </c>
      <c r="Q870" t="s">
        <v>3471</v>
      </c>
      <c r="R870" t="s">
        <v>5551</v>
      </c>
    </row>
    <row r="871" spans="1:18" x14ac:dyDescent="0.2">
      <c r="A871">
        <v>2950125</v>
      </c>
      <c r="B871" t="s">
        <v>5552</v>
      </c>
      <c r="C871">
        <v>1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 t="s">
        <v>3284</v>
      </c>
      <c r="M871" t="s">
        <v>3296</v>
      </c>
      <c r="N871" t="s">
        <v>3297</v>
      </c>
      <c r="O871" t="s">
        <v>3469</v>
      </c>
      <c r="P871" t="s">
        <v>3470</v>
      </c>
      <c r="Q871" t="s">
        <v>5553</v>
      </c>
      <c r="R871" t="s">
        <v>5554</v>
      </c>
    </row>
    <row r="872" spans="1:18" x14ac:dyDescent="0.2">
      <c r="A872">
        <v>2950074</v>
      </c>
      <c r="B872" t="s">
        <v>5555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3</v>
      </c>
      <c r="J872">
        <v>1</v>
      </c>
      <c r="K872">
        <v>0</v>
      </c>
      <c r="L872" t="s">
        <v>3284</v>
      </c>
      <c r="M872" t="s">
        <v>3296</v>
      </c>
      <c r="N872" t="s">
        <v>3297</v>
      </c>
      <c r="O872" t="s">
        <v>4037</v>
      </c>
      <c r="P872" t="s">
        <v>4038</v>
      </c>
      <c r="Q872" t="s">
        <v>5556</v>
      </c>
      <c r="R872" t="s">
        <v>5557</v>
      </c>
    </row>
    <row r="873" spans="1:18" x14ac:dyDescent="0.2">
      <c r="A873">
        <v>2949979</v>
      </c>
      <c r="B873" t="s">
        <v>5558</v>
      </c>
      <c r="C873">
        <v>0</v>
      </c>
      <c r="D873">
        <v>0</v>
      </c>
      <c r="E873">
        <v>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 t="s">
        <v>3284</v>
      </c>
      <c r="M873" t="s">
        <v>3327</v>
      </c>
      <c r="N873" t="s">
        <v>3328</v>
      </c>
      <c r="O873" t="s">
        <v>3329</v>
      </c>
      <c r="P873" t="s">
        <v>3330</v>
      </c>
      <c r="Q873" t="s">
        <v>3331</v>
      </c>
      <c r="R873" t="s">
        <v>5559</v>
      </c>
    </row>
    <row r="874" spans="1:18" x14ac:dyDescent="0.2">
      <c r="A874">
        <v>2949971</v>
      </c>
      <c r="B874" t="s">
        <v>5560</v>
      </c>
      <c r="C874">
        <v>1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1</v>
      </c>
      <c r="J874">
        <v>0</v>
      </c>
      <c r="K874">
        <v>0</v>
      </c>
      <c r="L874" t="s">
        <v>3284</v>
      </c>
      <c r="M874" t="s">
        <v>3327</v>
      </c>
      <c r="N874" t="s">
        <v>3328</v>
      </c>
      <c r="O874" t="s">
        <v>3329</v>
      </c>
      <c r="P874" t="s">
        <v>3330</v>
      </c>
      <c r="Q874" t="s">
        <v>3331</v>
      </c>
      <c r="R874" t="s">
        <v>5561</v>
      </c>
    </row>
    <row r="875" spans="1:18" x14ac:dyDescent="0.2">
      <c r="A875">
        <v>2949970</v>
      </c>
      <c r="B875" t="s">
        <v>5562</v>
      </c>
      <c r="C875">
        <v>4</v>
      </c>
      <c r="D875">
        <v>5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 t="s">
        <v>3284</v>
      </c>
      <c r="M875" t="s">
        <v>3327</v>
      </c>
      <c r="N875" t="s">
        <v>3328</v>
      </c>
      <c r="O875" t="s">
        <v>3329</v>
      </c>
      <c r="P875" t="s">
        <v>3330</v>
      </c>
      <c r="Q875" t="s">
        <v>3331</v>
      </c>
      <c r="R875" t="s">
        <v>5563</v>
      </c>
    </row>
    <row r="876" spans="1:18" x14ac:dyDescent="0.2">
      <c r="A876">
        <v>2949968</v>
      </c>
      <c r="B876" t="s">
        <v>5564</v>
      </c>
      <c r="C876">
        <v>1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 t="s">
        <v>3284</v>
      </c>
      <c r="M876" t="s">
        <v>3327</v>
      </c>
      <c r="N876" t="s">
        <v>3328</v>
      </c>
      <c r="O876" t="s">
        <v>3329</v>
      </c>
      <c r="P876" t="s">
        <v>3330</v>
      </c>
      <c r="Q876" t="s">
        <v>3331</v>
      </c>
      <c r="R876" t="s">
        <v>5565</v>
      </c>
    </row>
    <row r="877" spans="1:18" x14ac:dyDescent="0.2">
      <c r="A877">
        <v>2949758</v>
      </c>
      <c r="B877" t="s">
        <v>5566</v>
      </c>
      <c r="C877">
        <v>1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 t="s">
        <v>3284</v>
      </c>
      <c r="M877" t="s">
        <v>3296</v>
      </c>
      <c r="N877" t="s">
        <v>3297</v>
      </c>
      <c r="O877" t="s">
        <v>3298</v>
      </c>
      <c r="P877" t="s">
        <v>4399</v>
      </c>
      <c r="Q877" t="s">
        <v>4400</v>
      </c>
      <c r="R877" t="s">
        <v>5567</v>
      </c>
    </row>
    <row r="878" spans="1:18" x14ac:dyDescent="0.2">
      <c r="A878">
        <v>2949640</v>
      </c>
      <c r="B878" t="s">
        <v>5568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1</v>
      </c>
      <c r="J878">
        <v>0</v>
      </c>
      <c r="K878">
        <v>0</v>
      </c>
      <c r="L878" t="s">
        <v>3284</v>
      </c>
      <c r="M878" t="s">
        <v>3307</v>
      </c>
      <c r="N878" t="s">
        <v>3989</v>
      </c>
      <c r="O878" t="s">
        <v>3990</v>
      </c>
      <c r="P878" t="s">
        <v>5569</v>
      </c>
      <c r="Q878" t="s">
        <v>5570</v>
      </c>
      <c r="R878" t="s">
        <v>5571</v>
      </c>
    </row>
    <row r="879" spans="1:18" x14ac:dyDescent="0.2">
      <c r="A879">
        <v>2949633</v>
      </c>
      <c r="B879" t="s">
        <v>5572</v>
      </c>
      <c r="C879">
        <v>0</v>
      </c>
      <c r="D879">
        <v>0</v>
      </c>
      <c r="E879">
        <v>0</v>
      </c>
      <c r="F879">
        <v>1</v>
      </c>
      <c r="G879">
        <v>0</v>
      </c>
      <c r="H879">
        <v>0</v>
      </c>
      <c r="I879">
        <v>0</v>
      </c>
      <c r="J879">
        <v>0</v>
      </c>
      <c r="K879">
        <v>0</v>
      </c>
      <c r="L879" t="s">
        <v>3284</v>
      </c>
      <c r="M879" t="s">
        <v>3296</v>
      </c>
      <c r="N879" t="s">
        <v>3343</v>
      </c>
      <c r="O879" t="s">
        <v>3344</v>
      </c>
      <c r="P879" t="s">
        <v>3937</v>
      </c>
      <c r="Q879" t="s">
        <v>3938</v>
      </c>
      <c r="R879" t="s">
        <v>5573</v>
      </c>
    </row>
    <row r="880" spans="1:18" x14ac:dyDescent="0.2">
      <c r="A880">
        <v>2949632</v>
      </c>
      <c r="B880" t="s">
        <v>5574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1</v>
      </c>
      <c r="J880">
        <v>0</v>
      </c>
      <c r="K880">
        <v>0</v>
      </c>
      <c r="L880" t="s">
        <v>3284</v>
      </c>
      <c r="M880" t="s">
        <v>3296</v>
      </c>
      <c r="N880" t="s">
        <v>3343</v>
      </c>
      <c r="O880" t="s">
        <v>3344</v>
      </c>
      <c r="P880" t="s">
        <v>3937</v>
      </c>
      <c r="Q880" t="s">
        <v>3938</v>
      </c>
      <c r="R880" t="s">
        <v>5575</v>
      </c>
    </row>
    <row r="881" spans="1:18" x14ac:dyDescent="0.2">
      <c r="A881">
        <v>2949426</v>
      </c>
      <c r="B881" t="s">
        <v>5576</v>
      </c>
      <c r="C881">
        <v>0</v>
      </c>
      <c r="D881">
        <v>0</v>
      </c>
      <c r="E881">
        <v>0</v>
      </c>
      <c r="F881">
        <v>1</v>
      </c>
      <c r="G881">
        <v>0</v>
      </c>
      <c r="H881">
        <v>1</v>
      </c>
      <c r="I881">
        <v>2</v>
      </c>
      <c r="J881">
        <v>1</v>
      </c>
      <c r="K881">
        <v>1</v>
      </c>
      <c r="L881" t="s">
        <v>3284</v>
      </c>
      <c r="M881" t="s">
        <v>3296</v>
      </c>
      <c r="N881" t="s">
        <v>3343</v>
      </c>
      <c r="O881" t="s">
        <v>3371</v>
      </c>
      <c r="P881" t="s">
        <v>3372</v>
      </c>
      <c r="Q881" t="s">
        <v>5577</v>
      </c>
      <c r="R881" t="s">
        <v>5578</v>
      </c>
    </row>
    <row r="882" spans="1:18" x14ac:dyDescent="0.2">
      <c r="A882">
        <v>2949332</v>
      </c>
      <c r="B882" t="s">
        <v>5579</v>
      </c>
      <c r="C882">
        <v>1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 t="s">
        <v>3284</v>
      </c>
      <c r="M882" t="s">
        <v>3327</v>
      </c>
      <c r="N882" t="s">
        <v>3328</v>
      </c>
      <c r="O882" t="s">
        <v>4017</v>
      </c>
      <c r="P882" t="s">
        <v>4018</v>
      </c>
      <c r="Q882" t="s">
        <v>5580</v>
      </c>
      <c r="R882" t="s">
        <v>5581</v>
      </c>
    </row>
    <row r="883" spans="1:18" x14ac:dyDescent="0.2">
      <c r="A883">
        <v>2949309</v>
      </c>
      <c r="B883" t="s">
        <v>5582</v>
      </c>
      <c r="C883">
        <v>0</v>
      </c>
      <c r="D883">
        <v>0</v>
      </c>
      <c r="E883">
        <v>0</v>
      </c>
      <c r="F883">
        <v>1</v>
      </c>
      <c r="G883">
        <v>0</v>
      </c>
      <c r="H883">
        <v>0</v>
      </c>
      <c r="I883">
        <v>0</v>
      </c>
      <c r="J883">
        <v>0</v>
      </c>
      <c r="K883">
        <v>1</v>
      </c>
      <c r="L883" t="s">
        <v>3284</v>
      </c>
      <c r="M883" t="s">
        <v>3391</v>
      </c>
      <c r="N883" t="s">
        <v>3392</v>
      </c>
      <c r="O883" t="s">
        <v>3393</v>
      </c>
      <c r="P883" t="s">
        <v>3394</v>
      </c>
      <c r="Q883" t="s">
        <v>4082</v>
      </c>
      <c r="R883" t="s">
        <v>5583</v>
      </c>
    </row>
    <row r="884" spans="1:18" x14ac:dyDescent="0.2">
      <c r="A884">
        <v>2949308</v>
      </c>
      <c r="B884" t="s">
        <v>5584</v>
      </c>
      <c r="C884">
        <v>0</v>
      </c>
      <c r="D884">
        <v>0</v>
      </c>
      <c r="E884">
        <v>0</v>
      </c>
      <c r="F884">
        <v>1</v>
      </c>
      <c r="G884">
        <v>0</v>
      </c>
      <c r="H884">
        <v>0</v>
      </c>
      <c r="I884">
        <v>0</v>
      </c>
      <c r="J884">
        <v>0</v>
      </c>
      <c r="K884">
        <v>0</v>
      </c>
      <c r="L884" t="s">
        <v>3284</v>
      </c>
      <c r="M884" t="s">
        <v>3391</v>
      </c>
      <c r="N884" t="s">
        <v>3392</v>
      </c>
      <c r="O884" t="s">
        <v>3393</v>
      </c>
      <c r="P884" t="s">
        <v>3394</v>
      </c>
      <c r="Q884" t="s">
        <v>4082</v>
      </c>
      <c r="R884" t="s">
        <v>5585</v>
      </c>
    </row>
    <row r="885" spans="1:18" x14ac:dyDescent="0.2">
      <c r="A885">
        <v>2949094</v>
      </c>
      <c r="B885" t="s">
        <v>5586</v>
      </c>
      <c r="C885">
        <v>0</v>
      </c>
      <c r="D885">
        <v>0</v>
      </c>
      <c r="E885">
        <v>0</v>
      </c>
      <c r="F885">
        <v>0</v>
      </c>
      <c r="G885">
        <v>2</v>
      </c>
      <c r="H885">
        <v>0</v>
      </c>
      <c r="I885">
        <v>0</v>
      </c>
      <c r="J885">
        <v>0</v>
      </c>
      <c r="K885">
        <v>0</v>
      </c>
      <c r="L885" t="s">
        <v>3284</v>
      </c>
      <c r="M885" t="s">
        <v>3296</v>
      </c>
      <c r="N885" t="s">
        <v>3343</v>
      </c>
      <c r="O885" t="s">
        <v>3349</v>
      </c>
      <c r="P885" t="s">
        <v>3350</v>
      </c>
      <c r="Q885" t="s">
        <v>3580</v>
      </c>
      <c r="R885" t="s">
        <v>5587</v>
      </c>
    </row>
    <row r="886" spans="1:18" x14ac:dyDescent="0.2">
      <c r="A886">
        <v>2949092</v>
      </c>
      <c r="B886" t="s">
        <v>5588</v>
      </c>
      <c r="C886">
        <v>0</v>
      </c>
      <c r="D886">
        <v>0</v>
      </c>
      <c r="E886">
        <v>0</v>
      </c>
      <c r="F886">
        <v>1</v>
      </c>
      <c r="G886">
        <v>0</v>
      </c>
      <c r="H886">
        <v>0</v>
      </c>
      <c r="I886">
        <v>0</v>
      </c>
      <c r="J886">
        <v>0</v>
      </c>
      <c r="K886">
        <v>0</v>
      </c>
      <c r="L886" t="s">
        <v>3284</v>
      </c>
      <c r="M886" t="s">
        <v>3296</v>
      </c>
      <c r="N886" t="s">
        <v>3343</v>
      </c>
      <c r="O886" t="s">
        <v>3349</v>
      </c>
      <c r="P886" t="s">
        <v>3350</v>
      </c>
      <c r="Q886" t="s">
        <v>3580</v>
      </c>
      <c r="R886" t="s">
        <v>5589</v>
      </c>
    </row>
    <row r="887" spans="1:18" x14ac:dyDescent="0.2">
      <c r="A887">
        <v>2949090</v>
      </c>
      <c r="B887" t="s">
        <v>5590</v>
      </c>
      <c r="C887">
        <v>1</v>
      </c>
      <c r="D887">
        <v>0</v>
      </c>
      <c r="E887">
        <v>0</v>
      </c>
      <c r="F887">
        <v>1</v>
      </c>
      <c r="G887">
        <v>0</v>
      </c>
      <c r="H887">
        <v>0</v>
      </c>
      <c r="I887">
        <v>0</v>
      </c>
      <c r="J887">
        <v>0</v>
      </c>
      <c r="K887">
        <v>0</v>
      </c>
      <c r="L887" t="s">
        <v>3284</v>
      </c>
      <c r="M887" t="s">
        <v>3296</v>
      </c>
      <c r="N887" t="s">
        <v>3321</v>
      </c>
      <c r="O887" t="s">
        <v>3322</v>
      </c>
      <c r="P887" t="s">
        <v>3398</v>
      </c>
      <c r="Q887" t="s">
        <v>3806</v>
      </c>
      <c r="R887" t="s">
        <v>5591</v>
      </c>
    </row>
    <row r="888" spans="1:18" x14ac:dyDescent="0.2">
      <c r="A888">
        <v>2945102</v>
      </c>
      <c r="B888" t="s">
        <v>5592</v>
      </c>
      <c r="C888">
        <v>0</v>
      </c>
      <c r="D888">
        <v>0</v>
      </c>
      <c r="E888">
        <v>0</v>
      </c>
      <c r="F888">
        <v>0</v>
      </c>
      <c r="G888">
        <v>1</v>
      </c>
      <c r="H888">
        <v>0</v>
      </c>
      <c r="I888">
        <v>0</v>
      </c>
      <c r="J888">
        <v>0</v>
      </c>
      <c r="K888">
        <v>0</v>
      </c>
      <c r="L888" t="s">
        <v>3284</v>
      </c>
      <c r="M888" t="s">
        <v>3307</v>
      </c>
      <c r="N888" t="s">
        <v>3308</v>
      </c>
      <c r="O888" t="s">
        <v>3309</v>
      </c>
      <c r="P888" t="s">
        <v>3310</v>
      </c>
      <c r="Q888" t="s">
        <v>3311</v>
      </c>
      <c r="R888" t="s">
        <v>5593</v>
      </c>
    </row>
    <row r="889" spans="1:18" x14ac:dyDescent="0.2">
      <c r="A889">
        <v>2944811</v>
      </c>
      <c r="B889" t="s">
        <v>5594</v>
      </c>
      <c r="C889">
        <v>1</v>
      </c>
      <c r="D889">
        <v>2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 t="s">
        <v>3284</v>
      </c>
      <c r="M889" t="s">
        <v>3296</v>
      </c>
      <c r="N889" t="s">
        <v>3321</v>
      </c>
      <c r="O889" t="s">
        <v>3322</v>
      </c>
      <c r="P889" t="s">
        <v>3671</v>
      </c>
      <c r="Q889" t="s">
        <v>5595</v>
      </c>
      <c r="R889" t="s">
        <v>5596</v>
      </c>
    </row>
    <row r="890" spans="1:18" x14ac:dyDescent="0.2">
      <c r="A890">
        <v>2944268</v>
      </c>
      <c r="B890" t="s">
        <v>5597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1</v>
      </c>
      <c r="K890">
        <v>0</v>
      </c>
      <c r="L890" t="s">
        <v>3284</v>
      </c>
      <c r="M890" t="s">
        <v>3296</v>
      </c>
      <c r="N890" t="s">
        <v>3321</v>
      </c>
      <c r="O890" t="s">
        <v>3322</v>
      </c>
      <c r="P890" t="s">
        <v>3423</v>
      </c>
      <c r="Q890" t="s">
        <v>5598</v>
      </c>
      <c r="R890" t="s">
        <v>5599</v>
      </c>
    </row>
    <row r="891" spans="1:18" x14ac:dyDescent="0.2">
      <c r="A891">
        <v>2944208</v>
      </c>
      <c r="B891" t="s">
        <v>5600</v>
      </c>
      <c r="C891">
        <v>1</v>
      </c>
      <c r="D891">
        <v>1</v>
      </c>
      <c r="E891">
        <v>1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 t="s">
        <v>3284</v>
      </c>
      <c r="M891" t="s">
        <v>3327</v>
      </c>
      <c r="N891" t="s">
        <v>3328</v>
      </c>
      <c r="O891" t="s">
        <v>4017</v>
      </c>
      <c r="P891" t="s">
        <v>4018</v>
      </c>
      <c r="Q891" t="s">
        <v>5601</v>
      </c>
      <c r="R891" t="s">
        <v>5602</v>
      </c>
    </row>
    <row r="892" spans="1:18" x14ac:dyDescent="0.2">
      <c r="A892">
        <v>2943848</v>
      </c>
      <c r="B892" t="s">
        <v>5603</v>
      </c>
      <c r="C892">
        <v>0</v>
      </c>
      <c r="D892">
        <v>0</v>
      </c>
      <c r="E892">
        <v>0</v>
      </c>
      <c r="F892">
        <v>0</v>
      </c>
      <c r="G892">
        <v>1</v>
      </c>
      <c r="H892">
        <v>0</v>
      </c>
      <c r="I892">
        <v>0</v>
      </c>
      <c r="J892">
        <v>0</v>
      </c>
      <c r="K892">
        <v>0</v>
      </c>
      <c r="L892" t="s">
        <v>3284</v>
      </c>
      <c r="M892" t="s">
        <v>3296</v>
      </c>
      <c r="N892" t="s">
        <v>3321</v>
      </c>
      <c r="O892" t="s">
        <v>3322</v>
      </c>
      <c r="P892" t="s">
        <v>3323</v>
      </c>
      <c r="Q892" t="s">
        <v>5058</v>
      </c>
      <c r="R892" t="s">
        <v>5604</v>
      </c>
    </row>
    <row r="893" spans="1:18" x14ac:dyDescent="0.2">
      <c r="A893">
        <v>2942483</v>
      </c>
      <c r="B893" t="s">
        <v>5605</v>
      </c>
      <c r="C893">
        <v>5</v>
      </c>
      <c r="D893">
        <v>7</v>
      </c>
      <c r="E893">
        <v>8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 t="s">
        <v>3284</v>
      </c>
      <c r="M893" t="s">
        <v>3327</v>
      </c>
      <c r="N893" t="s">
        <v>3328</v>
      </c>
      <c r="O893" t="s">
        <v>3329</v>
      </c>
      <c r="P893" t="s">
        <v>3330</v>
      </c>
      <c r="Q893" t="s">
        <v>3331</v>
      </c>
      <c r="R893" t="s">
        <v>5606</v>
      </c>
    </row>
    <row r="894" spans="1:18" x14ac:dyDescent="0.2">
      <c r="A894">
        <v>2942482</v>
      </c>
      <c r="B894" t="s">
        <v>5607</v>
      </c>
      <c r="C894">
        <v>2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 t="s">
        <v>3284</v>
      </c>
      <c r="M894" t="s">
        <v>3327</v>
      </c>
      <c r="N894" t="s">
        <v>3328</v>
      </c>
      <c r="O894" t="s">
        <v>3329</v>
      </c>
      <c r="P894" t="s">
        <v>3330</v>
      </c>
      <c r="Q894" t="s">
        <v>3331</v>
      </c>
      <c r="R894" t="s">
        <v>5608</v>
      </c>
    </row>
    <row r="895" spans="1:18" x14ac:dyDescent="0.2">
      <c r="A895">
        <v>2942211</v>
      </c>
      <c r="B895" t="s">
        <v>5609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1</v>
      </c>
      <c r="J895">
        <v>0</v>
      </c>
      <c r="K895">
        <v>0</v>
      </c>
      <c r="L895" t="s">
        <v>3284</v>
      </c>
      <c r="M895" t="s">
        <v>3296</v>
      </c>
      <c r="N895" t="s">
        <v>3321</v>
      </c>
      <c r="O895" t="s">
        <v>5306</v>
      </c>
      <c r="P895" t="s">
        <v>5610</v>
      </c>
      <c r="Q895" t="s">
        <v>5611</v>
      </c>
      <c r="R895" t="s">
        <v>5612</v>
      </c>
    </row>
    <row r="896" spans="1:18" x14ac:dyDescent="0.2">
      <c r="A896">
        <v>2942205</v>
      </c>
      <c r="B896" t="s">
        <v>5613</v>
      </c>
      <c r="C896">
        <v>2</v>
      </c>
      <c r="D896">
        <v>4</v>
      </c>
      <c r="E896">
        <v>1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 t="s">
        <v>3284</v>
      </c>
      <c r="M896" t="s">
        <v>3327</v>
      </c>
      <c r="N896" t="s">
        <v>3328</v>
      </c>
      <c r="O896" t="s">
        <v>3329</v>
      </c>
      <c r="P896" t="s">
        <v>3330</v>
      </c>
      <c r="Q896" t="s">
        <v>3331</v>
      </c>
      <c r="R896" t="s">
        <v>5614</v>
      </c>
    </row>
    <row r="897" spans="1:18" x14ac:dyDescent="0.2">
      <c r="A897">
        <v>2940653</v>
      </c>
      <c r="B897" t="s">
        <v>5615</v>
      </c>
      <c r="C897">
        <v>13</v>
      </c>
      <c r="D897">
        <v>5</v>
      </c>
      <c r="E897">
        <v>5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 t="s">
        <v>3284</v>
      </c>
      <c r="M897" t="s">
        <v>3327</v>
      </c>
      <c r="N897" t="s">
        <v>3328</v>
      </c>
      <c r="O897" t="s">
        <v>3329</v>
      </c>
      <c r="P897" t="s">
        <v>3330</v>
      </c>
      <c r="Q897" t="s">
        <v>3331</v>
      </c>
      <c r="R897" t="s">
        <v>5616</v>
      </c>
    </row>
    <row r="898" spans="1:18" x14ac:dyDescent="0.2">
      <c r="A898">
        <v>2940620</v>
      </c>
      <c r="B898" t="s">
        <v>5617</v>
      </c>
      <c r="C898">
        <v>0</v>
      </c>
      <c r="D898">
        <v>0</v>
      </c>
      <c r="E898">
        <v>0</v>
      </c>
      <c r="F898">
        <v>13</v>
      </c>
      <c r="G898">
        <v>11</v>
      </c>
      <c r="H898">
        <v>6</v>
      </c>
      <c r="I898">
        <v>0</v>
      </c>
      <c r="J898">
        <v>1</v>
      </c>
      <c r="K898">
        <v>0</v>
      </c>
      <c r="L898" t="s">
        <v>3284</v>
      </c>
      <c r="M898" t="s">
        <v>3296</v>
      </c>
      <c r="N898" t="s">
        <v>3297</v>
      </c>
      <c r="O898" t="s">
        <v>3469</v>
      </c>
      <c r="P898" t="s">
        <v>3470</v>
      </c>
      <c r="Q898" t="s">
        <v>3471</v>
      </c>
      <c r="R898" t="s">
        <v>5618</v>
      </c>
    </row>
    <row r="899" spans="1:18" x14ac:dyDescent="0.2">
      <c r="A899">
        <v>2940615</v>
      </c>
      <c r="B899" t="s">
        <v>5619</v>
      </c>
      <c r="C899">
        <v>3</v>
      </c>
      <c r="D899">
        <v>1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 t="s">
        <v>3284</v>
      </c>
      <c r="M899" t="s">
        <v>3391</v>
      </c>
      <c r="N899" t="s">
        <v>3392</v>
      </c>
      <c r="O899" t="s">
        <v>3393</v>
      </c>
      <c r="P899" t="s">
        <v>3394</v>
      </c>
      <c r="Q899" t="s">
        <v>4351</v>
      </c>
      <c r="R899" t="s">
        <v>5620</v>
      </c>
    </row>
    <row r="900" spans="1:18" x14ac:dyDescent="0.2">
      <c r="A900">
        <v>2940612</v>
      </c>
      <c r="B900" t="s">
        <v>5621</v>
      </c>
      <c r="C900">
        <v>0</v>
      </c>
      <c r="D900">
        <v>0</v>
      </c>
      <c r="E900">
        <v>0</v>
      </c>
      <c r="F900">
        <v>1</v>
      </c>
      <c r="G900">
        <v>2</v>
      </c>
      <c r="H900">
        <v>0</v>
      </c>
      <c r="I900">
        <v>0</v>
      </c>
      <c r="J900">
        <v>0</v>
      </c>
      <c r="K900">
        <v>0</v>
      </c>
      <c r="L900" t="s">
        <v>3284</v>
      </c>
      <c r="M900" t="s">
        <v>3296</v>
      </c>
      <c r="N900" t="s">
        <v>3297</v>
      </c>
      <c r="O900" t="s">
        <v>3298</v>
      </c>
      <c r="P900" t="s">
        <v>3299</v>
      </c>
      <c r="Q900" t="s">
        <v>5622</v>
      </c>
      <c r="R900" t="s">
        <v>5623</v>
      </c>
    </row>
    <row r="901" spans="1:18" x14ac:dyDescent="0.2">
      <c r="A901">
        <v>2940611</v>
      </c>
      <c r="B901" t="s">
        <v>5624</v>
      </c>
      <c r="C901">
        <v>0</v>
      </c>
      <c r="D901">
        <v>0</v>
      </c>
      <c r="E901">
        <v>0</v>
      </c>
      <c r="F901">
        <v>50</v>
      </c>
      <c r="G901">
        <v>31</v>
      </c>
      <c r="H901">
        <v>2</v>
      </c>
      <c r="I901">
        <v>0</v>
      </c>
      <c r="J901">
        <v>0</v>
      </c>
      <c r="K901">
        <v>0</v>
      </c>
      <c r="L901" t="s">
        <v>3284</v>
      </c>
      <c r="M901" t="s">
        <v>3296</v>
      </c>
      <c r="N901" t="s">
        <v>3297</v>
      </c>
      <c r="O901" t="s">
        <v>3434</v>
      </c>
      <c r="P901" t="s">
        <v>3435</v>
      </c>
      <c r="Q901" t="s">
        <v>3436</v>
      </c>
      <c r="R901" t="s">
        <v>5625</v>
      </c>
    </row>
    <row r="902" spans="1:18" x14ac:dyDescent="0.2">
      <c r="A902">
        <v>2940588</v>
      </c>
      <c r="B902" t="s">
        <v>5626</v>
      </c>
      <c r="C902">
        <v>0</v>
      </c>
      <c r="D902">
        <v>0</v>
      </c>
      <c r="E902">
        <v>0</v>
      </c>
      <c r="F902">
        <v>1</v>
      </c>
      <c r="G902">
        <v>0</v>
      </c>
      <c r="H902">
        <v>0</v>
      </c>
      <c r="I902">
        <v>0</v>
      </c>
      <c r="J902">
        <v>0</v>
      </c>
      <c r="K902">
        <v>0</v>
      </c>
      <c r="L902" t="s">
        <v>3284</v>
      </c>
      <c r="M902" t="s">
        <v>3391</v>
      </c>
      <c r="N902" t="s">
        <v>3411</v>
      </c>
      <c r="O902" t="s">
        <v>3412</v>
      </c>
      <c r="P902" t="s">
        <v>3564</v>
      </c>
      <c r="Q902" t="s">
        <v>3803</v>
      </c>
      <c r="R902" t="s">
        <v>5627</v>
      </c>
    </row>
    <row r="903" spans="1:18" x14ac:dyDescent="0.2">
      <c r="A903">
        <v>2940583</v>
      </c>
      <c r="B903" t="s">
        <v>5628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1</v>
      </c>
      <c r="J903">
        <v>0</v>
      </c>
      <c r="K903">
        <v>0</v>
      </c>
      <c r="L903" t="s">
        <v>3284</v>
      </c>
      <c r="M903" t="s">
        <v>3296</v>
      </c>
      <c r="N903" t="s">
        <v>3343</v>
      </c>
      <c r="O903" t="s">
        <v>3349</v>
      </c>
      <c r="P903" t="s">
        <v>3350</v>
      </c>
      <c r="Q903" t="s">
        <v>4175</v>
      </c>
      <c r="R903" t="s">
        <v>5629</v>
      </c>
    </row>
    <row r="904" spans="1:18" x14ac:dyDescent="0.2">
      <c r="A904">
        <v>2940551</v>
      </c>
      <c r="B904" t="s">
        <v>5630</v>
      </c>
      <c r="C904">
        <v>0</v>
      </c>
      <c r="D904">
        <v>0</v>
      </c>
      <c r="E904">
        <v>0</v>
      </c>
      <c r="F904">
        <v>1</v>
      </c>
      <c r="G904">
        <v>0</v>
      </c>
      <c r="H904">
        <v>0</v>
      </c>
      <c r="I904">
        <v>0</v>
      </c>
      <c r="J904">
        <v>0</v>
      </c>
      <c r="K904">
        <v>0</v>
      </c>
      <c r="L904" t="s">
        <v>3284</v>
      </c>
      <c r="M904" t="s">
        <v>3296</v>
      </c>
      <c r="N904" t="s">
        <v>3321</v>
      </c>
      <c r="O904" t="s">
        <v>3322</v>
      </c>
      <c r="P904" t="s">
        <v>3398</v>
      </c>
      <c r="Q904" t="s">
        <v>3399</v>
      </c>
      <c r="R904" t="s">
        <v>5631</v>
      </c>
    </row>
    <row r="905" spans="1:18" x14ac:dyDescent="0.2">
      <c r="A905">
        <v>2940486</v>
      </c>
      <c r="B905" t="s">
        <v>5632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1</v>
      </c>
      <c r="J905">
        <v>0</v>
      </c>
      <c r="K905">
        <v>0</v>
      </c>
      <c r="L905" t="s">
        <v>3284</v>
      </c>
      <c r="M905" t="s">
        <v>3296</v>
      </c>
      <c r="N905" t="s">
        <v>3297</v>
      </c>
      <c r="O905" t="s">
        <v>3469</v>
      </c>
      <c r="P905" t="s">
        <v>3470</v>
      </c>
      <c r="Q905" t="s">
        <v>5633</v>
      </c>
      <c r="R905" t="s">
        <v>5634</v>
      </c>
    </row>
    <row r="906" spans="1:18" x14ac:dyDescent="0.2">
      <c r="A906">
        <v>2939647</v>
      </c>
      <c r="B906" t="s">
        <v>5635</v>
      </c>
      <c r="C906">
        <v>2</v>
      </c>
      <c r="D906">
        <v>2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 t="s">
        <v>3284</v>
      </c>
      <c r="M906" t="s">
        <v>3296</v>
      </c>
      <c r="N906" t="s">
        <v>3343</v>
      </c>
      <c r="O906" t="s">
        <v>3371</v>
      </c>
      <c r="P906" t="s">
        <v>3688</v>
      </c>
      <c r="Q906" t="s">
        <v>4314</v>
      </c>
      <c r="R906" t="s">
        <v>5636</v>
      </c>
    </row>
    <row r="907" spans="1:18" x14ac:dyDescent="0.2">
      <c r="A907">
        <v>2939567</v>
      </c>
      <c r="B907" t="s">
        <v>5637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1</v>
      </c>
      <c r="L907" t="s">
        <v>3284</v>
      </c>
      <c r="M907" t="s">
        <v>3327</v>
      </c>
      <c r="N907" t="s">
        <v>3376</v>
      </c>
      <c r="O907" t="s">
        <v>3377</v>
      </c>
      <c r="P907" t="s">
        <v>3378</v>
      </c>
      <c r="Q907" t="s">
        <v>5638</v>
      </c>
      <c r="R907" t="s">
        <v>5639</v>
      </c>
    </row>
    <row r="908" spans="1:18" x14ac:dyDescent="0.2">
      <c r="A908">
        <v>2938197</v>
      </c>
      <c r="B908" t="s">
        <v>5640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0</v>
      </c>
      <c r="L908" t="s">
        <v>3284</v>
      </c>
      <c r="M908" t="s">
        <v>3296</v>
      </c>
      <c r="N908" t="s">
        <v>3297</v>
      </c>
      <c r="O908" t="s">
        <v>3434</v>
      </c>
      <c r="P908" t="s">
        <v>3435</v>
      </c>
      <c r="Q908" t="s">
        <v>3436</v>
      </c>
      <c r="R908" t="s">
        <v>5641</v>
      </c>
    </row>
    <row r="909" spans="1:18" x14ac:dyDescent="0.2">
      <c r="A909">
        <v>2938121</v>
      </c>
      <c r="B909" t="s">
        <v>5642</v>
      </c>
      <c r="C909">
        <v>0</v>
      </c>
      <c r="D909">
        <v>0</v>
      </c>
      <c r="E909">
        <v>0</v>
      </c>
      <c r="F909">
        <v>0</v>
      </c>
      <c r="G909">
        <v>1</v>
      </c>
      <c r="H909">
        <v>0</v>
      </c>
      <c r="I909">
        <v>0</v>
      </c>
      <c r="J909">
        <v>0</v>
      </c>
      <c r="K909">
        <v>0</v>
      </c>
      <c r="L909" t="s">
        <v>3284</v>
      </c>
      <c r="M909" t="s">
        <v>3391</v>
      </c>
      <c r="N909" t="s">
        <v>3740</v>
      </c>
      <c r="O909" t="s">
        <v>3741</v>
      </c>
      <c r="P909" t="s">
        <v>3742</v>
      </c>
      <c r="Q909" t="s">
        <v>4598</v>
      </c>
      <c r="R909" t="s">
        <v>5643</v>
      </c>
    </row>
    <row r="910" spans="1:18" x14ac:dyDescent="0.2">
      <c r="A910">
        <v>2937992</v>
      </c>
      <c r="B910" t="s">
        <v>5644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1</v>
      </c>
      <c r="J910">
        <v>0</v>
      </c>
      <c r="K910">
        <v>0</v>
      </c>
      <c r="L910" t="s">
        <v>3284</v>
      </c>
      <c r="M910" t="s">
        <v>3307</v>
      </c>
      <c r="N910" t="s">
        <v>3308</v>
      </c>
      <c r="O910" t="s">
        <v>3359</v>
      </c>
      <c r="P910" t="s">
        <v>5645</v>
      </c>
      <c r="Q910" t="s">
        <v>5646</v>
      </c>
      <c r="R910" t="s">
        <v>5647</v>
      </c>
    </row>
    <row r="911" spans="1:18" x14ac:dyDescent="0.2">
      <c r="A911">
        <v>2937800</v>
      </c>
      <c r="B911" t="s">
        <v>5648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1</v>
      </c>
      <c r="J911">
        <v>0</v>
      </c>
      <c r="K911">
        <v>0</v>
      </c>
      <c r="L911" t="s">
        <v>3284</v>
      </c>
      <c r="M911" t="s">
        <v>3307</v>
      </c>
      <c r="N911" t="s">
        <v>3989</v>
      </c>
      <c r="O911" t="s">
        <v>3990</v>
      </c>
      <c r="P911" t="s">
        <v>5649</v>
      </c>
      <c r="Q911" t="s">
        <v>5650</v>
      </c>
      <c r="R911" t="s">
        <v>5651</v>
      </c>
    </row>
    <row r="912" spans="1:18" x14ac:dyDescent="0.2">
      <c r="A912">
        <v>2937795</v>
      </c>
      <c r="B912" t="s">
        <v>5652</v>
      </c>
      <c r="C912">
        <v>0</v>
      </c>
      <c r="D912">
        <v>0</v>
      </c>
      <c r="E912">
        <v>0</v>
      </c>
      <c r="F912">
        <v>0</v>
      </c>
      <c r="G912">
        <v>1</v>
      </c>
      <c r="H912">
        <v>0</v>
      </c>
      <c r="I912">
        <v>0</v>
      </c>
      <c r="J912">
        <v>0</v>
      </c>
      <c r="K912">
        <v>0</v>
      </c>
      <c r="L912" t="s">
        <v>3284</v>
      </c>
      <c r="M912" t="s">
        <v>3296</v>
      </c>
      <c r="N912" t="s">
        <v>3343</v>
      </c>
      <c r="O912" t="s">
        <v>3344</v>
      </c>
      <c r="P912" t="s">
        <v>3355</v>
      </c>
      <c r="Q912" t="s">
        <v>4238</v>
      </c>
      <c r="R912" t="s">
        <v>5653</v>
      </c>
    </row>
    <row r="913" spans="1:18" x14ac:dyDescent="0.2">
      <c r="A913">
        <v>2937791</v>
      </c>
      <c r="B913" t="s">
        <v>5654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4</v>
      </c>
      <c r="J913">
        <v>1</v>
      </c>
      <c r="K913">
        <v>0</v>
      </c>
      <c r="L913" t="s">
        <v>3284</v>
      </c>
      <c r="M913" t="s">
        <v>3296</v>
      </c>
      <c r="N913" t="s">
        <v>3343</v>
      </c>
      <c r="O913" t="s">
        <v>3429</v>
      </c>
      <c r="P913" t="s">
        <v>3430</v>
      </c>
      <c r="Q913" t="s">
        <v>3651</v>
      </c>
      <c r="R913" t="s">
        <v>5655</v>
      </c>
    </row>
    <row r="914" spans="1:18" x14ac:dyDescent="0.2">
      <c r="A914">
        <v>2937787</v>
      </c>
      <c r="B914" t="s">
        <v>5656</v>
      </c>
      <c r="C914">
        <v>0</v>
      </c>
      <c r="D914">
        <v>0</v>
      </c>
      <c r="E914">
        <v>0</v>
      </c>
      <c r="F914">
        <v>0</v>
      </c>
      <c r="G914">
        <v>1</v>
      </c>
      <c r="H914">
        <v>0</v>
      </c>
      <c r="I914">
        <v>0</v>
      </c>
      <c r="J914">
        <v>0</v>
      </c>
      <c r="K914">
        <v>0</v>
      </c>
      <c r="L914" t="s">
        <v>3284</v>
      </c>
      <c r="M914" t="s">
        <v>3296</v>
      </c>
      <c r="N914" t="s">
        <v>3343</v>
      </c>
      <c r="O914" t="s">
        <v>3349</v>
      </c>
      <c r="P914" t="s">
        <v>3350</v>
      </c>
      <c r="Q914" t="s">
        <v>3580</v>
      </c>
      <c r="R914" t="s">
        <v>5657</v>
      </c>
    </row>
    <row r="915" spans="1:18" x14ac:dyDescent="0.2">
      <c r="A915">
        <v>2937523</v>
      </c>
      <c r="B915" t="s">
        <v>5658</v>
      </c>
      <c r="C915">
        <v>0</v>
      </c>
      <c r="D915">
        <v>0</v>
      </c>
      <c r="E915">
        <v>0</v>
      </c>
      <c r="F915">
        <v>0</v>
      </c>
      <c r="G915">
        <v>1</v>
      </c>
      <c r="H915">
        <v>0</v>
      </c>
      <c r="I915">
        <v>0</v>
      </c>
      <c r="J915">
        <v>0</v>
      </c>
      <c r="K915">
        <v>0</v>
      </c>
      <c r="L915" t="s">
        <v>3284</v>
      </c>
      <c r="M915" t="s">
        <v>3391</v>
      </c>
      <c r="N915" t="s">
        <v>3765</v>
      </c>
      <c r="O915" t="s">
        <v>5659</v>
      </c>
      <c r="P915" t="s">
        <v>5660</v>
      </c>
      <c r="Q915" t="s">
        <v>5661</v>
      </c>
      <c r="R915" t="s">
        <v>5662</v>
      </c>
    </row>
    <row r="916" spans="1:18" x14ac:dyDescent="0.2">
      <c r="A916">
        <v>2937442</v>
      </c>
      <c r="B916" t="s">
        <v>5663</v>
      </c>
      <c r="C916">
        <v>0</v>
      </c>
      <c r="D916">
        <v>0</v>
      </c>
      <c r="E916">
        <v>0</v>
      </c>
      <c r="F916">
        <v>3</v>
      </c>
      <c r="G916">
        <v>1</v>
      </c>
      <c r="H916">
        <v>0</v>
      </c>
      <c r="I916">
        <v>0</v>
      </c>
      <c r="J916">
        <v>0</v>
      </c>
      <c r="K916">
        <v>0</v>
      </c>
      <c r="L916" t="s">
        <v>3284</v>
      </c>
      <c r="M916" t="s">
        <v>3391</v>
      </c>
      <c r="N916" t="s">
        <v>3411</v>
      </c>
      <c r="O916" t="s">
        <v>3412</v>
      </c>
      <c r="P916" t="s">
        <v>3413</v>
      </c>
      <c r="Q916" t="s">
        <v>3414</v>
      </c>
      <c r="R916" t="s">
        <v>5664</v>
      </c>
    </row>
    <row r="917" spans="1:18" x14ac:dyDescent="0.2">
      <c r="A917">
        <v>2937441</v>
      </c>
      <c r="B917" t="s">
        <v>5665</v>
      </c>
      <c r="C917">
        <v>1</v>
      </c>
      <c r="D917">
        <v>1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 t="s">
        <v>3284</v>
      </c>
      <c r="M917" t="s">
        <v>3296</v>
      </c>
      <c r="N917" t="s">
        <v>3321</v>
      </c>
      <c r="O917" t="s">
        <v>3322</v>
      </c>
      <c r="P917" t="s">
        <v>3671</v>
      </c>
      <c r="Q917" t="s">
        <v>4354</v>
      </c>
      <c r="R917" t="s">
        <v>5666</v>
      </c>
    </row>
    <row r="918" spans="1:18" x14ac:dyDescent="0.2">
      <c r="A918">
        <v>2937370</v>
      </c>
      <c r="B918" t="s">
        <v>5667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1</v>
      </c>
      <c r="J918">
        <v>0</v>
      </c>
      <c r="K918">
        <v>0</v>
      </c>
      <c r="L918" t="s">
        <v>3284</v>
      </c>
      <c r="M918" t="s">
        <v>3327</v>
      </c>
      <c r="N918" t="s">
        <v>3376</v>
      </c>
      <c r="O918" t="s">
        <v>3377</v>
      </c>
      <c r="P918" t="s">
        <v>3378</v>
      </c>
      <c r="Q918" t="s">
        <v>3379</v>
      </c>
      <c r="R918" t="s">
        <v>5668</v>
      </c>
    </row>
    <row r="919" spans="1:18" x14ac:dyDescent="0.2">
      <c r="A919">
        <v>2936508</v>
      </c>
      <c r="B919" t="s">
        <v>5669</v>
      </c>
      <c r="C919">
        <v>1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 t="s">
        <v>3284</v>
      </c>
      <c r="M919" t="s">
        <v>3327</v>
      </c>
      <c r="N919" t="s">
        <v>3376</v>
      </c>
      <c r="O919" t="s">
        <v>3377</v>
      </c>
      <c r="P919" t="s">
        <v>3604</v>
      </c>
      <c r="Q919" t="s">
        <v>3668</v>
      </c>
      <c r="R919" t="s">
        <v>5670</v>
      </c>
    </row>
    <row r="920" spans="1:18" x14ac:dyDescent="0.2">
      <c r="A920">
        <v>2936439</v>
      </c>
      <c r="B920" t="s">
        <v>5671</v>
      </c>
      <c r="C920">
        <v>2</v>
      </c>
      <c r="D920">
        <v>1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 t="s">
        <v>3284</v>
      </c>
      <c r="M920" t="s">
        <v>3327</v>
      </c>
      <c r="N920" t="s">
        <v>3328</v>
      </c>
      <c r="O920" t="s">
        <v>4017</v>
      </c>
      <c r="P920" t="s">
        <v>4567</v>
      </c>
      <c r="Q920" t="s">
        <v>4568</v>
      </c>
      <c r="R920" t="s">
        <v>5672</v>
      </c>
    </row>
    <row r="921" spans="1:18" x14ac:dyDescent="0.2">
      <c r="A921">
        <v>2936270</v>
      </c>
      <c r="B921" t="s">
        <v>5673</v>
      </c>
      <c r="C921">
        <v>0</v>
      </c>
      <c r="D921">
        <v>0</v>
      </c>
      <c r="E921">
        <v>0</v>
      </c>
      <c r="F921">
        <v>1</v>
      </c>
      <c r="G921">
        <v>0</v>
      </c>
      <c r="H921">
        <v>0</v>
      </c>
      <c r="I921">
        <v>0</v>
      </c>
      <c r="J921">
        <v>0</v>
      </c>
      <c r="K921">
        <v>0</v>
      </c>
      <c r="L921" t="s">
        <v>3284</v>
      </c>
      <c r="M921" t="s">
        <v>3296</v>
      </c>
      <c r="N921" t="s">
        <v>3297</v>
      </c>
      <c r="O921" t="s">
        <v>3434</v>
      </c>
      <c r="P921" t="s">
        <v>3435</v>
      </c>
      <c r="Q921" t="s">
        <v>3436</v>
      </c>
      <c r="R921" t="s">
        <v>5674</v>
      </c>
    </row>
    <row r="922" spans="1:18" x14ac:dyDescent="0.2">
      <c r="A922">
        <v>2935861</v>
      </c>
      <c r="B922" t="s">
        <v>5675</v>
      </c>
      <c r="C922">
        <v>0</v>
      </c>
      <c r="D922">
        <v>0</v>
      </c>
      <c r="E922">
        <v>0</v>
      </c>
      <c r="F922">
        <v>0</v>
      </c>
      <c r="G922">
        <v>1</v>
      </c>
      <c r="H922">
        <v>0</v>
      </c>
      <c r="I922">
        <v>0</v>
      </c>
      <c r="J922">
        <v>0</v>
      </c>
      <c r="K922">
        <v>0</v>
      </c>
      <c r="L922" t="s">
        <v>3284</v>
      </c>
      <c r="M922" t="s">
        <v>3307</v>
      </c>
      <c r="N922" t="s">
        <v>3308</v>
      </c>
      <c r="O922" t="s">
        <v>3635</v>
      </c>
      <c r="P922" t="s">
        <v>4321</v>
      </c>
      <c r="Q922" t="s">
        <v>4322</v>
      </c>
      <c r="R922" t="s">
        <v>5676</v>
      </c>
    </row>
    <row r="923" spans="1:18" x14ac:dyDescent="0.2">
      <c r="A923">
        <v>2934933</v>
      </c>
      <c r="B923" t="s">
        <v>5677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1</v>
      </c>
      <c r="K923">
        <v>0</v>
      </c>
      <c r="L923" t="s">
        <v>3284</v>
      </c>
      <c r="M923" t="s">
        <v>3296</v>
      </c>
      <c r="N923" t="s">
        <v>3343</v>
      </c>
      <c r="O923" t="s">
        <v>3371</v>
      </c>
      <c r="P923" t="s">
        <v>3688</v>
      </c>
      <c r="Q923" t="s">
        <v>5678</v>
      </c>
      <c r="R923" t="s">
        <v>5679</v>
      </c>
    </row>
    <row r="924" spans="1:18" x14ac:dyDescent="0.2">
      <c r="A924">
        <v>2934315</v>
      </c>
      <c r="B924" t="s">
        <v>5680</v>
      </c>
      <c r="C924">
        <v>1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 t="s">
        <v>3284</v>
      </c>
      <c r="M924" t="s">
        <v>3327</v>
      </c>
      <c r="N924" t="s">
        <v>3328</v>
      </c>
      <c r="O924" t="s">
        <v>4017</v>
      </c>
      <c r="P924" t="s">
        <v>4018</v>
      </c>
      <c r="Q924" t="s">
        <v>5681</v>
      </c>
      <c r="R924" t="s">
        <v>5682</v>
      </c>
    </row>
    <row r="925" spans="1:18" x14ac:dyDescent="0.2">
      <c r="A925">
        <v>2933617</v>
      </c>
      <c r="B925" t="s">
        <v>5683</v>
      </c>
      <c r="C925">
        <v>0</v>
      </c>
      <c r="D925">
        <v>0</v>
      </c>
      <c r="E925">
        <v>0</v>
      </c>
      <c r="F925">
        <v>1</v>
      </c>
      <c r="G925">
        <v>0</v>
      </c>
      <c r="H925">
        <v>0</v>
      </c>
      <c r="I925">
        <v>0</v>
      </c>
      <c r="J925">
        <v>0</v>
      </c>
      <c r="K925">
        <v>0</v>
      </c>
      <c r="L925" t="s">
        <v>3284</v>
      </c>
      <c r="M925" t="s">
        <v>3296</v>
      </c>
      <c r="N925" t="s">
        <v>3343</v>
      </c>
      <c r="O925" t="s">
        <v>3349</v>
      </c>
      <c r="P925" t="s">
        <v>3350</v>
      </c>
      <c r="Q925" t="s">
        <v>4175</v>
      </c>
      <c r="R925" t="s">
        <v>5684</v>
      </c>
    </row>
    <row r="926" spans="1:18" x14ac:dyDescent="0.2">
      <c r="A926">
        <v>2932774</v>
      </c>
      <c r="B926" t="s">
        <v>5685</v>
      </c>
      <c r="C926">
        <v>0</v>
      </c>
      <c r="D926">
        <v>0</v>
      </c>
      <c r="E926">
        <v>0</v>
      </c>
      <c r="F926">
        <v>5</v>
      </c>
      <c r="G926">
        <v>3</v>
      </c>
      <c r="H926">
        <v>0</v>
      </c>
      <c r="I926">
        <v>0</v>
      </c>
      <c r="J926">
        <v>0</v>
      </c>
      <c r="K926">
        <v>0</v>
      </c>
      <c r="L926" t="s">
        <v>3284</v>
      </c>
      <c r="M926" t="s">
        <v>3391</v>
      </c>
      <c r="N926" t="s">
        <v>3392</v>
      </c>
      <c r="O926" t="s">
        <v>3393</v>
      </c>
      <c r="P926" t="s">
        <v>3394</v>
      </c>
      <c r="Q926" t="s">
        <v>4082</v>
      </c>
      <c r="R926" t="s">
        <v>5686</v>
      </c>
    </row>
    <row r="927" spans="1:18" x14ac:dyDescent="0.2">
      <c r="A927">
        <v>2932265</v>
      </c>
      <c r="B927" t="s">
        <v>5687</v>
      </c>
      <c r="C927">
        <v>0</v>
      </c>
      <c r="D927">
        <v>0</v>
      </c>
      <c r="E927">
        <v>0</v>
      </c>
      <c r="F927">
        <v>7</v>
      </c>
      <c r="G927">
        <v>0</v>
      </c>
      <c r="H927">
        <v>4</v>
      </c>
      <c r="I927">
        <v>0</v>
      </c>
      <c r="J927">
        <v>0</v>
      </c>
      <c r="K927">
        <v>0</v>
      </c>
      <c r="L927" t="s">
        <v>3284</v>
      </c>
      <c r="M927" t="s">
        <v>3296</v>
      </c>
      <c r="N927" t="s">
        <v>3343</v>
      </c>
      <c r="O927" t="s">
        <v>3344</v>
      </c>
      <c r="P927" t="s">
        <v>3355</v>
      </c>
      <c r="Q927" t="s">
        <v>3846</v>
      </c>
      <c r="R927" t="s">
        <v>5688</v>
      </c>
    </row>
    <row r="928" spans="1:18" x14ac:dyDescent="0.2">
      <c r="A928">
        <v>2932247</v>
      </c>
      <c r="B928" t="s">
        <v>5689</v>
      </c>
      <c r="C928">
        <v>0</v>
      </c>
      <c r="D928">
        <v>1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 t="s">
        <v>3284</v>
      </c>
      <c r="M928" t="s">
        <v>3307</v>
      </c>
      <c r="N928" t="s">
        <v>3308</v>
      </c>
      <c r="O928" t="s">
        <v>3359</v>
      </c>
      <c r="P928" t="s">
        <v>3360</v>
      </c>
      <c r="Q928" t="s">
        <v>5690</v>
      </c>
      <c r="R928" t="s">
        <v>5691</v>
      </c>
    </row>
    <row r="929" spans="1:18" x14ac:dyDescent="0.2">
      <c r="A929">
        <v>2932245</v>
      </c>
      <c r="B929" t="s">
        <v>5692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1</v>
      </c>
      <c r="J929">
        <v>0</v>
      </c>
      <c r="K929">
        <v>0</v>
      </c>
      <c r="L929" t="s">
        <v>3284</v>
      </c>
      <c r="M929" t="s">
        <v>3307</v>
      </c>
      <c r="N929" t="s">
        <v>3308</v>
      </c>
      <c r="O929" t="s">
        <v>3359</v>
      </c>
      <c r="P929" t="s">
        <v>3360</v>
      </c>
      <c r="Q929" t="s">
        <v>5690</v>
      </c>
      <c r="R929" t="s">
        <v>5693</v>
      </c>
    </row>
    <row r="930" spans="1:18" x14ac:dyDescent="0.2">
      <c r="A930">
        <v>2932244</v>
      </c>
      <c r="B930" t="s">
        <v>5694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1</v>
      </c>
      <c r="J930">
        <v>0</v>
      </c>
      <c r="K930">
        <v>0</v>
      </c>
      <c r="L930" t="s">
        <v>3284</v>
      </c>
      <c r="M930" t="s">
        <v>3307</v>
      </c>
      <c r="N930" t="s">
        <v>3308</v>
      </c>
      <c r="O930" t="s">
        <v>3359</v>
      </c>
      <c r="P930" t="s">
        <v>3360</v>
      </c>
      <c r="Q930" t="s">
        <v>3364</v>
      </c>
      <c r="R930" t="s">
        <v>5695</v>
      </c>
    </row>
    <row r="931" spans="1:18" x14ac:dyDescent="0.2">
      <c r="A931">
        <v>2931392</v>
      </c>
      <c r="B931" t="s">
        <v>5696</v>
      </c>
      <c r="C931">
        <v>0</v>
      </c>
      <c r="D931">
        <v>0</v>
      </c>
      <c r="E931">
        <v>0</v>
      </c>
      <c r="F931">
        <v>0</v>
      </c>
      <c r="G931">
        <v>1</v>
      </c>
      <c r="H931">
        <v>1</v>
      </c>
      <c r="I931">
        <v>0</v>
      </c>
      <c r="J931">
        <v>0</v>
      </c>
      <c r="K931">
        <v>0</v>
      </c>
      <c r="L931" t="s">
        <v>3284</v>
      </c>
      <c r="M931" t="s">
        <v>3296</v>
      </c>
      <c r="N931" t="s">
        <v>3343</v>
      </c>
      <c r="O931" t="s">
        <v>3344</v>
      </c>
      <c r="P931" t="s">
        <v>5697</v>
      </c>
      <c r="Q931" t="s">
        <v>5698</v>
      </c>
      <c r="R931" t="s">
        <v>5699</v>
      </c>
    </row>
    <row r="932" spans="1:18" x14ac:dyDescent="0.2">
      <c r="A932">
        <v>2931382</v>
      </c>
      <c r="B932" t="s">
        <v>5700</v>
      </c>
      <c r="C932">
        <v>0</v>
      </c>
      <c r="D932">
        <v>0</v>
      </c>
      <c r="E932">
        <v>0</v>
      </c>
      <c r="F932">
        <v>1</v>
      </c>
      <c r="G932">
        <v>1</v>
      </c>
      <c r="H932">
        <v>0</v>
      </c>
      <c r="I932">
        <v>0</v>
      </c>
      <c r="J932">
        <v>0</v>
      </c>
      <c r="K932">
        <v>0</v>
      </c>
      <c r="L932" t="s">
        <v>3284</v>
      </c>
      <c r="M932" t="s">
        <v>3296</v>
      </c>
      <c r="N932" t="s">
        <v>3297</v>
      </c>
      <c r="O932" t="s">
        <v>3434</v>
      </c>
      <c r="P932" t="s">
        <v>3435</v>
      </c>
      <c r="Q932" t="s">
        <v>3436</v>
      </c>
      <c r="R932" t="s">
        <v>5701</v>
      </c>
    </row>
    <row r="933" spans="1:18" x14ac:dyDescent="0.2">
      <c r="A933">
        <v>2930389</v>
      </c>
      <c r="B933" t="s">
        <v>5702</v>
      </c>
      <c r="C933">
        <v>0</v>
      </c>
      <c r="D933">
        <v>0</v>
      </c>
      <c r="E933">
        <v>0</v>
      </c>
      <c r="F933">
        <v>1</v>
      </c>
      <c r="G933">
        <v>1</v>
      </c>
      <c r="H933">
        <v>0</v>
      </c>
      <c r="I933">
        <v>0</v>
      </c>
      <c r="J933">
        <v>0</v>
      </c>
      <c r="K933">
        <v>0</v>
      </c>
      <c r="L933" t="s">
        <v>3284</v>
      </c>
      <c r="M933" t="s">
        <v>3296</v>
      </c>
      <c r="N933" t="s">
        <v>3343</v>
      </c>
      <c r="O933" t="s">
        <v>3349</v>
      </c>
      <c r="P933" t="s">
        <v>3350</v>
      </c>
      <c r="Q933" t="s">
        <v>3351</v>
      </c>
      <c r="R933" t="s">
        <v>5703</v>
      </c>
    </row>
    <row r="934" spans="1:18" x14ac:dyDescent="0.2">
      <c r="A934">
        <v>2930219</v>
      </c>
      <c r="B934" t="s">
        <v>5704</v>
      </c>
      <c r="C934">
        <v>1</v>
      </c>
      <c r="D934">
        <v>0</v>
      </c>
      <c r="E934">
        <v>1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 t="s">
        <v>3284</v>
      </c>
      <c r="M934" t="s">
        <v>3327</v>
      </c>
      <c r="N934" t="s">
        <v>3328</v>
      </c>
      <c r="O934" t="s">
        <v>3329</v>
      </c>
      <c r="P934" t="s">
        <v>3330</v>
      </c>
      <c r="Q934" t="s">
        <v>3331</v>
      </c>
      <c r="R934" t="s">
        <v>5705</v>
      </c>
    </row>
    <row r="935" spans="1:18" x14ac:dyDescent="0.2">
      <c r="A935">
        <v>2930093</v>
      </c>
      <c r="B935" t="s">
        <v>5706</v>
      </c>
      <c r="C935">
        <v>0</v>
      </c>
      <c r="D935">
        <v>0</v>
      </c>
      <c r="E935">
        <v>0</v>
      </c>
      <c r="F935">
        <v>1</v>
      </c>
      <c r="G935">
        <v>0</v>
      </c>
      <c r="H935">
        <v>0</v>
      </c>
      <c r="I935">
        <v>0</v>
      </c>
      <c r="J935">
        <v>0</v>
      </c>
      <c r="K935">
        <v>0</v>
      </c>
      <c r="L935" t="s">
        <v>3284</v>
      </c>
      <c r="M935" t="s">
        <v>3296</v>
      </c>
      <c r="N935" t="s">
        <v>3343</v>
      </c>
      <c r="O935" t="s">
        <v>3349</v>
      </c>
      <c r="P935" t="s">
        <v>3350</v>
      </c>
      <c r="Q935" t="s">
        <v>3351</v>
      </c>
      <c r="R935" t="s">
        <v>5707</v>
      </c>
    </row>
    <row r="936" spans="1:18" x14ac:dyDescent="0.2">
      <c r="A936">
        <v>2930092</v>
      </c>
      <c r="B936" t="s">
        <v>5708</v>
      </c>
      <c r="C936">
        <v>0</v>
      </c>
      <c r="D936">
        <v>0</v>
      </c>
      <c r="E936">
        <v>0</v>
      </c>
      <c r="F936">
        <v>2</v>
      </c>
      <c r="G936">
        <v>0</v>
      </c>
      <c r="H936">
        <v>0</v>
      </c>
      <c r="I936">
        <v>0</v>
      </c>
      <c r="J936">
        <v>0</v>
      </c>
      <c r="K936">
        <v>0</v>
      </c>
      <c r="L936" t="s">
        <v>3284</v>
      </c>
      <c r="M936" t="s">
        <v>3296</v>
      </c>
      <c r="N936" t="s">
        <v>3343</v>
      </c>
      <c r="O936" t="s">
        <v>3349</v>
      </c>
      <c r="P936" t="s">
        <v>3350</v>
      </c>
      <c r="Q936" t="s">
        <v>3351</v>
      </c>
      <c r="R936" t="s">
        <v>5709</v>
      </c>
    </row>
    <row r="937" spans="1:18" x14ac:dyDescent="0.2">
      <c r="A937">
        <v>2929803</v>
      </c>
      <c r="B937" t="s">
        <v>5710</v>
      </c>
      <c r="C937">
        <v>0</v>
      </c>
      <c r="D937">
        <v>0</v>
      </c>
      <c r="E937">
        <v>0</v>
      </c>
      <c r="F937">
        <v>1</v>
      </c>
      <c r="G937">
        <v>1</v>
      </c>
      <c r="H937">
        <v>0</v>
      </c>
      <c r="I937">
        <v>0</v>
      </c>
      <c r="J937">
        <v>0</v>
      </c>
      <c r="K937">
        <v>0</v>
      </c>
      <c r="L937" t="s">
        <v>3284</v>
      </c>
      <c r="M937" t="s">
        <v>3391</v>
      </c>
      <c r="N937" t="s">
        <v>3392</v>
      </c>
      <c r="O937" t="s">
        <v>3393</v>
      </c>
      <c r="P937" t="s">
        <v>3394</v>
      </c>
      <c r="Q937" t="s">
        <v>4082</v>
      </c>
      <c r="R937" t="s">
        <v>5711</v>
      </c>
    </row>
    <row r="938" spans="1:18" x14ac:dyDescent="0.2">
      <c r="A938">
        <v>2929802</v>
      </c>
      <c r="B938" t="s">
        <v>5712</v>
      </c>
      <c r="C938">
        <v>0</v>
      </c>
      <c r="D938">
        <v>0</v>
      </c>
      <c r="E938">
        <v>0</v>
      </c>
      <c r="F938">
        <v>1</v>
      </c>
      <c r="G938">
        <v>0</v>
      </c>
      <c r="H938">
        <v>0</v>
      </c>
      <c r="I938">
        <v>1</v>
      </c>
      <c r="J938">
        <v>1</v>
      </c>
      <c r="K938">
        <v>0</v>
      </c>
      <c r="L938" t="s">
        <v>3284</v>
      </c>
      <c r="M938" t="s">
        <v>3307</v>
      </c>
      <c r="N938" t="s">
        <v>3308</v>
      </c>
      <c r="O938" t="s">
        <v>3359</v>
      </c>
      <c r="P938" t="s">
        <v>3360</v>
      </c>
      <c r="Q938" t="s">
        <v>3364</v>
      </c>
      <c r="R938" t="s">
        <v>5713</v>
      </c>
    </row>
    <row r="939" spans="1:18" x14ac:dyDescent="0.2">
      <c r="A939">
        <v>2928154</v>
      </c>
      <c r="B939" t="s">
        <v>5714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1</v>
      </c>
      <c r="K939">
        <v>0</v>
      </c>
      <c r="L939" t="s">
        <v>3284</v>
      </c>
      <c r="M939" t="s">
        <v>3327</v>
      </c>
      <c r="N939" t="s">
        <v>3376</v>
      </c>
      <c r="O939" t="s">
        <v>3377</v>
      </c>
      <c r="P939" t="s">
        <v>3378</v>
      </c>
      <c r="Q939" t="s">
        <v>3379</v>
      </c>
      <c r="R939" t="s">
        <v>5715</v>
      </c>
    </row>
    <row r="940" spans="1:18" x14ac:dyDescent="0.2">
      <c r="A940">
        <v>2927824</v>
      </c>
      <c r="B940" t="s">
        <v>5716</v>
      </c>
      <c r="C940">
        <v>1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 t="s">
        <v>3284</v>
      </c>
      <c r="M940" t="s">
        <v>3296</v>
      </c>
      <c r="N940" t="s">
        <v>3321</v>
      </c>
      <c r="O940" t="s">
        <v>3322</v>
      </c>
      <c r="P940" t="s">
        <v>3671</v>
      </c>
      <c r="Q940" t="s">
        <v>3672</v>
      </c>
      <c r="R940" t="s">
        <v>5717</v>
      </c>
    </row>
    <row r="941" spans="1:18" x14ac:dyDescent="0.2">
      <c r="A941">
        <v>2927804</v>
      </c>
      <c r="B941" t="s">
        <v>5718</v>
      </c>
      <c r="C941">
        <v>0</v>
      </c>
      <c r="D941">
        <v>0</v>
      </c>
      <c r="E941">
        <v>0</v>
      </c>
      <c r="F941">
        <v>1</v>
      </c>
      <c r="G941">
        <v>0</v>
      </c>
      <c r="H941">
        <v>0</v>
      </c>
      <c r="I941">
        <v>0</v>
      </c>
      <c r="J941">
        <v>0</v>
      </c>
      <c r="K941">
        <v>0</v>
      </c>
      <c r="L941" t="s">
        <v>3284</v>
      </c>
      <c r="M941" t="s">
        <v>3296</v>
      </c>
      <c r="N941" t="s">
        <v>3297</v>
      </c>
      <c r="O941" t="s">
        <v>4500</v>
      </c>
      <c r="P941" t="s">
        <v>5719</v>
      </c>
      <c r="Q941" t="s">
        <v>5720</v>
      </c>
      <c r="R941" t="s">
        <v>5721</v>
      </c>
    </row>
    <row r="942" spans="1:18" x14ac:dyDescent="0.2">
      <c r="A942">
        <v>2927786</v>
      </c>
      <c r="B942" t="s">
        <v>5722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1</v>
      </c>
      <c r="I942">
        <v>0</v>
      </c>
      <c r="J942">
        <v>0</v>
      </c>
      <c r="K942">
        <v>0</v>
      </c>
      <c r="L942" t="s">
        <v>3284</v>
      </c>
      <c r="M942" t="s">
        <v>3296</v>
      </c>
      <c r="N942" t="s">
        <v>3343</v>
      </c>
      <c r="O942" t="s">
        <v>3344</v>
      </c>
      <c r="P942" t="s">
        <v>3355</v>
      </c>
      <c r="Q942" t="s">
        <v>5723</v>
      </c>
      <c r="R942" t="s">
        <v>5724</v>
      </c>
    </row>
    <row r="943" spans="1:18" x14ac:dyDescent="0.2">
      <c r="A943">
        <v>2926910</v>
      </c>
      <c r="B943" t="s">
        <v>5725</v>
      </c>
      <c r="C943">
        <v>1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 t="s">
        <v>3284</v>
      </c>
      <c r="M943" t="s">
        <v>3391</v>
      </c>
      <c r="N943" t="s">
        <v>3411</v>
      </c>
      <c r="O943" t="s">
        <v>3412</v>
      </c>
      <c r="P943" t="s">
        <v>3564</v>
      </c>
      <c r="Q943" t="s">
        <v>3803</v>
      </c>
      <c r="R943" t="s">
        <v>5726</v>
      </c>
    </row>
    <row r="944" spans="1:18" x14ac:dyDescent="0.2">
      <c r="A944">
        <v>2926709</v>
      </c>
      <c r="B944" t="s">
        <v>5727</v>
      </c>
      <c r="C944">
        <v>0</v>
      </c>
      <c r="D944">
        <v>0</v>
      </c>
      <c r="E944">
        <v>0</v>
      </c>
      <c r="F944">
        <v>1</v>
      </c>
      <c r="G944">
        <v>0</v>
      </c>
      <c r="H944">
        <v>0</v>
      </c>
      <c r="I944">
        <v>0</v>
      </c>
      <c r="J944">
        <v>0</v>
      </c>
      <c r="K944">
        <v>0</v>
      </c>
      <c r="L944" t="s">
        <v>3284</v>
      </c>
      <c r="M944" t="s">
        <v>3296</v>
      </c>
      <c r="N944" t="s">
        <v>3343</v>
      </c>
      <c r="O944" t="s">
        <v>3344</v>
      </c>
      <c r="P944" t="s">
        <v>3355</v>
      </c>
      <c r="Q944" t="s">
        <v>5728</v>
      </c>
      <c r="R944" t="s">
        <v>5729</v>
      </c>
    </row>
    <row r="945" spans="1:18" x14ac:dyDescent="0.2">
      <c r="A945">
        <v>2926245</v>
      </c>
      <c r="B945" t="s">
        <v>5730</v>
      </c>
      <c r="C945">
        <v>0</v>
      </c>
      <c r="D945">
        <v>0</v>
      </c>
      <c r="E945">
        <v>0</v>
      </c>
      <c r="F945">
        <v>0</v>
      </c>
      <c r="G945">
        <v>1</v>
      </c>
      <c r="H945">
        <v>0</v>
      </c>
      <c r="I945">
        <v>0</v>
      </c>
      <c r="J945">
        <v>0</v>
      </c>
      <c r="K945">
        <v>0</v>
      </c>
      <c r="L945" t="s">
        <v>3284</v>
      </c>
      <c r="M945" t="s">
        <v>3307</v>
      </c>
      <c r="N945" t="s">
        <v>3308</v>
      </c>
      <c r="O945" t="s">
        <v>3359</v>
      </c>
      <c r="P945" t="s">
        <v>3407</v>
      </c>
      <c r="Q945" t="s">
        <v>3624</v>
      </c>
      <c r="R945" t="s">
        <v>5731</v>
      </c>
    </row>
    <row r="946" spans="1:18" x14ac:dyDescent="0.2">
      <c r="A946">
        <v>2926029</v>
      </c>
      <c r="B946" t="s">
        <v>5732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1</v>
      </c>
      <c r="I946">
        <v>0</v>
      </c>
      <c r="J946">
        <v>0</v>
      </c>
      <c r="K946">
        <v>0</v>
      </c>
      <c r="L946" t="s">
        <v>3284</v>
      </c>
      <c r="M946" t="s">
        <v>3296</v>
      </c>
      <c r="N946" t="s">
        <v>3297</v>
      </c>
      <c r="O946" t="s">
        <v>3469</v>
      </c>
      <c r="P946" t="s">
        <v>3470</v>
      </c>
      <c r="Q946" t="s">
        <v>3471</v>
      </c>
      <c r="R946" t="s">
        <v>5733</v>
      </c>
    </row>
    <row r="947" spans="1:18" x14ac:dyDescent="0.2">
      <c r="A947">
        <v>2926010</v>
      </c>
      <c r="B947" t="s">
        <v>5734</v>
      </c>
      <c r="C947">
        <v>0</v>
      </c>
      <c r="D947">
        <v>0</v>
      </c>
      <c r="E947">
        <v>0</v>
      </c>
      <c r="F947">
        <v>1</v>
      </c>
      <c r="G947">
        <v>0</v>
      </c>
      <c r="H947">
        <v>0</v>
      </c>
      <c r="I947">
        <v>0</v>
      </c>
      <c r="J947">
        <v>0</v>
      </c>
      <c r="K947">
        <v>0</v>
      </c>
      <c r="L947" t="s">
        <v>3284</v>
      </c>
      <c r="M947" t="s">
        <v>3296</v>
      </c>
      <c r="N947" t="s">
        <v>3343</v>
      </c>
      <c r="O947" t="s">
        <v>3344</v>
      </c>
      <c r="P947" t="s">
        <v>3937</v>
      </c>
      <c r="Q947" t="s">
        <v>3938</v>
      </c>
      <c r="R947" t="s">
        <v>5735</v>
      </c>
    </row>
    <row r="948" spans="1:18" x14ac:dyDescent="0.2">
      <c r="A948">
        <v>2923278</v>
      </c>
      <c r="B948" t="s">
        <v>5736</v>
      </c>
      <c r="C948">
        <v>0</v>
      </c>
      <c r="D948">
        <v>0</v>
      </c>
      <c r="E948">
        <v>0</v>
      </c>
      <c r="F948">
        <v>1</v>
      </c>
      <c r="G948">
        <v>1</v>
      </c>
      <c r="H948">
        <v>1</v>
      </c>
      <c r="I948">
        <v>0</v>
      </c>
      <c r="J948">
        <v>0</v>
      </c>
      <c r="K948">
        <v>0</v>
      </c>
      <c r="L948" t="s">
        <v>3284</v>
      </c>
      <c r="M948" t="s">
        <v>3296</v>
      </c>
      <c r="N948" t="s">
        <v>3321</v>
      </c>
      <c r="O948" t="s">
        <v>3322</v>
      </c>
      <c r="P948" t="s">
        <v>3398</v>
      </c>
      <c r="Q948" t="s">
        <v>3399</v>
      </c>
      <c r="R948" t="s">
        <v>5737</v>
      </c>
    </row>
    <row r="949" spans="1:18" x14ac:dyDescent="0.2">
      <c r="A949">
        <v>2923277</v>
      </c>
      <c r="B949" t="s">
        <v>5738</v>
      </c>
      <c r="C949">
        <v>0</v>
      </c>
      <c r="D949">
        <v>0</v>
      </c>
      <c r="E949">
        <v>0</v>
      </c>
      <c r="F949">
        <v>0</v>
      </c>
      <c r="G949">
        <v>1</v>
      </c>
      <c r="H949">
        <v>0</v>
      </c>
      <c r="I949">
        <v>1</v>
      </c>
      <c r="J949">
        <v>0</v>
      </c>
      <c r="K949">
        <v>0</v>
      </c>
      <c r="L949" t="s">
        <v>3284</v>
      </c>
      <c r="M949" t="s">
        <v>3391</v>
      </c>
      <c r="N949" t="s">
        <v>3392</v>
      </c>
      <c r="O949" t="s">
        <v>3393</v>
      </c>
      <c r="P949" t="s">
        <v>3394</v>
      </c>
      <c r="Q949" t="s">
        <v>3395</v>
      </c>
      <c r="R949" t="s">
        <v>5739</v>
      </c>
    </row>
    <row r="950" spans="1:18" x14ac:dyDescent="0.2">
      <c r="A950">
        <v>2921732</v>
      </c>
      <c r="B950" t="s">
        <v>5740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1</v>
      </c>
      <c r="J950">
        <v>0</v>
      </c>
      <c r="K950">
        <v>0</v>
      </c>
      <c r="L950" t="s">
        <v>3284</v>
      </c>
      <c r="M950" t="s">
        <v>3307</v>
      </c>
      <c r="N950" t="s">
        <v>3308</v>
      </c>
      <c r="O950" t="s">
        <v>3359</v>
      </c>
      <c r="P950" t="s">
        <v>3360</v>
      </c>
      <c r="Q950" t="s">
        <v>3361</v>
      </c>
      <c r="R950" t="s">
        <v>5741</v>
      </c>
    </row>
    <row r="951" spans="1:18" x14ac:dyDescent="0.2">
      <c r="A951">
        <v>2921692</v>
      </c>
      <c r="B951" t="s">
        <v>5742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1</v>
      </c>
      <c r="K951">
        <v>0</v>
      </c>
      <c r="L951" t="s">
        <v>3284</v>
      </c>
      <c r="M951" t="s">
        <v>3327</v>
      </c>
      <c r="N951" t="s">
        <v>3376</v>
      </c>
      <c r="O951" t="s">
        <v>3377</v>
      </c>
      <c r="P951" t="s">
        <v>3378</v>
      </c>
      <c r="Q951" t="s">
        <v>3379</v>
      </c>
      <c r="R951" t="s">
        <v>5743</v>
      </c>
    </row>
    <row r="952" spans="1:18" x14ac:dyDescent="0.2">
      <c r="A952">
        <v>2921678</v>
      </c>
      <c r="B952" t="s">
        <v>5744</v>
      </c>
      <c r="C952">
        <v>1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 t="s">
        <v>3284</v>
      </c>
      <c r="M952" t="s">
        <v>3327</v>
      </c>
      <c r="N952" t="s">
        <v>3376</v>
      </c>
      <c r="O952" t="s">
        <v>3377</v>
      </c>
      <c r="P952" t="s">
        <v>3378</v>
      </c>
      <c r="Q952" t="s">
        <v>5638</v>
      </c>
      <c r="R952" t="s">
        <v>5745</v>
      </c>
    </row>
    <row r="953" spans="1:18" x14ac:dyDescent="0.2">
      <c r="A953">
        <v>2921585</v>
      </c>
      <c r="B953" t="s">
        <v>5746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1</v>
      </c>
      <c r="K953">
        <v>1</v>
      </c>
      <c r="L953" t="s">
        <v>3284</v>
      </c>
      <c r="M953" t="s">
        <v>3327</v>
      </c>
      <c r="N953" t="s">
        <v>3376</v>
      </c>
      <c r="O953" t="s">
        <v>3377</v>
      </c>
      <c r="P953" t="s">
        <v>3378</v>
      </c>
      <c r="Q953" t="s">
        <v>3379</v>
      </c>
      <c r="R953" t="s">
        <v>5747</v>
      </c>
    </row>
    <row r="954" spans="1:18" x14ac:dyDescent="0.2">
      <c r="A954">
        <v>2921538</v>
      </c>
      <c r="B954" t="s">
        <v>5748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1</v>
      </c>
      <c r="L954" t="s">
        <v>3284</v>
      </c>
      <c r="M954" t="s">
        <v>3327</v>
      </c>
      <c r="N954" t="s">
        <v>3376</v>
      </c>
      <c r="O954" t="s">
        <v>3377</v>
      </c>
      <c r="P954" t="s">
        <v>3378</v>
      </c>
      <c r="Q954" t="s">
        <v>3379</v>
      </c>
      <c r="R954" t="s">
        <v>5749</v>
      </c>
    </row>
    <row r="955" spans="1:18" x14ac:dyDescent="0.2">
      <c r="A955">
        <v>2921525</v>
      </c>
      <c r="B955" t="s">
        <v>5750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1</v>
      </c>
      <c r="J955">
        <v>1</v>
      </c>
      <c r="K955">
        <v>0</v>
      </c>
      <c r="L955" t="s">
        <v>3284</v>
      </c>
      <c r="M955" t="s">
        <v>3327</v>
      </c>
      <c r="N955" t="s">
        <v>3376</v>
      </c>
      <c r="O955" t="s">
        <v>3377</v>
      </c>
      <c r="P955" t="s">
        <v>3378</v>
      </c>
      <c r="Q955" t="s">
        <v>3379</v>
      </c>
      <c r="R955" t="s">
        <v>5751</v>
      </c>
    </row>
    <row r="956" spans="1:18" x14ac:dyDescent="0.2">
      <c r="A956">
        <v>2921516</v>
      </c>
      <c r="B956" t="s">
        <v>5752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1</v>
      </c>
      <c r="J956">
        <v>0</v>
      </c>
      <c r="K956">
        <v>0</v>
      </c>
      <c r="L956" t="s">
        <v>3284</v>
      </c>
      <c r="M956" t="s">
        <v>3327</v>
      </c>
      <c r="N956" t="s">
        <v>3376</v>
      </c>
      <c r="O956" t="s">
        <v>3377</v>
      </c>
      <c r="P956" t="s">
        <v>3378</v>
      </c>
      <c r="Q956" t="s">
        <v>3379</v>
      </c>
      <c r="R956" t="s">
        <v>5753</v>
      </c>
    </row>
    <row r="957" spans="1:18" x14ac:dyDescent="0.2">
      <c r="A957">
        <v>2921515</v>
      </c>
      <c r="B957" t="s">
        <v>5754</v>
      </c>
      <c r="C957">
        <v>0</v>
      </c>
      <c r="D957">
        <v>2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 t="s">
        <v>3284</v>
      </c>
      <c r="M957" t="s">
        <v>3327</v>
      </c>
      <c r="N957" t="s">
        <v>3376</v>
      </c>
      <c r="O957" t="s">
        <v>3377</v>
      </c>
      <c r="P957" t="s">
        <v>3378</v>
      </c>
      <c r="Q957" t="s">
        <v>5755</v>
      </c>
      <c r="R957" t="s">
        <v>5756</v>
      </c>
    </row>
    <row r="958" spans="1:18" x14ac:dyDescent="0.2">
      <c r="A958">
        <v>2921495</v>
      </c>
      <c r="B958" t="s">
        <v>5757</v>
      </c>
      <c r="C958">
        <v>1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 t="s">
        <v>3284</v>
      </c>
      <c r="M958" t="s">
        <v>3327</v>
      </c>
      <c r="N958" t="s">
        <v>3376</v>
      </c>
      <c r="O958" t="s">
        <v>3377</v>
      </c>
      <c r="P958" t="s">
        <v>3604</v>
      </c>
      <c r="Q958" t="s">
        <v>3668</v>
      </c>
      <c r="R958" t="s">
        <v>5758</v>
      </c>
    </row>
    <row r="959" spans="1:18" x14ac:dyDescent="0.2">
      <c r="A959">
        <v>2921363</v>
      </c>
      <c r="B959" t="s">
        <v>5759</v>
      </c>
      <c r="C959">
        <v>1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 t="s">
        <v>3284</v>
      </c>
      <c r="M959" t="s">
        <v>3327</v>
      </c>
      <c r="N959" t="s">
        <v>3376</v>
      </c>
      <c r="O959" t="s">
        <v>3377</v>
      </c>
      <c r="P959" t="s">
        <v>3378</v>
      </c>
      <c r="Q959" t="s">
        <v>3379</v>
      </c>
      <c r="R959" t="s">
        <v>5760</v>
      </c>
    </row>
    <row r="960" spans="1:18" x14ac:dyDescent="0.2">
      <c r="A960">
        <v>2921361</v>
      </c>
      <c r="B960" t="s">
        <v>5761</v>
      </c>
      <c r="C960">
        <v>0</v>
      </c>
      <c r="D960">
        <v>0</v>
      </c>
      <c r="E960">
        <v>0</v>
      </c>
      <c r="F960">
        <v>1</v>
      </c>
      <c r="G960">
        <v>0</v>
      </c>
      <c r="H960">
        <v>0</v>
      </c>
      <c r="I960">
        <v>0</v>
      </c>
      <c r="J960">
        <v>0</v>
      </c>
      <c r="K960">
        <v>0</v>
      </c>
      <c r="L960" t="s">
        <v>3284</v>
      </c>
      <c r="M960" t="s">
        <v>3327</v>
      </c>
      <c r="N960" t="s">
        <v>3376</v>
      </c>
      <c r="O960" t="s">
        <v>3377</v>
      </c>
      <c r="P960" t="s">
        <v>3604</v>
      </c>
      <c r="Q960" t="s">
        <v>3668</v>
      </c>
      <c r="R960" t="s">
        <v>5762</v>
      </c>
    </row>
    <row r="961" spans="1:18" x14ac:dyDescent="0.2">
      <c r="A961">
        <v>2920939</v>
      </c>
      <c r="B961" t="s">
        <v>5763</v>
      </c>
      <c r="C961">
        <v>0</v>
      </c>
      <c r="D961">
        <v>0</v>
      </c>
      <c r="E961">
        <v>0</v>
      </c>
      <c r="F961">
        <v>1</v>
      </c>
      <c r="G961">
        <v>0</v>
      </c>
      <c r="H961">
        <v>0</v>
      </c>
      <c r="I961">
        <v>0</v>
      </c>
      <c r="J961">
        <v>0</v>
      </c>
      <c r="K961">
        <v>0</v>
      </c>
      <c r="L961" t="s">
        <v>3284</v>
      </c>
      <c r="M961" t="s">
        <v>3391</v>
      </c>
      <c r="N961" t="s">
        <v>3411</v>
      </c>
      <c r="O961" t="s">
        <v>3412</v>
      </c>
      <c r="P961" t="s">
        <v>3564</v>
      </c>
      <c r="Q961" t="s">
        <v>3803</v>
      </c>
      <c r="R961" t="s">
        <v>5764</v>
      </c>
    </row>
    <row r="962" spans="1:18" x14ac:dyDescent="0.2">
      <c r="A962">
        <v>2920880</v>
      </c>
      <c r="B962" t="s">
        <v>5765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1</v>
      </c>
      <c r="J962">
        <v>0</v>
      </c>
      <c r="K962">
        <v>0</v>
      </c>
      <c r="L962" t="s">
        <v>3284</v>
      </c>
      <c r="M962" t="s">
        <v>3296</v>
      </c>
      <c r="N962" t="s">
        <v>3321</v>
      </c>
      <c r="O962" t="s">
        <v>3322</v>
      </c>
      <c r="P962" t="s">
        <v>3398</v>
      </c>
      <c r="Q962" t="s">
        <v>3556</v>
      </c>
      <c r="R962" t="s">
        <v>5766</v>
      </c>
    </row>
    <row r="963" spans="1:18" x14ac:dyDescent="0.2">
      <c r="A963">
        <v>2920352</v>
      </c>
      <c r="B963" t="s">
        <v>5767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1</v>
      </c>
      <c r="J963">
        <v>0</v>
      </c>
      <c r="K963">
        <v>0</v>
      </c>
      <c r="L963" t="s">
        <v>3284</v>
      </c>
      <c r="M963" t="s">
        <v>3327</v>
      </c>
      <c r="N963" t="s">
        <v>3376</v>
      </c>
      <c r="O963" t="s">
        <v>3377</v>
      </c>
      <c r="P963" t="s">
        <v>3378</v>
      </c>
      <c r="Q963" t="s">
        <v>3379</v>
      </c>
      <c r="R963" t="s">
        <v>5768</v>
      </c>
    </row>
    <row r="964" spans="1:18" x14ac:dyDescent="0.2">
      <c r="A964">
        <v>2920350</v>
      </c>
      <c r="B964" t="s">
        <v>5769</v>
      </c>
      <c r="C964">
        <v>1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 t="s">
        <v>3284</v>
      </c>
      <c r="M964" t="s">
        <v>3327</v>
      </c>
      <c r="N964" t="s">
        <v>3376</v>
      </c>
      <c r="O964" t="s">
        <v>3377</v>
      </c>
      <c r="P964" t="s">
        <v>3378</v>
      </c>
      <c r="Q964" t="s">
        <v>3379</v>
      </c>
      <c r="R964" t="s">
        <v>5770</v>
      </c>
    </row>
    <row r="965" spans="1:18" x14ac:dyDescent="0.2">
      <c r="A965">
        <v>2920333</v>
      </c>
      <c r="B965" t="s">
        <v>5771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1</v>
      </c>
      <c r="L965" t="s">
        <v>3284</v>
      </c>
      <c r="M965" t="s">
        <v>3327</v>
      </c>
      <c r="N965" t="s">
        <v>3376</v>
      </c>
      <c r="O965" t="s">
        <v>3377</v>
      </c>
      <c r="P965" t="s">
        <v>3378</v>
      </c>
      <c r="Q965" t="s">
        <v>3379</v>
      </c>
      <c r="R965" t="s">
        <v>5772</v>
      </c>
    </row>
    <row r="966" spans="1:18" x14ac:dyDescent="0.2">
      <c r="A966">
        <v>2920331</v>
      </c>
      <c r="B966" t="s">
        <v>5773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1</v>
      </c>
      <c r="J966">
        <v>0</v>
      </c>
      <c r="K966">
        <v>0</v>
      </c>
      <c r="L966" t="s">
        <v>3284</v>
      </c>
      <c r="M966" t="s">
        <v>3327</v>
      </c>
      <c r="N966" t="s">
        <v>3376</v>
      </c>
      <c r="O966" t="s">
        <v>3377</v>
      </c>
      <c r="P966" t="s">
        <v>3378</v>
      </c>
      <c r="Q966" t="s">
        <v>3379</v>
      </c>
      <c r="R966" t="s">
        <v>5774</v>
      </c>
    </row>
    <row r="967" spans="1:18" x14ac:dyDescent="0.2">
      <c r="A967">
        <v>2920327</v>
      </c>
      <c r="B967" t="s">
        <v>5775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1</v>
      </c>
      <c r="J967">
        <v>3</v>
      </c>
      <c r="K967">
        <v>6</v>
      </c>
      <c r="L967" t="s">
        <v>3284</v>
      </c>
      <c r="M967" t="s">
        <v>3327</v>
      </c>
      <c r="N967" t="s">
        <v>3376</v>
      </c>
      <c r="O967" t="s">
        <v>3377</v>
      </c>
      <c r="P967" t="s">
        <v>3378</v>
      </c>
      <c r="Q967" t="s">
        <v>3379</v>
      </c>
      <c r="R967" t="s">
        <v>5776</v>
      </c>
    </row>
    <row r="968" spans="1:18" x14ac:dyDescent="0.2">
      <c r="A968">
        <v>2920318</v>
      </c>
      <c r="B968" t="s">
        <v>5777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1</v>
      </c>
      <c r="J968">
        <v>0</v>
      </c>
      <c r="K968">
        <v>0</v>
      </c>
      <c r="L968" t="s">
        <v>3284</v>
      </c>
      <c r="M968" t="s">
        <v>3327</v>
      </c>
      <c r="N968" t="s">
        <v>3376</v>
      </c>
      <c r="O968" t="s">
        <v>3377</v>
      </c>
      <c r="P968" t="s">
        <v>3378</v>
      </c>
      <c r="Q968" t="s">
        <v>3379</v>
      </c>
      <c r="R968" t="s">
        <v>5778</v>
      </c>
    </row>
    <row r="969" spans="1:18" x14ac:dyDescent="0.2">
      <c r="A969">
        <v>2920313</v>
      </c>
      <c r="B969" t="s">
        <v>5779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1</v>
      </c>
      <c r="L969" t="s">
        <v>3284</v>
      </c>
      <c r="M969" t="s">
        <v>3327</v>
      </c>
      <c r="N969" t="s">
        <v>3376</v>
      </c>
      <c r="O969" t="s">
        <v>3377</v>
      </c>
      <c r="P969" t="s">
        <v>3378</v>
      </c>
      <c r="Q969" t="s">
        <v>3379</v>
      </c>
      <c r="R969" t="s">
        <v>5780</v>
      </c>
    </row>
    <row r="970" spans="1:18" x14ac:dyDescent="0.2">
      <c r="A970">
        <v>2920306</v>
      </c>
      <c r="B970" t="s">
        <v>5781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1</v>
      </c>
      <c r="J970">
        <v>0</v>
      </c>
      <c r="K970">
        <v>0</v>
      </c>
      <c r="L970" t="s">
        <v>3284</v>
      </c>
      <c r="M970" t="s">
        <v>3327</v>
      </c>
      <c r="N970" t="s">
        <v>3376</v>
      </c>
      <c r="O970" t="s">
        <v>3377</v>
      </c>
      <c r="P970" t="s">
        <v>3378</v>
      </c>
      <c r="Q970" t="s">
        <v>3379</v>
      </c>
      <c r="R970" t="s">
        <v>5782</v>
      </c>
    </row>
    <row r="971" spans="1:18" x14ac:dyDescent="0.2">
      <c r="A971">
        <v>2920287</v>
      </c>
      <c r="B971" t="s">
        <v>5783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1</v>
      </c>
      <c r="K971">
        <v>0</v>
      </c>
      <c r="L971" t="s">
        <v>3284</v>
      </c>
      <c r="M971" t="s">
        <v>3327</v>
      </c>
      <c r="N971" t="s">
        <v>3376</v>
      </c>
      <c r="O971" t="s">
        <v>3377</v>
      </c>
      <c r="P971" t="s">
        <v>3378</v>
      </c>
      <c r="Q971" t="s">
        <v>3379</v>
      </c>
      <c r="R971" t="s">
        <v>5784</v>
      </c>
    </row>
    <row r="972" spans="1:18" x14ac:dyDescent="0.2">
      <c r="A972">
        <v>2919948</v>
      </c>
      <c r="B972" t="s">
        <v>5785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1</v>
      </c>
      <c r="J972">
        <v>0</v>
      </c>
      <c r="K972">
        <v>0</v>
      </c>
      <c r="L972" t="s">
        <v>3284</v>
      </c>
      <c r="M972" t="s">
        <v>3307</v>
      </c>
      <c r="N972" t="s">
        <v>3308</v>
      </c>
      <c r="O972" t="s">
        <v>3359</v>
      </c>
      <c r="P972" t="s">
        <v>3360</v>
      </c>
      <c r="Q972" t="s">
        <v>3361</v>
      </c>
      <c r="R972" t="s">
        <v>5786</v>
      </c>
    </row>
    <row r="973" spans="1:18" x14ac:dyDescent="0.2">
      <c r="A973">
        <v>2919946</v>
      </c>
      <c r="B973" t="s">
        <v>5787</v>
      </c>
      <c r="C973">
        <v>0</v>
      </c>
      <c r="D973">
        <v>0</v>
      </c>
      <c r="E973">
        <v>0</v>
      </c>
      <c r="F973">
        <v>0</v>
      </c>
      <c r="G973">
        <v>1</v>
      </c>
      <c r="H973">
        <v>0</v>
      </c>
      <c r="I973">
        <v>0</v>
      </c>
      <c r="J973">
        <v>0</v>
      </c>
      <c r="K973">
        <v>0</v>
      </c>
      <c r="L973" t="s">
        <v>3284</v>
      </c>
      <c r="M973" t="s">
        <v>3307</v>
      </c>
      <c r="N973" t="s">
        <v>3308</v>
      </c>
      <c r="O973" t="s">
        <v>3359</v>
      </c>
      <c r="P973" t="s">
        <v>3360</v>
      </c>
      <c r="Q973" t="s">
        <v>5788</v>
      </c>
      <c r="R973" t="s">
        <v>5789</v>
      </c>
    </row>
    <row r="974" spans="1:18" x14ac:dyDescent="0.2">
      <c r="A974">
        <v>2919927</v>
      </c>
      <c r="B974" t="s">
        <v>5790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1</v>
      </c>
      <c r="J974">
        <v>0</v>
      </c>
      <c r="K974">
        <v>0</v>
      </c>
      <c r="L974" t="s">
        <v>3284</v>
      </c>
      <c r="M974" t="s">
        <v>3307</v>
      </c>
      <c r="N974" t="s">
        <v>3308</v>
      </c>
      <c r="O974" t="s">
        <v>3359</v>
      </c>
      <c r="P974" t="s">
        <v>3360</v>
      </c>
      <c r="Q974" t="s">
        <v>4006</v>
      </c>
      <c r="R974" t="s">
        <v>5791</v>
      </c>
    </row>
    <row r="975" spans="1:18" x14ac:dyDescent="0.2">
      <c r="A975">
        <v>2919915</v>
      </c>
      <c r="B975" t="s">
        <v>5792</v>
      </c>
      <c r="C975">
        <v>1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 t="s">
        <v>3284</v>
      </c>
      <c r="M975" t="s">
        <v>3391</v>
      </c>
      <c r="N975" t="s">
        <v>3411</v>
      </c>
      <c r="O975" t="s">
        <v>3412</v>
      </c>
      <c r="P975" t="s">
        <v>3564</v>
      </c>
      <c r="Q975" t="s">
        <v>3803</v>
      </c>
      <c r="R975" t="s">
        <v>5793</v>
      </c>
    </row>
    <row r="976" spans="1:18" x14ac:dyDescent="0.2">
      <c r="A976">
        <v>2919579</v>
      </c>
      <c r="B976" t="s">
        <v>5794</v>
      </c>
      <c r="C976">
        <v>0</v>
      </c>
      <c r="D976">
        <v>0</v>
      </c>
      <c r="E976">
        <v>0</v>
      </c>
      <c r="F976">
        <v>1</v>
      </c>
      <c r="G976">
        <v>0</v>
      </c>
      <c r="H976">
        <v>0</v>
      </c>
      <c r="I976">
        <v>0</v>
      </c>
      <c r="J976">
        <v>0</v>
      </c>
      <c r="K976">
        <v>0</v>
      </c>
      <c r="L976" t="s">
        <v>3284</v>
      </c>
      <c r="M976" t="s">
        <v>3307</v>
      </c>
      <c r="N976" t="s">
        <v>3308</v>
      </c>
      <c r="O976" t="s">
        <v>3309</v>
      </c>
      <c r="P976" t="s">
        <v>3310</v>
      </c>
      <c r="Q976" t="s">
        <v>3311</v>
      </c>
      <c r="R976" t="s">
        <v>5795</v>
      </c>
    </row>
    <row r="977" spans="1:18" x14ac:dyDescent="0.2">
      <c r="A977">
        <v>2919578</v>
      </c>
      <c r="B977" t="s">
        <v>5796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4</v>
      </c>
      <c r="J977">
        <v>0</v>
      </c>
      <c r="K977">
        <v>0</v>
      </c>
      <c r="L977" t="s">
        <v>3284</v>
      </c>
      <c r="M977" t="s">
        <v>3296</v>
      </c>
      <c r="N977" t="s">
        <v>3321</v>
      </c>
      <c r="O977" t="s">
        <v>3322</v>
      </c>
      <c r="P977" t="s">
        <v>3323</v>
      </c>
      <c r="Q977" t="s">
        <v>3324</v>
      </c>
      <c r="R977" t="s">
        <v>5797</v>
      </c>
    </row>
    <row r="978" spans="1:18" x14ac:dyDescent="0.2">
      <c r="A978">
        <v>2919501</v>
      </c>
      <c r="B978" t="s">
        <v>5798</v>
      </c>
      <c r="C978">
        <v>0</v>
      </c>
      <c r="D978">
        <v>1</v>
      </c>
      <c r="E978">
        <v>0</v>
      </c>
      <c r="F978">
        <v>1</v>
      </c>
      <c r="G978">
        <v>0</v>
      </c>
      <c r="H978">
        <v>0</v>
      </c>
      <c r="I978">
        <v>0</v>
      </c>
      <c r="J978">
        <v>0</v>
      </c>
      <c r="K978">
        <v>0</v>
      </c>
      <c r="L978" t="s">
        <v>3284</v>
      </c>
      <c r="M978" t="s">
        <v>3307</v>
      </c>
      <c r="N978" t="s">
        <v>3308</v>
      </c>
      <c r="O978" t="s">
        <v>3309</v>
      </c>
      <c r="P978" t="s">
        <v>3310</v>
      </c>
      <c r="Q978" t="s">
        <v>3311</v>
      </c>
      <c r="R978" t="s">
        <v>5799</v>
      </c>
    </row>
    <row r="979" spans="1:18" x14ac:dyDescent="0.2">
      <c r="A979">
        <v>2919500</v>
      </c>
      <c r="B979" t="s">
        <v>5800</v>
      </c>
      <c r="C979">
        <v>1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1</v>
      </c>
      <c r="K979">
        <v>0</v>
      </c>
      <c r="L979" t="s">
        <v>3284</v>
      </c>
      <c r="M979" t="s">
        <v>3296</v>
      </c>
      <c r="N979" t="s">
        <v>3321</v>
      </c>
      <c r="O979" t="s">
        <v>3322</v>
      </c>
      <c r="P979" t="s">
        <v>3398</v>
      </c>
      <c r="Q979" t="s">
        <v>5801</v>
      </c>
      <c r="R979" t="s">
        <v>5802</v>
      </c>
    </row>
    <row r="980" spans="1:18" x14ac:dyDescent="0.2">
      <c r="A980">
        <v>2918902</v>
      </c>
      <c r="B980" t="s">
        <v>5803</v>
      </c>
      <c r="C980">
        <v>1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 t="s">
        <v>3284</v>
      </c>
      <c r="M980" t="s">
        <v>3327</v>
      </c>
      <c r="N980" t="s">
        <v>3376</v>
      </c>
      <c r="O980" t="s">
        <v>3377</v>
      </c>
      <c r="P980" t="s">
        <v>3378</v>
      </c>
      <c r="Q980" t="s">
        <v>5804</v>
      </c>
      <c r="R980" t="s">
        <v>5805</v>
      </c>
    </row>
    <row r="981" spans="1:18" x14ac:dyDescent="0.2">
      <c r="A981">
        <v>2918900</v>
      </c>
      <c r="B981" t="s">
        <v>5806</v>
      </c>
      <c r="C981">
        <v>1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 t="s">
        <v>3284</v>
      </c>
      <c r="M981" t="s">
        <v>3327</v>
      </c>
      <c r="N981" t="s">
        <v>3376</v>
      </c>
      <c r="O981" t="s">
        <v>3377</v>
      </c>
      <c r="P981" t="s">
        <v>3604</v>
      </c>
      <c r="Q981" t="s">
        <v>3668</v>
      </c>
      <c r="R981" t="s">
        <v>5807</v>
      </c>
    </row>
    <row r="982" spans="1:18" x14ac:dyDescent="0.2">
      <c r="A982">
        <v>2918188</v>
      </c>
      <c r="B982" t="s">
        <v>5808</v>
      </c>
      <c r="C982">
        <v>0</v>
      </c>
      <c r="D982">
        <v>0</v>
      </c>
      <c r="E982">
        <v>0</v>
      </c>
      <c r="F982">
        <v>0</v>
      </c>
      <c r="G982">
        <v>1</v>
      </c>
      <c r="H982">
        <v>0</v>
      </c>
      <c r="I982">
        <v>0</v>
      </c>
      <c r="J982">
        <v>0</v>
      </c>
      <c r="K982">
        <v>0</v>
      </c>
      <c r="L982" t="s">
        <v>3284</v>
      </c>
      <c r="M982" t="s">
        <v>3307</v>
      </c>
      <c r="N982" t="s">
        <v>3308</v>
      </c>
      <c r="O982" t="s">
        <v>3359</v>
      </c>
      <c r="P982" t="s">
        <v>3588</v>
      </c>
      <c r="Q982" t="s">
        <v>4970</v>
      </c>
      <c r="R982" t="s">
        <v>5809</v>
      </c>
    </row>
    <row r="983" spans="1:18" x14ac:dyDescent="0.2">
      <c r="A983">
        <v>2917745</v>
      </c>
      <c r="B983" t="s">
        <v>5810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1</v>
      </c>
      <c r="K983">
        <v>0</v>
      </c>
      <c r="L983" t="s">
        <v>3284</v>
      </c>
      <c r="M983" t="s">
        <v>3307</v>
      </c>
      <c r="N983" t="s">
        <v>3308</v>
      </c>
      <c r="O983" t="s">
        <v>3635</v>
      </c>
      <c r="P983" t="s">
        <v>4011</v>
      </c>
      <c r="Q983" t="s">
        <v>4012</v>
      </c>
      <c r="R983" t="s">
        <v>5811</v>
      </c>
    </row>
    <row r="984" spans="1:18" x14ac:dyDescent="0.2">
      <c r="A984">
        <v>2917712</v>
      </c>
      <c r="B984" t="s">
        <v>5812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1</v>
      </c>
      <c r="J984">
        <v>0</v>
      </c>
      <c r="K984">
        <v>0</v>
      </c>
      <c r="L984" t="s">
        <v>3284</v>
      </c>
      <c r="M984" t="s">
        <v>3296</v>
      </c>
      <c r="N984" t="s">
        <v>3343</v>
      </c>
      <c r="O984" t="s">
        <v>3344</v>
      </c>
      <c r="P984" t="s">
        <v>4347</v>
      </c>
      <c r="Q984" t="s">
        <v>5813</v>
      </c>
      <c r="R984" t="s">
        <v>5814</v>
      </c>
    </row>
    <row r="985" spans="1:18" x14ac:dyDescent="0.2">
      <c r="A985">
        <v>2916215</v>
      </c>
      <c r="B985" t="s">
        <v>5815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1</v>
      </c>
      <c r="J985">
        <v>0</v>
      </c>
      <c r="K985">
        <v>0</v>
      </c>
      <c r="L985" t="s">
        <v>3284</v>
      </c>
      <c r="M985" t="s">
        <v>3307</v>
      </c>
      <c r="N985" t="s">
        <v>3308</v>
      </c>
      <c r="O985" t="s">
        <v>3359</v>
      </c>
      <c r="P985" t="s">
        <v>3360</v>
      </c>
      <c r="Q985" t="s">
        <v>3361</v>
      </c>
      <c r="R985" t="s">
        <v>5816</v>
      </c>
    </row>
    <row r="986" spans="1:18" x14ac:dyDescent="0.2">
      <c r="A986">
        <v>2916212</v>
      </c>
      <c r="B986" t="s">
        <v>5817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1</v>
      </c>
      <c r="L986" t="s">
        <v>3284</v>
      </c>
      <c r="M986" t="s">
        <v>3307</v>
      </c>
      <c r="N986" t="s">
        <v>3308</v>
      </c>
      <c r="O986" t="s">
        <v>3359</v>
      </c>
      <c r="P986" t="s">
        <v>3360</v>
      </c>
      <c r="Q986" t="s">
        <v>3361</v>
      </c>
      <c r="R986" t="s">
        <v>5818</v>
      </c>
    </row>
    <row r="987" spans="1:18" x14ac:dyDescent="0.2">
      <c r="A987">
        <v>2914982</v>
      </c>
      <c r="B987" t="s">
        <v>5819</v>
      </c>
      <c r="C987">
        <v>0</v>
      </c>
      <c r="D987">
        <v>0</v>
      </c>
      <c r="E987">
        <v>0</v>
      </c>
      <c r="F987">
        <v>1</v>
      </c>
      <c r="G987">
        <v>0</v>
      </c>
      <c r="H987">
        <v>0</v>
      </c>
      <c r="I987">
        <v>0</v>
      </c>
      <c r="J987">
        <v>0</v>
      </c>
      <c r="K987">
        <v>0</v>
      </c>
      <c r="L987" t="s">
        <v>3284</v>
      </c>
      <c r="M987" t="s">
        <v>3296</v>
      </c>
      <c r="N987" t="s">
        <v>3343</v>
      </c>
      <c r="O987" t="s">
        <v>3349</v>
      </c>
      <c r="P987" t="s">
        <v>3350</v>
      </c>
      <c r="Q987" t="s">
        <v>3580</v>
      </c>
      <c r="R987" t="s">
        <v>5820</v>
      </c>
    </row>
    <row r="988" spans="1:18" x14ac:dyDescent="0.2">
      <c r="A988">
        <v>2914830</v>
      </c>
      <c r="B988" t="s">
        <v>5821</v>
      </c>
      <c r="C988">
        <v>0</v>
      </c>
      <c r="D988">
        <v>0</v>
      </c>
      <c r="E988">
        <v>0</v>
      </c>
      <c r="F988">
        <v>1</v>
      </c>
      <c r="G988">
        <v>0</v>
      </c>
      <c r="H988">
        <v>0</v>
      </c>
      <c r="I988">
        <v>0</v>
      </c>
      <c r="J988">
        <v>0</v>
      </c>
      <c r="K988">
        <v>0</v>
      </c>
      <c r="L988" t="s">
        <v>3284</v>
      </c>
      <c r="M988" t="s">
        <v>3296</v>
      </c>
      <c r="N988" t="s">
        <v>3343</v>
      </c>
      <c r="O988" t="s">
        <v>3349</v>
      </c>
      <c r="P988" t="s">
        <v>3350</v>
      </c>
      <c r="Q988" t="s">
        <v>3580</v>
      </c>
      <c r="R988" t="s">
        <v>5822</v>
      </c>
    </row>
    <row r="989" spans="1:18" x14ac:dyDescent="0.2">
      <c r="A989">
        <v>2914710</v>
      </c>
      <c r="B989" t="s">
        <v>5823</v>
      </c>
      <c r="C989">
        <v>4</v>
      </c>
      <c r="D989">
        <v>0</v>
      </c>
      <c r="E989">
        <v>0</v>
      </c>
      <c r="F989">
        <v>1</v>
      </c>
      <c r="G989">
        <v>0</v>
      </c>
      <c r="H989">
        <v>0</v>
      </c>
      <c r="I989">
        <v>0</v>
      </c>
      <c r="J989">
        <v>0</v>
      </c>
      <c r="K989">
        <v>0</v>
      </c>
      <c r="L989" t="s">
        <v>3284</v>
      </c>
      <c r="M989" t="s">
        <v>3296</v>
      </c>
      <c r="N989" t="s">
        <v>3321</v>
      </c>
      <c r="O989" t="s">
        <v>3322</v>
      </c>
      <c r="P989" t="s">
        <v>3671</v>
      </c>
      <c r="Q989" t="s">
        <v>5824</v>
      </c>
      <c r="R989" t="s">
        <v>5825</v>
      </c>
    </row>
    <row r="990" spans="1:18" x14ac:dyDescent="0.2">
      <c r="A990">
        <v>2913411</v>
      </c>
      <c r="B990" t="s">
        <v>5826</v>
      </c>
      <c r="C990">
        <v>1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 t="s">
        <v>3284</v>
      </c>
      <c r="M990" t="s">
        <v>3296</v>
      </c>
      <c r="N990" t="s">
        <v>3343</v>
      </c>
      <c r="O990" t="s">
        <v>3349</v>
      </c>
      <c r="P990" t="s">
        <v>5827</v>
      </c>
      <c r="Q990" t="s">
        <v>5828</v>
      </c>
      <c r="R990" t="s">
        <v>5829</v>
      </c>
    </row>
    <row r="991" spans="1:18" x14ac:dyDescent="0.2">
      <c r="A991">
        <v>2913396</v>
      </c>
      <c r="B991" t="s">
        <v>5830</v>
      </c>
      <c r="C991">
        <v>1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 t="s">
        <v>3284</v>
      </c>
      <c r="M991" t="s">
        <v>3296</v>
      </c>
      <c r="N991" t="s">
        <v>3321</v>
      </c>
      <c r="O991" t="s">
        <v>3322</v>
      </c>
      <c r="P991" t="s">
        <v>3671</v>
      </c>
      <c r="Q991" t="s">
        <v>5824</v>
      </c>
      <c r="R991" t="s">
        <v>5831</v>
      </c>
    </row>
    <row r="992" spans="1:18" x14ac:dyDescent="0.2">
      <c r="A992">
        <v>2913096</v>
      </c>
      <c r="B992" t="s">
        <v>5832</v>
      </c>
      <c r="C992">
        <v>0</v>
      </c>
      <c r="D992">
        <v>0</v>
      </c>
      <c r="E992">
        <v>0</v>
      </c>
      <c r="F992">
        <v>3</v>
      </c>
      <c r="G992">
        <v>2</v>
      </c>
      <c r="H992">
        <v>0</v>
      </c>
      <c r="I992">
        <v>0</v>
      </c>
      <c r="J992">
        <v>0</v>
      </c>
      <c r="K992">
        <v>0</v>
      </c>
      <c r="L992" t="s">
        <v>3284</v>
      </c>
      <c r="M992" t="s">
        <v>3296</v>
      </c>
      <c r="N992" t="s">
        <v>3321</v>
      </c>
      <c r="O992" t="s">
        <v>3322</v>
      </c>
      <c r="P992" t="s">
        <v>3323</v>
      </c>
      <c r="Q992" t="s">
        <v>3518</v>
      </c>
      <c r="R992" t="s">
        <v>5833</v>
      </c>
    </row>
    <row r="993" spans="1:18" x14ac:dyDescent="0.2">
      <c r="A993">
        <v>2911968</v>
      </c>
      <c r="B993" t="s">
        <v>5834</v>
      </c>
      <c r="C993">
        <v>0</v>
      </c>
      <c r="D993">
        <v>0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 t="s">
        <v>3284</v>
      </c>
      <c r="M993" t="s">
        <v>3327</v>
      </c>
      <c r="N993" t="s">
        <v>3328</v>
      </c>
      <c r="O993" t="s">
        <v>3329</v>
      </c>
      <c r="P993" t="s">
        <v>3330</v>
      </c>
      <c r="Q993" t="s">
        <v>3331</v>
      </c>
      <c r="R993" t="s">
        <v>5835</v>
      </c>
    </row>
    <row r="994" spans="1:18" x14ac:dyDescent="0.2">
      <c r="A994">
        <v>2911368</v>
      </c>
      <c r="B994" t="s">
        <v>5836</v>
      </c>
      <c r="C994">
        <v>0</v>
      </c>
      <c r="D994">
        <v>2</v>
      </c>
      <c r="E994">
        <v>0</v>
      </c>
      <c r="F994">
        <v>0</v>
      </c>
      <c r="G994">
        <v>0</v>
      </c>
      <c r="H994">
        <v>0</v>
      </c>
      <c r="I994">
        <v>4</v>
      </c>
      <c r="J994">
        <v>0</v>
      </c>
      <c r="K994">
        <v>1</v>
      </c>
      <c r="L994" t="s">
        <v>3284</v>
      </c>
      <c r="M994" t="s">
        <v>3296</v>
      </c>
      <c r="N994" t="s">
        <v>3343</v>
      </c>
      <c r="O994" t="s">
        <v>3429</v>
      </c>
      <c r="P994" t="s">
        <v>3430</v>
      </c>
      <c r="Q994" t="s">
        <v>5837</v>
      </c>
      <c r="R994" t="s">
        <v>5838</v>
      </c>
    </row>
    <row r="995" spans="1:18" x14ac:dyDescent="0.2">
      <c r="A995">
        <v>2911205</v>
      </c>
      <c r="B995" t="s">
        <v>5839</v>
      </c>
      <c r="C995">
        <v>0</v>
      </c>
      <c r="D995">
        <v>0</v>
      </c>
      <c r="E995">
        <v>0</v>
      </c>
      <c r="F995">
        <v>1</v>
      </c>
      <c r="G995">
        <v>0</v>
      </c>
      <c r="H995">
        <v>0</v>
      </c>
      <c r="I995">
        <v>0</v>
      </c>
      <c r="J995">
        <v>0</v>
      </c>
      <c r="K995">
        <v>0</v>
      </c>
      <c r="L995" t="s">
        <v>3284</v>
      </c>
      <c r="M995" t="s">
        <v>3296</v>
      </c>
      <c r="N995" t="s">
        <v>3297</v>
      </c>
      <c r="O995" t="s">
        <v>3298</v>
      </c>
      <c r="P995" t="s">
        <v>3826</v>
      </c>
      <c r="Q995" t="s">
        <v>3927</v>
      </c>
      <c r="R995" t="s">
        <v>5840</v>
      </c>
    </row>
    <row r="996" spans="1:18" x14ac:dyDescent="0.2">
      <c r="A996">
        <v>2911172</v>
      </c>
      <c r="B996" t="s">
        <v>5841</v>
      </c>
      <c r="C996">
        <v>0</v>
      </c>
      <c r="D996">
        <v>0</v>
      </c>
      <c r="E996">
        <v>0</v>
      </c>
      <c r="F996">
        <v>0</v>
      </c>
      <c r="G996">
        <v>1</v>
      </c>
      <c r="H996">
        <v>0</v>
      </c>
      <c r="I996">
        <v>0</v>
      </c>
      <c r="J996">
        <v>0</v>
      </c>
      <c r="K996">
        <v>0</v>
      </c>
      <c r="L996" t="s">
        <v>3284</v>
      </c>
      <c r="M996" t="s">
        <v>3391</v>
      </c>
      <c r="N996" t="s">
        <v>3392</v>
      </c>
      <c r="O996" t="s">
        <v>3393</v>
      </c>
      <c r="P996" t="s">
        <v>3394</v>
      </c>
      <c r="Q996" t="s">
        <v>5842</v>
      </c>
      <c r="R996" t="s">
        <v>5843</v>
      </c>
    </row>
    <row r="997" spans="1:18" x14ac:dyDescent="0.2">
      <c r="A997">
        <v>2910964</v>
      </c>
      <c r="B997" t="s">
        <v>5844</v>
      </c>
      <c r="C997">
        <v>0</v>
      </c>
      <c r="D997">
        <v>0</v>
      </c>
      <c r="E997">
        <v>0</v>
      </c>
      <c r="F997">
        <v>4</v>
      </c>
      <c r="G997">
        <v>1</v>
      </c>
      <c r="H997">
        <v>0</v>
      </c>
      <c r="I997">
        <v>0</v>
      </c>
      <c r="J997">
        <v>0</v>
      </c>
      <c r="K997">
        <v>0</v>
      </c>
      <c r="L997" t="s">
        <v>3284</v>
      </c>
      <c r="M997" t="s">
        <v>3391</v>
      </c>
      <c r="N997" t="s">
        <v>3411</v>
      </c>
      <c r="O997" t="s">
        <v>3412</v>
      </c>
      <c r="P997" t="s">
        <v>3413</v>
      </c>
      <c r="Q997" t="s">
        <v>3414</v>
      </c>
      <c r="R997" t="s">
        <v>5845</v>
      </c>
    </row>
    <row r="998" spans="1:18" x14ac:dyDescent="0.2">
      <c r="A998">
        <v>2910680</v>
      </c>
      <c r="B998" t="s">
        <v>5846</v>
      </c>
      <c r="C998">
        <v>1</v>
      </c>
      <c r="D998">
        <v>1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 t="s">
        <v>3284</v>
      </c>
      <c r="M998" t="s">
        <v>3327</v>
      </c>
      <c r="N998" t="s">
        <v>3328</v>
      </c>
      <c r="O998" t="s">
        <v>3329</v>
      </c>
      <c r="P998" t="s">
        <v>3330</v>
      </c>
      <c r="Q998" t="s">
        <v>3331</v>
      </c>
      <c r="R998" t="s">
        <v>5847</v>
      </c>
    </row>
    <row r="999" spans="1:18" x14ac:dyDescent="0.2">
      <c r="A999">
        <v>2910679</v>
      </c>
      <c r="B999" t="s">
        <v>5848</v>
      </c>
      <c r="C999">
        <v>5</v>
      </c>
      <c r="D999">
        <v>2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 t="s">
        <v>3284</v>
      </c>
      <c r="M999" t="s">
        <v>3327</v>
      </c>
      <c r="N999" t="s">
        <v>3328</v>
      </c>
      <c r="O999" t="s">
        <v>3329</v>
      </c>
      <c r="P999" t="s">
        <v>3330</v>
      </c>
      <c r="Q999" t="s">
        <v>3331</v>
      </c>
      <c r="R999" t="s">
        <v>5849</v>
      </c>
    </row>
    <row r="1000" spans="1:18" x14ac:dyDescent="0.2">
      <c r="A1000">
        <v>2910674</v>
      </c>
      <c r="B1000" t="s">
        <v>5850</v>
      </c>
      <c r="C1000">
        <v>0</v>
      </c>
      <c r="D1000">
        <v>0</v>
      </c>
      <c r="E1000">
        <v>0</v>
      </c>
      <c r="F1000">
        <v>0</v>
      </c>
      <c r="G1000">
        <v>1</v>
      </c>
      <c r="H1000">
        <v>0</v>
      </c>
      <c r="I1000">
        <v>0</v>
      </c>
      <c r="J1000">
        <v>0</v>
      </c>
      <c r="K1000">
        <v>0</v>
      </c>
      <c r="L1000" t="s">
        <v>3284</v>
      </c>
      <c r="M1000" t="s">
        <v>3391</v>
      </c>
      <c r="N1000" t="s">
        <v>3411</v>
      </c>
      <c r="O1000" t="s">
        <v>3412</v>
      </c>
      <c r="P1000" t="s">
        <v>3413</v>
      </c>
      <c r="Q1000" t="s">
        <v>3414</v>
      </c>
      <c r="R1000" t="s">
        <v>5851</v>
      </c>
    </row>
    <row r="1001" spans="1:18" x14ac:dyDescent="0.2">
      <c r="A1001">
        <v>2909588</v>
      </c>
      <c r="B1001" t="s">
        <v>5852</v>
      </c>
      <c r="C1001">
        <v>0</v>
      </c>
      <c r="D1001">
        <v>0</v>
      </c>
      <c r="E1001">
        <v>0</v>
      </c>
      <c r="F1001">
        <v>5</v>
      </c>
      <c r="G1001">
        <v>9</v>
      </c>
      <c r="H1001">
        <v>3</v>
      </c>
      <c r="I1001">
        <v>0</v>
      </c>
      <c r="J1001">
        <v>0</v>
      </c>
      <c r="K1001">
        <v>0</v>
      </c>
      <c r="L1001" t="s">
        <v>3284</v>
      </c>
      <c r="M1001" t="s">
        <v>3307</v>
      </c>
      <c r="N1001" t="s">
        <v>3308</v>
      </c>
      <c r="O1001" t="s">
        <v>3359</v>
      </c>
      <c r="P1001" t="s">
        <v>3360</v>
      </c>
      <c r="Q1001" t="s">
        <v>3361</v>
      </c>
      <c r="R1001" t="s">
        <v>5853</v>
      </c>
    </row>
    <row r="1002" spans="1:18" x14ac:dyDescent="0.2">
      <c r="A1002">
        <v>2909587</v>
      </c>
      <c r="B1002" t="s">
        <v>5854</v>
      </c>
      <c r="C1002">
        <v>0</v>
      </c>
      <c r="D1002">
        <v>0</v>
      </c>
      <c r="E1002">
        <v>0</v>
      </c>
      <c r="F1002">
        <v>0</v>
      </c>
      <c r="G1002">
        <v>1</v>
      </c>
      <c r="H1002">
        <v>0</v>
      </c>
      <c r="I1002">
        <v>0</v>
      </c>
      <c r="J1002">
        <v>0</v>
      </c>
      <c r="K1002">
        <v>0</v>
      </c>
      <c r="L1002" t="s">
        <v>3284</v>
      </c>
      <c r="M1002" t="s">
        <v>3307</v>
      </c>
      <c r="N1002" t="s">
        <v>3308</v>
      </c>
      <c r="O1002" t="s">
        <v>3359</v>
      </c>
      <c r="P1002" t="s">
        <v>3360</v>
      </c>
      <c r="Q1002" t="s">
        <v>3361</v>
      </c>
      <c r="R1002" t="s">
        <v>5855</v>
      </c>
    </row>
    <row r="1003" spans="1:18" x14ac:dyDescent="0.2">
      <c r="A1003">
        <v>2909586</v>
      </c>
      <c r="B1003" t="s">
        <v>5856</v>
      </c>
      <c r="C1003">
        <v>0</v>
      </c>
      <c r="D1003">
        <v>1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 t="s">
        <v>3284</v>
      </c>
      <c r="M1003" t="s">
        <v>3794</v>
      </c>
      <c r="N1003" t="s">
        <v>3795</v>
      </c>
      <c r="O1003" t="s">
        <v>3796</v>
      </c>
      <c r="P1003" t="s">
        <v>3797</v>
      </c>
      <c r="Q1003" t="s">
        <v>5857</v>
      </c>
      <c r="R1003" t="s">
        <v>5858</v>
      </c>
    </row>
    <row r="1004" spans="1:18" x14ac:dyDescent="0.2">
      <c r="A1004">
        <v>2909336</v>
      </c>
      <c r="B1004" t="s">
        <v>5859</v>
      </c>
      <c r="C1004">
        <v>0</v>
      </c>
      <c r="D1004">
        <v>0</v>
      </c>
      <c r="E1004">
        <v>0</v>
      </c>
      <c r="F1004">
        <v>1</v>
      </c>
      <c r="G1004">
        <v>0</v>
      </c>
      <c r="H1004">
        <v>0</v>
      </c>
      <c r="I1004">
        <v>0</v>
      </c>
      <c r="J1004">
        <v>0</v>
      </c>
      <c r="K1004">
        <v>0</v>
      </c>
      <c r="L1004" t="s">
        <v>3284</v>
      </c>
      <c r="M1004" t="s">
        <v>3391</v>
      </c>
      <c r="N1004" t="s">
        <v>3740</v>
      </c>
      <c r="O1004" t="s">
        <v>3741</v>
      </c>
      <c r="P1004" t="s">
        <v>3742</v>
      </c>
      <c r="Q1004" t="s">
        <v>4598</v>
      </c>
      <c r="R1004" t="s">
        <v>5860</v>
      </c>
    </row>
    <row r="1005" spans="1:18" x14ac:dyDescent="0.2">
      <c r="A1005">
        <v>2909335</v>
      </c>
      <c r="B1005" t="s">
        <v>5861</v>
      </c>
      <c r="C1005">
        <v>0</v>
      </c>
      <c r="D1005">
        <v>0</v>
      </c>
      <c r="E1005">
        <v>0</v>
      </c>
      <c r="F1005">
        <v>1</v>
      </c>
      <c r="G1005">
        <v>2</v>
      </c>
      <c r="H1005">
        <v>0</v>
      </c>
      <c r="I1005">
        <v>0</v>
      </c>
      <c r="J1005">
        <v>0</v>
      </c>
      <c r="K1005">
        <v>0</v>
      </c>
      <c r="L1005" t="s">
        <v>3284</v>
      </c>
      <c r="M1005" t="s">
        <v>3391</v>
      </c>
      <c r="N1005" t="s">
        <v>3740</v>
      </c>
      <c r="O1005" t="s">
        <v>3741</v>
      </c>
      <c r="P1005" t="s">
        <v>3742</v>
      </c>
      <c r="Q1005" t="s">
        <v>4598</v>
      </c>
      <c r="R1005" t="s">
        <v>5862</v>
      </c>
    </row>
    <row r="1006" spans="1:18" x14ac:dyDescent="0.2">
      <c r="A1006">
        <v>2909264</v>
      </c>
      <c r="B1006" t="s">
        <v>5863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1</v>
      </c>
      <c r="J1006">
        <v>0</v>
      </c>
      <c r="K1006">
        <v>0</v>
      </c>
      <c r="L1006" t="s">
        <v>3284</v>
      </c>
      <c r="M1006" t="s">
        <v>3391</v>
      </c>
      <c r="N1006" t="s">
        <v>3740</v>
      </c>
      <c r="O1006" t="s">
        <v>3741</v>
      </c>
      <c r="P1006" t="s">
        <v>3742</v>
      </c>
      <c r="Q1006" t="s">
        <v>4598</v>
      </c>
      <c r="R1006" t="s">
        <v>5864</v>
      </c>
    </row>
    <row r="1007" spans="1:18" x14ac:dyDescent="0.2">
      <c r="A1007">
        <v>2909250</v>
      </c>
      <c r="B1007" t="s">
        <v>5865</v>
      </c>
      <c r="C1007">
        <v>0</v>
      </c>
      <c r="D1007">
        <v>1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 t="s">
        <v>3284</v>
      </c>
      <c r="M1007" t="s">
        <v>3327</v>
      </c>
      <c r="N1007" t="s">
        <v>3376</v>
      </c>
      <c r="O1007" t="s">
        <v>3377</v>
      </c>
      <c r="P1007" t="s">
        <v>3604</v>
      </c>
      <c r="Q1007" t="s">
        <v>3668</v>
      </c>
      <c r="R1007" t="s">
        <v>5866</v>
      </c>
    </row>
    <row r="1008" spans="1:18" x14ac:dyDescent="0.2">
      <c r="A1008">
        <v>2909234</v>
      </c>
      <c r="B1008" t="s">
        <v>5867</v>
      </c>
      <c r="C1008">
        <v>1</v>
      </c>
      <c r="D1008">
        <v>1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 t="s">
        <v>3284</v>
      </c>
      <c r="M1008" t="s">
        <v>3296</v>
      </c>
      <c r="N1008" t="s">
        <v>3343</v>
      </c>
      <c r="O1008" t="s">
        <v>3371</v>
      </c>
      <c r="P1008" t="s">
        <v>3688</v>
      </c>
      <c r="Q1008" t="s">
        <v>5868</v>
      </c>
      <c r="R1008" t="s">
        <v>5869</v>
      </c>
    </row>
    <row r="1009" spans="1:18" x14ac:dyDescent="0.2">
      <c r="A1009">
        <v>2908651</v>
      </c>
      <c r="B1009" t="s">
        <v>5870</v>
      </c>
      <c r="C1009">
        <v>1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 t="s">
        <v>3284</v>
      </c>
      <c r="M1009" t="s">
        <v>3307</v>
      </c>
      <c r="N1009" t="s">
        <v>3308</v>
      </c>
      <c r="O1009" t="s">
        <v>3359</v>
      </c>
      <c r="P1009" t="s">
        <v>5871</v>
      </c>
      <c r="Q1009" t="s">
        <v>5872</v>
      </c>
      <c r="R1009" t="s">
        <v>5873</v>
      </c>
    </row>
    <row r="1010" spans="1:18" x14ac:dyDescent="0.2">
      <c r="A1010">
        <v>2908641</v>
      </c>
      <c r="B1010" t="s">
        <v>5874</v>
      </c>
      <c r="C1010">
        <v>0</v>
      </c>
      <c r="D1010">
        <v>0</v>
      </c>
      <c r="E1010">
        <v>0</v>
      </c>
      <c r="F1010">
        <v>2</v>
      </c>
      <c r="G1010">
        <v>0</v>
      </c>
      <c r="H1010">
        <v>0</v>
      </c>
      <c r="I1010">
        <v>0</v>
      </c>
      <c r="J1010">
        <v>0</v>
      </c>
      <c r="K1010">
        <v>0</v>
      </c>
      <c r="L1010" t="s">
        <v>3284</v>
      </c>
      <c r="M1010" t="s">
        <v>3296</v>
      </c>
      <c r="N1010" t="s">
        <v>3343</v>
      </c>
      <c r="O1010" t="s">
        <v>3349</v>
      </c>
      <c r="P1010" t="s">
        <v>5827</v>
      </c>
      <c r="Q1010" t="s">
        <v>5875</v>
      </c>
      <c r="R1010" t="s">
        <v>5876</v>
      </c>
    </row>
    <row r="1011" spans="1:18" x14ac:dyDescent="0.2">
      <c r="A1011">
        <v>2908210</v>
      </c>
      <c r="B1011" t="s">
        <v>5877</v>
      </c>
      <c r="C1011">
        <v>0</v>
      </c>
      <c r="D1011">
        <v>0</v>
      </c>
      <c r="E1011">
        <v>0</v>
      </c>
      <c r="F1011">
        <v>0</v>
      </c>
      <c r="G1011">
        <v>1</v>
      </c>
      <c r="H1011">
        <v>0</v>
      </c>
      <c r="I1011">
        <v>0</v>
      </c>
      <c r="J1011">
        <v>0</v>
      </c>
      <c r="K1011">
        <v>0</v>
      </c>
      <c r="L1011" t="s">
        <v>3284</v>
      </c>
      <c r="M1011" t="s">
        <v>3391</v>
      </c>
      <c r="N1011" t="s">
        <v>3411</v>
      </c>
      <c r="O1011" t="s">
        <v>3412</v>
      </c>
      <c r="P1011" t="s">
        <v>3413</v>
      </c>
      <c r="Q1011" t="s">
        <v>5878</v>
      </c>
      <c r="R1011" t="s">
        <v>5879</v>
      </c>
    </row>
    <row r="1012" spans="1:18" x14ac:dyDescent="0.2">
      <c r="A1012">
        <v>2908003</v>
      </c>
      <c r="B1012" t="s">
        <v>5880</v>
      </c>
      <c r="C1012">
        <v>0</v>
      </c>
      <c r="D1012">
        <v>1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 t="s">
        <v>3284</v>
      </c>
      <c r="M1012" t="s">
        <v>3296</v>
      </c>
      <c r="N1012" t="s">
        <v>3321</v>
      </c>
      <c r="O1012" t="s">
        <v>3322</v>
      </c>
      <c r="P1012" t="s">
        <v>3323</v>
      </c>
      <c r="Q1012" t="s">
        <v>3324</v>
      </c>
      <c r="R1012" t="s">
        <v>5881</v>
      </c>
    </row>
    <row r="1013" spans="1:18" x14ac:dyDescent="0.2">
      <c r="A1013">
        <v>2908000</v>
      </c>
      <c r="B1013" t="s">
        <v>5882</v>
      </c>
      <c r="C1013">
        <v>0</v>
      </c>
      <c r="D1013">
        <v>0</v>
      </c>
      <c r="E1013">
        <v>1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 t="s">
        <v>3284</v>
      </c>
      <c r="M1013" t="s">
        <v>3296</v>
      </c>
      <c r="N1013" t="s">
        <v>3321</v>
      </c>
      <c r="O1013" t="s">
        <v>3322</v>
      </c>
      <c r="P1013" t="s">
        <v>3398</v>
      </c>
      <c r="Q1013" t="s">
        <v>3696</v>
      </c>
      <c r="R1013" t="s">
        <v>5883</v>
      </c>
    </row>
    <row r="1014" spans="1:18" x14ac:dyDescent="0.2">
      <c r="A1014">
        <v>2907999</v>
      </c>
      <c r="B1014" t="s">
        <v>5884</v>
      </c>
      <c r="C1014">
        <v>0</v>
      </c>
      <c r="D1014">
        <v>0</v>
      </c>
      <c r="E1014">
        <v>0</v>
      </c>
      <c r="F1014">
        <v>0</v>
      </c>
      <c r="G1014">
        <v>1</v>
      </c>
      <c r="H1014">
        <v>0</v>
      </c>
      <c r="I1014">
        <v>0</v>
      </c>
      <c r="J1014">
        <v>1</v>
      </c>
      <c r="K1014">
        <v>0</v>
      </c>
      <c r="L1014" t="s">
        <v>3284</v>
      </c>
      <c r="M1014" t="s">
        <v>3296</v>
      </c>
      <c r="N1014" t="s">
        <v>3321</v>
      </c>
      <c r="O1014" t="s">
        <v>3322</v>
      </c>
      <c r="P1014" t="s">
        <v>3671</v>
      </c>
      <c r="Q1014" t="s">
        <v>3672</v>
      </c>
      <c r="R1014" t="s">
        <v>5885</v>
      </c>
    </row>
    <row r="1015" spans="1:18" x14ac:dyDescent="0.2">
      <c r="A1015">
        <v>2907998</v>
      </c>
      <c r="B1015" t="s">
        <v>5886</v>
      </c>
      <c r="C1015">
        <v>0</v>
      </c>
      <c r="D1015">
        <v>0</v>
      </c>
      <c r="E1015">
        <v>0</v>
      </c>
      <c r="F1015">
        <v>1</v>
      </c>
      <c r="G1015">
        <v>0</v>
      </c>
      <c r="H1015">
        <v>0</v>
      </c>
      <c r="I1015">
        <v>0</v>
      </c>
      <c r="J1015">
        <v>0</v>
      </c>
      <c r="K1015">
        <v>0</v>
      </c>
      <c r="L1015" t="s">
        <v>3284</v>
      </c>
      <c r="M1015" t="s">
        <v>3296</v>
      </c>
      <c r="N1015" t="s">
        <v>3343</v>
      </c>
      <c r="O1015" t="s">
        <v>3349</v>
      </c>
      <c r="P1015" t="s">
        <v>3350</v>
      </c>
      <c r="Q1015" t="s">
        <v>3580</v>
      </c>
      <c r="R1015" t="s">
        <v>5887</v>
      </c>
    </row>
    <row r="1016" spans="1:18" x14ac:dyDescent="0.2">
      <c r="A1016">
        <v>2907827</v>
      </c>
      <c r="B1016" t="s">
        <v>5888</v>
      </c>
      <c r="C1016">
        <v>1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 t="s">
        <v>3284</v>
      </c>
      <c r="M1016" t="s">
        <v>3327</v>
      </c>
      <c r="N1016" t="s">
        <v>3328</v>
      </c>
      <c r="O1016" t="s">
        <v>3329</v>
      </c>
      <c r="P1016" t="s">
        <v>4329</v>
      </c>
      <c r="Q1016" t="s">
        <v>5889</v>
      </c>
      <c r="R1016" t="s">
        <v>5890</v>
      </c>
    </row>
    <row r="1017" spans="1:18" x14ac:dyDescent="0.2">
      <c r="A1017">
        <v>2907303</v>
      </c>
      <c r="B1017" t="s">
        <v>5891</v>
      </c>
      <c r="C1017">
        <v>0</v>
      </c>
      <c r="D1017">
        <v>0</v>
      </c>
      <c r="E1017">
        <v>0</v>
      </c>
      <c r="F1017">
        <v>1</v>
      </c>
      <c r="G1017">
        <v>0</v>
      </c>
      <c r="H1017">
        <v>0</v>
      </c>
      <c r="I1017">
        <v>0</v>
      </c>
      <c r="J1017">
        <v>0</v>
      </c>
      <c r="K1017">
        <v>0</v>
      </c>
      <c r="L1017" t="s">
        <v>3284</v>
      </c>
      <c r="M1017" t="s">
        <v>3391</v>
      </c>
      <c r="N1017" t="s">
        <v>3740</v>
      </c>
      <c r="O1017" t="s">
        <v>3741</v>
      </c>
      <c r="P1017" t="s">
        <v>3742</v>
      </c>
      <c r="Q1017" t="s">
        <v>4598</v>
      </c>
      <c r="R1017" t="s">
        <v>5892</v>
      </c>
    </row>
    <row r="1018" spans="1:18" x14ac:dyDescent="0.2">
      <c r="A1018">
        <v>2907302</v>
      </c>
      <c r="B1018" t="s">
        <v>5893</v>
      </c>
      <c r="C1018">
        <v>0</v>
      </c>
      <c r="D1018">
        <v>1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 t="s">
        <v>3284</v>
      </c>
      <c r="M1018" t="s">
        <v>3391</v>
      </c>
      <c r="N1018" t="s">
        <v>3740</v>
      </c>
      <c r="O1018" t="s">
        <v>3741</v>
      </c>
      <c r="P1018" t="s">
        <v>3742</v>
      </c>
      <c r="Q1018" t="s">
        <v>4598</v>
      </c>
      <c r="R1018" t="s">
        <v>5894</v>
      </c>
    </row>
    <row r="1019" spans="1:18" x14ac:dyDescent="0.2">
      <c r="A1019">
        <v>2907214</v>
      </c>
      <c r="B1019" t="s">
        <v>5895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2</v>
      </c>
      <c r="K1019">
        <v>0</v>
      </c>
      <c r="L1019" t="s">
        <v>3284</v>
      </c>
      <c r="M1019" t="s">
        <v>3307</v>
      </c>
      <c r="N1019" t="s">
        <v>3308</v>
      </c>
      <c r="O1019" t="s">
        <v>3446</v>
      </c>
      <c r="P1019" t="s">
        <v>3447</v>
      </c>
      <c r="Q1019" t="s">
        <v>3448</v>
      </c>
      <c r="R1019" t="s">
        <v>5896</v>
      </c>
    </row>
    <row r="1020" spans="1:18" x14ac:dyDescent="0.2">
      <c r="A1020">
        <v>2907203</v>
      </c>
      <c r="B1020" t="s">
        <v>5897</v>
      </c>
      <c r="C1020">
        <v>0</v>
      </c>
      <c r="D1020">
        <v>0</v>
      </c>
      <c r="E1020">
        <v>0</v>
      </c>
      <c r="F1020">
        <v>1</v>
      </c>
      <c r="G1020">
        <v>0</v>
      </c>
      <c r="H1020">
        <v>0</v>
      </c>
      <c r="I1020">
        <v>0</v>
      </c>
      <c r="J1020">
        <v>0</v>
      </c>
      <c r="K1020">
        <v>0</v>
      </c>
      <c r="L1020" t="s">
        <v>3284</v>
      </c>
      <c r="M1020" t="s">
        <v>3391</v>
      </c>
      <c r="N1020" t="s">
        <v>3740</v>
      </c>
      <c r="O1020" t="s">
        <v>3741</v>
      </c>
      <c r="P1020" t="s">
        <v>3742</v>
      </c>
      <c r="Q1020" t="s">
        <v>4598</v>
      </c>
      <c r="R1020" t="s">
        <v>5898</v>
      </c>
    </row>
    <row r="1021" spans="1:18" x14ac:dyDescent="0.2">
      <c r="A1021">
        <v>2906798</v>
      </c>
      <c r="B1021" t="s">
        <v>5899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1</v>
      </c>
      <c r="K1021">
        <v>0</v>
      </c>
      <c r="L1021" t="s">
        <v>3284</v>
      </c>
      <c r="M1021" t="s">
        <v>4022</v>
      </c>
      <c r="N1021" t="s">
        <v>4023</v>
      </c>
      <c r="O1021" t="s">
        <v>5900</v>
      </c>
      <c r="P1021" t="s">
        <v>5901</v>
      </c>
      <c r="Q1021" t="s">
        <v>5902</v>
      </c>
      <c r="R1021" t="s">
        <v>5903</v>
      </c>
    </row>
    <row r="1022" spans="1:18" x14ac:dyDescent="0.2">
      <c r="A1022">
        <v>2906762</v>
      </c>
      <c r="B1022" t="s">
        <v>5904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1</v>
      </c>
      <c r="K1022">
        <v>0</v>
      </c>
      <c r="L1022" t="s">
        <v>3284</v>
      </c>
      <c r="M1022" t="s">
        <v>3296</v>
      </c>
      <c r="N1022" t="s">
        <v>3321</v>
      </c>
      <c r="O1022" t="s">
        <v>3322</v>
      </c>
      <c r="P1022" t="s">
        <v>3671</v>
      </c>
      <c r="Q1022" t="s">
        <v>3672</v>
      </c>
      <c r="R1022" t="s">
        <v>5905</v>
      </c>
    </row>
    <row r="1023" spans="1:18" x14ac:dyDescent="0.2">
      <c r="A1023">
        <v>2906456</v>
      </c>
      <c r="B1023" t="s">
        <v>5906</v>
      </c>
      <c r="C1023">
        <v>0</v>
      </c>
      <c r="D1023">
        <v>0</v>
      </c>
      <c r="E1023">
        <v>0</v>
      </c>
      <c r="F1023">
        <v>1</v>
      </c>
      <c r="G1023">
        <v>0</v>
      </c>
      <c r="H1023">
        <v>0</v>
      </c>
      <c r="I1023">
        <v>0</v>
      </c>
      <c r="J1023">
        <v>0</v>
      </c>
      <c r="K1023">
        <v>0</v>
      </c>
      <c r="L1023" t="s">
        <v>3284</v>
      </c>
      <c r="M1023" t="s">
        <v>3391</v>
      </c>
      <c r="N1023" t="s">
        <v>3740</v>
      </c>
      <c r="O1023" t="s">
        <v>3741</v>
      </c>
      <c r="P1023" t="s">
        <v>3742</v>
      </c>
      <c r="Q1023" t="s">
        <v>4598</v>
      </c>
      <c r="R1023" t="s">
        <v>5907</v>
      </c>
    </row>
    <row r="1024" spans="1:18" x14ac:dyDescent="0.2">
      <c r="A1024">
        <v>2906442</v>
      </c>
      <c r="B1024" t="s">
        <v>5908</v>
      </c>
      <c r="C1024">
        <v>0</v>
      </c>
      <c r="D1024">
        <v>0</v>
      </c>
      <c r="E1024">
        <v>0</v>
      </c>
      <c r="F1024">
        <v>6</v>
      </c>
      <c r="G1024">
        <v>9</v>
      </c>
      <c r="H1024">
        <v>0</v>
      </c>
      <c r="I1024">
        <v>0</v>
      </c>
      <c r="J1024">
        <v>0</v>
      </c>
      <c r="K1024">
        <v>0</v>
      </c>
      <c r="L1024" t="s">
        <v>3284</v>
      </c>
      <c r="M1024" t="s">
        <v>3391</v>
      </c>
      <c r="N1024" t="s">
        <v>3740</v>
      </c>
      <c r="O1024" t="s">
        <v>3741</v>
      </c>
      <c r="P1024" t="s">
        <v>3742</v>
      </c>
      <c r="Q1024" t="s">
        <v>4598</v>
      </c>
      <c r="R1024" t="s">
        <v>5909</v>
      </c>
    </row>
    <row r="1025" spans="1:18" x14ac:dyDescent="0.2">
      <c r="A1025">
        <v>2906435</v>
      </c>
      <c r="B1025" t="s">
        <v>5910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2</v>
      </c>
      <c r="K1025">
        <v>0</v>
      </c>
      <c r="L1025" t="s">
        <v>3284</v>
      </c>
      <c r="M1025" t="s">
        <v>3307</v>
      </c>
      <c r="N1025" t="s">
        <v>3308</v>
      </c>
      <c r="O1025" t="s">
        <v>3359</v>
      </c>
      <c r="P1025" t="s">
        <v>3360</v>
      </c>
      <c r="Q1025" t="s">
        <v>5911</v>
      </c>
      <c r="R1025" t="s">
        <v>5912</v>
      </c>
    </row>
    <row r="1026" spans="1:18" x14ac:dyDescent="0.2">
      <c r="A1026">
        <v>2905650</v>
      </c>
      <c r="B1026" t="s">
        <v>5913</v>
      </c>
      <c r="C1026">
        <v>1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 t="s">
        <v>3284</v>
      </c>
      <c r="M1026" t="s">
        <v>3327</v>
      </c>
      <c r="N1026" t="s">
        <v>3376</v>
      </c>
      <c r="O1026" t="s">
        <v>3377</v>
      </c>
      <c r="P1026" t="s">
        <v>3604</v>
      </c>
      <c r="Q1026" t="s">
        <v>3668</v>
      </c>
      <c r="R1026" t="s">
        <v>5914</v>
      </c>
    </row>
    <row r="1027" spans="1:18" x14ac:dyDescent="0.2">
      <c r="A1027">
        <v>2904603</v>
      </c>
      <c r="B1027" t="s">
        <v>5915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1</v>
      </c>
      <c r="J1027">
        <v>0</v>
      </c>
      <c r="K1027">
        <v>0</v>
      </c>
      <c r="L1027" t="s">
        <v>3284</v>
      </c>
      <c r="M1027" t="s">
        <v>3307</v>
      </c>
      <c r="N1027" t="s">
        <v>3308</v>
      </c>
      <c r="O1027" t="s">
        <v>3359</v>
      </c>
      <c r="P1027" t="s">
        <v>5871</v>
      </c>
      <c r="Q1027" t="s">
        <v>5872</v>
      </c>
      <c r="R1027" t="s">
        <v>5916</v>
      </c>
    </row>
    <row r="1028" spans="1:18" x14ac:dyDescent="0.2">
      <c r="A1028">
        <v>2903901</v>
      </c>
      <c r="B1028" t="s">
        <v>5917</v>
      </c>
      <c r="C1028">
        <v>0</v>
      </c>
      <c r="D1028">
        <v>0</v>
      </c>
      <c r="E1028">
        <v>0</v>
      </c>
      <c r="F1028">
        <v>0</v>
      </c>
      <c r="G1028">
        <v>1</v>
      </c>
      <c r="H1028">
        <v>0</v>
      </c>
      <c r="I1028">
        <v>0</v>
      </c>
      <c r="J1028">
        <v>0</v>
      </c>
      <c r="K1028">
        <v>0</v>
      </c>
      <c r="L1028" t="s">
        <v>3284</v>
      </c>
      <c r="M1028" t="s">
        <v>3296</v>
      </c>
      <c r="N1028" t="s">
        <v>3343</v>
      </c>
      <c r="O1028" t="s">
        <v>3402</v>
      </c>
      <c r="P1028" t="s">
        <v>3403</v>
      </c>
      <c r="Q1028" t="s">
        <v>5337</v>
      </c>
      <c r="R1028" t="s">
        <v>5918</v>
      </c>
    </row>
    <row r="1029" spans="1:18" x14ac:dyDescent="0.2">
      <c r="A1029">
        <v>2903533</v>
      </c>
      <c r="B1029" t="s">
        <v>5919</v>
      </c>
      <c r="C1029">
        <v>1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 t="s">
        <v>3284</v>
      </c>
      <c r="M1029" t="s">
        <v>3307</v>
      </c>
      <c r="N1029" t="s">
        <v>3308</v>
      </c>
      <c r="O1029" t="s">
        <v>3446</v>
      </c>
      <c r="P1029" t="s">
        <v>3447</v>
      </c>
      <c r="Q1029" t="s">
        <v>3448</v>
      </c>
      <c r="R1029" t="s">
        <v>5920</v>
      </c>
    </row>
    <row r="1030" spans="1:18" x14ac:dyDescent="0.2">
      <c r="A1030">
        <v>2903147</v>
      </c>
      <c r="B1030" t="s">
        <v>5921</v>
      </c>
      <c r="C1030">
        <v>0</v>
      </c>
      <c r="D1030">
        <v>1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 t="s">
        <v>3284</v>
      </c>
      <c r="M1030" t="s">
        <v>3296</v>
      </c>
      <c r="N1030" t="s">
        <v>3297</v>
      </c>
      <c r="O1030" t="s">
        <v>3434</v>
      </c>
      <c r="P1030" t="s">
        <v>3435</v>
      </c>
      <c r="Q1030" t="s">
        <v>3436</v>
      </c>
      <c r="R1030" t="s">
        <v>5922</v>
      </c>
    </row>
    <row r="1031" spans="1:18" x14ac:dyDescent="0.2">
      <c r="A1031">
        <v>2903142</v>
      </c>
      <c r="B1031" t="s">
        <v>5923</v>
      </c>
      <c r="C1031">
        <v>1</v>
      </c>
      <c r="D1031">
        <v>2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1</v>
      </c>
      <c r="K1031">
        <v>0</v>
      </c>
      <c r="L1031" t="s">
        <v>3284</v>
      </c>
      <c r="M1031" t="s">
        <v>3307</v>
      </c>
      <c r="N1031" t="s">
        <v>5924</v>
      </c>
      <c r="O1031" t="s">
        <v>5925</v>
      </c>
      <c r="P1031" t="s">
        <v>5926</v>
      </c>
      <c r="Q1031" t="s">
        <v>5927</v>
      </c>
      <c r="R1031" t="s">
        <v>5928</v>
      </c>
    </row>
    <row r="1032" spans="1:18" x14ac:dyDescent="0.2">
      <c r="A1032">
        <v>2903098</v>
      </c>
      <c r="B1032" t="s">
        <v>5929</v>
      </c>
      <c r="C1032">
        <v>0</v>
      </c>
      <c r="D1032">
        <v>0</v>
      </c>
      <c r="E1032">
        <v>0</v>
      </c>
      <c r="F1032">
        <v>1</v>
      </c>
      <c r="G1032">
        <v>0</v>
      </c>
      <c r="H1032">
        <v>0</v>
      </c>
      <c r="I1032">
        <v>0</v>
      </c>
      <c r="J1032">
        <v>0</v>
      </c>
      <c r="K1032">
        <v>0</v>
      </c>
      <c r="L1032" t="s">
        <v>3284</v>
      </c>
      <c r="M1032" t="s">
        <v>3391</v>
      </c>
      <c r="N1032" t="s">
        <v>3411</v>
      </c>
      <c r="O1032" t="s">
        <v>3412</v>
      </c>
      <c r="P1032" t="s">
        <v>3413</v>
      </c>
      <c r="Q1032" t="s">
        <v>3414</v>
      </c>
      <c r="R1032" t="s">
        <v>5930</v>
      </c>
    </row>
    <row r="1033" spans="1:18" x14ac:dyDescent="0.2">
      <c r="A1033">
        <v>2902797</v>
      </c>
      <c r="B1033" t="s">
        <v>5931</v>
      </c>
      <c r="C1033">
        <v>0</v>
      </c>
      <c r="D1033">
        <v>0</v>
      </c>
      <c r="E1033">
        <v>0</v>
      </c>
      <c r="F1033">
        <v>0</v>
      </c>
      <c r="G1033">
        <v>2</v>
      </c>
      <c r="H1033">
        <v>0</v>
      </c>
      <c r="I1033">
        <v>0</v>
      </c>
      <c r="J1033">
        <v>0</v>
      </c>
      <c r="K1033">
        <v>0</v>
      </c>
      <c r="L1033" t="s">
        <v>3284</v>
      </c>
      <c r="M1033" t="s">
        <v>3391</v>
      </c>
      <c r="N1033" t="s">
        <v>3411</v>
      </c>
      <c r="O1033" t="s">
        <v>3412</v>
      </c>
      <c r="P1033" t="s">
        <v>3564</v>
      </c>
      <c r="Q1033" t="s">
        <v>3565</v>
      </c>
      <c r="R1033" t="s">
        <v>5932</v>
      </c>
    </row>
    <row r="1034" spans="1:18" x14ac:dyDescent="0.2">
      <c r="A1034">
        <v>2901836</v>
      </c>
      <c r="B1034" t="s">
        <v>5933</v>
      </c>
      <c r="C1034">
        <v>0</v>
      </c>
      <c r="D1034">
        <v>1</v>
      </c>
      <c r="E1034">
        <v>0</v>
      </c>
      <c r="F1034">
        <v>1</v>
      </c>
      <c r="G1034">
        <v>0</v>
      </c>
      <c r="H1034">
        <v>1</v>
      </c>
      <c r="I1034">
        <v>0</v>
      </c>
      <c r="J1034">
        <v>0</v>
      </c>
      <c r="K1034">
        <v>0</v>
      </c>
      <c r="L1034" t="s">
        <v>3284</v>
      </c>
      <c r="M1034" t="s">
        <v>3327</v>
      </c>
      <c r="N1034" t="s">
        <v>3376</v>
      </c>
      <c r="O1034" t="s">
        <v>3377</v>
      </c>
      <c r="P1034" t="s">
        <v>5934</v>
      </c>
      <c r="Q1034" t="s">
        <v>5935</v>
      </c>
      <c r="R1034" t="s">
        <v>5936</v>
      </c>
    </row>
    <row r="1035" spans="1:18" x14ac:dyDescent="0.2">
      <c r="A1035">
        <v>2901226</v>
      </c>
      <c r="B1035" t="s">
        <v>5937</v>
      </c>
      <c r="C1035">
        <v>0</v>
      </c>
      <c r="D1035">
        <v>0</v>
      </c>
      <c r="E1035">
        <v>0</v>
      </c>
      <c r="F1035">
        <v>1</v>
      </c>
      <c r="G1035">
        <v>0</v>
      </c>
      <c r="H1035">
        <v>0</v>
      </c>
      <c r="I1035">
        <v>0</v>
      </c>
      <c r="J1035">
        <v>0</v>
      </c>
      <c r="K1035">
        <v>0</v>
      </c>
      <c r="L1035" t="s">
        <v>3284</v>
      </c>
      <c r="M1035" t="s">
        <v>3296</v>
      </c>
      <c r="N1035" t="s">
        <v>3343</v>
      </c>
      <c r="O1035" t="s">
        <v>3344</v>
      </c>
      <c r="P1035" t="s">
        <v>3355</v>
      </c>
      <c r="Q1035" t="s">
        <v>3356</v>
      </c>
      <c r="R1035" t="s">
        <v>5938</v>
      </c>
    </row>
    <row r="1036" spans="1:18" x14ac:dyDescent="0.2">
      <c r="A1036">
        <v>2901141</v>
      </c>
      <c r="B1036" t="s">
        <v>5939</v>
      </c>
      <c r="C1036">
        <v>0</v>
      </c>
      <c r="D1036">
        <v>1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 t="s">
        <v>3284</v>
      </c>
      <c r="M1036" t="s">
        <v>3296</v>
      </c>
      <c r="N1036" t="s">
        <v>3297</v>
      </c>
      <c r="O1036" t="s">
        <v>4124</v>
      </c>
      <c r="P1036" t="s">
        <v>4125</v>
      </c>
      <c r="Q1036" t="s">
        <v>5083</v>
      </c>
      <c r="R1036" t="s">
        <v>5940</v>
      </c>
    </row>
    <row r="1037" spans="1:18" x14ac:dyDescent="0.2">
      <c r="A1037">
        <v>2899147</v>
      </c>
      <c r="B1037" t="s">
        <v>5941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1</v>
      </c>
      <c r="K1037">
        <v>0</v>
      </c>
      <c r="L1037" t="s">
        <v>3284</v>
      </c>
      <c r="M1037" t="s">
        <v>3296</v>
      </c>
      <c r="N1037" t="s">
        <v>3343</v>
      </c>
      <c r="O1037" t="s">
        <v>3429</v>
      </c>
      <c r="P1037" t="s">
        <v>3430</v>
      </c>
      <c r="Q1037" t="s">
        <v>5942</v>
      </c>
      <c r="R1037" t="s">
        <v>5943</v>
      </c>
    </row>
    <row r="1038" spans="1:18" x14ac:dyDescent="0.2">
      <c r="A1038">
        <v>2898585</v>
      </c>
      <c r="B1038" t="s">
        <v>5944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1</v>
      </c>
      <c r="J1038">
        <v>0</v>
      </c>
      <c r="K1038">
        <v>1</v>
      </c>
      <c r="L1038" t="s">
        <v>3284</v>
      </c>
      <c r="M1038" t="s">
        <v>3296</v>
      </c>
      <c r="N1038" t="s">
        <v>3321</v>
      </c>
      <c r="O1038" t="s">
        <v>3322</v>
      </c>
      <c r="P1038" t="s">
        <v>3323</v>
      </c>
      <c r="Q1038" t="s">
        <v>3324</v>
      </c>
      <c r="R1038" t="s">
        <v>5945</v>
      </c>
    </row>
    <row r="1039" spans="1:18" x14ac:dyDescent="0.2">
      <c r="A1039">
        <v>2898441</v>
      </c>
      <c r="B1039" t="s">
        <v>5946</v>
      </c>
      <c r="C1039">
        <v>1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 t="s">
        <v>3284</v>
      </c>
      <c r="M1039" t="s">
        <v>3296</v>
      </c>
      <c r="N1039" t="s">
        <v>3297</v>
      </c>
      <c r="O1039" t="s">
        <v>3434</v>
      </c>
      <c r="P1039" t="s">
        <v>3435</v>
      </c>
      <c r="Q1039" t="s">
        <v>3436</v>
      </c>
      <c r="R1039" t="s">
        <v>5947</v>
      </c>
    </row>
    <row r="1040" spans="1:18" x14ac:dyDescent="0.2">
      <c r="A1040">
        <v>2898439</v>
      </c>
      <c r="B1040" t="s">
        <v>5948</v>
      </c>
      <c r="C1040">
        <v>0</v>
      </c>
      <c r="D1040">
        <v>0</v>
      </c>
      <c r="E1040">
        <v>0</v>
      </c>
      <c r="F1040">
        <v>1</v>
      </c>
      <c r="G1040">
        <v>1</v>
      </c>
      <c r="H1040">
        <v>0</v>
      </c>
      <c r="I1040">
        <v>0</v>
      </c>
      <c r="J1040">
        <v>0</v>
      </c>
      <c r="K1040">
        <v>0</v>
      </c>
      <c r="L1040" t="s">
        <v>3284</v>
      </c>
      <c r="M1040" t="s">
        <v>3296</v>
      </c>
      <c r="N1040" t="s">
        <v>3343</v>
      </c>
      <c r="O1040" t="s">
        <v>3402</v>
      </c>
      <c r="P1040" t="s">
        <v>3403</v>
      </c>
      <c r="Q1040" t="s">
        <v>5337</v>
      </c>
      <c r="R1040" t="s">
        <v>5949</v>
      </c>
    </row>
    <row r="1041" spans="1:18" x14ac:dyDescent="0.2">
      <c r="A1041">
        <v>2898438</v>
      </c>
      <c r="B1041" t="s">
        <v>5950</v>
      </c>
      <c r="C1041">
        <v>0</v>
      </c>
      <c r="D1041">
        <v>1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 t="s">
        <v>3284</v>
      </c>
      <c r="M1041" t="s">
        <v>3307</v>
      </c>
      <c r="N1041" t="s">
        <v>3989</v>
      </c>
      <c r="O1041" t="s">
        <v>3990</v>
      </c>
      <c r="P1041" t="s">
        <v>5951</v>
      </c>
      <c r="Q1041" t="s">
        <v>5952</v>
      </c>
      <c r="R1041" t="s">
        <v>5953</v>
      </c>
    </row>
    <row r="1042" spans="1:18" x14ac:dyDescent="0.2">
      <c r="A1042">
        <v>2898436</v>
      </c>
      <c r="B1042" t="s">
        <v>5954</v>
      </c>
      <c r="C1042">
        <v>0</v>
      </c>
      <c r="D1042">
        <v>0</v>
      </c>
      <c r="E1042">
        <v>0</v>
      </c>
      <c r="F1042">
        <v>0</v>
      </c>
      <c r="G1042">
        <v>1</v>
      </c>
      <c r="H1042">
        <v>0</v>
      </c>
      <c r="I1042">
        <v>0</v>
      </c>
      <c r="J1042">
        <v>0</v>
      </c>
      <c r="K1042">
        <v>0</v>
      </c>
      <c r="L1042" t="s">
        <v>3284</v>
      </c>
      <c r="M1042" t="s">
        <v>3391</v>
      </c>
      <c r="N1042" t="s">
        <v>3411</v>
      </c>
      <c r="O1042" t="s">
        <v>3412</v>
      </c>
      <c r="P1042" t="s">
        <v>3413</v>
      </c>
      <c r="Q1042" t="s">
        <v>3414</v>
      </c>
      <c r="R1042" t="s">
        <v>5955</v>
      </c>
    </row>
    <row r="1043" spans="1:18" x14ac:dyDescent="0.2">
      <c r="A1043">
        <v>2898435</v>
      </c>
      <c r="B1043" t="s">
        <v>5956</v>
      </c>
      <c r="C1043">
        <v>0</v>
      </c>
      <c r="D1043">
        <v>0</v>
      </c>
      <c r="E1043">
        <v>0</v>
      </c>
      <c r="F1043">
        <v>1</v>
      </c>
      <c r="G1043">
        <v>0</v>
      </c>
      <c r="H1043">
        <v>0</v>
      </c>
      <c r="I1043">
        <v>0</v>
      </c>
      <c r="J1043">
        <v>0</v>
      </c>
      <c r="K1043">
        <v>0</v>
      </c>
      <c r="L1043" t="s">
        <v>3284</v>
      </c>
      <c r="M1043" t="s">
        <v>3296</v>
      </c>
      <c r="N1043" t="s">
        <v>3343</v>
      </c>
      <c r="O1043" t="s">
        <v>3402</v>
      </c>
      <c r="P1043" t="s">
        <v>3403</v>
      </c>
      <c r="Q1043" t="s">
        <v>5337</v>
      </c>
      <c r="R1043" t="s">
        <v>5957</v>
      </c>
    </row>
    <row r="1044" spans="1:18" x14ac:dyDescent="0.2">
      <c r="A1044">
        <v>2898433</v>
      </c>
      <c r="B1044" t="s">
        <v>5958</v>
      </c>
      <c r="C1044">
        <v>0</v>
      </c>
      <c r="D1044">
        <v>1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 t="s">
        <v>3284</v>
      </c>
      <c r="M1044" t="s">
        <v>3296</v>
      </c>
      <c r="N1044" t="s">
        <v>3343</v>
      </c>
      <c r="O1044" t="s">
        <v>3349</v>
      </c>
      <c r="P1044" t="s">
        <v>3350</v>
      </c>
      <c r="Q1044" t="s">
        <v>3580</v>
      </c>
      <c r="R1044" t="s">
        <v>5959</v>
      </c>
    </row>
    <row r="1045" spans="1:18" x14ac:dyDescent="0.2">
      <c r="A1045">
        <v>2898431</v>
      </c>
      <c r="B1045" t="s">
        <v>5960</v>
      </c>
      <c r="C1045">
        <v>0</v>
      </c>
      <c r="D1045">
        <v>1</v>
      </c>
      <c r="E1045">
        <v>0</v>
      </c>
      <c r="F1045">
        <v>1</v>
      </c>
      <c r="G1045">
        <v>2</v>
      </c>
      <c r="H1045">
        <v>0</v>
      </c>
      <c r="I1045">
        <v>0</v>
      </c>
      <c r="J1045">
        <v>0</v>
      </c>
      <c r="K1045">
        <v>0</v>
      </c>
      <c r="L1045" t="s">
        <v>3284</v>
      </c>
      <c r="M1045" t="s">
        <v>3296</v>
      </c>
      <c r="N1045" t="s">
        <v>3321</v>
      </c>
      <c r="O1045" t="s">
        <v>3322</v>
      </c>
      <c r="P1045" t="s">
        <v>3271</v>
      </c>
      <c r="Q1045" t="s">
        <v>4214</v>
      </c>
      <c r="R1045" t="s">
        <v>5961</v>
      </c>
    </row>
    <row r="1046" spans="1:18" x14ac:dyDescent="0.2">
      <c r="A1046">
        <v>2898186</v>
      </c>
      <c r="B1046" t="s">
        <v>5962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1</v>
      </c>
      <c r="J1046">
        <v>0</v>
      </c>
      <c r="K1046">
        <v>0</v>
      </c>
      <c r="L1046" t="s">
        <v>3284</v>
      </c>
      <c r="M1046" t="s">
        <v>3307</v>
      </c>
      <c r="N1046" t="s">
        <v>3308</v>
      </c>
      <c r="O1046" t="s">
        <v>3446</v>
      </c>
      <c r="P1046" t="s">
        <v>3447</v>
      </c>
      <c r="Q1046" t="s">
        <v>3448</v>
      </c>
      <c r="R1046" t="s">
        <v>5963</v>
      </c>
    </row>
    <row r="1047" spans="1:18" x14ac:dyDescent="0.2">
      <c r="A1047">
        <v>2897777</v>
      </c>
      <c r="B1047" t="s">
        <v>5964</v>
      </c>
      <c r="C1047">
        <v>0</v>
      </c>
      <c r="D1047">
        <v>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 t="s">
        <v>3284</v>
      </c>
      <c r="M1047" t="s">
        <v>3327</v>
      </c>
      <c r="N1047" t="s">
        <v>3328</v>
      </c>
      <c r="O1047" t="s">
        <v>3329</v>
      </c>
      <c r="P1047" t="s">
        <v>3330</v>
      </c>
      <c r="Q1047" t="s">
        <v>3331</v>
      </c>
      <c r="R1047" t="s">
        <v>5965</v>
      </c>
    </row>
    <row r="1048" spans="1:18" x14ac:dyDescent="0.2">
      <c r="A1048">
        <v>2897707</v>
      </c>
      <c r="B1048" t="s">
        <v>5966</v>
      </c>
      <c r="C1048">
        <v>0</v>
      </c>
      <c r="D1048">
        <v>1</v>
      </c>
      <c r="E1048">
        <v>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 t="s">
        <v>3284</v>
      </c>
      <c r="M1048" t="s">
        <v>3327</v>
      </c>
      <c r="N1048" t="s">
        <v>3328</v>
      </c>
      <c r="O1048" t="s">
        <v>3329</v>
      </c>
      <c r="P1048" t="s">
        <v>4620</v>
      </c>
      <c r="Q1048" t="s">
        <v>5967</v>
      </c>
      <c r="R1048" t="s">
        <v>5968</v>
      </c>
    </row>
    <row r="1049" spans="1:18" x14ac:dyDescent="0.2">
      <c r="A1049">
        <v>2897414</v>
      </c>
      <c r="B1049" t="s">
        <v>5969</v>
      </c>
      <c r="C1049">
        <v>0</v>
      </c>
      <c r="D1049">
        <v>1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 t="s">
        <v>3284</v>
      </c>
      <c r="M1049" t="s">
        <v>3327</v>
      </c>
      <c r="N1049" t="s">
        <v>4384</v>
      </c>
      <c r="O1049" t="s">
        <v>4605</v>
      </c>
      <c r="P1049" t="s">
        <v>5970</v>
      </c>
      <c r="Q1049" t="s">
        <v>5971</v>
      </c>
      <c r="R1049" t="s">
        <v>5972</v>
      </c>
    </row>
    <row r="1050" spans="1:18" x14ac:dyDescent="0.2">
      <c r="A1050">
        <v>2897332</v>
      </c>
      <c r="B1050" t="s">
        <v>5973</v>
      </c>
      <c r="C1050">
        <v>0</v>
      </c>
      <c r="D1050">
        <v>0</v>
      </c>
      <c r="E1050">
        <v>0</v>
      </c>
      <c r="F1050">
        <v>1</v>
      </c>
      <c r="G1050">
        <v>0</v>
      </c>
      <c r="H1050">
        <v>0</v>
      </c>
      <c r="I1050">
        <v>1</v>
      </c>
      <c r="J1050">
        <v>1</v>
      </c>
      <c r="K1050">
        <v>0</v>
      </c>
      <c r="L1050" t="s">
        <v>3284</v>
      </c>
      <c r="M1050" t="s">
        <v>3296</v>
      </c>
      <c r="N1050" t="s">
        <v>3343</v>
      </c>
      <c r="O1050" t="s">
        <v>3429</v>
      </c>
      <c r="P1050" t="s">
        <v>3430</v>
      </c>
      <c r="Q1050" t="s">
        <v>3651</v>
      </c>
      <c r="R1050" t="s">
        <v>5974</v>
      </c>
    </row>
    <row r="1051" spans="1:18" x14ac:dyDescent="0.2">
      <c r="A1051">
        <v>2897327</v>
      </c>
      <c r="B1051" t="s">
        <v>5975</v>
      </c>
      <c r="C1051">
        <v>0</v>
      </c>
      <c r="D1051">
        <v>0</v>
      </c>
      <c r="E1051">
        <v>0</v>
      </c>
      <c r="F1051">
        <v>1</v>
      </c>
      <c r="G1051">
        <v>3</v>
      </c>
      <c r="H1051">
        <v>0</v>
      </c>
      <c r="I1051">
        <v>0</v>
      </c>
      <c r="J1051">
        <v>0</v>
      </c>
      <c r="K1051">
        <v>0</v>
      </c>
      <c r="L1051" t="s">
        <v>3284</v>
      </c>
      <c r="M1051" t="s">
        <v>3391</v>
      </c>
      <c r="N1051" t="s">
        <v>3392</v>
      </c>
      <c r="O1051" t="s">
        <v>3393</v>
      </c>
      <c r="P1051" t="s">
        <v>3394</v>
      </c>
      <c r="Q1051" t="s">
        <v>3395</v>
      </c>
      <c r="R1051" t="s">
        <v>5976</v>
      </c>
    </row>
    <row r="1052" spans="1:18" x14ac:dyDescent="0.2">
      <c r="A1052">
        <v>2897181</v>
      </c>
      <c r="B1052" t="s">
        <v>5977</v>
      </c>
      <c r="C1052">
        <v>1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 t="s">
        <v>3284</v>
      </c>
      <c r="M1052" t="s">
        <v>3391</v>
      </c>
      <c r="N1052" t="s">
        <v>3411</v>
      </c>
      <c r="O1052" t="s">
        <v>3412</v>
      </c>
      <c r="P1052" t="s">
        <v>3413</v>
      </c>
      <c r="Q1052" t="s">
        <v>3414</v>
      </c>
      <c r="R1052" t="s">
        <v>5978</v>
      </c>
    </row>
    <row r="1053" spans="1:18" x14ac:dyDescent="0.2">
      <c r="A1053">
        <v>2897159</v>
      </c>
      <c r="B1053" t="s">
        <v>5979</v>
      </c>
      <c r="C1053">
        <v>0</v>
      </c>
      <c r="D1053">
        <v>0</v>
      </c>
      <c r="E1053">
        <v>0</v>
      </c>
      <c r="F1053">
        <v>0</v>
      </c>
      <c r="G1053">
        <v>1</v>
      </c>
      <c r="H1053">
        <v>0</v>
      </c>
      <c r="I1053">
        <v>0</v>
      </c>
      <c r="J1053">
        <v>0</v>
      </c>
      <c r="K1053">
        <v>0</v>
      </c>
      <c r="L1053" t="s">
        <v>3284</v>
      </c>
      <c r="M1053" t="s">
        <v>3296</v>
      </c>
      <c r="N1053" t="s">
        <v>3321</v>
      </c>
      <c r="O1053" t="s">
        <v>3322</v>
      </c>
      <c r="P1053" t="s">
        <v>3671</v>
      </c>
      <c r="Q1053" t="s">
        <v>5980</v>
      </c>
      <c r="R1053" t="s">
        <v>5981</v>
      </c>
    </row>
    <row r="1054" spans="1:18" x14ac:dyDescent="0.2">
      <c r="A1054">
        <v>2896849</v>
      </c>
      <c r="B1054" t="s">
        <v>5982</v>
      </c>
      <c r="C1054">
        <v>0</v>
      </c>
      <c r="D1054">
        <v>0</v>
      </c>
      <c r="E1054">
        <v>0</v>
      </c>
      <c r="F1054">
        <v>17</v>
      </c>
      <c r="G1054">
        <v>8</v>
      </c>
      <c r="H1054">
        <v>0</v>
      </c>
      <c r="I1054">
        <v>0</v>
      </c>
      <c r="J1054">
        <v>0</v>
      </c>
      <c r="K1054">
        <v>0</v>
      </c>
      <c r="L1054" t="s">
        <v>3284</v>
      </c>
      <c r="M1054" t="s">
        <v>3296</v>
      </c>
      <c r="N1054" t="s">
        <v>3343</v>
      </c>
      <c r="O1054" t="s">
        <v>3349</v>
      </c>
      <c r="P1054" t="s">
        <v>3350</v>
      </c>
      <c r="Q1054" t="s">
        <v>3351</v>
      </c>
      <c r="R1054" t="s">
        <v>5983</v>
      </c>
    </row>
    <row r="1055" spans="1:18" x14ac:dyDescent="0.2">
      <c r="A1055">
        <v>2896315</v>
      </c>
      <c r="B1055" t="s">
        <v>5984</v>
      </c>
      <c r="C1055">
        <v>0</v>
      </c>
      <c r="D1055">
        <v>0</v>
      </c>
      <c r="E1055">
        <v>0</v>
      </c>
      <c r="F1055">
        <v>0</v>
      </c>
      <c r="G1055">
        <v>1</v>
      </c>
      <c r="H1055">
        <v>0</v>
      </c>
      <c r="I1055">
        <v>0</v>
      </c>
      <c r="J1055">
        <v>0</v>
      </c>
      <c r="K1055">
        <v>0</v>
      </c>
      <c r="L1055" t="s">
        <v>3284</v>
      </c>
      <c r="M1055" t="s">
        <v>3296</v>
      </c>
      <c r="N1055" t="s">
        <v>3343</v>
      </c>
      <c r="O1055" t="s">
        <v>3402</v>
      </c>
      <c r="P1055" t="s">
        <v>3403</v>
      </c>
      <c r="Q1055" t="s">
        <v>3536</v>
      </c>
      <c r="R1055" t="s">
        <v>5985</v>
      </c>
    </row>
    <row r="1056" spans="1:18" x14ac:dyDescent="0.2">
      <c r="A1056">
        <v>2895947</v>
      </c>
      <c r="B1056" t="s">
        <v>5986</v>
      </c>
      <c r="C1056">
        <v>2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 t="s">
        <v>3284</v>
      </c>
      <c r="M1056" t="s">
        <v>3391</v>
      </c>
      <c r="N1056" t="s">
        <v>3411</v>
      </c>
      <c r="O1056" t="s">
        <v>3412</v>
      </c>
      <c r="P1056" t="s">
        <v>3413</v>
      </c>
      <c r="Q1056" t="s">
        <v>3414</v>
      </c>
      <c r="R1056" t="s">
        <v>5987</v>
      </c>
    </row>
    <row r="1057" spans="1:18" x14ac:dyDescent="0.2">
      <c r="A1057">
        <v>2895946</v>
      </c>
      <c r="B1057" t="s">
        <v>5988</v>
      </c>
      <c r="C1057">
        <v>0</v>
      </c>
      <c r="D1057">
        <v>0</v>
      </c>
      <c r="E1057">
        <v>0</v>
      </c>
      <c r="F1057">
        <v>2</v>
      </c>
      <c r="G1057">
        <v>0</v>
      </c>
      <c r="H1057">
        <v>0</v>
      </c>
      <c r="I1057">
        <v>0</v>
      </c>
      <c r="J1057">
        <v>0</v>
      </c>
      <c r="K1057">
        <v>0</v>
      </c>
      <c r="L1057" t="s">
        <v>3284</v>
      </c>
      <c r="M1057" t="s">
        <v>3327</v>
      </c>
      <c r="N1057" t="s">
        <v>3376</v>
      </c>
      <c r="O1057" t="s">
        <v>3377</v>
      </c>
      <c r="P1057" t="s">
        <v>3604</v>
      </c>
      <c r="Q1057" t="s">
        <v>3668</v>
      </c>
      <c r="R1057" t="s">
        <v>5989</v>
      </c>
    </row>
    <row r="1058" spans="1:18" x14ac:dyDescent="0.2">
      <c r="A1058">
        <v>2895559</v>
      </c>
      <c r="B1058" t="s">
        <v>5990</v>
      </c>
      <c r="C1058">
        <v>0</v>
      </c>
      <c r="D1058">
        <v>0</v>
      </c>
      <c r="E1058">
        <v>0</v>
      </c>
      <c r="F1058">
        <v>1</v>
      </c>
      <c r="G1058">
        <v>0</v>
      </c>
      <c r="H1058">
        <v>0</v>
      </c>
      <c r="I1058">
        <v>1</v>
      </c>
      <c r="J1058">
        <v>0</v>
      </c>
      <c r="K1058">
        <v>0</v>
      </c>
      <c r="L1058" t="s">
        <v>3284</v>
      </c>
      <c r="M1058" t="s">
        <v>3307</v>
      </c>
      <c r="N1058" t="s">
        <v>3308</v>
      </c>
      <c r="O1058" t="s">
        <v>3359</v>
      </c>
      <c r="P1058" t="s">
        <v>3360</v>
      </c>
      <c r="Q1058" t="s">
        <v>4311</v>
      </c>
      <c r="R1058" t="s">
        <v>5991</v>
      </c>
    </row>
    <row r="1059" spans="1:18" x14ac:dyDescent="0.2">
      <c r="A1059">
        <v>2895522</v>
      </c>
      <c r="B1059" t="s">
        <v>5992</v>
      </c>
      <c r="C1059">
        <v>0</v>
      </c>
      <c r="D1059">
        <v>1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 t="s">
        <v>3284</v>
      </c>
      <c r="M1059" t="s">
        <v>3327</v>
      </c>
      <c r="N1059" t="s">
        <v>3376</v>
      </c>
      <c r="O1059" t="s">
        <v>3377</v>
      </c>
      <c r="P1059" t="s">
        <v>3604</v>
      </c>
      <c r="Q1059" t="s">
        <v>3605</v>
      </c>
      <c r="R1059" t="s">
        <v>5993</v>
      </c>
    </row>
    <row r="1060" spans="1:18" x14ac:dyDescent="0.2">
      <c r="A1060">
        <v>2895491</v>
      </c>
      <c r="B1060" t="s">
        <v>5994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1</v>
      </c>
      <c r="J1060">
        <v>0</v>
      </c>
      <c r="K1060">
        <v>0</v>
      </c>
      <c r="L1060" t="s">
        <v>3284</v>
      </c>
      <c r="M1060" t="s">
        <v>3296</v>
      </c>
      <c r="N1060" t="s">
        <v>3297</v>
      </c>
      <c r="O1060" t="s">
        <v>3434</v>
      </c>
      <c r="P1060" t="s">
        <v>3435</v>
      </c>
      <c r="Q1060" t="s">
        <v>3436</v>
      </c>
      <c r="R1060" t="s">
        <v>5995</v>
      </c>
    </row>
    <row r="1061" spans="1:18" x14ac:dyDescent="0.2">
      <c r="A1061">
        <v>2895477</v>
      </c>
      <c r="B1061" t="s">
        <v>5996</v>
      </c>
      <c r="C1061">
        <v>0</v>
      </c>
      <c r="D1061">
        <v>1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 t="s">
        <v>3284</v>
      </c>
      <c r="M1061" t="s">
        <v>3296</v>
      </c>
      <c r="N1061" t="s">
        <v>3297</v>
      </c>
      <c r="O1061" t="s">
        <v>3434</v>
      </c>
      <c r="P1061" t="s">
        <v>3435</v>
      </c>
      <c r="Q1061" t="s">
        <v>3436</v>
      </c>
      <c r="R1061" t="s">
        <v>5997</v>
      </c>
    </row>
    <row r="1062" spans="1:18" x14ac:dyDescent="0.2">
      <c r="A1062">
        <v>2895286</v>
      </c>
      <c r="B1062" t="s">
        <v>5998</v>
      </c>
      <c r="C1062">
        <v>1</v>
      </c>
      <c r="D1062">
        <v>0</v>
      </c>
      <c r="E1062">
        <v>0</v>
      </c>
      <c r="F1062">
        <v>1</v>
      </c>
      <c r="G1062">
        <v>1</v>
      </c>
      <c r="H1062">
        <v>0</v>
      </c>
      <c r="I1062">
        <v>0</v>
      </c>
      <c r="J1062">
        <v>0</v>
      </c>
      <c r="K1062">
        <v>0</v>
      </c>
      <c r="L1062" t="s">
        <v>3284</v>
      </c>
      <c r="M1062" t="s">
        <v>3391</v>
      </c>
      <c r="N1062" t="s">
        <v>3392</v>
      </c>
      <c r="O1062" t="s">
        <v>3393</v>
      </c>
      <c r="P1062" t="s">
        <v>3394</v>
      </c>
      <c r="Q1062" t="s">
        <v>3395</v>
      </c>
      <c r="R1062" t="s">
        <v>5999</v>
      </c>
    </row>
    <row r="1063" spans="1:18" x14ac:dyDescent="0.2">
      <c r="A1063">
        <v>2894756</v>
      </c>
      <c r="B1063" t="s">
        <v>6000</v>
      </c>
      <c r="C1063">
        <v>0</v>
      </c>
      <c r="D1063">
        <v>2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 t="s">
        <v>3284</v>
      </c>
      <c r="M1063" t="s">
        <v>3327</v>
      </c>
      <c r="N1063" t="s">
        <v>3376</v>
      </c>
      <c r="O1063" t="s">
        <v>3377</v>
      </c>
      <c r="P1063" t="s">
        <v>3378</v>
      </c>
      <c r="Q1063" t="s">
        <v>3379</v>
      </c>
      <c r="R1063" t="s">
        <v>6001</v>
      </c>
    </row>
    <row r="1064" spans="1:18" x14ac:dyDescent="0.2">
      <c r="A1064">
        <v>2894511</v>
      </c>
      <c r="B1064" t="s">
        <v>6002</v>
      </c>
      <c r="C1064">
        <v>0</v>
      </c>
      <c r="D1064">
        <v>0</v>
      </c>
      <c r="E1064">
        <v>0</v>
      </c>
      <c r="F1064">
        <v>1</v>
      </c>
      <c r="G1064">
        <v>0</v>
      </c>
      <c r="H1064">
        <v>0</v>
      </c>
      <c r="I1064">
        <v>0</v>
      </c>
      <c r="J1064">
        <v>0</v>
      </c>
      <c r="K1064">
        <v>0</v>
      </c>
      <c r="L1064" t="s">
        <v>3284</v>
      </c>
      <c r="M1064" t="s">
        <v>3391</v>
      </c>
      <c r="N1064" t="s">
        <v>3411</v>
      </c>
      <c r="O1064" t="s">
        <v>3412</v>
      </c>
      <c r="P1064" t="s">
        <v>3564</v>
      </c>
      <c r="Q1064" t="s">
        <v>3565</v>
      </c>
      <c r="R1064" t="s">
        <v>6003</v>
      </c>
    </row>
    <row r="1065" spans="1:18" x14ac:dyDescent="0.2">
      <c r="A1065">
        <v>2894082</v>
      </c>
      <c r="B1065" t="s">
        <v>6004</v>
      </c>
      <c r="C1065">
        <v>0</v>
      </c>
      <c r="D1065">
        <v>0</v>
      </c>
      <c r="E1065">
        <v>0</v>
      </c>
      <c r="F1065">
        <v>2</v>
      </c>
      <c r="G1065">
        <v>0</v>
      </c>
      <c r="H1065">
        <v>0</v>
      </c>
      <c r="I1065">
        <v>0</v>
      </c>
      <c r="J1065">
        <v>0</v>
      </c>
      <c r="K1065">
        <v>0</v>
      </c>
      <c r="L1065" t="s">
        <v>3284</v>
      </c>
      <c r="M1065" t="s">
        <v>3391</v>
      </c>
      <c r="N1065" t="s">
        <v>3740</v>
      </c>
      <c r="O1065" t="s">
        <v>3741</v>
      </c>
      <c r="P1065" t="s">
        <v>4241</v>
      </c>
      <c r="Q1065" t="s">
        <v>4242</v>
      </c>
      <c r="R1065" t="s">
        <v>6005</v>
      </c>
    </row>
    <row r="1066" spans="1:18" x14ac:dyDescent="0.2">
      <c r="A1066">
        <v>2892541</v>
      </c>
      <c r="B1066" t="s">
        <v>6006</v>
      </c>
      <c r="C1066">
        <v>1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 t="s">
        <v>3284</v>
      </c>
      <c r="M1066" t="s">
        <v>3327</v>
      </c>
      <c r="N1066" t="s">
        <v>3376</v>
      </c>
      <c r="O1066" t="s">
        <v>3377</v>
      </c>
      <c r="P1066" t="s">
        <v>3378</v>
      </c>
      <c r="Q1066" t="s">
        <v>5755</v>
      </c>
      <c r="R1066" t="s">
        <v>6007</v>
      </c>
    </row>
    <row r="1067" spans="1:18" x14ac:dyDescent="0.2">
      <c r="A1067">
        <v>2892015</v>
      </c>
      <c r="B1067" t="s">
        <v>6008</v>
      </c>
      <c r="C1067">
        <v>0</v>
      </c>
      <c r="D1067">
        <v>1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 t="s">
        <v>3284</v>
      </c>
      <c r="M1067" t="s">
        <v>3327</v>
      </c>
      <c r="N1067" t="s">
        <v>3753</v>
      </c>
      <c r="O1067" t="s">
        <v>3754</v>
      </c>
      <c r="P1067" t="s">
        <v>3755</v>
      </c>
      <c r="Q1067" t="s">
        <v>3756</v>
      </c>
      <c r="R1067" t="s">
        <v>6009</v>
      </c>
    </row>
    <row r="1068" spans="1:18" x14ac:dyDescent="0.2">
      <c r="A1068">
        <v>2891571</v>
      </c>
      <c r="B1068" t="s">
        <v>6010</v>
      </c>
      <c r="C1068">
        <v>1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 t="s">
        <v>3284</v>
      </c>
      <c r="M1068" t="s">
        <v>3391</v>
      </c>
      <c r="N1068" t="s">
        <v>4129</v>
      </c>
      <c r="O1068" t="s">
        <v>4130</v>
      </c>
      <c r="P1068" t="s">
        <v>4131</v>
      </c>
      <c r="Q1068" t="s">
        <v>6011</v>
      </c>
      <c r="R1068" t="s">
        <v>6012</v>
      </c>
    </row>
    <row r="1069" spans="1:18" x14ac:dyDescent="0.2">
      <c r="A1069">
        <v>2891207</v>
      </c>
      <c r="B1069" t="s">
        <v>6013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1</v>
      </c>
      <c r="J1069">
        <v>1</v>
      </c>
      <c r="K1069">
        <v>0</v>
      </c>
      <c r="L1069" t="s">
        <v>3284</v>
      </c>
      <c r="M1069" t="s">
        <v>3307</v>
      </c>
      <c r="N1069" t="s">
        <v>3308</v>
      </c>
      <c r="O1069" t="s">
        <v>3359</v>
      </c>
      <c r="P1069" t="s">
        <v>3360</v>
      </c>
      <c r="Q1069" t="s">
        <v>3361</v>
      </c>
      <c r="R1069" t="s">
        <v>6014</v>
      </c>
    </row>
    <row r="1070" spans="1:18" x14ac:dyDescent="0.2">
      <c r="A1070">
        <v>2890321</v>
      </c>
      <c r="B1070" t="s">
        <v>6015</v>
      </c>
      <c r="C1070">
        <v>0</v>
      </c>
      <c r="D1070">
        <v>0</v>
      </c>
      <c r="E1070">
        <v>0</v>
      </c>
      <c r="F1070">
        <v>1</v>
      </c>
      <c r="G1070">
        <v>0</v>
      </c>
      <c r="H1070">
        <v>0</v>
      </c>
      <c r="I1070">
        <v>0</v>
      </c>
      <c r="J1070">
        <v>0</v>
      </c>
      <c r="K1070">
        <v>0</v>
      </c>
      <c r="L1070" t="s">
        <v>3284</v>
      </c>
      <c r="M1070" t="s">
        <v>3296</v>
      </c>
      <c r="N1070" t="s">
        <v>3343</v>
      </c>
      <c r="O1070" t="s">
        <v>3349</v>
      </c>
      <c r="P1070" t="s">
        <v>3350</v>
      </c>
      <c r="Q1070" t="s">
        <v>3580</v>
      </c>
      <c r="R1070" t="s">
        <v>6016</v>
      </c>
    </row>
    <row r="1071" spans="1:18" x14ac:dyDescent="0.2">
      <c r="A1071">
        <v>2890318</v>
      </c>
      <c r="B1071" t="s">
        <v>6017</v>
      </c>
      <c r="C1071">
        <v>0</v>
      </c>
      <c r="D1071">
        <v>0</v>
      </c>
      <c r="E1071">
        <v>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 t="s">
        <v>3284</v>
      </c>
      <c r="M1071" t="s">
        <v>3296</v>
      </c>
      <c r="N1071" t="s">
        <v>3297</v>
      </c>
      <c r="O1071" t="s">
        <v>3298</v>
      </c>
      <c r="P1071" t="s">
        <v>3299</v>
      </c>
      <c r="Q1071" t="s">
        <v>4689</v>
      </c>
      <c r="R1071" t="s">
        <v>6018</v>
      </c>
    </row>
    <row r="1072" spans="1:18" x14ac:dyDescent="0.2">
      <c r="A1072">
        <v>2890316</v>
      </c>
      <c r="B1072" t="s">
        <v>6019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1</v>
      </c>
      <c r="J1072">
        <v>0</v>
      </c>
      <c r="K1072">
        <v>0</v>
      </c>
      <c r="L1072" t="s">
        <v>3284</v>
      </c>
      <c r="M1072" t="s">
        <v>3296</v>
      </c>
      <c r="N1072" t="s">
        <v>3297</v>
      </c>
      <c r="O1072" t="s">
        <v>3298</v>
      </c>
      <c r="P1072" t="s">
        <v>3299</v>
      </c>
      <c r="Q1072" t="s">
        <v>4689</v>
      </c>
      <c r="R1072" t="s">
        <v>6020</v>
      </c>
    </row>
    <row r="1073" spans="1:18" x14ac:dyDescent="0.2">
      <c r="A1073">
        <v>2888525</v>
      </c>
      <c r="B1073" t="s">
        <v>6021</v>
      </c>
      <c r="C1073">
        <v>0</v>
      </c>
      <c r="D1073">
        <v>0</v>
      </c>
      <c r="E1073">
        <v>1</v>
      </c>
      <c r="F1073">
        <v>0</v>
      </c>
      <c r="G1073">
        <v>1</v>
      </c>
      <c r="H1073">
        <v>2</v>
      </c>
      <c r="I1073">
        <v>2</v>
      </c>
      <c r="J1073">
        <v>1</v>
      </c>
      <c r="K1073">
        <v>2</v>
      </c>
      <c r="L1073" t="s">
        <v>3284</v>
      </c>
      <c r="M1073" t="s">
        <v>3296</v>
      </c>
      <c r="N1073" t="s">
        <v>3297</v>
      </c>
      <c r="O1073" t="s">
        <v>3469</v>
      </c>
      <c r="P1073" t="s">
        <v>3470</v>
      </c>
      <c r="Q1073" t="s">
        <v>6022</v>
      </c>
      <c r="R1073" t="s">
        <v>6023</v>
      </c>
    </row>
    <row r="1074" spans="1:18" x14ac:dyDescent="0.2">
      <c r="A1074">
        <v>2887199</v>
      </c>
      <c r="B1074" t="s">
        <v>6024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1</v>
      </c>
      <c r="K1074">
        <v>0</v>
      </c>
      <c r="L1074" t="s">
        <v>3284</v>
      </c>
      <c r="M1074" t="s">
        <v>3296</v>
      </c>
      <c r="N1074" t="s">
        <v>3321</v>
      </c>
      <c r="O1074" t="s">
        <v>3322</v>
      </c>
      <c r="P1074" t="s">
        <v>3323</v>
      </c>
      <c r="Q1074" t="s">
        <v>3324</v>
      </c>
      <c r="R1074" t="s">
        <v>6025</v>
      </c>
    </row>
    <row r="1075" spans="1:18" x14ac:dyDescent="0.2">
      <c r="A1075">
        <v>2886964</v>
      </c>
      <c r="B1075" t="s">
        <v>6026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1</v>
      </c>
      <c r="J1075">
        <v>0</v>
      </c>
      <c r="K1075">
        <v>0</v>
      </c>
      <c r="L1075" t="s">
        <v>3284</v>
      </c>
      <c r="M1075" t="s">
        <v>3296</v>
      </c>
      <c r="N1075" t="s">
        <v>3321</v>
      </c>
      <c r="O1075" t="s">
        <v>5469</v>
      </c>
      <c r="P1075" t="s">
        <v>6027</v>
      </c>
      <c r="Q1075" t="s">
        <v>6028</v>
      </c>
      <c r="R1075" t="s">
        <v>6029</v>
      </c>
    </row>
    <row r="1076" spans="1:18" x14ac:dyDescent="0.2">
      <c r="A1076">
        <v>2886916</v>
      </c>
      <c r="B1076" t="s">
        <v>6030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2</v>
      </c>
      <c r="K1076">
        <v>0</v>
      </c>
      <c r="L1076" t="s">
        <v>3284</v>
      </c>
      <c r="M1076" t="s">
        <v>4022</v>
      </c>
      <c r="N1076" t="s">
        <v>4023</v>
      </c>
      <c r="O1076" t="s">
        <v>6031</v>
      </c>
      <c r="P1076" t="s">
        <v>6032</v>
      </c>
      <c r="Q1076" t="s">
        <v>6033</v>
      </c>
      <c r="R1076" t="s">
        <v>6034</v>
      </c>
    </row>
    <row r="1077" spans="1:18" x14ac:dyDescent="0.2">
      <c r="A1077">
        <v>2886691</v>
      </c>
      <c r="B1077" t="s">
        <v>6035</v>
      </c>
      <c r="C1077">
        <v>0</v>
      </c>
      <c r="D1077">
        <v>1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 t="s">
        <v>3284</v>
      </c>
      <c r="M1077" t="s">
        <v>3307</v>
      </c>
      <c r="N1077" t="s">
        <v>3308</v>
      </c>
      <c r="O1077" t="s">
        <v>3309</v>
      </c>
      <c r="P1077" t="s">
        <v>6036</v>
      </c>
      <c r="Q1077" t="s">
        <v>6037</v>
      </c>
      <c r="R1077" t="s">
        <v>6038</v>
      </c>
    </row>
    <row r="1078" spans="1:18" x14ac:dyDescent="0.2">
      <c r="A1078">
        <v>2886038</v>
      </c>
      <c r="B1078" t="s">
        <v>6039</v>
      </c>
      <c r="C1078">
        <v>3</v>
      </c>
      <c r="D1078">
        <v>5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 t="s">
        <v>3284</v>
      </c>
      <c r="M1078" t="s">
        <v>3327</v>
      </c>
      <c r="N1078" t="s">
        <v>3328</v>
      </c>
      <c r="O1078" t="s">
        <v>3329</v>
      </c>
      <c r="P1078" t="s">
        <v>3330</v>
      </c>
      <c r="Q1078" t="s">
        <v>3331</v>
      </c>
      <c r="R1078" t="s">
        <v>6040</v>
      </c>
    </row>
    <row r="1079" spans="1:18" x14ac:dyDescent="0.2">
      <c r="A1079">
        <v>2885206</v>
      </c>
      <c r="B1079" t="s">
        <v>6041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1</v>
      </c>
      <c r="K1079">
        <v>0</v>
      </c>
      <c r="L1079" t="s">
        <v>3284</v>
      </c>
      <c r="M1079" t="s">
        <v>3307</v>
      </c>
      <c r="N1079" t="s">
        <v>3308</v>
      </c>
      <c r="O1079" t="s">
        <v>3359</v>
      </c>
      <c r="P1079" t="s">
        <v>3588</v>
      </c>
      <c r="Q1079" t="s">
        <v>4970</v>
      </c>
      <c r="R1079" t="s">
        <v>6042</v>
      </c>
    </row>
    <row r="1080" spans="1:18" x14ac:dyDescent="0.2">
      <c r="A1080">
        <v>2885159</v>
      </c>
      <c r="B1080" t="s">
        <v>6043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1</v>
      </c>
      <c r="K1080">
        <v>0</v>
      </c>
      <c r="L1080" t="s">
        <v>3284</v>
      </c>
      <c r="M1080" t="s">
        <v>3327</v>
      </c>
      <c r="N1080" t="s">
        <v>3376</v>
      </c>
      <c r="O1080" t="s">
        <v>3718</v>
      </c>
      <c r="P1080" t="s">
        <v>6044</v>
      </c>
      <c r="Q1080" t="s">
        <v>6045</v>
      </c>
      <c r="R1080" t="s">
        <v>6046</v>
      </c>
    </row>
    <row r="1081" spans="1:18" x14ac:dyDescent="0.2">
      <c r="A1081">
        <v>2884264</v>
      </c>
      <c r="B1081" t="s">
        <v>6047</v>
      </c>
      <c r="C1081">
        <v>0</v>
      </c>
      <c r="D1081">
        <v>0</v>
      </c>
      <c r="E1081">
        <v>0</v>
      </c>
      <c r="F1081">
        <v>24</v>
      </c>
      <c r="G1081">
        <v>9</v>
      </c>
      <c r="H1081">
        <v>0</v>
      </c>
      <c r="I1081">
        <v>0</v>
      </c>
      <c r="J1081">
        <v>0</v>
      </c>
      <c r="K1081">
        <v>0</v>
      </c>
      <c r="L1081" t="s">
        <v>3284</v>
      </c>
      <c r="M1081" t="s">
        <v>3307</v>
      </c>
      <c r="N1081" t="s">
        <v>3308</v>
      </c>
      <c r="O1081" t="s">
        <v>3309</v>
      </c>
      <c r="P1081" t="s">
        <v>3310</v>
      </c>
      <c r="Q1081" t="s">
        <v>3311</v>
      </c>
      <c r="R1081" t="s">
        <v>6048</v>
      </c>
    </row>
    <row r="1082" spans="1:18" x14ac:dyDescent="0.2">
      <c r="A1082">
        <v>2883505</v>
      </c>
      <c r="B1082" t="s">
        <v>6049</v>
      </c>
      <c r="C1082">
        <v>0</v>
      </c>
      <c r="D1082">
        <v>0</v>
      </c>
      <c r="E1082">
        <v>0</v>
      </c>
      <c r="F1082">
        <v>1</v>
      </c>
      <c r="G1082">
        <v>0</v>
      </c>
      <c r="H1082">
        <v>0</v>
      </c>
      <c r="I1082">
        <v>0</v>
      </c>
      <c r="J1082">
        <v>0</v>
      </c>
      <c r="K1082">
        <v>0</v>
      </c>
      <c r="L1082" t="s">
        <v>3284</v>
      </c>
      <c r="M1082" t="s">
        <v>3307</v>
      </c>
      <c r="N1082" t="s">
        <v>3308</v>
      </c>
      <c r="O1082" t="s">
        <v>3635</v>
      </c>
      <c r="P1082" t="s">
        <v>4011</v>
      </c>
      <c r="Q1082" t="s">
        <v>4012</v>
      </c>
      <c r="R1082" t="s">
        <v>6050</v>
      </c>
    </row>
    <row r="1083" spans="1:18" x14ac:dyDescent="0.2">
      <c r="A1083">
        <v>2883479</v>
      </c>
      <c r="B1083" t="s">
        <v>6051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1</v>
      </c>
      <c r="J1083">
        <v>0</v>
      </c>
      <c r="K1083">
        <v>0</v>
      </c>
      <c r="L1083" t="s">
        <v>3284</v>
      </c>
      <c r="M1083" t="s">
        <v>3296</v>
      </c>
      <c r="N1083" t="s">
        <v>3343</v>
      </c>
      <c r="O1083" t="s">
        <v>3429</v>
      </c>
      <c r="P1083" t="s">
        <v>3430</v>
      </c>
      <c r="Q1083" t="s">
        <v>6052</v>
      </c>
      <c r="R1083" t="s">
        <v>6053</v>
      </c>
    </row>
    <row r="1084" spans="1:18" x14ac:dyDescent="0.2">
      <c r="A1084">
        <v>2883245</v>
      </c>
      <c r="B1084" t="s">
        <v>6054</v>
      </c>
      <c r="C1084">
        <v>0</v>
      </c>
      <c r="D1084">
        <v>0</v>
      </c>
      <c r="E1084">
        <v>0</v>
      </c>
      <c r="F1084">
        <v>1</v>
      </c>
      <c r="G1084">
        <v>0</v>
      </c>
      <c r="H1084">
        <v>0</v>
      </c>
      <c r="I1084">
        <v>0</v>
      </c>
      <c r="J1084">
        <v>0</v>
      </c>
      <c r="K1084">
        <v>0</v>
      </c>
      <c r="L1084" t="s">
        <v>3284</v>
      </c>
      <c r="M1084" t="s">
        <v>3296</v>
      </c>
      <c r="N1084" t="s">
        <v>3321</v>
      </c>
      <c r="O1084" t="s">
        <v>3322</v>
      </c>
      <c r="P1084" t="s">
        <v>3423</v>
      </c>
      <c r="Q1084" t="s">
        <v>4357</v>
      </c>
      <c r="R1084" t="s">
        <v>6055</v>
      </c>
    </row>
    <row r="1085" spans="1:18" x14ac:dyDescent="0.2">
      <c r="A1085">
        <v>2880967</v>
      </c>
      <c r="B1085" t="s">
        <v>6056</v>
      </c>
      <c r="C1085">
        <v>1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 t="s">
        <v>3284</v>
      </c>
      <c r="M1085" t="s">
        <v>3327</v>
      </c>
      <c r="N1085" t="s">
        <v>3376</v>
      </c>
      <c r="O1085" t="s">
        <v>3377</v>
      </c>
      <c r="P1085" t="s">
        <v>3378</v>
      </c>
      <c r="Q1085" t="s">
        <v>6057</v>
      </c>
      <c r="R1085" t="s">
        <v>6058</v>
      </c>
    </row>
    <row r="1086" spans="1:18" x14ac:dyDescent="0.2">
      <c r="A1086">
        <v>2880934</v>
      </c>
      <c r="B1086" t="s">
        <v>6059</v>
      </c>
      <c r="C1086">
        <v>0</v>
      </c>
      <c r="D1086">
        <v>0</v>
      </c>
      <c r="E1086">
        <v>0</v>
      </c>
      <c r="F1086">
        <v>1</v>
      </c>
      <c r="G1086">
        <v>0</v>
      </c>
      <c r="H1086">
        <v>0</v>
      </c>
      <c r="I1086">
        <v>3</v>
      </c>
      <c r="J1086">
        <v>1</v>
      </c>
      <c r="K1086">
        <v>1</v>
      </c>
      <c r="L1086" t="s">
        <v>3284</v>
      </c>
      <c r="M1086" t="s">
        <v>3296</v>
      </c>
      <c r="N1086" t="s">
        <v>3343</v>
      </c>
      <c r="O1086" t="s">
        <v>3344</v>
      </c>
      <c r="P1086" t="s">
        <v>3898</v>
      </c>
      <c r="Q1086" t="s">
        <v>3899</v>
      </c>
      <c r="R1086" t="s">
        <v>6060</v>
      </c>
    </row>
    <row r="1087" spans="1:18" x14ac:dyDescent="0.2">
      <c r="A1087">
        <v>2880648</v>
      </c>
      <c r="B1087" t="s">
        <v>6061</v>
      </c>
      <c r="C1087">
        <v>18</v>
      </c>
      <c r="D1087">
        <v>19</v>
      </c>
      <c r="E1087">
        <v>4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 t="s">
        <v>3284</v>
      </c>
      <c r="M1087" t="s">
        <v>3327</v>
      </c>
      <c r="N1087" t="s">
        <v>3328</v>
      </c>
      <c r="O1087" t="s">
        <v>3329</v>
      </c>
      <c r="P1087" t="s">
        <v>3330</v>
      </c>
      <c r="Q1087" t="s">
        <v>3331</v>
      </c>
      <c r="R1087" t="s">
        <v>6062</v>
      </c>
    </row>
    <row r="1088" spans="1:18" x14ac:dyDescent="0.2">
      <c r="A1088">
        <v>2880260</v>
      </c>
      <c r="B1088" t="s">
        <v>6063</v>
      </c>
      <c r="C1088">
        <v>0</v>
      </c>
      <c r="D1088">
        <v>0</v>
      </c>
      <c r="E1088">
        <v>0</v>
      </c>
      <c r="F1088">
        <v>0</v>
      </c>
      <c r="G1088">
        <v>1</v>
      </c>
      <c r="H1088">
        <v>0</v>
      </c>
      <c r="I1088">
        <v>5</v>
      </c>
      <c r="J1088">
        <v>1</v>
      </c>
      <c r="K1088">
        <v>0</v>
      </c>
      <c r="L1088" t="s">
        <v>3284</v>
      </c>
      <c r="M1088" t="s">
        <v>3307</v>
      </c>
      <c r="N1088" t="s">
        <v>3308</v>
      </c>
      <c r="O1088" t="s">
        <v>3359</v>
      </c>
      <c r="P1088" t="s">
        <v>3360</v>
      </c>
      <c r="Q1088" t="s">
        <v>6064</v>
      </c>
      <c r="R1088" t="s">
        <v>6065</v>
      </c>
    </row>
    <row r="1089" spans="1:18" x14ac:dyDescent="0.2">
      <c r="A1089">
        <v>2879942</v>
      </c>
      <c r="B1089" t="s">
        <v>6066</v>
      </c>
      <c r="C1089">
        <v>0</v>
      </c>
      <c r="D1089">
        <v>0</v>
      </c>
      <c r="E1089">
        <v>0</v>
      </c>
      <c r="F1089">
        <v>1</v>
      </c>
      <c r="G1089">
        <v>0</v>
      </c>
      <c r="H1089">
        <v>0</v>
      </c>
      <c r="I1089">
        <v>0</v>
      </c>
      <c r="J1089">
        <v>0</v>
      </c>
      <c r="K1089">
        <v>0</v>
      </c>
      <c r="L1089" t="s">
        <v>3284</v>
      </c>
      <c r="M1089" t="s">
        <v>3296</v>
      </c>
      <c r="N1089" t="s">
        <v>3343</v>
      </c>
      <c r="O1089" t="s">
        <v>3344</v>
      </c>
      <c r="P1089" t="s">
        <v>3355</v>
      </c>
      <c r="Q1089" t="s">
        <v>3356</v>
      </c>
      <c r="R1089" t="s">
        <v>6067</v>
      </c>
    </row>
    <row r="1090" spans="1:18" x14ac:dyDescent="0.2">
      <c r="A1090">
        <v>2879118</v>
      </c>
      <c r="B1090" t="s">
        <v>6068</v>
      </c>
      <c r="C1090">
        <v>0</v>
      </c>
      <c r="D1090">
        <v>1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 t="s">
        <v>3284</v>
      </c>
      <c r="M1090" t="s">
        <v>3296</v>
      </c>
      <c r="N1090" t="s">
        <v>3343</v>
      </c>
      <c r="O1090" t="s">
        <v>3349</v>
      </c>
      <c r="P1090" t="s">
        <v>3350</v>
      </c>
      <c r="Q1090" t="s">
        <v>3351</v>
      </c>
      <c r="R1090" t="s">
        <v>6069</v>
      </c>
    </row>
    <row r="1091" spans="1:18" x14ac:dyDescent="0.2">
      <c r="A1091">
        <v>2879116</v>
      </c>
      <c r="B1091" t="s">
        <v>6070</v>
      </c>
      <c r="C1091">
        <v>0</v>
      </c>
      <c r="D1091">
        <v>2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 t="s">
        <v>3284</v>
      </c>
      <c r="M1091" t="s">
        <v>3296</v>
      </c>
      <c r="N1091" t="s">
        <v>3343</v>
      </c>
      <c r="O1091" t="s">
        <v>3344</v>
      </c>
      <c r="P1091" t="s">
        <v>4076</v>
      </c>
      <c r="Q1091" t="s">
        <v>6071</v>
      </c>
      <c r="R1091" t="s">
        <v>6072</v>
      </c>
    </row>
    <row r="1092" spans="1:18" x14ac:dyDescent="0.2">
      <c r="A1092">
        <v>2878537</v>
      </c>
      <c r="B1092" t="s">
        <v>6073</v>
      </c>
      <c r="C1092">
        <v>0</v>
      </c>
      <c r="D1092">
        <v>1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 t="s">
        <v>3284</v>
      </c>
      <c r="M1092" t="s">
        <v>3296</v>
      </c>
      <c r="N1092" t="s">
        <v>3297</v>
      </c>
      <c r="O1092" t="s">
        <v>3298</v>
      </c>
      <c r="P1092" t="s">
        <v>3826</v>
      </c>
      <c r="Q1092" t="s">
        <v>6074</v>
      </c>
      <c r="R1092" t="s">
        <v>6075</v>
      </c>
    </row>
    <row r="1093" spans="1:18" x14ac:dyDescent="0.2">
      <c r="A1093">
        <v>2877939</v>
      </c>
      <c r="B1093" t="s">
        <v>6076</v>
      </c>
      <c r="C1093">
        <v>4</v>
      </c>
      <c r="D1093">
        <v>6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 t="s">
        <v>3284</v>
      </c>
      <c r="M1093" t="s">
        <v>3296</v>
      </c>
      <c r="N1093" t="s">
        <v>3321</v>
      </c>
      <c r="O1093" t="s">
        <v>5306</v>
      </c>
      <c r="P1093" t="s">
        <v>5307</v>
      </c>
      <c r="Q1093" t="s">
        <v>5308</v>
      </c>
      <c r="R1093" t="s">
        <v>6077</v>
      </c>
    </row>
    <row r="1094" spans="1:18" x14ac:dyDescent="0.2">
      <c r="A1094">
        <v>2876653</v>
      </c>
      <c r="B1094" t="s">
        <v>6078</v>
      </c>
      <c r="C1094">
        <v>0</v>
      </c>
      <c r="D1094">
        <v>0</v>
      </c>
      <c r="E1094">
        <v>0</v>
      </c>
      <c r="F1094">
        <v>2</v>
      </c>
      <c r="G1094">
        <v>2</v>
      </c>
      <c r="H1094">
        <v>1</v>
      </c>
      <c r="I1094">
        <v>23</v>
      </c>
      <c r="J1094">
        <v>10</v>
      </c>
      <c r="K1094">
        <v>7</v>
      </c>
      <c r="L1094" t="s">
        <v>3284</v>
      </c>
      <c r="M1094" t="s">
        <v>3296</v>
      </c>
      <c r="N1094" t="s">
        <v>3343</v>
      </c>
      <c r="O1094" t="s">
        <v>3344</v>
      </c>
      <c r="P1094" t="s">
        <v>3898</v>
      </c>
      <c r="Q1094" t="s">
        <v>3899</v>
      </c>
      <c r="R1094" t="s">
        <v>6079</v>
      </c>
    </row>
    <row r="1095" spans="1:18" x14ac:dyDescent="0.2">
      <c r="A1095">
        <v>2876566</v>
      </c>
      <c r="B1095" t="s">
        <v>6080</v>
      </c>
      <c r="C1095">
        <v>0</v>
      </c>
      <c r="D1095">
        <v>0</v>
      </c>
      <c r="E1095">
        <v>0</v>
      </c>
      <c r="F1095">
        <v>0</v>
      </c>
      <c r="G1095">
        <v>1</v>
      </c>
      <c r="H1095">
        <v>0</v>
      </c>
      <c r="I1095">
        <v>1</v>
      </c>
      <c r="J1095">
        <v>0</v>
      </c>
      <c r="K1095">
        <v>0</v>
      </c>
      <c r="L1095" t="s">
        <v>3284</v>
      </c>
      <c r="M1095" t="s">
        <v>3296</v>
      </c>
      <c r="N1095" t="s">
        <v>3321</v>
      </c>
      <c r="O1095" t="s">
        <v>3322</v>
      </c>
      <c r="P1095" t="s">
        <v>3398</v>
      </c>
      <c r="Q1095" t="s">
        <v>3556</v>
      </c>
      <c r="R1095" t="s">
        <v>6081</v>
      </c>
    </row>
    <row r="1096" spans="1:18" x14ac:dyDescent="0.2">
      <c r="A1096">
        <v>2876559</v>
      </c>
      <c r="B1096" t="s">
        <v>6082</v>
      </c>
      <c r="C1096">
        <v>0</v>
      </c>
      <c r="D1096">
        <v>0</v>
      </c>
      <c r="E1096">
        <v>0</v>
      </c>
      <c r="F1096">
        <v>1</v>
      </c>
      <c r="G1096">
        <v>3</v>
      </c>
      <c r="H1096">
        <v>0</v>
      </c>
      <c r="I1096">
        <v>0</v>
      </c>
      <c r="J1096">
        <v>0</v>
      </c>
      <c r="K1096">
        <v>0</v>
      </c>
      <c r="L1096" t="s">
        <v>3284</v>
      </c>
      <c r="M1096" t="s">
        <v>3391</v>
      </c>
      <c r="N1096" t="s">
        <v>3392</v>
      </c>
      <c r="O1096" t="s">
        <v>3393</v>
      </c>
      <c r="P1096" t="s">
        <v>3394</v>
      </c>
      <c r="Q1096" t="s">
        <v>3395</v>
      </c>
      <c r="R1096" t="s">
        <v>6083</v>
      </c>
    </row>
    <row r="1097" spans="1:18" x14ac:dyDescent="0.2">
      <c r="A1097">
        <v>2876558</v>
      </c>
      <c r="B1097" t="s">
        <v>6084</v>
      </c>
      <c r="C1097">
        <v>0</v>
      </c>
      <c r="D1097">
        <v>0</v>
      </c>
      <c r="E1097">
        <v>0</v>
      </c>
      <c r="F1097">
        <v>1</v>
      </c>
      <c r="G1097">
        <v>3</v>
      </c>
      <c r="H1097">
        <v>0</v>
      </c>
      <c r="I1097">
        <v>0</v>
      </c>
      <c r="J1097">
        <v>0</v>
      </c>
      <c r="K1097">
        <v>0</v>
      </c>
      <c r="L1097" t="s">
        <v>3284</v>
      </c>
      <c r="M1097" t="s">
        <v>3391</v>
      </c>
      <c r="N1097" t="s">
        <v>3392</v>
      </c>
      <c r="O1097" t="s">
        <v>3393</v>
      </c>
      <c r="P1097" t="s">
        <v>3394</v>
      </c>
      <c r="Q1097" t="s">
        <v>3395</v>
      </c>
      <c r="R1097" t="s">
        <v>6085</v>
      </c>
    </row>
    <row r="1098" spans="1:18" x14ac:dyDescent="0.2">
      <c r="A1098">
        <v>2876557</v>
      </c>
      <c r="B1098" t="s">
        <v>6086</v>
      </c>
      <c r="C1098">
        <v>0</v>
      </c>
      <c r="D1098">
        <v>0</v>
      </c>
      <c r="E1098">
        <v>0</v>
      </c>
      <c r="F1098">
        <v>1</v>
      </c>
      <c r="G1098">
        <v>0</v>
      </c>
      <c r="H1098">
        <v>0</v>
      </c>
      <c r="I1098">
        <v>0</v>
      </c>
      <c r="J1098">
        <v>0</v>
      </c>
      <c r="K1098">
        <v>0</v>
      </c>
      <c r="L1098" t="s">
        <v>3284</v>
      </c>
      <c r="M1098" t="s">
        <v>3391</v>
      </c>
      <c r="N1098" t="s">
        <v>3392</v>
      </c>
      <c r="O1098" t="s">
        <v>3393</v>
      </c>
      <c r="P1098" t="s">
        <v>3394</v>
      </c>
      <c r="Q1098" t="s">
        <v>3395</v>
      </c>
      <c r="R1098" t="s">
        <v>6087</v>
      </c>
    </row>
    <row r="1099" spans="1:18" x14ac:dyDescent="0.2">
      <c r="A1099">
        <v>2876078</v>
      </c>
      <c r="B1099" t="s">
        <v>6088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1</v>
      </c>
      <c r="K1099">
        <v>0</v>
      </c>
      <c r="L1099" t="s">
        <v>3284</v>
      </c>
      <c r="M1099" t="s">
        <v>3296</v>
      </c>
      <c r="N1099" t="s">
        <v>3343</v>
      </c>
      <c r="O1099" t="s">
        <v>3344</v>
      </c>
      <c r="P1099" t="s">
        <v>6089</v>
      </c>
      <c r="Q1099" t="s">
        <v>6090</v>
      </c>
      <c r="R1099" t="s">
        <v>6091</v>
      </c>
    </row>
    <row r="1100" spans="1:18" x14ac:dyDescent="0.2">
      <c r="A1100">
        <v>2875948</v>
      </c>
      <c r="B1100" t="s">
        <v>6092</v>
      </c>
      <c r="C1100">
        <v>0</v>
      </c>
      <c r="D1100">
        <v>1</v>
      </c>
      <c r="E1100">
        <v>0</v>
      </c>
      <c r="F1100">
        <v>0</v>
      </c>
      <c r="G1100">
        <v>0</v>
      </c>
      <c r="H1100">
        <v>0</v>
      </c>
      <c r="I1100">
        <v>1</v>
      </c>
      <c r="J1100">
        <v>0</v>
      </c>
      <c r="K1100">
        <v>0</v>
      </c>
      <c r="L1100" t="s">
        <v>3284</v>
      </c>
      <c r="M1100" t="s">
        <v>3307</v>
      </c>
      <c r="N1100" t="s">
        <v>3308</v>
      </c>
      <c r="O1100" t="s">
        <v>3359</v>
      </c>
      <c r="P1100" t="s">
        <v>3360</v>
      </c>
      <c r="Q1100" t="s">
        <v>3361</v>
      </c>
      <c r="R1100" t="s">
        <v>6093</v>
      </c>
    </row>
    <row r="1101" spans="1:18" x14ac:dyDescent="0.2">
      <c r="A1101">
        <v>2875729</v>
      </c>
      <c r="B1101" t="s">
        <v>6094</v>
      </c>
      <c r="C1101">
        <v>0</v>
      </c>
      <c r="D1101">
        <v>0</v>
      </c>
      <c r="E1101">
        <v>0</v>
      </c>
      <c r="F1101">
        <v>0</v>
      </c>
      <c r="G1101">
        <v>1</v>
      </c>
      <c r="H1101">
        <v>0</v>
      </c>
      <c r="I1101">
        <v>0</v>
      </c>
      <c r="J1101">
        <v>0</v>
      </c>
      <c r="K1101">
        <v>0</v>
      </c>
      <c r="L1101" t="s">
        <v>3284</v>
      </c>
      <c r="M1101" t="s">
        <v>3307</v>
      </c>
      <c r="N1101" t="s">
        <v>3308</v>
      </c>
      <c r="O1101" t="s">
        <v>3359</v>
      </c>
      <c r="P1101" t="s">
        <v>3360</v>
      </c>
      <c r="Q1101" t="s">
        <v>5690</v>
      </c>
      <c r="R1101" t="s">
        <v>6095</v>
      </c>
    </row>
    <row r="1102" spans="1:18" x14ac:dyDescent="0.2">
      <c r="A1102">
        <v>2875706</v>
      </c>
      <c r="B1102" t="s">
        <v>6096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1</v>
      </c>
      <c r="J1102">
        <v>0</v>
      </c>
      <c r="K1102">
        <v>0</v>
      </c>
      <c r="L1102" t="s">
        <v>3284</v>
      </c>
      <c r="M1102" t="s">
        <v>3307</v>
      </c>
      <c r="N1102" t="s">
        <v>3308</v>
      </c>
      <c r="O1102" t="s">
        <v>3446</v>
      </c>
      <c r="P1102" t="s">
        <v>3447</v>
      </c>
      <c r="Q1102" t="s">
        <v>3448</v>
      </c>
      <c r="R1102" t="s">
        <v>6097</v>
      </c>
    </row>
    <row r="1103" spans="1:18" x14ac:dyDescent="0.2">
      <c r="A1103">
        <v>2875540</v>
      </c>
      <c r="B1103" t="s">
        <v>6098</v>
      </c>
      <c r="C1103">
        <v>0</v>
      </c>
      <c r="D1103">
        <v>0</v>
      </c>
      <c r="E1103">
        <v>0</v>
      </c>
      <c r="F1103">
        <v>0</v>
      </c>
      <c r="G1103">
        <v>1</v>
      </c>
      <c r="H1103">
        <v>0</v>
      </c>
      <c r="I1103">
        <v>0</v>
      </c>
      <c r="J1103">
        <v>0</v>
      </c>
      <c r="K1103">
        <v>0</v>
      </c>
      <c r="L1103" t="s">
        <v>3284</v>
      </c>
      <c r="M1103" t="s">
        <v>3391</v>
      </c>
      <c r="N1103" t="s">
        <v>4129</v>
      </c>
      <c r="O1103" t="s">
        <v>4130</v>
      </c>
      <c r="P1103" t="s">
        <v>4131</v>
      </c>
      <c r="Q1103" t="s">
        <v>6099</v>
      </c>
      <c r="R1103" t="s">
        <v>6100</v>
      </c>
    </row>
    <row r="1104" spans="1:18" x14ac:dyDescent="0.2">
      <c r="A1104">
        <v>2875233</v>
      </c>
      <c r="B1104" t="s">
        <v>6101</v>
      </c>
      <c r="C1104">
        <v>1</v>
      </c>
      <c r="D1104">
        <v>1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 t="s">
        <v>3284</v>
      </c>
      <c r="M1104" t="s">
        <v>3296</v>
      </c>
      <c r="N1104" t="s">
        <v>3343</v>
      </c>
      <c r="O1104" t="s">
        <v>3349</v>
      </c>
      <c r="P1104" t="s">
        <v>3350</v>
      </c>
      <c r="Q1104" t="s">
        <v>3580</v>
      </c>
      <c r="R1104" t="s">
        <v>6102</v>
      </c>
    </row>
    <row r="1105" spans="1:18" x14ac:dyDescent="0.2">
      <c r="A1105">
        <v>2874921</v>
      </c>
      <c r="B1105" t="s">
        <v>6103</v>
      </c>
      <c r="C1105">
        <v>0</v>
      </c>
      <c r="D1105">
        <v>0</v>
      </c>
      <c r="E1105">
        <v>0</v>
      </c>
      <c r="F1105">
        <v>0</v>
      </c>
      <c r="G1105">
        <v>1</v>
      </c>
      <c r="H1105">
        <v>0</v>
      </c>
      <c r="I1105">
        <v>1</v>
      </c>
      <c r="J1105">
        <v>2</v>
      </c>
      <c r="K1105">
        <v>0</v>
      </c>
      <c r="L1105" t="s">
        <v>3284</v>
      </c>
      <c r="M1105" t="s">
        <v>3296</v>
      </c>
      <c r="N1105" t="s">
        <v>3343</v>
      </c>
      <c r="O1105" t="s">
        <v>3349</v>
      </c>
      <c r="P1105" t="s">
        <v>3350</v>
      </c>
      <c r="Q1105" t="s">
        <v>4175</v>
      </c>
      <c r="R1105" t="s">
        <v>6104</v>
      </c>
    </row>
    <row r="1106" spans="1:18" x14ac:dyDescent="0.2">
      <c r="A1106">
        <v>2874628</v>
      </c>
      <c r="B1106" t="s">
        <v>6105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1</v>
      </c>
      <c r="I1106">
        <v>0</v>
      </c>
      <c r="J1106">
        <v>0</v>
      </c>
      <c r="K1106">
        <v>0</v>
      </c>
      <c r="L1106" t="s">
        <v>3284</v>
      </c>
      <c r="M1106" t="s">
        <v>3296</v>
      </c>
      <c r="N1106" t="s">
        <v>3297</v>
      </c>
      <c r="O1106" t="s">
        <v>3434</v>
      </c>
      <c r="P1106" t="s">
        <v>3435</v>
      </c>
      <c r="Q1106" t="s">
        <v>3436</v>
      </c>
      <c r="R1106" t="s">
        <v>6106</v>
      </c>
    </row>
    <row r="1107" spans="1:18" x14ac:dyDescent="0.2">
      <c r="A1107">
        <v>2874478</v>
      </c>
      <c r="B1107" t="s">
        <v>6107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1</v>
      </c>
      <c r="J1107">
        <v>0</v>
      </c>
      <c r="K1107">
        <v>0</v>
      </c>
      <c r="L1107" t="s">
        <v>3284</v>
      </c>
      <c r="M1107" t="s">
        <v>3307</v>
      </c>
      <c r="N1107" t="s">
        <v>3308</v>
      </c>
      <c r="O1107" t="s">
        <v>3309</v>
      </c>
      <c r="P1107" t="s">
        <v>3310</v>
      </c>
      <c r="Q1107" t="s">
        <v>3311</v>
      </c>
      <c r="R1107" t="s">
        <v>6108</v>
      </c>
    </row>
    <row r="1108" spans="1:18" x14ac:dyDescent="0.2">
      <c r="A1108">
        <v>2873699</v>
      </c>
      <c r="B1108" t="s">
        <v>6109</v>
      </c>
      <c r="C1108">
        <v>1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 t="s">
        <v>3284</v>
      </c>
      <c r="M1108" t="s">
        <v>3327</v>
      </c>
      <c r="N1108" t="s">
        <v>3376</v>
      </c>
      <c r="O1108" t="s">
        <v>3377</v>
      </c>
      <c r="P1108" t="s">
        <v>3604</v>
      </c>
      <c r="Q1108" t="s">
        <v>6110</v>
      </c>
      <c r="R1108" t="s">
        <v>6111</v>
      </c>
    </row>
    <row r="1109" spans="1:18" x14ac:dyDescent="0.2">
      <c r="A1109">
        <v>2873382</v>
      </c>
      <c r="B1109" t="s">
        <v>6112</v>
      </c>
      <c r="C1109">
        <v>0</v>
      </c>
      <c r="D1109">
        <v>0</v>
      </c>
      <c r="E1109">
        <v>0</v>
      </c>
      <c r="F1109">
        <v>1</v>
      </c>
      <c r="G1109">
        <v>0</v>
      </c>
      <c r="H1109">
        <v>0</v>
      </c>
      <c r="I1109">
        <v>0</v>
      </c>
      <c r="J1109">
        <v>0</v>
      </c>
      <c r="K1109">
        <v>0</v>
      </c>
      <c r="L1109" t="s">
        <v>3284</v>
      </c>
      <c r="M1109" t="s">
        <v>3307</v>
      </c>
      <c r="N1109" t="s">
        <v>3308</v>
      </c>
      <c r="O1109" t="s">
        <v>3446</v>
      </c>
      <c r="P1109" t="s">
        <v>3447</v>
      </c>
      <c r="Q1109" t="s">
        <v>6113</v>
      </c>
      <c r="R1109" t="s">
        <v>6114</v>
      </c>
    </row>
    <row r="1110" spans="1:18" x14ac:dyDescent="0.2">
      <c r="A1110">
        <v>2872652</v>
      </c>
      <c r="B1110" t="s">
        <v>6115</v>
      </c>
      <c r="C1110">
        <v>0</v>
      </c>
      <c r="D1110">
        <v>0</v>
      </c>
      <c r="E1110">
        <v>0</v>
      </c>
      <c r="F1110">
        <v>1</v>
      </c>
      <c r="G1110">
        <v>0</v>
      </c>
      <c r="H1110">
        <v>0</v>
      </c>
      <c r="I1110">
        <v>1</v>
      </c>
      <c r="J1110">
        <v>0</v>
      </c>
      <c r="K1110">
        <v>0</v>
      </c>
      <c r="L1110" t="s">
        <v>3284</v>
      </c>
      <c r="M1110" t="s">
        <v>3296</v>
      </c>
      <c r="N1110" t="s">
        <v>3343</v>
      </c>
      <c r="O1110" t="s">
        <v>3349</v>
      </c>
      <c r="P1110" t="s">
        <v>3350</v>
      </c>
      <c r="Q1110" t="s">
        <v>3580</v>
      </c>
      <c r="R1110" t="s">
        <v>6116</v>
      </c>
    </row>
    <row r="1111" spans="1:18" x14ac:dyDescent="0.2">
      <c r="A1111">
        <v>2872646</v>
      </c>
      <c r="B1111" t="s">
        <v>6117</v>
      </c>
      <c r="C1111">
        <v>0</v>
      </c>
      <c r="D1111">
        <v>0</v>
      </c>
      <c r="E1111">
        <v>0</v>
      </c>
      <c r="F1111">
        <v>2</v>
      </c>
      <c r="G1111">
        <v>0</v>
      </c>
      <c r="H1111">
        <v>0</v>
      </c>
      <c r="I1111">
        <v>0</v>
      </c>
      <c r="J1111">
        <v>0</v>
      </c>
      <c r="K1111">
        <v>0</v>
      </c>
      <c r="L1111" t="s">
        <v>3284</v>
      </c>
      <c r="M1111" t="s">
        <v>3296</v>
      </c>
      <c r="N1111" t="s">
        <v>3343</v>
      </c>
      <c r="O1111" t="s">
        <v>3349</v>
      </c>
      <c r="P1111" t="s">
        <v>4285</v>
      </c>
      <c r="Q1111" t="s">
        <v>6118</v>
      </c>
      <c r="R1111" t="s">
        <v>6119</v>
      </c>
    </row>
    <row r="1112" spans="1:18" x14ac:dyDescent="0.2">
      <c r="A1112">
        <v>2872310</v>
      </c>
      <c r="B1112" t="s">
        <v>6120</v>
      </c>
      <c r="C1112">
        <v>0</v>
      </c>
      <c r="D1112">
        <v>0</v>
      </c>
      <c r="E1112">
        <v>0</v>
      </c>
      <c r="F1112">
        <v>3</v>
      </c>
      <c r="G1112">
        <v>4</v>
      </c>
      <c r="H1112">
        <v>0</v>
      </c>
      <c r="I1112">
        <v>0</v>
      </c>
      <c r="J1112">
        <v>0</v>
      </c>
      <c r="K1112">
        <v>0</v>
      </c>
      <c r="L1112" t="s">
        <v>3284</v>
      </c>
      <c r="M1112" t="s">
        <v>3391</v>
      </c>
      <c r="N1112" t="s">
        <v>3411</v>
      </c>
      <c r="O1112" t="s">
        <v>3412</v>
      </c>
      <c r="P1112" t="s">
        <v>3413</v>
      </c>
      <c r="Q1112" t="s">
        <v>3414</v>
      </c>
      <c r="R1112" t="s">
        <v>6121</v>
      </c>
    </row>
    <row r="1113" spans="1:18" x14ac:dyDescent="0.2">
      <c r="A1113">
        <v>2871820</v>
      </c>
      <c r="B1113" t="s">
        <v>6122</v>
      </c>
      <c r="C1113">
        <v>0</v>
      </c>
      <c r="D1113">
        <v>0</v>
      </c>
      <c r="E1113">
        <v>0</v>
      </c>
      <c r="F1113">
        <v>1</v>
      </c>
      <c r="G1113">
        <v>1</v>
      </c>
      <c r="H1113">
        <v>0</v>
      </c>
      <c r="I1113">
        <v>0</v>
      </c>
      <c r="J1113">
        <v>0</v>
      </c>
      <c r="K1113">
        <v>0</v>
      </c>
      <c r="L1113" t="s">
        <v>3284</v>
      </c>
      <c r="M1113" t="s">
        <v>3296</v>
      </c>
      <c r="N1113" t="s">
        <v>3343</v>
      </c>
      <c r="O1113" t="s">
        <v>3344</v>
      </c>
      <c r="P1113" t="s">
        <v>3355</v>
      </c>
      <c r="Q1113" t="s">
        <v>3846</v>
      </c>
      <c r="R1113" t="s">
        <v>6123</v>
      </c>
    </row>
    <row r="1114" spans="1:18" x14ac:dyDescent="0.2">
      <c r="A1114">
        <v>2871701</v>
      </c>
      <c r="B1114" t="s">
        <v>6124</v>
      </c>
      <c r="C1114">
        <v>0</v>
      </c>
      <c r="D1114">
        <v>0</v>
      </c>
      <c r="E1114">
        <v>0</v>
      </c>
      <c r="F1114">
        <v>1</v>
      </c>
      <c r="G1114">
        <v>2</v>
      </c>
      <c r="H1114">
        <v>0</v>
      </c>
      <c r="I1114">
        <v>0</v>
      </c>
      <c r="J1114">
        <v>1</v>
      </c>
      <c r="K1114">
        <v>0</v>
      </c>
      <c r="L1114" t="s">
        <v>3284</v>
      </c>
      <c r="M1114" t="s">
        <v>3296</v>
      </c>
      <c r="N1114" t="s">
        <v>3343</v>
      </c>
      <c r="O1114" t="s">
        <v>3344</v>
      </c>
      <c r="P1114" t="s">
        <v>3367</v>
      </c>
      <c r="Q1114" t="s">
        <v>3368</v>
      </c>
      <c r="R1114" t="s">
        <v>6125</v>
      </c>
    </row>
    <row r="1115" spans="1:18" x14ac:dyDescent="0.2">
      <c r="A1115">
        <v>2871174</v>
      </c>
      <c r="B1115" t="s">
        <v>6126</v>
      </c>
      <c r="C1115">
        <v>0</v>
      </c>
      <c r="D1115">
        <v>0</v>
      </c>
      <c r="E1115">
        <v>0</v>
      </c>
      <c r="F1115">
        <v>0</v>
      </c>
      <c r="G1115">
        <v>1</v>
      </c>
      <c r="H1115">
        <v>0</v>
      </c>
      <c r="I1115">
        <v>0</v>
      </c>
      <c r="J1115">
        <v>0</v>
      </c>
      <c r="K1115">
        <v>0</v>
      </c>
      <c r="L1115" t="s">
        <v>3284</v>
      </c>
      <c r="M1115" t="s">
        <v>3296</v>
      </c>
      <c r="N1115" t="s">
        <v>3297</v>
      </c>
      <c r="O1115" t="s">
        <v>3469</v>
      </c>
      <c r="P1115" t="s">
        <v>3470</v>
      </c>
      <c r="Q1115" t="s">
        <v>3471</v>
      </c>
      <c r="R1115" t="s">
        <v>6127</v>
      </c>
    </row>
    <row r="1116" spans="1:18" x14ac:dyDescent="0.2">
      <c r="A1116">
        <v>2871096</v>
      </c>
      <c r="B1116" t="s">
        <v>6128</v>
      </c>
      <c r="C1116">
        <v>0</v>
      </c>
      <c r="D1116">
        <v>0</v>
      </c>
      <c r="E1116">
        <v>0</v>
      </c>
      <c r="F1116">
        <v>0</v>
      </c>
      <c r="G1116">
        <v>1</v>
      </c>
      <c r="H1116">
        <v>0</v>
      </c>
      <c r="I1116">
        <v>0</v>
      </c>
      <c r="J1116">
        <v>0</v>
      </c>
      <c r="K1116">
        <v>0</v>
      </c>
      <c r="L1116" t="s">
        <v>3284</v>
      </c>
      <c r="M1116" t="s">
        <v>3296</v>
      </c>
      <c r="N1116" t="s">
        <v>3297</v>
      </c>
      <c r="O1116" t="s">
        <v>3469</v>
      </c>
      <c r="P1116" t="s">
        <v>3470</v>
      </c>
      <c r="Q1116" t="s">
        <v>3471</v>
      </c>
      <c r="R1116" t="s">
        <v>6129</v>
      </c>
    </row>
    <row r="1117" spans="1:18" x14ac:dyDescent="0.2">
      <c r="A1117">
        <v>2871094</v>
      </c>
      <c r="B1117" t="s">
        <v>6130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6</v>
      </c>
      <c r="J1117">
        <v>1</v>
      </c>
      <c r="K1117">
        <v>0</v>
      </c>
      <c r="L1117" t="s">
        <v>3284</v>
      </c>
      <c r="M1117" t="s">
        <v>3307</v>
      </c>
      <c r="N1117" t="s">
        <v>3308</v>
      </c>
      <c r="O1117" t="s">
        <v>3635</v>
      </c>
      <c r="P1117" t="s">
        <v>4011</v>
      </c>
      <c r="Q1117" t="s">
        <v>4012</v>
      </c>
      <c r="R1117" t="s">
        <v>6131</v>
      </c>
    </row>
    <row r="1118" spans="1:18" x14ac:dyDescent="0.2">
      <c r="A1118">
        <v>2870839</v>
      </c>
      <c r="B1118" t="s">
        <v>6132</v>
      </c>
      <c r="C1118">
        <v>1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 t="s">
        <v>3284</v>
      </c>
      <c r="M1118" t="s">
        <v>3391</v>
      </c>
      <c r="N1118" t="s">
        <v>3411</v>
      </c>
      <c r="O1118" t="s">
        <v>3412</v>
      </c>
      <c r="P1118" t="s">
        <v>3413</v>
      </c>
      <c r="Q1118" t="s">
        <v>3414</v>
      </c>
      <c r="R1118" t="s">
        <v>6133</v>
      </c>
    </row>
    <row r="1119" spans="1:18" x14ac:dyDescent="0.2">
      <c r="A1119">
        <v>2870750</v>
      </c>
      <c r="B1119" t="s">
        <v>6134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1</v>
      </c>
      <c r="J1119">
        <v>0</v>
      </c>
      <c r="K1119">
        <v>0</v>
      </c>
      <c r="L1119" t="s">
        <v>3284</v>
      </c>
      <c r="M1119" t="s">
        <v>3296</v>
      </c>
      <c r="N1119" t="s">
        <v>3297</v>
      </c>
      <c r="O1119" t="s">
        <v>3434</v>
      </c>
      <c r="P1119" t="s">
        <v>3435</v>
      </c>
      <c r="Q1119" t="s">
        <v>3436</v>
      </c>
      <c r="R1119" t="s">
        <v>6135</v>
      </c>
    </row>
    <row r="1120" spans="1:18" x14ac:dyDescent="0.2">
      <c r="A1120">
        <v>2870721</v>
      </c>
      <c r="B1120" t="s">
        <v>6136</v>
      </c>
      <c r="C1120">
        <v>1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2</v>
      </c>
      <c r="J1120">
        <v>4</v>
      </c>
      <c r="K1120">
        <v>2</v>
      </c>
      <c r="L1120" t="s">
        <v>3284</v>
      </c>
      <c r="M1120" t="s">
        <v>3296</v>
      </c>
      <c r="N1120" t="s">
        <v>3343</v>
      </c>
      <c r="O1120" t="s">
        <v>3429</v>
      </c>
      <c r="P1120" t="s">
        <v>3430</v>
      </c>
      <c r="Q1120" t="s">
        <v>5837</v>
      </c>
      <c r="R1120" t="s">
        <v>6137</v>
      </c>
    </row>
    <row r="1121" spans="1:18" x14ac:dyDescent="0.2">
      <c r="A1121">
        <v>2870345</v>
      </c>
      <c r="B1121" t="s">
        <v>6138</v>
      </c>
      <c r="C1121">
        <v>0</v>
      </c>
      <c r="D1121">
        <v>0</v>
      </c>
      <c r="E1121">
        <v>0</v>
      </c>
      <c r="F1121">
        <v>1</v>
      </c>
      <c r="G1121">
        <v>1</v>
      </c>
      <c r="H1121">
        <v>2</v>
      </c>
      <c r="I1121">
        <v>0</v>
      </c>
      <c r="J1121">
        <v>0</v>
      </c>
      <c r="K1121">
        <v>0</v>
      </c>
      <c r="L1121" t="s">
        <v>3284</v>
      </c>
      <c r="M1121" t="s">
        <v>3296</v>
      </c>
      <c r="N1121" t="s">
        <v>3297</v>
      </c>
      <c r="O1121" t="s">
        <v>3469</v>
      </c>
      <c r="P1121" t="s">
        <v>3470</v>
      </c>
      <c r="Q1121" t="s">
        <v>3471</v>
      </c>
      <c r="R1121" t="s">
        <v>6139</v>
      </c>
    </row>
    <row r="1122" spans="1:18" x14ac:dyDescent="0.2">
      <c r="A1122">
        <v>2867016</v>
      </c>
      <c r="B1122" t="s">
        <v>6140</v>
      </c>
      <c r="C1122">
        <v>0</v>
      </c>
      <c r="D1122">
        <v>0</v>
      </c>
      <c r="E1122">
        <v>0</v>
      </c>
      <c r="F1122">
        <v>1</v>
      </c>
      <c r="G1122">
        <v>0</v>
      </c>
      <c r="H1122">
        <v>0</v>
      </c>
      <c r="I1122">
        <v>0</v>
      </c>
      <c r="J1122">
        <v>0</v>
      </c>
      <c r="K1122">
        <v>0</v>
      </c>
      <c r="L1122" t="s">
        <v>3284</v>
      </c>
      <c r="M1122" t="s">
        <v>3296</v>
      </c>
      <c r="N1122" t="s">
        <v>3343</v>
      </c>
      <c r="O1122" t="s">
        <v>3371</v>
      </c>
      <c r="P1122" t="s">
        <v>3372</v>
      </c>
      <c r="Q1122" t="s">
        <v>6141</v>
      </c>
      <c r="R1122" t="s">
        <v>6142</v>
      </c>
    </row>
    <row r="1123" spans="1:18" x14ac:dyDescent="0.2">
      <c r="A1123">
        <v>2866600</v>
      </c>
      <c r="B1123" t="s">
        <v>6143</v>
      </c>
      <c r="C1123">
        <v>2</v>
      </c>
      <c r="D1123">
        <v>0</v>
      </c>
      <c r="E1123">
        <v>1</v>
      </c>
      <c r="F1123">
        <v>1</v>
      </c>
      <c r="G1123">
        <v>1</v>
      </c>
      <c r="H1123">
        <v>0</v>
      </c>
      <c r="I1123">
        <v>1</v>
      </c>
      <c r="J1123">
        <v>0</v>
      </c>
      <c r="K1123">
        <v>0</v>
      </c>
      <c r="L1123" t="s">
        <v>3284</v>
      </c>
      <c r="M1123" t="s">
        <v>3296</v>
      </c>
      <c r="N1123" t="s">
        <v>3321</v>
      </c>
      <c r="O1123" t="s">
        <v>3322</v>
      </c>
      <c r="P1123" t="s">
        <v>3398</v>
      </c>
      <c r="Q1123" t="s">
        <v>6144</v>
      </c>
      <c r="R1123" t="s">
        <v>6145</v>
      </c>
    </row>
    <row r="1124" spans="1:18" x14ac:dyDescent="0.2">
      <c r="A1124">
        <v>2866595</v>
      </c>
      <c r="B1124" t="s">
        <v>6146</v>
      </c>
      <c r="C1124">
        <v>0</v>
      </c>
      <c r="D1124">
        <v>0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 t="s">
        <v>3284</v>
      </c>
      <c r="M1124" t="s">
        <v>3296</v>
      </c>
      <c r="N1124" t="s">
        <v>3297</v>
      </c>
      <c r="O1124" t="s">
        <v>3469</v>
      </c>
      <c r="P1124" t="s">
        <v>3470</v>
      </c>
      <c r="Q1124" t="s">
        <v>3471</v>
      </c>
      <c r="R1124" t="s">
        <v>6147</v>
      </c>
    </row>
    <row r="1125" spans="1:18" x14ac:dyDescent="0.2">
      <c r="A1125">
        <v>2866311</v>
      </c>
      <c r="B1125" t="s">
        <v>6148</v>
      </c>
      <c r="C1125">
        <v>0</v>
      </c>
      <c r="D1125">
        <v>0</v>
      </c>
      <c r="E1125">
        <v>0</v>
      </c>
      <c r="F1125">
        <v>0</v>
      </c>
      <c r="G1125">
        <v>1</v>
      </c>
      <c r="H1125">
        <v>0</v>
      </c>
      <c r="I1125">
        <v>0</v>
      </c>
      <c r="J1125">
        <v>0</v>
      </c>
      <c r="K1125">
        <v>0</v>
      </c>
      <c r="L1125" t="s">
        <v>3284</v>
      </c>
      <c r="M1125" t="s">
        <v>3816</v>
      </c>
      <c r="N1125" t="s">
        <v>4987</v>
      </c>
      <c r="O1125" t="s">
        <v>6149</v>
      </c>
      <c r="P1125" t="s">
        <v>6150</v>
      </c>
      <c r="Q1125" t="s">
        <v>6151</v>
      </c>
      <c r="R1125" t="s">
        <v>6152</v>
      </c>
    </row>
    <row r="1126" spans="1:18" x14ac:dyDescent="0.2">
      <c r="A1126">
        <v>2866161</v>
      </c>
      <c r="B1126" t="s">
        <v>6153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1</v>
      </c>
      <c r="J1126">
        <v>0</v>
      </c>
      <c r="K1126">
        <v>0</v>
      </c>
      <c r="L1126" t="s">
        <v>3284</v>
      </c>
      <c r="M1126" t="s">
        <v>3307</v>
      </c>
      <c r="N1126" t="s">
        <v>3308</v>
      </c>
      <c r="O1126" t="s">
        <v>3309</v>
      </c>
      <c r="P1126" t="s">
        <v>3310</v>
      </c>
      <c r="Q1126" t="s">
        <v>3311</v>
      </c>
      <c r="R1126" t="s">
        <v>6154</v>
      </c>
    </row>
    <row r="1127" spans="1:18" x14ac:dyDescent="0.2">
      <c r="A1127">
        <v>2865960</v>
      </c>
      <c r="B1127" t="s">
        <v>6155</v>
      </c>
      <c r="C1127">
        <v>1</v>
      </c>
      <c r="D1127">
        <v>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 t="s">
        <v>3284</v>
      </c>
      <c r="M1127" t="s">
        <v>3296</v>
      </c>
      <c r="N1127" t="s">
        <v>3343</v>
      </c>
      <c r="O1127" t="s">
        <v>3371</v>
      </c>
      <c r="P1127" t="s">
        <v>3688</v>
      </c>
      <c r="Q1127" t="s">
        <v>6156</v>
      </c>
      <c r="R1127" t="s">
        <v>6157</v>
      </c>
    </row>
    <row r="1128" spans="1:18" x14ac:dyDescent="0.2">
      <c r="A1128">
        <v>2865934</v>
      </c>
      <c r="B1128" t="s">
        <v>6158</v>
      </c>
      <c r="C1128">
        <v>0</v>
      </c>
      <c r="D1128">
        <v>0</v>
      </c>
      <c r="E1128">
        <v>0</v>
      </c>
      <c r="F1128">
        <v>2</v>
      </c>
      <c r="G1128">
        <v>2</v>
      </c>
      <c r="H1128">
        <v>0</v>
      </c>
      <c r="I1128">
        <v>0</v>
      </c>
      <c r="J1128">
        <v>0</v>
      </c>
      <c r="K1128">
        <v>0</v>
      </c>
      <c r="L1128" t="s">
        <v>3284</v>
      </c>
      <c r="M1128" t="s">
        <v>3296</v>
      </c>
      <c r="N1128" t="s">
        <v>3321</v>
      </c>
      <c r="O1128" t="s">
        <v>3322</v>
      </c>
      <c r="P1128" t="s">
        <v>3323</v>
      </c>
      <c r="Q1128" t="s">
        <v>6159</v>
      </c>
      <c r="R1128" t="s">
        <v>6160</v>
      </c>
    </row>
    <row r="1129" spans="1:18" x14ac:dyDescent="0.2">
      <c r="A1129">
        <v>2865112</v>
      </c>
      <c r="B1129" t="s">
        <v>6161</v>
      </c>
      <c r="C1129">
        <v>0</v>
      </c>
      <c r="D1129">
        <v>1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 t="s">
        <v>3284</v>
      </c>
      <c r="M1129" t="s">
        <v>3296</v>
      </c>
      <c r="N1129" t="s">
        <v>3297</v>
      </c>
      <c r="O1129" t="s">
        <v>3469</v>
      </c>
      <c r="P1129" t="s">
        <v>3470</v>
      </c>
      <c r="Q1129" t="s">
        <v>6162</v>
      </c>
      <c r="R1129" t="s">
        <v>6163</v>
      </c>
    </row>
    <row r="1130" spans="1:18" x14ac:dyDescent="0.2">
      <c r="A1130">
        <v>2864102</v>
      </c>
      <c r="B1130" t="s">
        <v>6164</v>
      </c>
      <c r="C1130">
        <v>1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 t="s">
        <v>3284</v>
      </c>
      <c r="M1130" t="s">
        <v>3296</v>
      </c>
      <c r="N1130" t="s">
        <v>3343</v>
      </c>
      <c r="O1130" t="s">
        <v>3344</v>
      </c>
      <c r="P1130" t="s">
        <v>4076</v>
      </c>
      <c r="Q1130" t="s">
        <v>6071</v>
      </c>
      <c r="R1130" t="s">
        <v>6165</v>
      </c>
    </row>
    <row r="1131" spans="1:18" x14ac:dyDescent="0.2">
      <c r="A1131">
        <v>2862869</v>
      </c>
      <c r="B1131" t="s">
        <v>6166</v>
      </c>
      <c r="C1131">
        <v>0</v>
      </c>
      <c r="D1131">
        <v>0</v>
      </c>
      <c r="E1131">
        <v>1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 t="s">
        <v>3284</v>
      </c>
      <c r="M1131" t="s">
        <v>3816</v>
      </c>
      <c r="N1131" t="s">
        <v>4987</v>
      </c>
      <c r="O1131" t="s">
        <v>4988</v>
      </c>
      <c r="P1131" t="s">
        <v>4989</v>
      </c>
      <c r="Q1131" t="s">
        <v>6167</v>
      </c>
      <c r="R1131" t="s">
        <v>6168</v>
      </c>
    </row>
    <row r="1132" spans="1:18" x14ac:dyDescent="0.2">
      <c r="A1132">
        <v>2862681</v>
      </c>
      <c r="B1132" t="s">
        <v>6169</v>
      </c>
      <c r="C1132">
        <v>0</v>
      </c>
      <c r="D1132">
        <v>0</v>
      </c>
      <c r="E1132">
        <v>0</v>
      </c>
      <c r="F1132">
        <v>1</v>
      </c>
      <c r="G1132">
        <v>0</v>
      </c>
      <c r="H1132">
        <v>0</v>
      </c>
      <c r="I1132">
        <v>0</v>
      </c>
      <c r="J1132">
        <v>0</v>
      </c>
      <c r="K1132">
        <v>0</v>
      </c>
      <c r="L1132" t="s">
        <v>3284</v>
      </c>
      <c r="M1132" t="s">
        <v>3307</v>
      </c>
      <c r="N1132" t="s">
        <v>3308</v>
      </c>
      <c r="O1132" t="s">
        <v>3359</v>
      </c>
      <c r="P1132" t="s">
        <v>3360</v>
      </c>
      <c r="Q1132" t="s">
        <v>3361</v>
      </c>
      <c r="R1132" t="s">
        <v>6170</v>
      </c>
    </row>
    <row r="1133" spans="1:18" x14ac:dyDescent="0.2">
      <c r="A1133">
        <v>2862679</v>
      </c>
      <c r="B1133" t="s">
        <v>6171</v>
      </c>
      <c r="C1133">
        <v>0</v>
      </c>
      <c r="D1133">
        <v>1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 t="s">
        <v>3284</v>
      </c>
      <c r="M1133" t="s">
        <v>3391</v>
      </c>
      <c r="N1133" t="s">
        <v>3392</v>
      </c>
      <c r="O1133" t="s">
        <v>3393</v>
      </c>
      <c r="P1133" t="s">
        <v>3394</v>
      </c>
      <c r="Q1133" t="s">
        <v>4351</v>
      </c>
      <c r="R1133" t="s">
        <v>6172</v>
      </c>
    </row>
    <row r="1134" spans="1:18" x14ac:dyDescent="0.2">
      <c r="A1134">
        <v>2862499</v>
      </c>
      <c r="B1134" t="s">
        <v>6173</v>
      </c>
      <c r="C1134">
        <v>1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 t="s">
        <v>3284</v>
      </c>
      <c r="M1134" t="s">
        <v>3296</v>
      </c>
      <c r="N1134" t="s">
        <v>3343</v>
      </c>
      <c r="O1134" t="s">
        <v>3349</v>
      </c>
      <c r="P1134" t="s">
        <v>3350</v>
      </c>
      <c r="Q1134" t="s">
        <v>3580</v>
      </c>
      <c r="R1134" t="s">
        <v>6174</v>
      </c>
    </row>
    <row r="1135" spans="1:18" x14ac:dyDescent="0.2">
      <c r="A1135">
        <v>2861765</v>
      </c>
      <c r="B1135" t="s">
        <v>6175</v>
      </c>
      <c r="C1135">
        <v>0</v>
      </c>
      <c r="D1135">
        <v>0</v>
      </c>
      <c r="E1135">
        <v>0</v>
      </c>
      <c r="F1135">
        <v>0</v>
      </c>
      <c r="G1135">
        <v>1</v>
      </c>
      <c r="H1135">
        <v>0</v>
      </c>
      <c r="I1135">
        <v>0</v>
      </c>
      <c r="J1135">
        <v>0</v>
      </c>
      <c r="K1135">
        <v>0</v>
      </c>
      <c r="L1135" t="s">
        <v>3284</v>
      </c>
      <c r="M1135" t="s">
        <v>3391</v>
      </c>
      <c r="N1135" t="s">
        <v>3740</v>
      </c>
      <c r="O1135" t="s">
        <v>3741</v>
      </c>
      <c r="P1135" t="s">
        <v>3742</v>
      </c>
      <c r="Q1135" t="s">
        <v>4598</v>
      </c>
      <c r="R1135" t="s">
        <v>6176</v>
      </c>
    </row>
    <row r="1136" spans="1:18" x14ac:dyDescent="0.2">
      <c r="A1136">
        <v>2861285</v>
      </c>
      <c r="B1136" t="s">
        <v>6177</v>
      </c>
      <c r="C1136">
        <v>0</v>
      </c>
      <c r="D1136">
        <v>1</v>
      </c>
      <c r="E1136">
        <v>0</v>
      </c>
      <c r="F1136">
        <v>4</v>
      </c>
      <c r="G1136">
        <v>2</v>
      </c>
      <c r="H1136">
        <v>1</v>
      </c>
      <c r="I1136">
        <v>0</v>
      </c>
      <c r="J1136">
        <v>0</v>
      </c>
      <c r="K1136">
        <v>0</v>
      </c>
      <c r="L1136" t="s">
        <v>3284</v>
      </c>
      <c r="M1136" t="s">
        <v>3296</v>
      </c>
      <c r="N1136" t="s">
        <v>3343</v>
      </c>
      <c r="O1136" t="s">
        <v>3402</v>
      </c>
      <c r="P1136" t="s">
        <v>3403</v>
      </c>
      <c r="Q1136" t="s">
        <v>3536</v>
      </c>
      <c r="R1136" t="s">
        <v>6178</v>
      </c>
    </row>
    <row r="1137" spans="1:18" x14ac:dyDescent="0.2">
      <c r="A1137">
        <v>2861283</v>
      </c>
      <c r="B1137" t="s">
        <v>6179</v>
      </c>
      <c r="C1137">
        <v>1</v>
      </c>
      <c r="D1137">
        <v>1</v>
      </c>
      <c r="E1137">
        <v>0</v>
      </c>
      <c r="F1137">
        <v>1</v>
      </c>
      <c r="G1137">
        <v>0</v>
      </c>
      <c r="H1137">
        <v>0</v>
      </c>
      <c r="I1137">
        <v>0</v>
      </c>
      <c r="J1137">
        <v>0</v>
      </c>
      <c r="K1137">
        <v>0</v>
      </c>
      <c r="L1137" t="s">
        <v>3284</v>
      </c>
      <c r="M1137" t="s">
        <v>3296</v>
      </c>
      <c r="N1137" t="s">
        <v>3321</v>
      </c>
      <c r="O1137" t="s">
        <v>3322</v>
      </c>
      <c r="P1137" t="s">
        <v>3323</v>
      </c>
      <c r="Q1137" t="s">
        <v>3324</v>
      </c>
      <c r="R1137" t="s">
        <v>6180</v>
      </c>
    </row>
    <row r="1138" spans="1:18" x14ac:dyDescent="0.2">
      <c r="A1138">
        <v>2860290</v>
      </c>
      <c r="B1138" t="s">
        <v>6181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1</v>
      </c>
      <c r="J1138">
        <v>0</v>
      </c>
      <c r="K1138">
        <v>0</v>
      </c>
      <c r="L1138" t="s">
        <v>3284</v>
      </c>
      <c r="M1138" t="s">
        <v>3296</v>
      </c>
      <c r="N1138" t="s">
        <v>3297</v>
      </c>
      <c r="O1138" t="s">
        <v>3469</v>
      </c>
      <c r="P1138" t="s">
        <v>3470</v>
      </c>
      <c r="Q1138" t="s">
        <v>3471</v>
      </c>
      <c r="R1138" t="s">
        <v>6182</v>
      </c>
    </row>
    <row r="1139" spans="1:18" x14ac:dyDescent="0.2">
      <c r="A1139">
        <v>2860135</v>
      </c>
      <c r="B1139" t="s">
        <v>6183</v>
      </c>
      <c r="C1139">
        <v>0</v>
      </c>
      <c r="D1139">
        <v>1</v>
      </c>
      <c r="E1139">
        <v>1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 t="s">
        <v>3284</v>
      </c>
      <c r="M1139" t="s">
        <v>3327</v>
      </c>
      <c r="N1139" t="s">
        <v>3376</v>
      </c>
      <c r="O1139" t="s">
        <v>3377</v>
      </c>
      <c r="P1139" t="s">
        <v>3378</v>
      </c>
      <c r="Q1139" t="s">
        <v>6184</v>
      </c>
      <c r="R1139" t="s">
        <v>6185</v>
      </c>
    </row>
    <row r="1140" spans="1:18" x14ac:dyDescent="0.2">
      <c r="A1140">
        <v>2859785</v>
      </c>
      <c r="B1140" t="s">
        <v>6186</v>
      </c>
      <c r="C1140">
        <v>0</v>
      </c>
      <c r="D1140">
        <v>0</v>
      </c>
      <c r="E1140">
        <v>0</v>
      </c>
      <c r="F1140">
        <v>2</v>
      </c>
      <c r="G1140">
        <v>2</v>
      </c>
      <c r="H1140">
        <v>0</v>
      </c>
      <c r="I1140">
        <v>1</v>
      </c>
      <c r="J1140">
        <v>1</v>
      </c>
      <c r="K1140">
        <v>1</v>
      </c>
      <c r="L1140" t="s">
        <v>3284</v>
      </c>
      <c r="M1140" t="s">
        <v>3296</v>
      </c>
      <c r="N1140" t="s">
        <v>3343</v>
      </c>
      <c r="O1140" t="s">
        <v>3344</v>
      </c>
      <c r="P1140" t="s">
        <v>3355</v>
      </c>
      <c r="Q1140" t="s">
        <v>3356</v>
      </c>
      <c r="R1140" t="s">
        <v>6187</v>
      </c>
    </row>
    <row r="1141" spans="1:18" x14ac:dyDescent="0.2">
      <c r="A1141">
        <v>2859781</v>
      </c>
      <c r="B1141" t="s">
        <v>6188</v>
      </c>
      <c r="C1141">
        <v>15</v>
      </c>
      <c r="D1141">
        <v>10</v>
      </c>
      <c r="E1141">
        <v>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 t="s">
        <v>3284</v>
      </c>
      <c r="M1141" t="s">
        <v>3327</v>
      </c>
      <c r="N1141" t="s">
        <v>3328</v>
      </c>
      <c r="O1141" t="s">
        <v>3329</v>
      </c>
      <c r="P1141" t="s">
        <v>3330</v>
      </c>
      <c r="Q1141" t="s">
        <v>3331</v>
      </c>
      <c r="R1141" t="s">
        <v>6189</v>
      </c>
    </row>
    <row r="1142" spans="1:18" x14ac:dyDescent="0.2">
      <c r="A1142">
        <v>2859228</v>
      </c>
      <c r="B1142" t="s">
        <v>6190</v>
      </c>
      <c r="C1142">
        <v>0</v>
      </c>
      <c r="D1142">
        <v>0</v>
      </c>
      <c r="E1142">
        <v>1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 t="s">
        <v>3284</v>
      </c>
      <c r="M1142" t="s">
        <v>3327</v>
      </c>
      <c r="N1142" t="s">
        <v>3376</v>
      </c>
      <c r="O1142" t="s">
        <v>3377</v>
      </c>
      <c r="P1142" t="s">
        <v>3604</v>
      </c>
      <c r="Q1142" t="s">
        <v>3668</v>
      </c>
      <c r="R1142" t="s">
        <v>6191</v>
      </c>
    </row>
    <row r="1143" spans="1:18" x14ac:dyDescent="0.2">
      <c r="A1143">
        <v>2859226</v>
      </c>
      <c r="B1143" t="s">
        <v>6192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1</v>
      </c>
      <c r="J1143">
        <v>0</v>
      </c>
      <c r="K1143">
        <v>0</v>
      </c>
      <c r="L1143" t="s">
        <v>3284</v>
      </c>
      <c r="M1143" t="s">
        <v>3307</v>
      </c>
      <c r="N1143" t="s">
        <v>3308</v>
      </c>
      <c r="O1143" t="s">
        <v>3359</v>
      </c>
      <c r="P1143" t="s">
        <v>3360</v>
      </c>
      <c r="Q1143" t="s">
        <v>3913</v>
      </c>
      <c r="R1143" t="s">
        <v>6193</v>
      </c>
    </row>
    <row r="1144" spans="1:18" x14ac:dyDescent="0.2">
      <c r="A1144">
        <v>2857527</v>
      </c>
      <c r="B1144" t="s">
        <v>6194</v>
      </c>
      <c r="C1144">
        <v>0</v>
      </c>
      <c r="D1144">
        <v>0</v>
      </c>
      <c r="E1144">
        <v>0</v>
      </c>
      <c r="F1144">
        <v>3</v>
      </c>
      <c r="G1144">
        <v>0</v>
      </c>
      <c r="H1144">
        <v>0</v>
      </c>
      <c r="I1144">
        <v>0</v>
      </c>
      <c r="J1144">
        <v>0</v>
      </c>
      <c r="K1144">
        <v>0</v>
      </c>
      <c r="L1144" t="s">
        <v>3284</v>
      </c>
      <c r="M1144" t="s">
        <v>3391</v>
      </c>
      <c r="N1144" t="s">
        <v>3392</v>
      </c>
      <c r="O1144" t="s">
        <v>3393</v>
      </c>
      <c r="P1144" t="s">
        <v>3394</v>
      </c>
      <c r="Q1144" t="s">
        <v>4082</v>
      </c>
      <c r="R1144" t="s">
        <v>6195</v>
      </c>
    </row>
    <row r="1145" spans="1:18" x14ac:dyDescent="0.2">
      <c r="A1145">
        <v>2857059</v>
      </c>
      <c r="B1145" t="s">
        <v>6196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2</v>
      </c>
      <c r="K1145">
        <v>0</v>
      </c>
      <c r="L1145" t="s">
        <v>3284</v>
      </c>
      <c r="M1145" t="s">
        <v>3307</v>
      </c>
      <c r="N1145" t="s">
        <v>3308</v>
      </c>
      <c r="O1145" t="s">
        <v>3635</v>
      </c>
      <c r="P1145" t="s">
        <v>4011</v>
      </c>
      <c r="Q1145" t="s">
        <v>4012</v>
      </c>
      <c r="R1145" t="s">
        <v>6197</v>
      </c>
    </row>
    <row r="1146" spans="1:18" x14ac:dyDescent="0.2">
      <c r="A1146">
        <v>2856556</v>
      </c>
      <c r="B1146" t="s">
        <v>6198</v>
      </c>
      <c r="C1146">
        <v>1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 t="s">
        <v>3284</v>
      </c>
      <c r="M1146" t="s">
        <v>3296</v>
      </c>
      <c r="N1146" t="s">
        <v>3297</v>
      </c>
      <c r="O1146" t="s">
        <v>3434</v>
      </c>
      <c r="P1146" t="s">
        <v>3435</v>
      </c>
      <c r="Q1146" t="s">
        <v>3436</v>
      </c>
      <c r="R1146" t="s">
        <v>6199</v>
      </c>
    </row>
    <row r="1147" spans="1:18" x14ac:dyDescent="0.2">
      <c r="A1147">
        <v>2856523</v>
      </c>
      <c r="B1147" t="s">
        <v>6200</v>
      </c>
      <c r="C1147">
        <v>0</v>
      </c>
      <c r="D1147">
        <v>0</v>
      </c>
      <c r="E1147">
        <v>0</v>
      </c>
      <c r="F1147">
        <v>1</v>
      </c>
      <c r="G1147">
        <v>0</v>
      </c>
      <c r="H1147">
        <v>0</v>
      </c>
      <c r="I1147">
        <v>0</v>
      </c>
      <c r="J1147">
        <v>0</v>
      </c>
      <c r="K1147">
        <v>0</v>
      </c>
      <c r="L1147" t="s">
        <v>3284</v>
      </c>
      <c r="M1147" t="s">
        <v>3391</v>
      </c>
      <c r="N1147" t="s">
        <v>3392</v>
      </c>
      <c r="O1147" t="s">
        <v>3393</v>
      </c>
      <c r="P1147" t="s">
        <v>3394</v>
      </c>
      <c r="Q1147" t="s">
        <v>3395</v>
      </c>
      <c r="R1147" t="s">
        <v>6201</v>
      </c>
    </row>
    <row r="1148" spans="1:18" x14ac:dyDescent="0.2">
      <c r="A1148">
        <v>2855764</v>
      </c>
      <c r="B1148" t="s">
        <v>6202</v>
      </c>
      <c r="C1148">
        <v>9</v>
      </c>
      <c r="D1148">
        <v>8</v>
      </c>
      <c r="E1148">
        <v>7</v>
      </c>
      <c r="F1148">
        <v>0</v>
      </c>
      <c r="G1148">
        <v>1</v>
      </c>
      <c r="H1148">
        <v>0</v>
      </c>
      <c r="I1148">
        <v>0</v>
      </c>
      <c r="J1148">
        <v>1</v>
      </c>
      <c r="K1148">
        <v>0</v>
      </c>
      <c r="L1148" t="s">
        <v>3284</v>
      </c>
      <c r="M1148" t="s">
        <v>3327</v>
      </c>
      <c r="N1148" t="s">
        <v>3328</v>
      </c>
      <c r="O1148" t="s">
        <v>3329</v>
      </c>
      <c r="P1148" t="s">
        <v>3330</v>
      </c>
      <c r="Q1148" t="s">
        <v>3331</v>
      </c>
      <c r="R1148" t="s">
        <v>6203</v>
      </c>
    </row>
    <row r="1149" spans="1:18" x14ac:dyDescent="0.2">
      <c r="A1149">
        <v>2855501</v>
      </c>
      <c r="B1149" t="s">
        <v>6204</v>
      </c>
      <c r="C1149">
        <v>0</v>
      </c>
      <c r="D1149">
        <v>0</v>
      </c>
      <c r="E1149">
        <v>0</v>
      </c>
      <c r="F1149">
        <v>0</v>
      </c>
      <c r="G1149">
        <v>1</v>
      </c>
      <c r="H1149">
        <v>0</v>
      </c>
      <c r="I1149">
        <v>0</v>
      </c>
      <c r="J1149">
        <v>0</v>
      </c>
      <c r="K1149">
        <v>0</v>
      </c>
      <c r="L1149" t="s">
        <v>3284</v>
      </c>
      <c r="M1149" t="s">
        <v>3296</v>
      </c>
      <c r="N1149" t="s">
        <v>3321</v>
      </c>
      <c r="O1149" t="s">
        <v>3322</v>
      </c>
      <c r="P1149" t="s">
        <v>3398</v>
      </c>
      <c r="Q1149" t="s">
        <v>3399</v>
      </c>
      <c r="R1149" t="s">
        <v>6205</v>
      </c>
    </row>
    <row r="1150" spans="1:18" x14ac:dyDescent="0.2">
      <c r="A1150">
        <v>2855394</v>
      </c>
      <c r="B1150" t="s">
        <v>6206</v>
      </c>
      <c r="C1150">
        <v>1</v>
      </c>
      <c r="D1150">
        <v>2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 t="s">
        <v>3284</v>
      </c>
      <c r="M1150" t="s">
        <v>3327</v>
      </c>
      <c r="N1150" t="s">
        <v>3328</v>
      </c>
      <c r="O1150" t="s">
        <v>3329</v>
      </c>
      <c r="P1150" t="s">
        <v>3330</v>
      </c>
      <c r="Q1150" t="s">
        <v>6207</v>
      </c>
      <c r="R1150" t="s">
        <v>6208</v>
      </c>
    </row>
    <row r="1151" spans="1:18" x14ac:dyDescent="0.2">
      <c r="A1151">
        <v>2854792</v>
      </c>
      <c r="B1151" t="s">
        <v>6209</v>
      </c>
      <c r="C1151">
        <v>0</v>
      </c>
      <c r="D1151">
        <v>0</v>
      </c>
      <c r="E1151">
        <v>0</v>
      </c>
      <c r="F1151">
        <v>1</v>
      </c>
      <c r="G1151">
        <v>0</v>
      </c>
      <c r="H1151">
        <v>0</v>
      </c>
      <c r="I1151">
        <v>1</v>
      </c>
      <c r="J1151">
        <v>0</v>
      </c>
      <c r="K1151">
        <v>0</v>
      </c>
      <c r="L1151" t="s">
        <v>3284</v>
      </c>
      <c r="M1151" t="s">
        <v>3296</v>
      </c>
      <c r="N1151" t="s">
        <v>3321</v>
      </c>
      <c r="O1151" t="s">
        <v>3322</v>
      </c>
      <c r="P1151" t="s">
        <v>3398</v>
      </c>
      <c r="Q1151" t="s">
        <v>3556</v>
      </c>
      <c r="R1151" t="s">
        <v>6210</v>
      </c>
    </row>
    <row r="1152" spans="1:18" x14ac:dyDescent="0.2">
      <c r="A1152">
        <v>2854786</v>
      </c>
      <c r="B1152" t="s">
        <v>6211</v>
      </c>
      <c r="C1152">
        <v>0</v>
      </c>
      <c r="D1152">
        <v>0</v>
      </c>
      <c r="E1152">
        <v>0</v>
      </c>
      <c r="F1152">
        <v>1</v>
      </c>
      <c r="G1152">
        <v>0</v>
      </c>
      <c r="H1152">
        <v>2</v>
      </c>
      <c r="I1152">
        <v>0</v>
      </c>
      <c r="J1152">
        <v>0</v>
      </c>
      <c r="K1152">
        <v>0</v>
      </c>
      <c r="L1152" t="s">
        <v>3284</v>
      </c>
      <c r="M1152" t="s">
        <v>3296</v>
      </c>
      <c r="N1152" t="s">
        <v>3321</v>
      </c>
      <c r="O1152" t="s">
        <v>3322</v>
      </c>
      <c r="P1152" t="s">
        <v>3323</v>
      </c>
      <c r="Q1152" t="s">
        <v>5058</v>
      </c>
      <c r="R1152" t="s">
        <v>6212</v>
      </c>
    </row>
    <row r="1153" spans="1:18" x14ac:dyDescent="0.2">
      <c r="A1153">
        <v>2854785</v>
      </c>
      <c r="B1153" t="s">
        <v>6213</v>
      </c>
      <c r="C1153">
        <v>0</v>
      </c>
      <c r="D1153">
        <v>1</v>
      </c>
      <c r="E1153">
        <v>0</v>
      </c>
      <c r="F1153">
        <v>0</v>
      </c>
      <c r="G1153">
        <v>1</v>
      </c>
      <c r="H1153">
        <v>0</v>
      </c>
      <c r="I1153">
        <v>0</v>
      </c>
      <c r="J1153">
        <v>0</v>
      </c>
      <c r="K1153">
        <v>0</v>
      </c>
      <c r="L1153" t="s">
        <v>3284</v>
      </c>
      <c r="M1153" t="s">
        <v>3391</v>
      </c>
      <c r="N1153" t="s">
        <v>4129</v>
      </c>
      <c r="O1153" t="s">
        <v>4130</v>
      </c>
      <c r="P1153" t="s">
        <v>4131</v>
      </c>
      <c r="Q1153" t="s">
        <v>4132</v>
      </c>
      <c r="R1153" t="s">
        <v>6214</v>
      </c>
    </row>
    <row r="1154" spans="1:18" x14ac:dyDescent="0.2">
      <c r="A1154">
        <v>2854784</v>
      </c>
      <c r="B1154" t="s">
        <v>6215</v>
      </c>
      <c r="C1154">
        <v>1</v>
      </c>
      <c r="D1154">
        <v>0</v>
      </c>
      <c r="E1154">
        <v>0</v>
      </c>
      <c r="F1154">
        <v>3</v>
      </c>
      <c r="G1154">
        <v>1</v>
      </c>
      <c r="H1154">
        <v>2</v>
      </c>
      <c r="I1154">
        <v>1</v>
      </c>
      <c r="J1154">
        <v>2</v>
      </c>
      <c r="K1154">
        <v>0</v>
      </c>
      <c r="L1154" t="s">
        <v>3284</v>
      </c>
      <c r="M1154" t="s">
        <v>3296</v>
      </c>
      <c r="N1154" t="s">
        <v>3321</v>
      </c>
      <c r="O1154" t="s">
        <v>3322</v>
      </c>
      <c r="P1154" t="s">
        <v>3398</v>
      </c>
      <c r="Q1154" t="s">
        <v>3556</v>
      </c>
      <c r="R1154" t="s">
        <v>6216</v>
      </c>
    </row>
    <row r="1155" spans="1:18" x14ac:dyDescent="0.2">
      <c r="A1155">
        <v>2854783</v>
      </c>
      <c r="B1155" t="s">
        <v>6217</v>
      </c>
      <c r="C1155">
        <v>0</v>
      </c>
      <c r="D1155">
        <v>1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 t="s">
        <v>3284</v>
      </c>
      <c r="M1155" t="s">
        <v>3296</v>
      </c>
      <c r="N1155" t="s">
        <v>3297</v>
      </c>
      <c r="O1155" t="s">
        <v>3434</v>
      </c>
      <c r="P1155" t="s">
        <v>3435</v>
      </c>
      <c r="Q1155" t="s">
        <v>3436</v>
      </c>
      <c r="R1155" t="s">
        <v>6218</v>
      </c>
    </row>
    <row r="1156" spans="1:18" x14ac:dyDescent="0.2">
      <c r="A1156">
        <v>2854781</v>
      </c>
      <c r="B1156" t="s">
        <v>6219</v>
      </c>
      <c r="C1156">
        <v>1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1</v>
      </c>
      <c r="J1156">
        <v>0</v>
      </c>
      <c r="K1156">
        <v>0</v>
      </c>
      <c r="L1156" t="s">
        <v>3284</v>
      </c>
      <c r="M1156" t="s">
        <v>3296</v>
      </c>
      <c r="N1156" t="s">
        <v>3321</v>
      </c>
      <c r="O1156" t="s">
        <v>3322</v>
      </c>
      <c r="P1156" t="s">
        <v>3398</v>
      </c>
      <c r="Q1156" t="s">
        <v>3806</v>
      </c>
      <c r="R1156" t="s">
        <v>6220</v>
      </c>
    </row>
    <row r="1157" spans="1:18" x14ac:dyDescent="0.2">
      <c r="A1157">
        <v>2854773</v>
      </c>
      <c r="B1157" t="s">
        <v>6221</v>
      </c>
      <c r="C1157">
        <v>0</v>
      </c>
      <c r="D1157">
        <v>0</v>
      </c>
      <c r="E1157">
        <v>0</v>
      </c>
      <c r="F1157">
        <v>1</v>
      </c>
      <c r="G1157">
        <v>0</v>
      </c>
      <c r="H1157">
        <v>0</v>
      </c>
      <c r="I1157">
        <v>0</v>
      </c>
      <c r="J1157">
        <v>0</v>
      </c>
      <c r="K1157">
        <v>0</v>
      </c>
      <c r="L1157" t="s">
        <v>3284</v>
      </c>
      <c r="M1157" t="s">
        <v>3296</v>
      </c>
      <c r="N1157" t="s">
        <v>3297</v>
      </c>
      <c r="O1157" t="s">
        <v>3434</v>
      </c>
      <c r="P1157" t="s">
        <v>3435</v>
      </c>
      <c r="Q1157" t="s">
        <v>3436</v>
      </c>
      <c r="R1157" t="s">
        <v>6222</v>
      </c>
    </row>
    <row r="1158" spans="1:18" x14ac:dyDescent="0.2">
      <c r="A1158">
        <v>2854029</v>
      </c>
      <c r="B1158" t="s">
        <v>6223</v>
      </c>
      <c r="C1158">
        <v>2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 t="s">
        <v>3284</v>
      </c>
      <c r="M1158" t="s">
        <v>3296</v>
      </c>
      <c r="N1158" t="s">
        <v>3343</v>
      </c>
      <c r="O1158" t="s">
        <v>3371</v>
      </c>
      <c r="P1158" t="s">
        <v>3372</v>
      </c>
      <c r="Q1158" t="s">
        <v>6224</v>
      </c>
      <c r="R1158" t="s">
        <v>6225</v>
      </c>
    </row>
    <row r="1159" spans="1:18" x14ac:dyDescent="0.2">
      <c r="A1159">
        <v>2853806</v>
      </c>
      <c r="B1159" t="s">
        <v>6226</v>
      </c>
      <c r="C1159">
        <v>1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 t="s">
        <v>3284</v>
      </c>
      <c r="M1159" t="s">
        <v>3296</v>
      </c>
      <c r="N1159" t="s">
        <v>3297</v>
      </c>
      <c r="O1159" t="s">
        <v>4556</v>
      </c>
      <c r="P1159" t="s">
        <v>6227</v>
      </c>
      <c r="Q1159" t="s">
        <v>6228</v>
      </c>
      <c r="R1159" t="s">
        <v>6229</v>
      </c>
    </row>
    <row r="1160" spans="1:18" x14ac:dyDescent="0.2">
      <c r="A1160">
        <v>2853442</v>
      </c>
      <c r="B1160" t="s">
        <v>6230</v>
      </c>
      <c r="C1160">
        <v>2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 t="s">
        <v>3284</v>
      </c>
      <c r="M1160" t="s">
        <v>3296</v>
      </c>
      <c r="N1160" t="s">
        <v>3343</v>
      </c>
      <c r="O1160" t="s">
        <v>3371</v>
      </c>
      <c r="P1160" t="s">
        <v>3688</v>
      </c>
      <c r="Q1160" t="s">
        <v>4406</v>
      </c>
      <c r="R1160" t="s">
        <v>6231</v>
      </c>
    </row>
    <row r="1161" spans="1:18" x14ac:dyDescent="0.2">
      <c r="A1161">
        <v>2853439</v>
      </c>
      <c r="B1161" t="s">
        <v>6232</v>
      </c>
      <c r="C1161">
        <v>1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 t="s">
        <v>3284</v>
      </c>
      <c r="M1161" t="s">
        <v>3391</v>
      </c>
      <c r="N1161" t="s">
        <v>3392</v>
      </c>
      <c r="O1161" t="s">
        <v>3393</v>
      </c>
      <c r="P1161" t="s">
        <v>3394</v>
      </c>
      <c r="Q1161" t="s">
        <v>4351</v>
      </c>
      <c r="R1161" t="s">
        <v>6233</v>
      </c>
    </row>
    <row r="1162" spans="1:18" x14ac:dyDescent="0.2">
      <c r="A1162">
        <v>2852097</v>
      </c>
      <c r="B1162" t="s">
        <v>6234</v>
      </c>
      <c r="C1162">
        <v>3</v>
      </c>
      <c r="D1162">
        <v>3</v>
      </c>
      <c r="E1162">
        <v>5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 t="s">
        <v>3284</v>
      </c>
      <c r="M1162" t="s">
        <v>3296</v>
      </c>
      <c r="N1162" t="s">
        <v>3343</v>
      </c>
      <c r="O1162" t="s">
        <v>3371</v>
      </c>
      <c r="P1162" t="s">
        <v>3271</v>
      </c>
      <c r="Q1162" t="s">
        <v>5409</v>
      </c>
      <c r="R1162" t="s">
        <v>6235</v>
      </c>
    </row>
    <row r="1163" spans="1:18" x14ac:dyDescent="0.2">
      <c r="A1163">
        <v>2851651</v>
      </c>
      <c r="B1163" t="s">
        <v>6236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1</v>
      </c>
      <c r="J1163">
        <v>0</v>
      </c>
      <c r="K1163">
        <v>0</v>
      </c>
      <c r="L1163" t="s">
        <v>3284</v>
      </c>
      <c r="M1163" t="s">
        <v>3307</v>
      </c>
      <c r="N1163" t="s">
        <v>3308</v>
      </c>
      <c r="O1163" t="s">
        <v>3359</v>
      </c>
      <c r="P1163" t="s">
        <v>3360</v>
      </c>
      <c r="Q1163" t="s">
        <v>3361</v>
      </c>
      <c r="R1163" t="s">
        <v>6237</v>
      </c>
    </row>
    <row r="1164" spans="1:18" x14ac:dyDescent="0.2">
      <c r="A1164">
        <v>2851646</v>
      </c>
      <c r="B1164" t="s">
        <v>6238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11</v>
      </c>
      <c r="J1164">
        <v>3</v>
      </c>
      <c r="K1164">
        <v>13</v>
      </c>
      <c r="L1164" t="s">
        <v>3284</v>
      </c>
      <c r="M1164" t="s">
        <v>3307</v>
      </c>
      <c r="N1164" t="s">
        <v>3308</v>
      </c>
      <c r="O1164" t="s">
        <v>3359</v>
      </c>
      <c r="P1164" t="s">
        <v>3360</v>
      </c>
      <c r="Q1164" t="s">
        <v>3361</v>
      </c>
      <c r="R1164" t="s">
        <v>6239</v>
      </c>
    </row>
    <row r="1165" spans="1:18" x14ac:dyDescent="0.2">
      <c r="A1165">
        <v>2851566</v>
      </c>
      <c r="B1165" t="s">
        <v>6240</v>
      </c>
      <c r="C1165">
        <v>0</v>
      </c>
      <c r="D1165">
        <v>0</v>
      </c>
      <c r="E1165">
        <v>0</v>
      </c>
      <c r="F1165">
        <v>1</v>
      </c>
      <c r="G1165">
        <v>0</v>
      </c>
      <c r="H1165">
        <v>0</v>
      </c>
      <c r="I1165">
        <v>0</v>
      </c>
      <c r="J1165">
        <v>0</v>
      </c>
      <c r="K1165">
        <v>0</v>
      </c>
      <c r="L1165" t="s">
        <v>3284</v>
      </c>
      <c r="M1165" t="s">
        <v>3307</v>
      </c>
      <c r="N1165" t="s">
        <v>3308</v>
      </c>
      <c r="O1165" t="s">
        <v>3494</v>
      </c>
      <c r="P1165" t="s">
        <v>3495</v>
      </c>
      <c r="Q1165" t="s">
        <v>6241</v>
      </c>
      <c r="R1165" t="s">
        <v>6242</v>
      </c>
    </row>
    <row r="1166" spans="1:18" x14ac:dyDescent="0.2">
      <c r="A1166">
        <v>2851012</v>
      </c>
      <c r="B1166" t="s">
        <v>6243</v>
      </c>
      <c r="C1166">
        <v>1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 t="s">
        <v>3284</v>
      </c>
      <c r="M1166" t="s">
        <v>3296</v>
      </c>
      <c r="N1166" t="s">
        <v>3343</v>
      </c>
      <c r="O1166" t="s">
        <v>3371</v>
      </c>
      <c r="P1166" t="s">
        <v>3271</v>
      </c>
      <c r="Q1166" t="s">
        <v>6244</v>
      </c>
      <c r="R1166" t="s">
        <v>6245</v>
      </c>
    </row>
    <row r="1167" spans="1:18" x14ac:dyDescent="0.2">
      <c r="A1167">
        <v>2849779</v>
      </c>
      <c r="B1167" t="s">
        <v>6246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1</v>
      </c>
      <c r="J1167">
        <v>0</v>
      </c>
      <c r="K1167">
        <v>0</v>
      </c>
      <c r="L1167" t="s">
        <v>3284</v>
      </c>
      <c r="M1167" t="s">
        <v>3307</v>
      </c>
      <c r="N1167" t="s">
        <v>5924</v>
      </c>
      <c r="O1167" t="s">
        <v>5925</v>
      </c>
      <c r="P1167" t="s">
        <v>5926</v>
      </c>
      <c r="Q1167" t="s">
        <v>6247</v>
      </c>
      <c r="R1167" t="s">
        <v>6248</v>
      </c>
    </row>
    <row r="1168" spans="1:18" x14ac:dyDescent="0.2">
      <c r="A1168">
        <v>2849669</v>
      </c>
      <c r="B1168" t="s">
        <v>6249</v>
      </c>
      <c r="C1168">
        <v>0</v>
      </c>
      <c r="D1168">
        <v>0</v>
      </c>
      <c r="E1168">
        <v>0</v>
      </c>
      <c r="F1168">
        <v>3</v>
      </c>
      <c r="G1168">
        <v>0</v>
      </c>
      <c r="H1168">
        <v>0</v>
      </c>
      <c r="I1168">
        <v>0</v>
      </c>
      <c r="J1168">
        <v>0</v>
      </c>
      <c r="K1168">
        <v>0</v>
      </c>
      <c r="L1168" t="s">
        <v>3284</v>
      </c>
      <c r="M1168" t="s">
        <v>3307</v>
      </c>
      <c r="N1168" t="s">
        <v>3308</v>
      </c>
      <c r="O1168" t="s">
        <v>3309</v>
      </c>
      <c r="P1168" t="s">
        <v>3310</v>
      </c>
      <c r="Q1168" t="s">
        <v>3311</v>
      </c>
      <c r="R1168" t="s">
        <v>6250</v>
      </c>
    </row>
    <row r="1169" spans="1:18" x14ac:dyDescent="0.2">
      <c r="A1169">
        <v>2849654</v>
      </c>
      <c r="B1169" t="s">
        <v>6251</v>
      </c>
      <c r="C1169">
        <v>0</v>
      </c>
      <c r="D1169">
        <v>1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 t="s">
        <v>3284</v>
      </c>
      <c r="M1169" t="s">
        <v>3391</v>
      </c>
      <c r="N1169" t="s">
        <v>3411</v>
      </c>
      <c r="O1169" t="s">
        <v>3412</v>
      </c>
      <c r="P1169" t="s">
        <v>3564</v>
      </c>
      <c r="Q1169" t="s">
        <v>6252</v>
      </c>
      <c r="R1169" t="s">
        <v>6253</v>
      </c>
    </row>
    <row r="1170" spans="1:18" x14ac:dyDescent="0.2">
      <c r="A1170">
        <v>2849501</v>
      </c>
      <c r="B1170" t="s">
        <v>6254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1</v>
      </c>
      <c r="J1170">
        <v>0</v>
      </c>
      <c r="K1170">
        <v>0</v>
      </c>
      <c r="L1170" t="s">
        <v>3284</v>
      </c>
      <c r="M1170" t="s">
        <v>3307</v>
      </c>
      <c r="N1170" t="s">
        <v>3308</v>
      </c>
      <c r="O1170" t="s">
        <v>3309</v>
      </c>
      <c r="P1170" t="s">
        <v>3310</v>
      </c>
      <c r="Q1170" t="s">
        <v>3311</v>
      </c>
      <c r="R1170" t="s">
        <v>6255</v>
      </c>
    </row>
    <row r="1171" spans="1:18" x14ac:dyDescent="0.2">
      <c r="A1171">
        <v>2849500</v>
      </c>
      <c r="B1171" t="s">
        <v>6256</v>
      </c>
      <c r="C1171">
        <v>0</v>
      </c>
      <c r="D1171">
        <v>0</v>
      </c>
      <c r="E1171">
        <v>0</v>
      </c>
      <c r="F1171">
        <v>1</v>
      </c>
      <c r="G1171">
        <v>1</v>
      </c>
      <c r="H1171">
        <v>0</v>
      </c>
      <c r="I1171">
        <v>0</v>
      </c>
      <c r="J1171">
        <v>0</v>
      </c>
      <c r="K1171">
        <v>0</v>
      </c>
      <c r="L1171" t="s">
        <v>3284</v>
      </c>
      <c r="M1171" t="s">
        <v>3296</v>
      </c>
      <c r="N1171" t="s">
        <v>3343</v>
      </c>
      <c r="O1171" t="s">
        <v>3349</v>
      </c>
      <c r="P1171" t="s">
        <v>3350</v>
      </c>
      <c r="Q1171" t="s">
        <v>3351</v>
      </c>
      <c r="R1171" t="s">
        <v>6257</v>
      </c>
    </row>
    <row r="1172" spans="1:18" x14ac:dyDescent="0.2">
      <c r="A1172">
        <v>2849149</v>
      </c>
      <c r="B1172" t="s">
        <v>6258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20</v>
      </c>
      <c r="J1172">
        <v>5</v>
      </c>
      <c r="K1172">
        <v>0</v>
      </c>
      <c r="L1172" t="s">
        <v>3284</v>
      </c>
      <c r="M1172" t="s">
        <v>3296</v>
      </c>
      <c r="N1172" t="s">
        <v>3343</v>
      </c>
      <c r="O1172" t="s">
        <v>3344</v>
      </c>
      <c r="P1172" t="s">
        <v>6259</v>
      </c>
      <c r="Q1172" t="s">
        <v>6260</v>
      </c>
      <c r="R1172" t="s">
        <v>6261</v>
      </c>
    </row>
    <row r="1173" spans="1:18" x14ac:dyDescent="0.2">
      <c r="A1173">
        <v>2846852</v>
      </c>
      <c r="B1173" t="s">
        <v>6262</v>
      </c>
      <c r="C1173">
        <v>0</v>
      </c>
      <c r="D1173">
        <v>0</v>
      </c>
      <c r="E1173">
        <v>0</v>
      </c>
      <c r="F1173">
        <v>1</v>
      </c>
      <c r="G1173">
        <v>0</v>
      </c>
      <c r="H1173">
        <v>0</v>
      </c>
      <c r="I1173">
        <v>0</v>
      </c>
      <c r="J1173">
        <v>0</v>
      </c>
      <c r="K1173">
        <v>0</v>
      </c>
      <c r="L1173" t="s">
        <v>3284</v>
      </c>
      <c r="M1173" t="s">
        <v>3296</v>
      </c>
      <c r="N1173" t="s">
        <v>3343</v>
      </c>
      <c r="O1173" t="s">
        <v>3344</v>
      </c>
      <c r="P1173" t="s">
        <v>3355</v>
      </c>
      <c r="Q1173" t="s">
        <v>3356</v>
      </c>
      <c r="R1173" t="s">
        <v>6263</v>
      </c>
    </row>
    <row r="1174" spans="1:18" x14ac:dyDescent="0.2">
      <c r="A1174">
        <v>2846776</v>
      </c>
      <c r="B1174" t="s">
        <v>6264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2</v>
      </c>
      <c r="J1174">
        <v>0</v>
      </c>
      <c r="K1174">
        <v>3</v>
      </c>
      <c r="L1174" t="s">
        <v>3284</v>
      </c>
      <c r="M1174" t="s">
        <v>3296</v>
      </c>
      <c r="N1174" t="s">
        <v>3343</v>
      </c>
      <c r="O1174" t="s">
        <v>3429</v>
      </c>
      <c r="P1174" t="s">
        <v>4336</v>
      </c>
      <c r="Q1174" t="s">
        <v>6265</v>
      </c>
      <c r="R1174" t="s">
        <v>6266</v>
      </c>
    </row>
    <row r="1175" spans="1:18" x14ac:dyDescent="0.2">
      <c r="A1175">
        <v>2846775</v>
      </c>
      <c r="B1175" t="s">
        <v>6267</v>
      </c>
      <c r="C1175">
        <v>0</v>
      </c>
      <c r="D1175">
        <v>0</v>
      </c>
      <c r="E1175">
        <v>0</v>
      </c>
      <c r="F1175">
        <v>1</v>
      </c>
      <c r="G1175">
        <v>0</v>
      </c>
      <c r="H1175">
        <v>0</v>
      </c>
      <c r="I1175">
        <v>0</v>
      </c>
      <c r="J1175">
        <v>0</v>
      </c>
      <c r="K1175">
        <v>0</v>
      </c>
      <c r="L1175" t="s">
        <v>3284</v>
      </c>
      <c r="M1175" t="s">
        <v>3307</v>
      </c>
      <c r="N1175" t="s">
        <v>3308</v>
      </c>
      <c r="O1175" t="s">
        <v>3359</v>
      </c>
      <c r="P1175" t="s">
        <v>3360</v>
      </c>
      <c r="Q1175" t="s">
        <v>4311</v>
      </c>
      <c r="R1175" t="s">
        <v>6268</v>
      </c>
    </row>
    <row r="1176" spans="1:18" x14ac:dyDescent="0.2">
      <c r="A1176">
        <v>2845823</v>
      </c>
      <c r="B1176" t="s">
        <v>6269</v>
      </c>
      <c r="C1176">
        <v>1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6</v>
      </c>
      <c r="J1176">
        <v>4</v>
      </c>
      <c r="K1176">
        <v>8</v>
      </c>
      <c r="L1176" t="s">
        <v>3284</v>
      </c>
      <c r="M1176" t="s">
        <v>3296</v>
      </c>
      <c r="N1176" t="s">
        <v>3343</v>
      </c>
      <c r="O1176" t="s">
        <v>3429</v>
      </c>
      <c r="P1176" t="s">
        <v>3430</v>
      </c>
      <c r="Q1176" t="s">
        <v>3651</v>
      </c>
      <c r="R1176" t="s">
        <v>6270</v>
      </c>
    </row>
    <row r="1177" spans="1:18" x14ac:dyDescent="0.2">
      <c r="A1177">
        <v>2845822</v>
      </c>
      <c r="B1177" t="s">
        <v>6271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2</v>
      </c>
      <c r="J1177">
        <v>1</v>
      </c>
      <c r="K1177">
        <v>0</v>
      </c>
      <c r="L1177" t="s">
        <v>3284</v>
      </c>
      <c r="M1177" t="s">
        <v>3296</v>
      </c>
      <c r="N1177" t="s">
        <v>3321</v>
      </c>
      <c r="O1177" t="s">
        <v>3322</v>
      </c>
      <c r="P1177" t="s">
        <v>3271</v>
      </c>
      <c r="Q1177" t="s">
        <v>4214</v>
      </c>
      <c r="R1177" t="s">
        <v>6272</v>
      </c>
    </row>
    <row r="1178" spans="1:18" x14ac:dyDescent="0.2">
      <c r="A1178">
        <v>2845819</v>
      </c>
      <c r="B1178" t="s">
        <v>6273</v>
      </c>
      <c r="C1178">
        <v>0</v>
      </c>
      <c r="D1178">
        <v>0</v>
      </c>
      <c r="E1178">
        <v>0</v>
      </c>
      <c r="F1178">
        <v>1</v>
      </c>
      <c r="G1178">
        <v>0</v>
      </c>
      <c r="H1178">
        <v>0</v>
      </c>
      <c r="I1178">
        <v>0</v>
      </c>
      <c r="J1178">
        <v>0</v>
      </c>
      <c r="K1178">
        <v>0</v>
      </c>
      <c r="L1178" t="s">
        <v>3284</v>
      </c>
      <c r="M1178" t="s">
        <v>3391</v>
      </c>
      <c r="N1178" t="s">
        <v>3411</v>
      </c>
      <c r="O1178" t="s">
        <v>3412</v>
      </c>
      <c r="P1178" t="s">
        <v>3413</v>
      </c>
      <c r="Q1178" t="s">
        <v>3414</v>
      </c>
      <c r="R1178" t="s">
        <v>6274</v>
      </c>
    </row>
    <row r="1179" spans="1:18" x14ac:dyDescent="0.2">
      <c r="A1179">
        <v>2843319</v>
      </c>
      <c r="B1179" t="s">
        <v>6275</v>
      </c>
      <c r="C1179">
        <v>6</v>
      </c>
      <c r="D1179">
        <v>4</v>
      </c>
      <c r="E1179">
        <v>9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 t="s">
        <v>3284</v>
      </c>
      <c r="M1179" t="s">
        <v>3327</v>
      </c>
      <c r="N1179" t="s">
        <v>3328</v>
      </c>
      <c r="O1179" t="s">
        <v>3329</v>
      </c>
      <c r="P1179" t="s">
        <v>3330</v>
      </c>
      <c r="Q1179" t="s">
        <v>3331</v>
      </c>
      <c r="R1179" t="s">
        <v>6276</v>
      </c>
    </row>
    <row r="1180" spans="1:18" x14ac:dyDescent="0.2">
      <c r="A1180">
        <v>2843302</v>
      </c>
      <c r="B1180" t="s">
        <v>6277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1</v>
      </c>
      <c r="J1180">
        <v>0</v>
      </c>
      <c r="K1180">
        <v>0</v>
      </c>
      <c r="L1180" t="s">
        <v>3284</v>
      </c>
      <c r="M1180" t="s">
        <v>3296</v>
      </c>
      <c r="N1180" t="s">
        <v>3321</v>
      </c>
      <c r="O1180" t="s">
        <v>3322</v>
      </c>
      <c r="P1180" t="s">
        <v>3423</v>
      </c>
      <c r="Q1180" t="s">
        <v>4170</v>
      </c>
      <c r="R1180" t="s">
        <v>6278</v>
      </c>
    </row>
    <row r="1181" spans="1:18" x14ac:dyDescent="0.2">
      <c r="A1181">
        <v>2843215</v>
      </c>
      <c r="B1181" t="s">
        <v>6279</v>
      </c>
      <c r="C1181">
        <v>1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 t="s">
        <v>3284</v>
      </c>
      <c r="M1181" t="s">
        <v>3307</v>
      </c>
      <c r="N1181" t="s">
        <v>3989</v>
      </c>
      <c r="O1181" t="s">
        <v>6280</v>
      </c>
      <c r="P1181" t="s">
        <v>6281</v>
      </c>
      <c r="Q1181" t="s">
        <v>6282</v>
      </c>
      <c r="R1181" t="s">
        <v>6283</v>
      </c>
    </row>
    <row r="1182" spans="1:18" x14ac:dyDescent="0.2">
      <c r="A1182">
        <v>2843195</v>
      </c>
      <c r="B1182" t="s">
        <v>6284</v>
      </c>
      <c r="C1182">
        <v>0</v>
      </c>
      <c r="D1182">
        <v>0</v>
      </c>
      <c r="E1182">
        <v>0</v>
      </c>
      <c r="F1182">
        <v>1</v>
      </c>
      <c r="G1182">
        <v>0</v>
      </c>
      <c r="H1182">
        <v>0</v>
      </c>
      <c r="I1182">
        <v>0</v>
      </c>
      <c r="J1182">
        <v>0</v>
      </c>
      <c r="K1182">
        <v>0</v>
      </c>
      <c r="L1182" t="s">
        <v>3284</v>
      </c>
      <c r="M1182" t="s">
        <v>3296</v>
      </c>
      <c r="N1182" t="s">
        <v>3321</v>
      </c>
      <c r="O1182" t="s">
        <v>3322</v>
      </c>
      <c r="P1182" t="s">
        <v>4143</v>
      </c>
      <c r="Q1182" t="s">
        <v>6285</v>
      </c>
      <c r="R1182" t="s">
        <v>6286</v>
      </c>
    </row>
    <row r="1183" spans="1:18" x14ac:dyDescent="0.2">
      <c r="A1183">
        <v>2842451</v>
      </c>
      <c r="B1183" t="s">
        <v>6287</v>
      </c>
      <c r="C1183">
        <v>0</v>
      </c>
      <c r="D1183">
        <v>0</v>
      </c>
      <c r="E1183">
        <v>0</v>
      </c>
      <c r="F1183">
        <v>1</v>
      </c>
      <c r="G1183">
        <v>2</v>
      </c>
      <c r="H1183">
        <v>0</v>
      </c>
      <c r="I1183">
        <v>1</v>
      </c>
      <c r="J1183">
        <v>0</v>
      </c>
      <c r="K1183">
        <v>0</v>
      </c>
      <c r="L1183" t="s">
        <v>3284</v>
      </c>
      <c r="M1183" t="s">
        <v>3296</v>
      </c>
      <c r="N1183" t="s">
        <v>3343</v>
      </c>
      <c r="O1183" t="s">
        <v>3349</v>
      </c>
      <c r="P1183" t="s">
        <v>3350</v>
      </c>
      <c r="Q1183" t="s">
        <v>3580</v>
      </c>
      <c r="R1183" t="s">
        <v>6288</v>
      </c>
    </row>
    <row r="1184" spans="1:18" x14ac:dyDescent="0.2">
      <c r="A1184">
        <v>2842347</v>
      </c>
      <c r="B1184" t="s">
        <v>6289</v>
      </c>
      <c r="C1184">
        <v>0</v>
      </c>
      <c r="D1184">
        <v>0</v>
      </c>
      <c r="E1184">
        <v>0</v>
      </c>
      <c r="F1184">
        <v>1</v>
      </c>
      <c r="G1184">
        <v>1</v>
      </c>
      <c r="H1184">
        <v>0</v>
      </c>
      <c r="I1184">
        <v>0</v>
      </c>
      <c r="J1184">
        <v>0</v>
      </c>
      <c r="K1184">
        <v>0</v>
      </c>
      <c r="L1184" t="s">
        <v>3284</v>
      </c>
      <c r="M1184" t="s">
        <v>3296</v>
      </c>
      <c r="N1184" t="s">
        <v>3297</v>
      </c>
      <c r="O1184" t="s">
        <v>3434</v>
      </c>
      <c r="P1184" t="s">
        <v>3435</v>
      </c>
      <c r="Q1184" t="s">
        <v>3436</v>
      </c>
      <c r="R1184" t="s">
        <v>6290</v>
      </c>
    </row>
    <row r="1185" spans="1:18" x14ac:dyDescent="0.2">
      <c r="A1185">
        <v>2841651</v>
      </c>
      <c r="B1185" t="s">
        <v>6291</v>
      </c>
      <c r="C1185">
        <v>1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 t="s">
        <v>3284</v>
      </c>
      <c r="M1185" t="s">
        <v>4022</v>
      </c>
      <c r="N1185" t="s">
        <v>4023</v>
      </c>
      <c r="O1185" t="s">
        <v>6292</v>
      </c>
      <c r="P1185" t="s">
        <v>6293</v>
      </c>
      <c r="Q1185" t="s">
        <v>6294</v>
      </c>
      <c r="R1185" t="s">
        <v>6295</v>
      </c>
    </row>
    <row r="1186" spans="1:18" x14ac:dyDescent="0.2">
      <c r="A1186">
        <v>2841529</v>
      </c>
      <c r="B1186" t="s">
        <v>6296</v>
      </c>
      <c r="C1186">
        <v>0</v>
      </c>
      <c r="D1186">
        <v>0</v>
      </c>
      <c r="E1186">
        <v>1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 t="s">
        <v>3284</v>
      </c>
      <c r="M1186" t="s">
        <v>3327</v>
      </c>
      <c r="N1186" t="s">
        <v>3376</v>
      </c>
      <c r="O1186" t="s">
        <v>3377</v>
      </c>
      <c r="P1186" t="s">
        <v>3604</v>
      </c>
      <c r="Q1186" t="s">
        <v>3668</v>
      </c>
      <c r="R1186" t="s">
        <v>6297</v>
      </c>
    </row>
    <row r="1187" spans="1:18" x14ac:dyDescent="0.2">
      <c r="A1187">
        <v>2841527</v>
      </c>
      <c r="B1187" t="s">
        <v>6298</v>
      </c>
      <c r="C1187">
        <v>1</v>
      </c>
      <c r="D1187">
        <v>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 t="s">
        <v>3284</v>
      </c>
      <c r="M1187" t="s">
        <v>3327</v>
      </c>
      <c r="N1187" t="s">
        <v>3328</v>
      </c>
      <c r="O1187" t="s">
        <v>3329</v>
      </c>
      <c r="P1187" t="s">
        <v>6299</v>
      </c>
      <c r="Q1187" t="s">
        <v>6300</v>
      </c>
      <c r="R1187" t="s">
        <v>6301</v>
      </c>
    </row>
    <row r="1188" spans="1:18" x14ac:dyDescent="0.2">
      <c r="A1188">
        <v>2841526</v>
      </c>
      <c r="B1188" t="s">
        <v>6302</v>
      </c>
      <c r="C1188">
        <v>0</v>
      </c>
      <c r="D1188">
        <v>1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 t="s">
        <v>3284</v>
      </c>
      <c r="M1188" t="s">
        <v>3327</v>
      </c>
      <c r="N1188" t="s">
        <v>3328</v>
      </c>
      <c r="O1188" t="s">
        <v>3329</v>
      </c>
      <c r="P1188" t="s">
        <v>4620</v>
      </c>
      <c r="Q1188" t="s">
        <v>6303</v>
      </c>
      <c r="R1188" t="s">
        <v>6304</v>
      </c>
    </row>
    <row r="1189" spans="1:18" x14ac:dyDescent="0.2">
      <c r="A1189">
        <v>2841512</v>
      </c>
      <c r="B1189" t="s">
        <v>6305</v>
      </c>
      <c r="C1189">
        <v>3</v>
      </c>
      <c r="D1189">
        <v>7</v>
      </c>
      <c r="E1189">
        <v>4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 t="s">
        <v>3284</v>
      </c>
      <c r="M1189" t="s">
        <v>3327</v>
      </c>
      <c r="N1189" t="s">
        <v>3328</v>
      </c>
      <c r="O1189" t="s">
        <v>3329</v>
      </c>
      <c r="P1189" t="s">
        <v>3330</v>
      </c>
      <c r="Q1189" t="s">
        <v>3331</v>
      </c>
      <c r="R1189" t="s">
        <v>6306</v>
      </c>
    </row>
    <row r="1190" spans="1:18" x14ac:dyDescent="0.2">
      <c r="A1190">
        <v>2841510</v>
      </c>
      <c r="B1190" t="s">
        <v>6307</v>
      </c>
      <c r="C1190">
        <v>3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 t="s">
        <v>3284</v>
      </c>
      <c r="M1190" t="s">
        <v>3327</v>
      </c>
      <c r="N1190" t="s">
        <v>3328</v>
      </c>
      <c r="O1190" t="s">
        <v>3329</v>
      </c>
      <c r="P1190" t="s">
        <v>3330</v>
      </c>
      <c r="Q1190" t="s">
        <v>3331</v>
      </c>
      <c r="R1190" t="s">
        <v>6308</v>
      </c>
    </row>
    <row r="1191" spans="1:18" x14ac:dyDescent="0.2">
      <c r="A1191">
        <v>2841508</v>
      </c>
      <c r="B1191" t="s">
        <v>6309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1</v>
      </c>
      <c r="L1191" t="s">
        <v>3284</v>
      </c>
      <c r="M1191" t="s">
        <v>3327</v>
      </c>
      <c r="N1191" t="s">
        <v>3376</v>
      </c>
      <c r="O1191" t="s">
        <v>3377</v>
      </c>
      <c r="P1191" t="s">
        <v>3604</v>
      </c>
      <c r="Q1191" t="s">
        <v>3668</v>
      </c>
      <c r="R1191" t="s">
        <v>6310</v>
      </c>
    </row>
    <row r="1192" spans="1:18" x14ac:dyDescent="0.2">
      <c r="A1192">
        <v>2841507</v>
      </c>
      <c r="B1192" t="s">
        <v>6311</v>
      </c>
      <c r="C1192">
        <v>2</v>
      </c>
      <c r="D1192">
        <v>2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 t="s">
        <v>3284</v>
      </c>
      <c r="M1192" t="s">
        <v>3327</v>
      </c>
      <c r="N1192" t="s">
        <v>3328</v>
      </c>
      <c r="O1192" t="s">
        <v>4184</v>
      </c>
      <c r="P1192" t="s">
        <v>6312</v>
      </c>
      <c r="Q1192" t="s">
        <v>6313</v>
      </c>
      <c r="R1192" t="s">
        <v>6314</v>
      </c>
    </row>
    <row r="1193" spans="1:18" x14ac:dyDescent="0.2">
      <c r="A1193">
        <v>2841506</v>
      </c>
      <c r="B1193" t="s">
        <v>6315</v>
      </c>
      <c r="C1193">
        <v>3</v>
      </c>
      <c r="D1193">
        <v>1</v>
      </c>
      <c r="E1193">
        <v>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 t="s">
        <v>3284</v>
      </c>
      <c r="M1193" t="s">
        <v>3327</v>
      </c>
      <c r="N1193" t="s">
        <v>3328</v>
      </c>
      <c r="O1193" t="s">
        <v>3329</v>
      </c>
      <c r="P1193" t="s">
        <v>3330</v>
      </c>
      <c r="Q1193" t="s">
        <v>3331</v>
      </c>
      <c r="R1193" t="s">
        <v>6316</v>
      </c>
    </row>
    <row r="1194" spans="1:18" x14ac:dyDescent="0.2">
      <c r="A1194">
        <v>2840474</v>
      </c>
      <c r="B1194" t="s">
        <v>6317</v>
      </c>
      <c r="C1194">
        <v>1</v>
      </c>
      <c r="D1194">
        <v>1</v>
      </c>
      <c r="E1194">
        <v>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 t="s">
        <v>3284</v>
      </c>
      <c r="M1194" t="s">
        <v>3296</v>
      </c>
      <c r="N1194" t="s">
        <v>3343</v>
      </c>
      <c r="O1194" t="s">
        <v>3371</v>
      </c>
      <c r="P1194" t="s">
        <v>3688</v>
      </c>
      <c r="Q1194" t="s">
        <v>4278</v>
      </c>
      <c r="R1194" t="s">
        <v>6318</v>
      </c>
    </row>
    <row r="1195" spans="1:18" x14ac:dyDescent="0.2">
      <c r="A1195">
        <v>2840469</v>
      </c>
      <c r="B1195" t="s">
        <v>6319</v>
      </c>
      <c r="C1195">
        <v>0</v>
      </c>
      <c r="D1195">
        <v>0</v>
      </c>
      <c r="E1195">
        <v>0</v>
      </c>
      <c r="F1195">
        <v>1</v>
      </c>
      <c r="G1195">
        <v>0</v>
      </c>
      <c r="H1195">
        <v>0</v>
      </c>
      <c r="I1195">
        <v>0</v>
      </c>
      <c r="J1195">
        <v>0</v>
      </c>
      <c r="K1195">
        <v>0</v>
      </c>
      <c r="L1195" t="s">
        <v>3284</v>
      </c>
      <c r="M1195" t="s">
        <v>3296</v>
      </c>
      <c r="N1195" t="s">
        <v>3343</v>
      </c>
      <c r="O1195" t="s">
        <v>3344</v>
      </c>
      <c r="P1195" t="s">
        <v>3937</v>
      </c>
      <c r="Q1195" t="s">
        <v>3938</v>
      </c>
      <c r="R1195" t="s">
        <v>6320</v>
      </c>
    </row>
    <row r="1196" spans="1:18" x14ac:dyDescent="0.2">
      <c r="A1196">
        <v>2839843</v>
      </c>
      <c r="B1196" t="s">
        <v>6321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1</v>
      </c>
      <c r="J1196">
        <v>0</v>
      </c>
      <c r="K1196">
        <v>0</v>
      </c>
      <c r="L1196" t="s">
        <v>3284</v>
      </c>
      <c r="M1196" t="s">
        <v>3296</v>
      </c>
      <c r="N1196" t="s">
        <v>3343</v>
      </c>
      <c r="O1196" t="s">
        <v>3349</v>
      </c>
      <c r="P1196" t="s">
        <v>3350</v>
      </c>
      <c r="Q1196" t="s">
        <v>3351</v>
      </c>
      <c r="R1196" t="s">
        <v>6322</v>
      </c>
    </row>
    <row r="1197" spans="1:18" x14ac:dyDescent="0.2">
      <c r="A1197">
        <v>2839024</v>
      </c>
      <c r="B1197" t="s">
        <v>6323</v>
      </c>
      <c r="C1197">
        <v>0</v>
      </c>
      <c r="D1197">
        <v>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 t="s">
        <v>3284</v>
      </c>
      <c r="M1197" t="s">
        <v>3296</v>
      </c>
      <c r="N1197" t="s">
        <v>3297</v>
      </c>
      <c r="O1197" t="s">
        <v>6324</v>
      </c>
      <c r="P1197" t="s">
        <v>6325</v>
      </c>
      <c r="Q1197" t="s">
        <v>6326</v>
      </c>
      <c r="R1197" t="s">
        <v>6327</v>
      </c>
    </row>
    <row r="1198" spans="1:18" x14ac:dyDescent="0.2">
      <c r="A1198">
        <v>2838833</v>
      </c>
      <c r="B1198" t="s">
        <v>6328</v>
      </c>
      <c r="C1198">
        <v>0</v>
      </c>
      <c r="D1198">
        <v>0</v>
      </c>
      <c r="E1198">
        <v>0</v>
      </c>
      <c r="F1198">
        <v>0</v>
      </c>
      <c r="G1198">
        <v>1</v>
      </c>
      <c r="H1198">
        <v>0</v>
      </c>
      <c r="I1198">
        <v>0</v>
      </c>
      <c r="J1198">
        <v>0</v>
      </c>
      <c r="K1198">
        <v>0</v>
      </c>
      <c r="L1198" t="s">
        <v>3284</v>
      </c>
      <c r="M1198" t="s">
        <v>3296</v>
      </c>
      <c r="N1198" t="s">
        <v>3343</v>
      </c>
      <c r="O1198" t="s">
        <v>3349</v>
      </c>
      <c r="P1198" t="s">
        <v>4285</v>
      </c>
      <c r="Q1198" t="s">
        <v>4286</v>
      </c>
      <c r="R1198" t="s">
        <v>6329</v>
      </c>
    </row>
    <row r="1199" spans="1:18" x14ac:dyDescent="0.2">
      <c r="A1199">
        <v>2838790</v>
      </c>
      <c r="B1199" t="s">
        <v>6330</v>
      </c>
      <c r="C1199">
        <v>0</v>
      </c>
      <c r="D1199">
        <v>1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 t="s">
        <v>3284</v>
      </c>
      <c r="M1199" t="s">
        <v>3296</v>
      </c>
      <c r="N1199" t="s">
        <v>3321</v>
      </c>
      <c r="O1199" t="s">
        <v>3322</v>
      </c>
      <c r="P1199" t="s">
        <v>3671</v>
      </c>
      <c r="Q1199" t="s">
        <v>5595</v>
      </c>
      <c r="R1199" t="s">
        <v>6331</v>
      </c>
    </row>
    <row r="1200" spans="1:18" x14ac:dyDescent="0.2">
      <c r="A1200">
        <v>2838249</v>
      </c>
      <c r="B1200" t="s">
        <v>6332</v>
      </c>
      <c r="C1200">
        <v>0</v>
      </c>
      <c r="D1200">
        <v>0</v>
      </c>
      <c r="E1200">
        <v>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 t="s">
        <v>3284</v>
      </c>
      <c r="M1200" t="s">
        <v>3327</v>
      </c>
      <c r="N1200" t="s">
        <v>3376</v>
      </c>
      <c r="O1200" t="s">
        <v>3377</v>
      </c>
      <c r="P1200" t="s">
        <v>6333</v>
      </c>
      <c r="Q1200" t="s">
        <v>6334</v>
      </c>
      <c r="R1200" t="s">
        <v>6335</v>
      </c>
    </row>
    <row r="1201" spans="1:18" x14ac:dyDescent="0.2">
      <c r="A1201">
        <v>2838157</v>
      </c>
      <c r="B1201" t="s">
        <v>6336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1</v>
      </c>
      <c r="J1201">
        <v>0</v>
      </c>
      <c r="K1201">
        <v>0</v>
      </c>
      <c r="L1201" t="s">
        <v>3284</v>
      </c>
      <c r="M1201" t="s">
        <v>3391</v>
      </c>
      <c r="N1201" t="s">
        <v>4129</v>
      </c>
      <c r="O1201" t="s">
        <v>4130</v>
      </c>
      <c r="P1201" t="s">
        <v>4131</v>
      </c>
      <c r="Q1201" t="s">
        <v>6337</v>
      </c>
      <c r="R1201" t="s">
        <v>6338</v>
      </c>
    </row>
    <row r="1202" spans="1:18" x14ac:dyDescent="0.2">
      <c r="A1202">
        <v>2836867</v>
      </c>
      <c r="B1202" t="s">
        <v>6339</v>
      </c>
      <c r="C1202">
        <v>1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 t="s">
        <v>3284</v>
      </c>
      <c r="M1202" t="s">
        <v>3296</v>
      </c>
      <c r="N1202" t="s">
        <v>3343</v>
      </c>
      <c r="O1202" t="s">
        <v>3371</v>
      </c>
      <c r="P1202" t="s">
        <v>3372</v>
      </c>
      <c r="Q1202" t="s">
        <v>6340</v>
      </c>
      <c r="R1202" t="s">
        <v>6341</v>
      </c>
    </row>
    <row r="1203" spans="1:18" x14ac:dyDescent="0.2">
      <c r="A1203">
        <v>2835872</v>
      </c>
      <c r="B1203" t="s">
        <v>6342</v>
      </c>
      <c r="C1203">
        <v>0</v>
      </c>
      <c r="D1203">
        <v>1</v>
      </c>
      <c r="E1203">
        <v>1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 t="s">
        <v>3284</v>
      </c>
      <c r="M1203" t="s">
        <v>3296</v>
      </c>
      <c r="N1203" t="s">
        <v>3321</v>
      </c>
      <c r="O1203" t="s">
        <v>3322</v>
      </c>
      <c r="P1203" t="s">
        <v>3398</v>
      </c>
      <c r="Q1203" t="s">
        <v>4542</v>
      </c>
      <c r="R1203" t="s">
        <v>6343</v>
      </c>
    </row>
    <row r="1204" spans="1:18" x14ac:dyDescent="0.2">
      <c r="A1204">
        <v>2835871</v>
      </c>
      <c r="B1204" t="s">
        <v>6344</v>
      </c>
      <c r="C1204">
        <v>0</v>
      </c>
      <c r="D1204">
        <v>1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 t="s">
        <v>3284</v>
      </c>
      <c r="M1204" t="s">
        <v>3307</v>
      </c>
      <c r="N1204" t="s">
        <v>3308</v>
      </c>
      <c r="O1204" t="s">
        <v>3635</v>
      </c>
      <c r="P1204" t="s">
        <v>3636</v>
      </c>
      <c r="Q1204" t="s">
        <v>6345</v>
      </c>
      <c r="R1204" t="s">
        <v>6346</v>
      </c>
    </row>
    <row r="1205" spans="1:18" x14ac:dyDescent="0.2">
      <c r="A1205">
        <v>2835869</v>
      </c>
      <c r="B1205" t="s">
        <v>6347</v>
      </c>
      <c r="C1205">
        <v>1</v>
      </c>
      <c r="D1205">
        <v>2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 t="s">
        <v>3284</v>
      </c>
      <c r="M1205" t="s">
        <v>3327</v>
      </c>
      <c r="N1205" t="s">
        <v>3376</v>
      </c>
      <c r="O1205" t="s">
        <v>3377</v>
      </c>
      <c r="P1205" t="s">
        <v>3604</v>
      </c>
      <c r="Q1205" t="s">
        <v>3668</v>
      </c>
      <c r="R1205" t="s">
        <v>6348</v>
      </c>
    </row>
    <row r="1206" spans="1:18" x14ac:dyDescent="0.2">
      <c r="A1206">
        <v>2835868</v>
      </c>
      <c r="B1206" t="s">
        <v>6349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1</v>
      </c>
      <c r="L1206" t="s">
        <v>3284</v>
      </c>
      <c r="M1206" t="s">
        <v>3307</v>
      </c>
      <c r="N1206" t="s">
        <v>3308</v>
      </c>
      <c r="O1206" t="s">
        <v>3949</v>
      </c>
      <c r="P1206" t="s">
        <v>3950</v>
      </c>
      <c r="Q1206" t="s">
        <v>6350</v>
      </c>
      <c r="R1206" t="s">
        <v>6351</v>
      </c>
    </row>
    <row r="1207" spans="1:18" x14ac:dyDescent="0.2">
      <c r="A1207">
        <v>2835866</v>
      </c>
      <c r="B1207" t="s">
        <v>6352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 t="s">
        <v>3284</v>
      </c>
      <c r="M1207" t="s">
        <v>3307</v>
      </c>
      <c r="N1207" t="s">
        <v>3308</v>
      </c>
      <c r="O1207" t="s">
        <v>3382</v>
      </c>
      <c r="P1207" t="s">
        <v>3383</v>
      </c>
      <c r="Q1207" t="s">
        <v>6353</v>
      </c>
      <c r="R1207" t="s">
        <v>6354</v>
      </c>
    </row>
    <row r="1208" spans="1:18" x14ac:dyDescent="0.2">
      <c r="A1208">
        <v>2835533</v>
      </c>
      <c r="B1208" t="s">
        <v>6355</v>
      </c>
      <c r="C1208">
        <v>1</v>
      </c>
      <c r="D1208">
        <v>0</v>
      </c>
      <c r="E1208">
        <v>1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 t="s">
        <v>3284</v>
      </c>
      <c r="M1208" t="s">
        <v>3296</v>
      </c>
      <c r="N1208" t="s">
        <v>3321</v>
      </c>
      <c r="O1208" t="s">
        <v>3322</v>
      </c>
      <c r="P1208" t="s">
        <v>3398</v>
      </c>
      <c r="Q1208" t="s">
        <v>3399</v>
      </c>
      <c r="R1208" t="s">
        <v>6356</v>
      </c>
    </row>
    <row r="1209" spans="1:18" x14ac:dyDescent="0.2">
      <c r="A1209">
        <v>2835532</v>
      </c>
      <c r="B1209" t="s">
        <v>6357</v>
      </c>
      <c r="C1209">
        <v>1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10</v>
      </c>
      <c r="J1209">
        <v>2</v>
      </c>
      <c r="K1209">
        <v>6</v>
      </c>
      <c r="L1209" t="s">
        <v>3284</v>
      </c>
      <c r="M1209" t="s">
        <v>3296</v>
      </c>
      <c r="N1209" t="s">
        <v>3343</v>
      </c>
      <c r="O1209" t="s">
        <v>3429</v>
      </c>
      <c r="P1209" t="s">
        <v>3430</v>
      </c>
      <c r="Q1209" t="s">
        <v>3431</v>
      </c>
      <c r="R1209" t="s">
        <v>6358</v>
      </c>
    </row>
    <row r="1210" spans="1:18" x14ac:dyDescent="0.2">
      <c r="A1210">
        <v>2835041</v>
      </c>
      <c r="B1210" t="s">
        <v>6359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7</v>
      </c>
      <c r="J1210">
        <v>2</v>
      </c>
      <c r="K1210">
        <v>0</v>
      </c>
      <c r="L1210" t="s">
        <v>3284</v>
      </c>
      <c r="M1210" t="s">
        <v>3285</v>
      </c>
      <c r="N1210" t="s">
        <v>3286</v>
      </c>
      <c r="O1210" t="s">
        <v>3287</v>
      </c>
      <c r="P1210" t="s">
        <v>3288</v>
      </c>
      <c r="Q1210" t="s">
        <v>3289</v>
      </c>
      <c r="R1210" t="s">
        <v>6360</v>
      </c>
    </row>
    <row r="1211" spans="1:18" x14ac:dyDescent="0.2">
      <c r="A1211">
        <v>2835040</v>
      </c>
      <c r="B1211" t="s">
        <v>6361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2</v>
      </c>
      <c r="J1211">
        <v>2</v>
      </c>
      <c r="K1211">
        <v>1</v>
      </c>
      <c r="L1211" t="s">
        <v>3284</v>
      </c>
      <c r="M1211" t="s">
        <v>3296</v>
      </c>
      <c r="N1211" t="s">
        <v>3343</v>
      </c>
      <c r="O1211" t="s">
        <v>3429</v>
      </c>
      <c r="P1211" t="s">
        <v>3430</v>
      </c>
      <c r="Q1211" t="s">
        <v>3431</v>
      </c>
      <c r="R1211" t="s">
        <v>6362</v>
      </c>
    </row>
    <row r="1212" spans="1:18" x14ac:dyDescent="0.2">
      <c r="A1212">
        <v>2834768</v>
      </c>
      <c r="B1212" t="s">
        <v>6363</v>
      </c>
      <c r="C1212">
        <v>1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 t="s">
        <v>3284</v>
      </c>
      <c r="M1212" t="s">
        <v>3296</v>
      </c>
      <c r="N1212" t="s">
        <v>3343</v>
      </c>
      <c r="O1212" t="s">
        <v>3344</v>
      </c>
      <c r="P1212" t="s">
        <v>4076</v>
      </c>
      <c r="Q1212" t="s">
        <v>6071</v>
      </c>
      <c r="R1212" t="s">
        <v>6364</v>
      </c>
    </row>
    <row r="1213" spans="1:18" x14ac:dyDescent="0.2">
      <c r="A1213">
        <v>2832397</v>
      </c>
      <c r="B1213" t="s">
        <v>6365</v>
      </c>
      <c r="C1213">
        <v>1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 t="s">
        <v>3284</v>
      </c>
      <c r="M1213" t="s">
        <v>3296</v>
      </c>
      <c r="N1213" t="s">
        <v>3297</v>
      </c>
      <c r="O1213" t="s">
        <v>3434</v>
      </c>
      <c r="P1213" t="s">
        <v>3435</v>
      </c>
      <c r="Q1213" t="s">
        <v>3436</v>
      </c>
      <c r="R1213" t="s">
        <v>6366</v>
      </c>
    </row>
    <row r="1214" spans="1:18" x14ac:dyDescent="0.2">
      <c r="A1214">
        <v>2832393</v>
      </c>
      <c r="B1214" t="s">
        <v>6367</v>
      </c>
      <c r="C1214">
        <v>0</v>
      </c>
      <c r="D1214">
        <v>0</v>
      </c>
      <c r="E1214">
        <v>0</v>
      </c>
      <c r="F1214">
        <v>0</v>
      </c>
      <c r="G1214">
        <v>1</v>
      </c>
      <c r="H1214">
        <v>0</v>
      </c>
      <c r="I1214">
        <v>0</v>
      </c>
      <c r="J1214">
        <v>0</v>
      </c>
      <c r="K1214">
        <v>0</v>
      </c>
      <c r="L1214" t="s">
        <v>3284</v>
      </c>
      <c r="M1214" t="s">
        <v>3296</v>
      </c>
      <c r="N1214" t="s">
        <v>3297</v>
      </c>
      <c r="O1214" t="s">
        <v>3434</v>
      </c>
      <c r="P1214" t="s">
        <v>3435</v>
      </c>
      <c r="Q1214" t="s">
        <v>3436</v>
      </c>
      <c r="R1214" t="s">
        <v>6368</v>
      </c>
    </row>
    <row r="1215" spans="1:18" x14ac:dyDescent="0.2">
      <c r="A1215">
        <v>2831896</v>
      </c>
      <c r="B1215" t="s">
        <v>6369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4</v>
      </c>
      <c r="J1215">
        <v>2</v>
      </c>
      <c r="K1215">
        <v>2</v>
      </c>
      <c r="L1215" t="s">
        <v>3284</v>
      </c>
      <c r="M1215" t="s">
        <v>3296</v>
      </c>
      <c r="N1215" t="s">
        <v>3297</v>
      </c>
      <c r="O1215" t="s">
        <v>3298</v>
      </c>
      <c r="P1215" t="s">
        <v>3299</v>
      </c>
      <c r="Q1215" t="s">
        <v>3300</v>
      </c>
      <c r="R1215" t="s">
        <v>6370</v>
      </c>
    </row>
    <row r="1216" spans="1:18" x14ac:dyDescent="0.2">
      <c r="A1216">
        <v>2831895</v>
      </c>
      <c r="B1216" t="s">
        <v>6371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5</v>
      </c>
      <c r="J1216">
        <v>1</v>
      </c>
      <c r="K1216">
        <v>9</v>
      </c>
      <c r="L1216" t="s">
        <v>3284</v>
      </c>
      <c r="M1216" t="s">
        <v>3296</v>
      </c>
      <c r="N1216" t="s">
        <v>3297</v>
      </c>
      <c r="O1216" t="s">
        <v>3298</v>
      </c>
      <c r="P1216" t="s">
        <v>3299</v>
      </c>
      <c r="Q1216" t="s">
        <v>3300</v>
      </c>
      <c r="R1216" t="s">
        <v>6372</v>
      </c>
    </row>
    <row r="1217" spans="1:18" x14ac:dyDescent="0.2">
      <c r="A1217">
        <v>2831894</v>
      </c>
      <c r="B1217" t="s">
        <v>6373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1</v>
      </c>
      <c r="J1217">
        <v>2</v>
      </c>
      <c r="K1217">
        <v>6</v>
      </c>
      <c r="L1217" t="s">
        <v>3284</v>
      </c>
      <c r="M1217" t="s">
        <v>3296</v>
      </c>
      <c r="N1217" t="s">
        <v>3297</v>
      </c>
      <c r="O1217" t="s">
        <v>3298</v>
      </c>
      <c r="P1217" t="s">
        <v>3299</v>
      </c>
      <c r="Q1217" t="s">
        <v>3300</v>
      </c>
      <c r="R1217" t="s">
        <v>6374</v>
      </c>
    </row>
    <row r="1218" spans="1:18" x14ac:dyDescent="0.2">
      <c r="A1218">
        <v>2831893</v>
      </c>
      <c r="B1218" t="s">
        <v>6375</v>
      </c>
      <c r="C1218">
        <v>0</v>
      </c>
      <c r="D1218">
        <v>1</v>
      </c>
      <c r="E1218">
        <v>0</v>
      </c>
      <c r="F1218">
        <v>0</v>
      </c>
      <c r="G1218">
        <v>0</v>
      </c>
      <c r="H1218">
        <v>0</v>
      </c>
      <c r="I1218">
        <v>10</v>
      </c>
      <c r="J1218">
        <v>6</v>
      </c>
      <c r="K1218">
        <v>11</v>
      </c>
      <c r="L1218" t="s">
        <v>3284</v>
      </c>
      <c r="M1218" t="s">
        <v>3296</v>
      </c>
      <c r="N1218" t="s">
        <v>3297</v>
      </c>
      <c r="O1218" t="s">
        <v>3298</v>
      </c>
      <c r="P1218" t="s">
        <v>3299</v>
      </c>
      <c r="Q1218" t="s">
        <v>3300</v>
      </c>
      <c r="R1218" t="s">
        <v>6376</v>
      </c>
    </row>
    <row r="1219" spans="1:18" x14ac:dyDescent="0.2">
      <c r="A1219">
        <v>2831780</v>
      </c>
      <c r="B1219" t="s">
        <v>6377</v>
      </c>
      <c r="C1219">
        <v>0</v>
      </c>
      <c r="D1219">
        <v>0</v>
      </c>
      <c r="E1219">
        <v>0</v>
      </c>
      <c r="F1219">
        <v>0</v>
      </c>
      <c r="G1219">
        <v>1</v>
      </c>
      <c r="H1219">
        <v>0</v>
      </c>
      <c r="I1219">
        <v>0</v>
      </c>
      <c r="J1219">
        <v>0</v>
      </c>
      <c r="K1219">
        <v>0</v>
      </c>
      <c r="L1219" t="s">
        <v>3284</v>
      </c>
      <c r="M1219" t="s">
        <v>3296</v>
      </c>
      <c r="N1219" t="s">
        <v>3343</v>
      </c>
      <c r="O1219" t="s">
        <v>3344</v>
      </c>
      <c r="P1219" t="s">
        <v>3937</v>
      </c>
      <c r="Q1219" t="s">
        <v>3938</v>
      </c>
      <c r="R1219" t="s">
        <v>6378</v>
      </c>
    </row>
    <row r="1220" spans="1:18" x14ac:dyDescent="0.2">
      <c r="A1220">
        <v>2831643</v>
      </c>
      <c r="B1220" t="s">
        <v>6379</v>
      </c>
      <c r="C1220">
        <v>0</v>
      </c>
      <c r="D1220">
        <v>1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 t="s">
        <v>3284</v>
      </c>
      <c r="M1220" t="s">
        <v>3296</v>
      </c>
      <c r="N1220" t="s">
        <v>3321</v>
      </c>
      <c r="O1220" t="s">
        <v>3322</v>
      </c>
      <c r="P1220" t="s">
        <v>3671</v>
      </c>
      <c r="Q1220" t="s">
        <v>4354</v>
      </c>
      <c r="R1220" t="s">
        <v>6380</v>
      </c>
    </row>
    <row r="1221" spans="1:18" x14ac:dyDescent="0.2">
      <c r="A1221">
        <v>2830843</v>
      </c>
      <c r="B1221" t="s">
        <v>6381</v>
      </c>
      <c r="C1221">
        <v>0</v>
      </c>
      <c r="D1221">
        <v>1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 t="s">
        <v>3284</v>
      </c>
      <c r="M1221" t="s">
        <v>3307</v>
      </c>
      <c r="N1221" t="s">
        <v>3308</v>
      </c>
      <c r="O1221" t="s">
        <v>3359</v>
      </c>
      <c r="P1221" t="s">
        <v>6382</v>
      </c>
      <c r="Q1221" t="s">
        <v>6383</v>
      </c>
      <c r="R1221" t="s">
        <v>6384</v>
      </c>
    </row>
    <row r="1222" spans="1:18" x14ac:dyDescent="0.2">
      <c r="A1222">
        <v>2830842</v>
      </c>
      <c r="B1222" t="s">
        <v>6385</v>
      </c>
      <c r="C1222">
        <v>0</v>
      </c>
      <c r="D1222">
        <v>0</v>
      </c>
      <c r="E1222">
        <v>0</v>
      </c>
      <c r="F1222">
        <v>1</v>
      </c>
      <c r="G1222">
        <v>0</v>
      </c>
      <c r="H1222">
        <v>0</v>
      </c>
      <c r="I1222">
        <v>0</v>
      </c>
      <c r="J1222">
        <v>0</v>
      </c>
      <c r="K1222">
        <v>0</v>
      </c>
      <c r="L1222" t="s">
        <v>3284</v>
      </c>
      <c r="M1222" t="s">
        <v>3296</v>
      </c>
      <c r="N1222" t="s">
        <v>3297</v>
      </c>
      <c r="O1222" t="s">
        <v>3434</v>
      </c>
      <c r="P1222" t="s">
        <v>3435</v>
      </c>
      <c r="Q1222" t="s">
        <v>6386</v>
      </c>
      <c r="R1222" t="s">
        <v>6387</v>
      </c>
    </row>
    <row r="1223" spans="1:18" x14ac:dyDescent="0.2">
      <c r="A1223">
        <v>2830666</v>
      </c>
      <c r="B1223" t="s">
        <v>6388</v>
      </c>
      <c r="C1223">
        <v>1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 t="s">
        <v>3284</v>
      </c>
      <c r="M1223" t="s">
        <v>3307</v>
      </c>
      <c r="N1223" t="s">
        <v>3308</v>
      </c>
      <c r="O1223" t="s">
        <v>3359</v>
      </c>
      <c r="P1223" t="s">
        <v>3360</v>
      </c>
      <c r="Q1223" t="s">
        <v>3361</v>
      </c>
      <c r="R1223" t="s">
        <v>6389</v>
      </c>
    </row>
    <row r="1224" spans="1:18" x14ac:dyDescent="0.2">
      <c r="A1224">
        <v>2830651</v>
      </c>
      <c r="B1224" t="s">
        <v>6390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1</v>
      </c>
      <c r="J1224">
        <v>0</v>
      </c>
      <c r="K1224">
        <v>1</v>
      </c>
      <c r="L1224" t="s">
        <v>3284</v>
      </c>
      <c r="M1224" t="s">
        <v>3296</v>
      </c>
      <c r="N1224" t="s">
        <v>3321</v>
      </c>
      <c r="O1224" t="s">
        <v>5306</v>
      </c>
      <c r="P1224" t="s">
        <v>5610</v>
      </c>
      <c r="Q1224" t="s">
        <v>6391</v>
      </c>
      <c r="R1224" t="s">
        <v>6392</v>
      </c>
    </row>
    <row r="1225" spans="1:18" x14ac:dyDescent="0.2">
      <c r="A1225">
        <v>2829994</v>
      </c>
      <c r="B1225" t="s">
        <v>6393</v>
      </c>
      <c r="C1225">
        <v>0</v>
      </c>
      <c r="D1225">
        <v>1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 t="s">
        <v>3284</v>
      </c>
      <c r="M1225" t="s">
        <v>5163</v>
      </c>
      <c r="N1225" t="s">
        <v>3271</v>
      </c>
      <c r="O1225" t="s">
        <v>6394</v>
      </c>
      <c r="P1225" t="s">
        <v>6395</v>
      </c>
      <c r="Q1225" t="s">
        <v>6396</v>
      </c>
      <c r="R1225" t="s">
        <v>6397</v>
      </c>
    </row>
    <row r="1226" spans="1:18" x14ac:dyDescent="0.2">
      <c r="A1226">
        <v>2829823</v>
      </c>
      <c r="B1226" t="s">
        <v>6398</v>
      </c>
      <c r="C1226">
        <v>0</v>
      </c>
      <c r="D1226">
        <v>0</v>
      </c>
      <c r="E1226">
        <v>0</v>
      </c>
      <c r="F1226">
        <v>1</v>
      </c>
      <c r="G1226">
        <v>0</v>
      </c>
      <c r="H1226">
        <v>0</v>
      </c>
      <c r="I1226">
        <v>0</v>
      </c>
      <c r="J1226">
        <v>0</v>
      </c>
      <c r="K1226">
        <v>0</v>
      </c>
      <c r="L1226" t="s">
        <v>3284</v>
      </c>
      <c r="M1226" t="s">
        <v>3296</v>
      </c>
      <c r="N1226" t="s">
        <v>3297</v>
      </c>
      <c r="O1226" t="s">
        <v>3434</v>
      </c>
      <c r="P1226" t="s">
        <v>3435</v>
      </c>
      <c r="Q1226" t="s">
        <v>3436</v>
      </c>
      <c r="R1226" t="s">
        <v>6399</v>
      </c>
    </row>
    <row r="1227" spans="1:18" x14ac:dyDescent="0.2">
      <c r="A1227">
        <v>2829816</v>
      </c>
      <c r="B1227" t="s">
        <v>6400</v>
      </c>
      <c r="C1227">
        <v>0</v>
      </c>
      <c r="D1227">
        <v>1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 t="s">
        <v>3284</v>
      </c>
      <c r="M1227" t="s">
        <v>3327</v>
      </c>
      <c r="N1227" t="s">
        <v>3376</v>
      </c>
      <c r="O1227" t="s">
        <v>3377</v>
      </c>
      <c r="P1227" t="s">
        <v>3271</v>
      </c>
      <c r="Q1227" t="s">
        <v>3648</v>
      </c>
      <c r="R1227" t="s">
        <v>6401</v>
      </c>
    </row>
    <row r="1228" spans="1:18" x14ac:dyDescent="0.2">
      <c r="A1228">
        <v>2829794</v>
      </c>
      <c r="B1228" t="s">
        <v>6402</v>
      </c>
      <c r="C1228">
        <v>1</v>
      </c>
      <c r="D1228">
        <v>2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 t="s">
        <v>3284</v>
      </c>
      <c r="M1228" t="s">
        <v>3296</v>
      </c>
      <c r="N1228" t="s">
        <v>3343</v>
      </c>
      <c r="O1228" t="s">
        <v>3349</v>
      </c>
      <c r="P1228" t="s">
        <v>3350</v>
      </c>
      <c r="Q1228" t="s">
        <v>3351</v>
      </c>
      <c r="R1228" t="s">
        <v>6403</v>
      </c>
    </row>
    <row r="1229" spans="1:18" x14ac:dyDescent="0.2">
      <c r="A1229">
        <v>2828781</v>
      </c>
      <c r="B1229" t="s">
        <v>6404</v>
      </c>
      <c r="C1229">
        <v>21</v>
      </c>
      <c r="D1229">
        <v>16</v>
      </c>
      <c r="E1229">
        <v>13</v>
      </c>
      <c r="F1229">
        <v>0</v>
      </c>
      <c r="G1229">
        <v>0</v>
      </c>
      <c r="H1229">
        <v>0</v>
      </c>
      <c r="I1229">
        <v>2</v>
      </c>
      <c r="J1229">
        <v>0</v>
      </c>
      <c r="K1229">
        <v>0</v>
      </c>
      <c r="L1229" t="s">
        <v>3284</v>
      </c>
      <c r="M1229" t="s">
        <v>3327</v>
      </c>
      <c r="N1229" t="s">
        <v>3328</v>
      </c>
      <c r="O1229" t="s">
        <v>3329</v>
      </c>
      <c r="P1229" t="s">
        <v>3330</v>
      </c>
      <c r="Q1229" t="s">
        <v>5152</v>
      </c>
      <c r="R1229" t="s">
        <v>6405</v>
      </c>
    </row>
    <row r="1230" spans="1:18" x14ac:dyDescent="0.2">
      <c r="A1230">
        <v>2828727</v>
      </c>
      <c r="B1230" t="s">
        <v>6406</v>
      </c>
      <c r="C1230">
        <v>1</v>
      </c>
      <c r="D1230">
        <v>3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 t="s">
        <v>3284</v>
      </c>
      <c r="M1230" t="s">
        <v>3327</v>
      </c>
      <c r="N1230" t="s">
        <v>3328</v>
      </c>
      <c r="O1230" t="s">
        <v>6407</v>
      </c>
      <c r="P1230" t="s">
        <v>6408</v>
      </c>
      <c r="Q1230" t="s">
        <v>6409</v>
      </c>
      <c r="R1230" t="s">
        <v>6410</v>
      </c>
    </row>
    <row r="1231" spans="1:18" x14ac:dyDescent="0.2">
      <c r="A1231">
        <v>2826993</v>
      </c>
      <c r="B1231" t="s">
        <v>6411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2</v>
      </c>
      <c r="J1231">
        <v>0</v>
      </c>
      <c r="K1231">
        <v>7</v>
      </c>
      <c r="L1231" t="s">
        <v>3284</v>
      </c>
      <c r="M1231" t="s">
        <v>3296</v>
      </c>
      <c r="N1231" t="s">
        <v>3343</v>
      </c>
      <c r="O1231" t="s">
        <v>3344</v>
      </c>
      <c r="P1231" t="s">
        <v>4347</v>
      </c>
      <c r="Q1231" t="s">
        <v>6412</v>
      </c>
      <c r="R1231" t="s">
        <v>6413</v>
      </c>
    </row>
    <row r="1232" spans="1:18" x14ac:dyDescent="0.2">
      <c r="A1232">
        <v>2824768</v>
      </c>
      <c r="B1232" t="s">
        <v>6414</v>
      </c>
      <c r="C1232">
        <v>0</v>
      </c>
      <c r="D1232">
        <v>0</v>
      </c>
      <c r="E1232">
        <v>0</v>
      </c>
      <c r="F1232">
        <v>7</v>
      </c>
      <c r="G1232">
        <v>3</v>
      </c>
      <c r="H1232">
        <v>4</v>
      </c>
      <c r="I1232">
        <v>0</v>
      </c>
      <c r="J1232">
        <v>0</v>
      </c>
      <c r="K1232">
        <v>0</v>
      </c>
      <c r="L1232" t="s">
        <v>3284</v>
      </c>
      <c r="M1232" t="s">
        <v>3296</v>
      </c>
      <c r="N1232" t="s">
        <v>3297</v>
      </c>
      <c r="O1232" t="s">
        <v>3469</v>
      </c>
      <c r="P1232" t="s">
        <v>3470</v>
      </c>
      <c r="Q1232" t="s">
        <v>3471</v>
      </c>
      <c r="R1232" t="s">
        <v>6415</v>
      </c>
    </row>
    <row r="1233" spans="1:18" x14ac:dyDescent="0.2">
      <c r="A1233">
        <v>2824561</v>
      </c>
      <c r="B1233" t="s">
        <v>6416</v>
      </c>
      <c r="C1233">
        <v>0</v>
      </c>
      <c r="D1233">
        <v>0</v>
      </c>
      <c r="E1233">
        <v>0</v>
      </c>
      <c r="F1233">
        <v>2</v>
      </c>
      <c r="G1233">
        <v>1</v>
      </c>
      <c r="H1233">
        <v>1</v>
      </c>
      <c r="I1233">
        <v>0</v>
      </c>
      <c r="J1233">
        <v>0</v>
      </c>
      <c r="K1233">
        <v>0</v>
      </c>
      <c r="L1233" t="s">
        <v>3284</v>
      </c>
      <c r="M1233" t="s">
        <v>3816</v>
      </c>
      <c r="N1233" t="s">
        <v>3817</v>
      </c>
      <c r="O1233" t="s">
        <v>3818</v>
      </c>
      <c r="P1233" t="s">
        <v>3819</v>
      </c>
      <c r="Q1233" t="s">
        <v>3820</v>
      </c>
      <c r="R1233" t="s">
        <v>6417</v>
      </c>
    </row>
    <row r="1234" spans="1:18" x14ac:dyDescent="0.2">
      <c r="A1234">
        <v>2824122</v>
      </c>
      <c r="B1234" t="s">
        <v>6418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2</v>
      </c>
      <c r="K1234">
        <v>0</v>
      </c>
      <c r="L1234" t="s">
        <v>3284</v>
      </c>
      <c r="M1234" t="s">
        <v>3296</v>
      </c>
      <c r="N1234" t="s">
        <v>3297</v>
      </c>
      <c r="O1234" t="s">
        <v>3298</v>
      </c>
      <c r="P1234" t="s">
        <v>3299</v>
      </c>
      <c r="Q1234" t="s">
        <v>3300</v>
      </c>
      <c r="R1234" t="s">
        <v>6419</v>
      </c>
    </row>
    <row r="1235" spans="1:18" x14ac:dyDescent="0.2">
      <c r="A1235">
        <v>2824119</v>
      </c>
      <c r="B1235" t="s">
        <v>6420</v>
      </c>
      <c r="C1235">
        <v>1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 t="s">
        <v>3284</v>
      </c>
      <c r="M1235" t="s">
        <v>3296</v>
      </c>
      <c r="N1235" t="s">
        <v>3321</v>
      </c>
      <c r="O1235" t="s">
        <v>3322</v>
      </c>
      <c r="P1235" t="s">
        <v>3671</v>
      </c>
      <c r="Q1235" t="s">
        <v>4354</v>
      </c>
      <c r="R1235" t="s">
        <v>6421</v>
      </c>
    </row>
    <row r="1236" spans="1:18" x14ac:dyDescent="0.2">
      <c r="A1236">
        <v>2824118</v>
      </c>
      <c r="B1236" t="s">
        <v>6422</v>
      </c>
      <c r="C1236">
        <v>1</v>
      </c>
      <c r="D1236">
        <v>1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 t="s">
        <v>3284</v>
      </c>
      <c r="M1236" t="s">
        <v>3296</v>
      </c>
      <c r="N1236" t="s">
        <v>3321</v>
      </c>
      <c r="O1236" t="s">
        <v>3322</v>
      </c>
      <c r="P1236" t="s">
        <v>3671</v>
      </c>
      <c r="Q1236" t="s">
        <v>4354</v>
      </c>
      <c r="R1236" t="s">
        <v>6423</v>
      </c>
    </row>
    <row r="1237" spans="1:18" x14ac:dyDescent="0.2">
      <c r="A1237">
        <v>2823693</v>
      </c>
      <c r="B1237" t="s">
        <v>6424</v>
      </c>
      <c r="C1237">
        <v>0</v>
      </c>
      <c r="D1237">
        <v>0</v>
      </c>
      <c r="E1237">
        <v>0</v>
      </c>
      <c r="F1237">
        <v>1</v>
      </c>
      <c r="G1237">
        <v>0</v>
      </c>
      <c r="H1237">
        <v>0</v>
      </c>
      <c r="I1237">
        <v>0</v>
      </c>
      <c r="J1237">
        <v>1</v>
      </c>
      <c r="K1237">
        <v>0</v>
      </c>
      <c r="L1237" t="s">
        <v>3284</v>
      </c>
      <c r="M1237" t="s">
        <v>3296</v>
      </c>
      <c r="N1237" t="s">
        <v>3343</v>
      </c>
      <c r="O1237" t="s">
        <v>3402</v>
      </c>
      <c r="P1237" t="s">
        <v>3403</v>
      </c>
      <c r="Q1237" t="s">
        <v>5337</v>
      </c>
      <c r="R1237" t="s">
        <v>6425</v>
      </c>
    </row>
    <row r="1238" spans="1:18" x14ac:dyDescent="0.2">
      <c r="A1238">
        <v>2823234</v>
      </c>
      <c r="B1238" t="s">
        <v>6426</v>
      </c>
      <c r="C1238">
        <v>0</v>
      </c>
      <c r="D1238">
        <v>0</v>
      </c>
      <c r="E1238">
        <v>0</v>
      </c>
      <c r="F1238">
        <v>1</v>
      </c>
      <c r="G1238">
        <v>0</v>
      </c>
      <c r="H1238">
        <v>0</v>
      </c>
      <c r="I1238">
        <v>0</v>
      </c>
      <c r="J1238">
        <v>0</v>
      </c>
      <c r="K1238">
        <v>0</v>
      </c>
      <c r="L1238" t="s">
        <v>3284</v>
      </c>
      <c r="M1238" t="s">
        <v>3296</v>
      </c>
      <c r="N1238" t="s">
        <v>3343</v>
      </c>
      <c r="O1238" t="s">
        <v>3349</v>
      </c>
      <c r="P1238" t="s">
        <v>3350</v>
      </c>
      <c r="Q1238" t="s">
        <v>6427</v>
      </c>
      <c r="R1238" t="s">
        <v>6428</v>
      </c>
    </row>
    <row r="1239" spans="1:18" x14ac:dyDescent="0.2">
      <c r="A1239">
        <v>2822760</v>
      </c>
      <c r="B1239" t="s">
        <v>6429</v>
      </c>
      <c r="C1239">
        <v>0</v>
      </c>
      <c r="D1239">
        <v>1</v>
      </c>
      <c r="E1239">
        <v>0</v>
      </c>
      <c r="F1239">
        <v>1</v>
      </c>
      <c r="G1239">
        <v>0</v>
      </c>
      <c r="H1239">
        <v>0</v>
      </c>
      <c r="I1239">
        <v>0</v>
      </c>
      <c r="J1239">
        <v>0</v>
      </c>
      <c r="K1239">
        <v>0</v>
      </c>
      <c r="L1239" t="s">
        <v>3284</v>
      </c>
      <c r="M1239" t="s">
        <v>3296</v>
      </c>
      <c r="N1239" t="s">
        <v>3321</v>
      </c>
      <c r="O1239" t="s">
        <v>3322</v>
      </c>
      <c r="P1239" t="s">
        <v>3398</v>
      </c>
      <c r="Q1239" t="s">
        <v>3788</v>
      </c>
      <c r="R1239" t="s">
        <v>6430</v>
      </c>
    </row>
    <row r="1240" spans="1:18" x14ac:dyDescent="0.2">
      <c r="A1240">
        <v>2822718</v>
      </c>
      <c r="B1240" t="s">
        <v>6431</v>
      </c>
      <c r="C1240">
        <v>1</v>
      </c>
      <c r="D1240">
        <v>0</v>
      </c>
      <c r="E1240">
        <v>0</v>
      </c>
      <c r="F1240">
        <v>1</v>
      </c>
      <c r="G1240">
        <v>0</v>
      </c>
      <c r="H1240">
        <v>0</v>
      </c>
      <c r="I1240">
        <v>0</v>
      </c>
      <c r="J1240">
        <v>0</v>
      </c>
      <c r="K1240">
        <v>0</v>
      </c>
      <c r="L1240" t="s">
        <v>3284</v>
      </c>
      <c r="M1240" t="s">
        <v>3296</v>
      </c>
      <c r="N1240" t="s">
        <v>3321</v>
      </c>
      <c r="O1240" t="s">
        <v>3322</v>
      </c>
      <c r="P1240" t="s">
        <v>3398</v>
      </c>
      <c r="Q1240" t="s">
        <v>3556</v>
      </c>
      <c r="R1240" t="s">
        <v>6432</v>
      </c>
    </row>
    <row r="1241" spans="1:18" x14ac:dyDescent="0.2">
      <c r="A1241">
        <v>2822139</v>
      </c>
      <c r="B1241" t="s">
        <v>6433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3</v>
      </c>
      <c r="J1241">
        <v>2</v>
      </c>
      <c r="K1241">
        <v>0</v>
      </c>
      <c r="L1241" t="s">
        <v>3284</v>
      </c>
      <c r="M1241" t="s">
        <v>3296</v>
      </c>
      <c r="N1241" t="s">
        <v>3321</v>
      </c>
      <c r="O1241" t="s">
        <v>3322</v>
      </c>
      <c r="P1241" t="s">
        <v>3671</v>
      </c>
      <c r="Q1241" t="s">
        <v>3672</v>
      </c>
      <c r="R1241" t="s">
        <v>6434</v>
      </c>
    </row>
    <row r="1242" spans="1:18" x14ac:dyDescent="0.2">
      <c r="A1242">
        <v>2822138</v>
      </c>
      <c r="B1242" t="s">
        <v>6435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1</v>
      </c>
      <c r="I1242">
        <v>0</v>
      </c>
      <c r="J1242">
        <v>0</v>
      </c>
      <c r="K1242">
        <v>0</v>
      </c>
      <c r="L1242" t="s">
        <v>3284</v>
      </c>
      <c r="M1242" t="s">
        <v>3296</v>
      </c>
      <c r="N1242" t="s">
        <v>3297</v>
      </c>
      <c r="O1242" t="s">
        <v>3434</v>
      </c>
      <c r="P1242" t="s">
        <v>3435</v>
      </c>
      <c r="Q1242" t="s">
        <v>6436</v>
      </c>
      <c r="R1242" t="s">
        <v>6437</v>
      </c>
    </row>
    <row r="1243" spans="1:18" x14ac:dyDescent="0.2">
      <c r="A1243">
        <v>2821099</v>
      </c>
      <c r="B1243" t="s">
        <v>6438</v>
      </c>
      <c r="C1243">
        <v>0</v>
      </c>
      <c r="D1243">
        <v>0</v>
      </c>
      <c r="E1243">
        <v>0</v>
      </c>
      <c r="F1243">
        <v>0</v>
      </c>
      <c r="G1243">
        <v>1</v>
      </c>
      <c r="H1243">
        <v>0</v>
      </c>
      <c r="I1243">
        <v>0</v>
      </c>
      <c r="J1243">
        <v>0</v>
      </c>
      <c r="K1243">
        <v>0</v>
      </c>
      <c r="L1243" t="s">
        <v>3284</v>
      </c>
      <c r="M1243" t="s">
        <v>3296</v>
      </c>
      <c r="N1243" t="s">
        <v>3343</v>
      </c>
      <c r="O1243" t="s">
        <v>3371</v>
      </c>
      <c r="P1243" t="s">
        <v>3372</v>
      </c>
      <c r="Q1243" t="s">
        <v>6439</v>
      </c>
      <c r="R1243" t="s">
        <v>6440</v>
      </c>
    </row>
    <row r="1244" spans="1:18" x14ac:dyDescent="0.2">
      <c r="A1244">
        <v>2821087</v>
      </c>
      <c r="B1244" t="s">
        <v>6441</v>
      </c>
      <c r="C1244">
        <v>0</v>
      </c>
      <c r="D1244">
        <v>0</v>
      </c>
      <c r="E1244">
        <v>0</v>
      </c>
      <c r="F1244">
        <v>1</v>
      </c>
      <c r="G1244">
        <v>0</v>
      </c>
      <c r="H1244">
        <v>0</v>
      </c>
      <c r="I1244">
        <v>0</v>
      </c>
      <c r="J1244">
        <v>1</v>
      </c>
      <c r="K1244">
        <v>0</v>
      </c>
      <c r="L1244" t="s">
        <v>3284</v>
      </c>
      <c r="M1244" t="s">
        <v>3296</v>
      </c>
      <c r="N1244" t="s">
        <v>3343</v>
      </c>
      <c r="O1244" t="s">
        <v>3402</v>
      </c>
      <c r="P1244" t="s">
        <v>3403</v>
      </c>
      <c r="Q1244" t="s">
        <v>3536</v>
      </c>
      <c r="R1244" t="s">
        <v>6442</v>
      </c>
    </row>
    <row r="1245" spans="1:18" x14ac:dyDescent="0.2">
      <c r="A1245">
        <v>2820811</v>
      </c>
      <c r="B1245" t="s">
        <v>6443</v>
      </c>
      <c r="C1245">
        <v>0</v>
      </c>
      <c r="D1245">
        <v>1</v>
      </c>
      <c r="E1245">
        <v>0</v>
      </c>
      <c r="F1245">
        <v>0</v>
      </c>
      <c r="G1245">
        <v>0</v>
      </c>
      <c r="H1245">
        <v>0</v>
      </c>
      <c r="I1245">
        <v>1</v>
      </c>
      <c r="J1245">
        <v>0</v>
      </c>
      <c r="K1245">
        <v>0</v>
      </c>
      <c r="L1245" t="s">
        <v>3284</v>
      </c>
      <c r="M1245" t="s">
        <v>3296</v>
      </c>
      <c r="N1245" t="s">
        <v>3343</v>
      </c>
      <c r="O1245" t="s">
        <v>3429</v>
      </c>
      <c r="P1245" t="s">
        <v>4336</v>
      </c>
      <c r="Q1245" t="s">
        <v>4337</v>
      </c>
      <c r="R1245" t="s">
        <v>6444</v>
      </c>
    </row>
    <row r="1246" spans="1:18" x14ac:dyDescent="0.2">
      <c r="A1246">
        <v>2820810</v>
      </c>
      <c r="B1246" t="s">
        <v>6445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5</v>
      </c>
      <c r="J1246">
        <v>3</v>
      </c>
      <c r="K1246">
        <v>3</v>
      </c>
      <c r="L1246" t="s">
        <v>3284</v>
      </c>
      <c r="M1246" t="s">
        <v>3296</v>
      </c>
      <c r="N1246" t="s">
        <v>3343</v>
      </c>
      <c r="O1246" t="s">
        <v>3429</v>
      </c>
      <c r="P1246" t="s">
        <v>4336</v>
      </c>
      <c r="Q1246" t="s">
        <v>6265</v>
      </c>
      <c r="R1246" t="s">
        <v>6446</v>
      </c>
    </row>
    <row r="1247" spans="1:18" x14ac:dyDescent="0.2">
      <c r="A1247">
        <v>2820405</v>
      </c>
      <c r="B1247" t="s">
        <v>6447</v>
      </c>
      <c r="C1247">
        <v>1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 t="s">
        <v>3284</v>
      </c>
      <c r="M1247" t="s">
        <v>3307</v>
      </c>
      <c r="N1247" t="s">
        <v>5924</v>
      </c>
      <c r="O1247" t="s">
        <v>5925</v>
      </c>
      <c r="P1247" t="s">
        <v>5926</v>
      </c>
      <c r="Q1247" t="s">
        <v>5927</v>
      </c>
      <c r="R1247" t="s">
        <v>6448</v>
      </c>
    </row>
    <row r="1248" spans="1:18" x14ac:dyDescent="0.2">
      <c r="A1248">
        <v>2820290</v>
      </c>
      <c r="B1248" t="s">
        <v>6449</v>
      </c>
      <c r="C1248">
        <v>0</v>
      </c>
      <c r="D1248">
        <v>0</v>
      </c>
      <c r="E1248">
        <v>0</v>
      </c>
      <c r="F1248">
        <v>1</v>
      </c>
      <c r="G1248">
        <v>0</v>
      </c>
      <c r="H1248">
        <v>0</v>
      </c>
      <c r="I1248">
        <v>0</v>
      </c>
      <c r="J1248">
        <v>0</v>
      </c>
      <c r="K1248">
        <v>0</v>
      </c>
      <c r="L1248" t="s">
        <v>3284</v>
      </c>
      <c r="M1248" t="s">
        <v>3307</v>
      </c>
      <c r="N1248" t="s">
        <v>3308</v>
      </c>
      <c r="O1248" t="s">
        <v>3494</v>
      </c>
      <c r="P1248" t="s">
        <v>3495</v>
      </c>
      <c r="Q1248" t="s">
        <v>3553</v>
      </c>
      <c r="R1248" t="s">
        <v>6450</v>
      </c>
    </row>
    <row r="1249" spans="1:18" x14ac:dyDescent="0.2">
      <c r="A1249">
        <v>2820278</v>
      </c>
      <c r="B1249" t="s">
        <v>6451</v>
      </c>
      <c r="C1249">
        <v>0</v>
      </c>
      <c r="D1249">
        <v>1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 t="s">
        <v>3284</v>
      </c>
      <c r="M1249" t="s">
        <v>3296</v>
      </c>
      <c r="N1249" t="s">
        <v>3343</v>
      </c>
      <c r="O1249" t="s">
        <v>3344</v>
      </c>
      <c r="P1249" t="s">
        <v>3661</v>
      </c>
      <c r="Q1249" t="s">
        <v>3906</v>
      </c>
      <c r="R1249" t="s">
        <v>6452</v>
      </c>
    </row>
    <row r="1250" spans="1:18" x14ac:dyDescent="0.2">
      <c r="A1250">
        <v>2819289</v>
      </c>
      <c r="B1250" t="s">
        <v>6453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1</v>
      </c>
      <c r="J1250">
        <v>0</v>
      </c>
      <c r="K1250">
        <v>0</v>
      </c>
      <c r="L1250" t="s">
        <v>3284</v>
      </c>
      <c r="M1250" t="s">
        <v>3327</v>
      </c>
      <c r="N1250" t="s">
        <v>3376</v>
      </c>
      <c r="O1250" t="s">
        <v>3377</v>
      </c>
      <c r="P1250" t="s">
        <v>3378</v>
      </c>
      <c r="Q1250" t="s">
        <v>3379</v>
      </c>
      <c r="R1250" t="s">
        <v>6454</v>
      </c>
    </row>
    <row r="1251" spans="1:18" x14ac:dyDescent="0.2">
      <c r="A1251">
        <v>2819286</v>
      </c>
      <c r="B1251" t="s">
        <v>6455</v>
      </c>
      <c r="C1251">
        <v>0</v>
      </c>
      <c r="D1251">
        <v>0</v>
      </c>
      <c r="E1251">
        <v>0</v>
      </c>
      <c r="F1251">
        <v>1</v>
      </c>
      <c r="G1251">
        <v>0</v>
      </c>
      <c r="H1251">
        <v>0</v>
      </c>
      <c r="I1251">
        <v>0</v>
      </c>
      <c r="J1251">
        <v>0</v>
      </c>
      <c r="K1251">
        <v>0</v>
      </c>
      <c r="L1251" t="s">
        <v>3284</v>
      </c>
      <c r="M1251" t="s">
        <v>3816</v>
      </c>
      <c r="N1251" t="s">
        <v>3817</v>
      </c>
      <c r="O1251" t="s">
        <v>3818</v>
      </c>
      <c r="P1251" t="s">
        <v>3819</v>
      </c>
      <c r="Q1251" t="s">
        <v>3820</v>
      </c>
      <c r="R1251" t="s">
        <v>6456</v>
      </c>
    </row>
    <row r="1252" spans="1:18" x14ac:dyDescent="0.2">
      <c r="A1252">
        <v>2819238</v>
      </c>
      <c r="B1252" t="s">
        <v>6457</v>
      </c>
      <c r="C1252">
        <v>1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 t="s">
        <v>3284</v>
      </c>
      <c r="M1252" t="s">
        <v>3307</v>
      </c>
      <c r="N1252" t="s">
        <v>3308</v>
      </c>
      <c r="O1252" t="s">
        <v>3359</v>
      </c>
      <c r="P1252" t="s">
        <v>3271</v>
      </c>
      <c r="Q1252" t="s">
        <v>6458</v>
      </c>
      <c r="R1252" t="s">
        <v>6459</v>
      </c>
    </row>
    <row r="1253" spans="1:18" x14ac:dyDescent="0.2">
      <c r="A1253">
        <v>2819171</v>
      </c>
      <c r="B1253" t="s">
        <v>6460</v>
      </c>
      <c r="C1253">
        <v>0</v>
      </c>
      <c r="D1253">
        <v>0</v>
      </c>
      <c r="E1253">
        <v>0</v>
      </c>
      <c r="F1253">
        <v>4</v>
      </c>
      <c r="G1253">
        <v>4</v>
      </c>
      <c r="H1253">
        <v>4</v>
      </c>
      <c r="I1253">
        <v>0</v>
      </c>
      <c r="J1253">
        <v>0</v>
      </c>
      <c r="K1253">
        <v>0</v>
      </c>
      <c r="L1253" t="s">
        <v>3284</v>
      </c>
      <c r="M1253" t="s">
        <v>3296</v>
      </c>
      <c r="N1253" t="s">
        <v>3297</v>
      </c>
      <c r="O1253" t="s">
        <v>3469</v>
      </c>
      <c r="P1253" t="s">
        <v>3470</v>
      </c>
      <c r="Q1253" t="s">
        <v>3471</v>
      </c>
      <c r="R1253" t="s">
        <v>6461</v>
      </c>
    </row>
    <row r="1254" spans="1:18" x14ac:dyDescent="0.2">
      <c r="A1254">
        <v>2819123</v>
      </c>
      <c r="B1254" t="s">
        <v>6462</v>
      </c>
      <c r="C1254">
        <v>2</v>
      </c>
      <c r="D1254">
        <v>1</v>
      </c>
      <c r="E1254">
        <v>1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 t="s">
        <v>3284</v>
      </c>
      <c r="M1254" t="s">
        <v>3327</v>
      </c>
      <c r="N1254" t="s">
        <v>3376</v>
      </c>
      <c r="O1254" t="s">
        <v>3377</v>
      </c>
      <c r="P1254" t="s">
        <v>3378</v>
      </c>
      <c r="Q1254" t="s">
        <v>3379</v>
      </c>
      <c r="R1254" t="s">
        <v>6463</v>
      </c>
    </row>
    <row r="1255" spans="1:18" x14ac:dyDescent="0.2">
      <c r="A1255">
        <v>2819107</v>
      </c>
      <c r="B1255" t="s">
        <v>6464</v>
      </c>
      <c r="C1255">
        <v>1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 t="s">
        <v>3284</v>
      </c>
      <c r="M1255" t="s">
        <v>3307</v>
      </c>
      <c r="N1255" t="s">
        <v>3308</v>
      </c>
      <c r="O1255" t="s">
        <v>3359</v>
      </c>
      <c r="P1255" t="s">
        <v>3360</v>
      </c>
      <c r="Q1255" t="s">
        <v>3364</v>
      </c>
      <c r="R1255" t="s">
        <v>6465</v>
      </c>
    </row>
    <row r="1256" spans="1:18" x14ac:dyDescent="0.2">
      <c r="A1256">
        <v>2818473</v>
      </c>
      <c r="B1256" t="s">
        <v>6466</v>
      </c>
      <c r="C1256">
        <v>1</v>
      </c>
      <c r="D1256">
        <v>1</v>
      </c>
      <c r="E1256">
        <v>0</v>
      </c>
      <c r="F1256">
        <v>0</v>
      </c>
      <c r="G1256">
        <v>1</v>
      </c>
      <c r="H1256">
        <v>0</v>
      </c>
      <c r="I1256">
        <v>0</v>
      </c>
      <c r="J1256">
        <v>0</v>
      </c>
      <c r="K1256">
        <v>0</v>
      </c>
      <c r="L1256" t="s">
        <v>3284</v>
      </c>
      <c r="M1256" t="s">
        <v>3296</v>
      </c>
      <c r="N1256" t="s">
        <v>3321</v>
      </c>
      <c r="O1256" t="s">
        <v>3322</v>
      </c>
      <c r="P1256" t="s">
        <v>3398</v>
      </c>
      <c r="Q1256" t="s">
        <v>6467</v>
      </c>
      <c r="R1256" t="s">
        <v>6468</v>
      </c>
    </row>
    <row r="1257" spans="1:18" x14ac:dyDescent="0.2">
      <c r="A1257">
        <v>2818431</v>
      </c>
      <c r="B1257" t="s">
        <v>6469</v>
      </c>
      <c r="C1257">
        <v>1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 t="s">
        <v>3284</v>
      </c>
      <c r="M1257" t="s">
        <v>3296</v>
      </c>
      <c r="N1257" t="s">
        <v>3297</v>
      </c>
      <c r="O1257" t="s">
        <v>3434</v>
      </c>
      <c r="P1257" t="s">
        <v>3435</v>
      </c>
      <c r="Q1257" t="s">
        <v>3436</v>
      </c>
      <c r="R1257" t="s">
        <v>6470</v>
      </c>
    </row>
    <row r="1258" spans="1:18" x14ac:dyDescent="0.2">
      <c r="A1258">
        <v>2818388</v>
      </c>
      <c r="B1258" t="s">
        <v>6471</v>
      </c>
      <c r="C1258">
        <v>0</v>
      </c>
      <c r="D1258">
        <v>0</v>
      </c>
      <c r="E1258">
        <v>0</v>
      </c>
      <c r="F1258">
        <v>1</v>
      </c>
      <c r="G1258">
        <v>0</v>
      </c>
      <c r="H1258">
        <v>0</v>
      </c>
      <c r="I1258">
        <v>0</v>
      </c>
      <c r="J1258">
        <v>0</v>
      </c>
      <c r="K1258">
        <v>0</v>
      </c>
      <c r="L1258" t="s">
        <v>3284</v>
      </c>
      <c r="M1258" t="s">
        <v>4628</v>
      </c>
      <c r="N1258" t="s">
        <v>4629</v>
      </c>
      <c r="O1258" t="s">
        <v>6472</v>
      </c>
      <c r="P1258" t="s">
        <v>6473</v>
      </c>
      <c r="Q1258" t="s">
        <v>6474</v>
      </c>
      <c r="R1258" t="s">
        <v>6475</v>
      </c>
    </row>
    <row r="1259" spans="1:18" x14ac:dyDescent="0.2">
      <c r="A1259">
        <v>2818044</v>
      </c>
      <c r="B1259" t="s">
        <v>6476</v>
      </c>
      <c r="C1259">
        <v>0</v>
      </c>
      <c r="D1259">
        <v>1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 t="s">
        <v>3284</v>
      </c>
      <c r="M1259" t="s">
        <v>3327</v>
      </c>
      <c r="N1259" t="s">
        <v>3328</v>
      </c>
      <c r="O1259" t="s">
        <v>3329</v>
      </c>
      <c r="P1259" t="s">
        <v>4367</v>
      </c>
      <c r="Q1259" t="s">
        <v>4368</v>
      </c>
      <c r="R1259" t="s">
        <v>6477</v>
      </c>
    </row>
    <row r="1260" spans="1:18" x14ac:dyDescent="0.2">
      <c r="A1260">
        <v>2817997</v>
      </c>
      <c r="B1260" t="s">
        <v>6478</v>
      </c>
      <c r="C1260">
        <v>0</v>
      </c>
      <c r="D1260">
        <v>0</v>
      </c>
      <c r="E1260">
        <v>0</v>
      </c>
      <c r="F1260">
        <v>1</v>
      </c>
      <c r="G1260">
        <v>0</v>
      </c>
      <c r="H1260">
        <v>0</v>
      </c>
      <c r="I1260">
        <v>0</v>
      </c>
      <c r="J1260">
        <v>0</v>
      </c>
      <c r="K1260">
        <v>0</v>
      </c>
      <c r="L1260" t="s">
        <v>3284</v>
      </c>
      <c r="M1260" t="s">
        <v>3296</v>
      </c>
      <c r="N1260" t="s">
        <v>3297</v>
      </c>
      <c r="O1260" t="s">
        <v>6479</v>
      </c>
      <c r="P1260" t="s">
        <v>6480</v>
      </c>
      <c r="Q1260" t="s">
        <v>6481</v>
      </c>
      <c r="R1260" t="s">
        <v>6482</v>
      </c>
    </row>
    <row r="1261" spans="1:18" x14ac:dyDescent="0.2">
      <c r="A1261">
        <v>2817901</v>
      </c>
      <c r="B1261" t="s">
        <v>6483</v>
      </c>
      <c r="C1261">
        <v>0</v>
      </c>
      <c r="D1261">
        <v>0</v>
      </c>
      <c r="E1261">
        <v>0</v>
      </c>
      <c r="F1261">
        <v>1</v>
      </c>
      <c r="G1261">
        <v>0</v>
      </c>
      <c r="H1261">
        <v>0</v>
      </c>
      <c r="I1261">
        <v>0</v>
      </c>
      <c r="J1261">
        <v>0</v>
      </c>
      <c r="K1261">
        <v>0</v>
      </c>
      <c r="L1261" t="s">
        <v>3284</v>
      </c>
      <c r="M1261" t="s">
        <v>3296</v>
      </c>
      <c r="N1261" t="s">
        <v>3343</v>
      </c>
      <c r="O1261" t="s">
        <v>3349</v>
      </c>
      <c r="P1261" t="s">
        <v>3350</v>
      </c>
      <c r="Q1261" t="s">
        <v>4175</v>
      </c>
      <c r="R1261" t="s">
        <v>6484</v>
      </c>
    </row>
    <row r="1262" spans="1:18" x14ac:dyDescent="0.2">
      <c r="A1262">
        <v>2817894</v>
      </c>
      <c r="B1262" t="s">
        <v>6485</v>
      </c>
      <c r="C1262">
        <v>1</v>
      </c>
      <c r="D1262">
        <v>9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 t="s">
        <v>3284</v>
      </c>
      <c r="M1262" t="s">
        <v>3307</v>
      </c>
      <c r="N1262" t="s">
        <v>3308</v>
      </c>
      <c r="O1262" t="s">
        <v>3309</v>
      </c>
      <c r="P1262" t="s">
        <v>3310</v>
      </c>
      <c r="Q1262" t="s">
        <v>6486</v>
      </c>
      <c r="R1262" t="s">
        <v>6487</v>
      </c>
    </row>
    <row r="1263" spans="1:18" x14ac:dyDescent="0.2">
      <c r="A1263">
        <v>2817893</v>
      </c>
      <c r="B1263" t="s">
        <v>6488</v>
      </c>
      <c r="C1263">
        <v>0</v>
      </c>
      <c r="D1263">
        <v>0</v>
      </c>
      <c r="E1263">
        <v>0</v>
      </c>
      <c r="F1263">
        <v>1</v>
      </c>
      <c r="G1263">
        <v>0</v>
      </c>
      <c r="H1263">
        <v>0</v>
      </c>
      <c r="I1263">
        <v>0</v>
      </c>
      <c r="J1263">
        <v>0</v>
      </c>
      <c r="K1263">
        <v>0</v>
      </c>
      <c r="L1263" t="s">
        <v>3284</v>
      </c>
      <c r="M1263" t="s">
        <v>3296</v>
      </c>
      <c r="N1263" t="s">
        <v>3297</v>
      </c>
      <c r="O1263" t="s">
        <v>3434</v>
      </c>
      <c r="P1263" t="s">
        <v>3435</v>
      </c>
      <c r="Q1263" t="s">
        <v>3436</v>
      </c>
      <c r="R1263" t="s">
        <v>6489</v>
      </c>
    </row>
    <row r="1264" spans="1:18" x14ac:dyDescent="0.2">
      <c r="A1264">
        <v>2817776</v>
      </c>
      <c r="B1264" t="s">
        <v>6490</v>
      </c>
      <c r="C1264">
        <v>0</v>
      </c>
      <c r="D1264">
        <v>0</v>
      </c>
      <c r="E1264">
        <v>0</v>
      </c>
      <c r="F1264">
        <v>1</v>
      </c>
      <c r="G1264">
        <v>0</v>
      </c>
      <c r="H1264">
        <v>0</v>
      </c>
      <c r="I1264">
        <v>0</v>
      </c>
      <c r="J1264">
        <v>0</v>
      </c>
      <c r="K1264">
        <v>0</v>
      </c>
      <c r="L1264" t="s">
        <v>3284</v>
      </c>
      <c r="M1264" t="s">
        <v>3296</v>
      </c>
      <c r="N1264" t="s">
        <v>3343</v>
      </c>
      <c r="O1264" t="s">
        <v>3861</v>
      </c>
      <c r="P1264" t="s">
        <v>3862</v>
      </c>
      <c r="Q1264" t="s">
        <v>3863</v>
      </c>
      <c r="R1264" t="s">
        <v>6491</v>
      </c>
    </row>
    <row r="1265" spans="1:18" x14ac:dyDescent="0.2">
      <c r="A1265">
        <v>2817765</v>
      </c>
      <c r="B1265" t="s">
        <v>6492</v>
      </c>
      <c r="C1265">
        <v>0</v>
      </c>
      <c r="D1265">
        <v>0</v>
      </c>
      <c r="E1265">
        <v>0</v>
      </c>
      <c r="F1265">
        <v>2</v>
      </c>
      <c r="G1265">
        <v>1</v>
      </c>
      <c r="H1265">
        <v>0</v>
      </c>
      <c r="I1265">
        <v>0</v>
      </c>
      <c r="J1265">
        <v>0</v>
      </c>
      <c r="K1265">
        <v>0</v>
      </c>
      <c r="L1265" t="s">
        <v>3284</v>
      </c>
      <c r="M1265" t="s">
        <v>3391</v>
      </c>
      <c r="N1265" t="s">
        <v>3411</v>
      </c>
      <c r="O1265" t="s">
        <v>3412</v>
      </c>
      <c r="P1265" t="s">
        <v>3413</v>
      </c>
      <c r="Q1265" t="s">
        <v>3414</v>
      </c>
      <c r="R1265" t="s">
        <v>6493</v>
      </c>
    </row>
    <row r="1266" spans="1:18" x14ac:dyDescent="0.2">
      <c r="A1266">
        <v>2817763</v>
      </c>
      <c r="B1266" t="s">
        <v>6494</v>
      </c>
      <c r="C1266">
        <v>0</v>
      </c>
      <c r="D1266">
        <v>0</v>
      </c>
      <c r="E1266">
        <v>0</v>
      </c>
      <c r="F1266">
        <v>1</v>
      </c>
      <c r="G1266">
        <v>0</v>
      </c>
      <c r="H1266">
        <v>0</v>
      </c>
      <c r="I1266">
        <v>0</v>
      </c>
      <c r="J1266">
        <v>0</v>
      </c>
      <c r="K1266">
        <v>0</v>
      </c>
      <c r="L1266" t="s">
        <v>3284</v>
      </c>
      <c r="M1266" t="s">
        <v>3391</v>
      </c>
      <c r="N1266" t="s">
        <v>3392</v>
      </c>
      <c r="O1266" t="s">
        <v>3393</v>
      </c>
      <c r="P1266" t="s">
        <v>3394</v>
      </c>
      <c r="Q1266" t="s">
        <v>4351</v>
      </c>
      <c r="R1266" t="s">
        <v>6495</v>
      </c>
    </row>
    <row r="1267" spans="1:18" x14ac:dyDescent="0.2">
      <c r="A1267">
        <v>2817762</v>
      </c>
      <c r="B1267" t="s">
        <v>6496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1</v>
      </c>
      <c r="L1267" t="s">
        <v>3284</v>
      </c>
      <c r="M1267" t="s">
        <v>3296</v>
      </c>
      <c r="N1267" t="s">
        <v>3343</v>
      </c>
      <c r="O1267" t="s">
        <v>3344</v>
      </c>
      <c r="P1267" t="s">
        <v>3355</v>
      </c>
      <c r="Q1267" t="s">
        <v>4238</v>
      </c>
      <c r="R1267" t="s">
        <v>6497</v>
      </c>
    </row>
    <row r="1268" spans="1:18" x14ac:dyDescent="0.2">
      <c r="A1268">
        <v>2817732</v>
      </c>
      <c r="B1268" t="s">
        <v>6498</v>
      </c>
      <c r="C1268">
        <v>0</v>
      </c>
      <c r="D1268">
        <v>0</v>
      </c>
      <c r="E1268">
        <v>0</v>
      </c>
      <c r="F1268">
        <v>1</v>
      </c>
      <c r="G1268">
        <v>0</v>
      </c>
      <c r="H1268">
        <v>0</v>
      </c>
      <c r="I1268">
        <v>0</v>
      </c>
      <c r="J1268">
        <v>0</v>
      </c>
      <c r="K1268">
        <v>0</v>
      </c>
      <c r="L1268" t="s">
        <v>3284</v>
      </c>
      <c r="M1268" t="s">
        <v>3296</v>
      </c>
      <c r="N1268" t="s">
        <v>3321</v>
      </c>
      <c r="O1268" t="s">
        <v>3322</v>
      </c>
      <c r="P1268" t="s">
        <v>3323</v>
      </c>
      <c r="Q1268" t="s">
        <v>5058</v>
      </c>
      <c r="R1268" t="s">
        <v>6499</v>
      </c>
    </row>
    <row r="1269" spans="1:18" x14ac:dyDescent="0.2">
      <c r="A1269">
        <v>2817731</v>
      </c>
      <c r="B1269" t="s">
        <v>6500</v>
      </c>
      <c r="C1269">
        <v>1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 t="s">
        <v>3284</v>
      </c>
      <c r="M1269" t="s">
        <v>3296</v>
      </c>
      <c r="N1269" t="s">
        <v>3343</v>
      </c>
      <c r="O1269" t="s">
        <v>3371</v>
      </c>
      <c r="P1269" t="s">
        <v>3688</v>
      </c>
      <c r="Q1269" t="s">
        <v>4314</v>
      </c>
      <c r="R1269" t="s">
        <v>6501</v>
      </c>
    </row>
    <row r="1270" spans="1:18" x14ac:dyDescent="0.2">
      <c r="A1270">
        <v>2817724</v>
      </c>
      <c r="B1270" t="s">
        <v>6502</v>
      </c>
      <c r="C1270">
        <v>1</v>
      </c>
      <c r="D1270">
        <v>0</v>
      </c>
      <c r="E1270">
        <v>0</v>
      </c>
      <c r="F1270">
        <v>1</v>
      </c>
      <c r="G1270">
        <v>0</v>
      </c>
      <c r="H1270">
        <v>2</v>
      </c>
      <c r="I1270">
        <v>0</v>
      </c>
      <c r="J1270">
        <v>0</v>
      </c>
      <c r="K1270">
        <v>0</v>
      </c>
      <c r="L1270" t="s">
        <v>3284</v>
      </c>
      <c r="M1270" t="s">
        <v>3296</v>
      </c>
      <c r="N1270" t="s">
        <v>3343</v>
      </c>
      <c r="O1270" t="s">
        <v>3402</v>
      </c>
      <c r="P1270" t="s">
        <v>3403</v>
      </c>
      <c r="Q1270" t="s">
        <v>3404</v>
      </c>
      <c r="R1270" t="s">
        <v>6503</v>
      </c>
    </row>
    <row r="1271" spans="1:18" x14ac:dyDescent="0.2">
      <c r="A1271">
        <v>2817722</v>
      </c>
      <c r="B1271" t="s">
        <v>6504</v>
      </c>
      <c r="C1271">
        <v>0</v>
      </c>
      <c r="D1271">
        <v>0</v>
      </c>
      <c r="E1271">
        <v>0</v>
      </c>
      <c r="F1271">
        <v>1</v>
      </c>
      <c r="G1271">
        <v>1</v>
      </c>
      <c r="H1271">
        <v>0</v>
      </c>
      <c r="I1271">
        <v>0</v>
      </c>
      <c r="J1271">
        <v>0</v>
      </c>
      <c r="K1271">
        <v>0</v>
      </c>
      <c r="L1271" t="s">
        <v>3284</v>
      </c>
      <c r="M1271" t="s">
        <v>3296</v>
      </c>
      <c r="N1271" t="s">
        <v>3343</v>
      </c>
      <c r="O1271" t="s">
        <v>3344</v>
      </c>
      <c r="P1271" t="s">
        <v>3355</v>
      </c>
      <c r="Q1271" t="s">
        <v>3356</v>
      </c>
      <c r="R1271" t="s">
        <v>6505</v>
      </c>
    </row>
    <row r="1272" spans="1:18" x14ac:dyDescent="0.2">
      <c r="A1272">
        <v>2817720</v>
      </c>
      <c r="B1272" t="s">
        <v>6506</v>
      </c>
      <c r="C1272">
        <v>0</v>
      </c>
      <c r="D1272">
        <v>0</v>
      </c>
      <c r="E1272">
        <v>0</v>
      </c>
      <c r="F1272">
        <v>4</v>
      </c>
      <c r="G1272">
        <v>2</v>
      </c>
      <c r="H1272">
        <v>0</v>
      </c>
      <c r="I1272">
        <v>0</v>
      </c>
      <c r="J1272">
        <v>0</v>
      </c>
      <c r="K1272">
        <v>0</v>
      </c>
      <c r="L1272" t="s">
        <v>3284</v>
      </c>
      <c r="M1272" t="s">
        <v>3296</v>
      </c>
      <c r="N1272" t="s">
        <v>3343</v>
      </c>
      <c r="O1272" t="s">
        <v>3402</v>
      </c>
      <c r="P1272" t="s">
        <v>3403</v>
      </c>
      <c r="Q1272" t="s">
        <v>3404</v>
      </c>
      <c r="R1272" t="s">
        <v>6507</v>
      </c>
    </row>
    <row r="1273" spans="1:18" x14ac:dyDescent="0.2">
      <c r="A1273">
        <v>2817714</v>
      </c>
      <c r="B1273" t="s">
        <v>6508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1</v>
      </c>
      <c r="J1273">
        <v>0</v>
      </c>
      <c r="K1273">
        <v>0</v>
      </c>
      <c r="L1273" t="s">
        <v>3284</v>
      </c>
      <c r="M1273" t="s">
        <v>3296</v>
      </c>
      <c r="N1273" t="s">
        <v>3343</v>
      </c>
      <c r="O1273" t="s">
        <v>3344</v>
      </c>
      <c r="P1273" t="s">
        <v>3898</v>
      </c>
      <c r="Q1273" t="s">
        <v>3899</v>
      </c>
      <c r="R1273" t="s">
        <v>6509</v>
      </c>
    </row>
    <row r="1274" spans="1:18" x14ac:dyDescent="0.2">
      <c r="A1274">
        <v>2817478</v>
      </c>
      <c r="B1274" t="s">
        <v>6510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1</v>
      </c>
      <c r="K1274">
        <v>0</v>
      </c>
      <c r="L1274" t="s">
        <v>3284</v>
      </c>
      <c r="M1274" t="s">
        <v>3327</v>
      </c>
      <c r="N1274" t="s">
        <v>3376</v>
      </c>
      <c r="O1274" t="s">
        <v>3377</v>
      </c>
      <c r="P1274" t="s">
        <v>3378</v>
      </c>
      <c r="Q1274" t="s">
        <v>3379</v>
      </c>
      <c r="R1274" t="s">
        <v>6511</v>
      </c>
    </row>
    <row r="1275" spans="1:18" x14ac:dyDescent="0.2">
      <c r="A1275">
        <v>2817477</v>
      </c>
      <c r="B1275" t="s">
        <v>6512</v>
      </c>
      <c r="C1275">
        <v>0</v>
      </c>
      <c r="D1275">
        <v>1</v>
      </c>
      <c r="E1275">
        <v>2</v>
      </c>
      <c r="F1275">
        <v>0</v>
      </c>
      <c r="G1275">
        <v>0</v>
      </c>
      <c r="H1275">
        <v>0</v>
      </c>
      <c r="I1275">
        <v>8</v>
      </c>
      <c r="J1275">
        <v>2</v>
      </c>
      <c r="K1275">
        <v>4</v>
      </c>
      <c r="L1275" t="s">
        <v>3284</v>
      </c>
      <c r="M1275" t="s">
        <v>3327</v>
      </c>
      <c r="N1275" t="s">
        <v>3376</v>
      </c>
      <c r="O1275" t="s">
        <v>3377</v>
      </c>
      <c r="P1275" t="s">
        <v>3378</v>
      </c>
      <c r="Q1275" t="s">
        <v>3379</v>
      </c>
      <c r="R1275" t="s">
        <v>6513</v>
      </c>
    </row>
    <row r="1276" spans="1:18" x14ac:dyDescent="0.2">
      <c r="A1276">
        <v>2817382</v>
      </c>
      <c r="B1276" t="s">
        <v>6514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1</v>
      </c>
      <c r="J1276">
        <v>0</v>
      </c>
      <c r="K1276">
        <v>0</v>
      </c>
      <c r="L1276" t="s">
        <v>3284</v>
      </c>
      <c r="M1276" t="s">
        <v>3391</v>
      </c>
      <c r="N1276" t="s">
        <v>3392</v>
      </c>
      <c r="O1276" t="s">
        <v>3393</v>
      </c>
      <c r="P1276" t="s">
        <v>3394</v>
      </c>
      <c r="Q1276" t="s">
        <v>3395</v>
      </c>
      <c r="R1276" t="s">
        <v>6515</v>
      </c>
    </row>
    <row r="1277" spans="1:18" x14ac:dyDescent="0.2">
      <c r="A1277">
        <v>2817379</v>
      </c>
      <c r="B1277" t="s">
        <v>6516</v>
      </c>
      <c r="C1277">
        <v>0</v>
      </c>
      <c r="D1277">
        <v>0</v>
      </c>
      <c r="E1277">
        <v>0</v>
      </c>
      <c r="F1277">
        <v>1</v>
      </c>
      <c r="G1277">
        <v>0</v>
      </c>
      <c r="H1277">
        <v>0</v>
      </c>
      <c r="I1277">
        <v>1</v>
      </c>
      <c r="J1277">
        <v>0</v>
      </c>
      <c r="K1277">
        <v>0</v>
      </c>
      <c r="L1277" t="s">
        <v>3284</v>
      </c>
      <c r="M1277" t="s">
        <v>3307</v>
      </c>
      <c r="N1277" t="s">
        <v>3308</v>
      </c>
      <c r="O1277" t="s">
        <v>3359</v>
      </c>
      <c r="P1277" t="s">
        <v>3360</v>
      </c>
      <c r="Q1277" t="s">
        <v>6517</v>
      </c>
      <c r="R1277" t="s">
        <v>6518</v>
      </c>
    </row>
    <row r="1278" spans="1:18" x14ac:dyDescent="0.2">
      <c r="A1278">
        <v>2817372</v>
      </c>
      <c r="B1278" t="s">
        <v>6519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1</v>
      </c>
      <c r="J1278">
        <v>0</v>
      </c>
      <c r="K1278">
        <v>0</v>
      </c>
      <c r="L1278" t="s">
        <v>3284</v>
      </c>
      <c r="M1278" t="s">
        <v>3296</v>
      </c>
      <c r="N1278" t="s">
        <v>3343</v>
      </c>
      <c r="O1278" t="s">
        <v>3371</v>
      </c>
      <c r="P1278" t="s">
        <v>3372</v>
      </c>
      <c r="Q1278" t="s">
        <v>6520</v>
      </c>
      <c r="R1278" t="s">
        <v>6521</v>
      </c>
    </row>
    <row r="1279" spans="1:18" x14ac:dyDescent="0.2">
      <c r="A1279">
        <v>2817280</v>
      </c>
      <c r="B1279" t="s">
        <v>6522</v>
      </c>
      <c r="C1279">
        <v>0</v>
      </c>
      <c r="D1279">
        <v>0</v>
      </c>
      <c r="E1279">
        <v>0</v>
      </c>
      <c r="F1279">
        <v>0</v>
      </c>
      <c r="G1279">
        <v>2</v>
      </c>
      <c r="H1279">
        <v>0</v>
      </c>
      <c r="I1279">
        <v>0</v>
      </c>
      <c r="J1279">
        <v>0</v>
      </c>
      <c r="K1279">
        <v>0</v>
      </c>
      <c r="L1279" t="s">
        <v>3284</v>
      </c>
      <c r="M1279" t="s">
        <v>3391</v>
      </c>
      <c r="N1279" t="s">
        <v>3392</v>
      </c>
      <c r="O1279" t="s">
        <v>3393</v>
      </c>
      <c r="P1279" t="s">
        <v>3394</v>
      </c>
      <c r="Q1279" t="s">
        <v>3395</v>
      </c>
      <c r="R1279" t="s">
        <v>6523</v>
      </c>
    </row>
    <row r="1280" spans="1:18" x14ac:dyDescent="0.2">
      <c r="A1280">
        <v>2816993</v>
      </c>
      <c r="B1280" t="s">
        <v>6524</v>
      </c>
      <c r="C1280">
        <v>1</v>
      </c>
      <c r="D1280">
        <v>0</v>
      </c>
      <c r="E1280">
        <v>0</v>
      </c>
      <c r="F1280">
        <v>0</v>
      </c>
      <c r="G1280">
        <v>1</v>
      </c>
      <c r="H1280">
        <v>0</v>
      </c>
      <c r="I1280">
        <v>0</v>
      </c>
      <c r="J1280">
        <v>0</v>
      </c>
      <c r="K1280">
        <v>0</v>
      </c>
      <c r="L1280" t="s">
        <v>3284</v>
      </c>
      <c r="M1280" t="s">
        <v>3296</v>
      </c>
      <c r="N1280" t="s">
        <v>3297</v>
      </c>
      <c r="O1280" t="s">
        <v>3434</v>
      </c>
      <c r="P1280" t="s">
        <v>3435</v>
      </c>
      <c r="Q1280" t="s">
        <v>3436</v>
      </c>
      <c r="R1280" t="s">
        <v>6525</v>
      </c>
    </row>
    <row r="1281" spans="1:18" x14ac:dyDescent="0.2">
      <c r="A1281">
        <v>2816962</v>
      </c>
      <c r="B1281" t="s">
        <v>6526</v>
      </c>
      <c r="C1281">
        <v>0</v>
      </c>
      <c r="D1281">
        <v>0</v>
      </c>
      <c r="E1281">
        <v>0</v>
      </c>
      <c r="F1281">
        <v>0</v>
      </c>
      <c r="G1281">
        <v>1</v>
      </c>
      <c r="H1281">
        <v>0</v>
      </c>
      <c r="I1281">
        <v>0</v>
      </c>
      <c r="J1281">
        <v>0</v>
      </c>
      <c r="K1281">
        <v>0</v>
      </c>
      <c r="L1281" t="s">
        <v>3284</v>
      </c>
      <c r="M1281" t="s">
        <v>3391</v>
      </c>
      <c r="N1281" t="s">
        <v>3411</v>
      </c>
      <c r="O1281" t="s">
        <v>3412</v>
      </c>
      <c r="P1281" t="s">
        <v>3413</v>
      </c>
      <c r="Q1281" t="s">
        <v>6527</v>
      </c>
      <c r="R1281" t="s">
        <v>6528</v>
      </c>
    </row>
    <row r="1282" spans="1:18" x14ac:dyDescent="0.2">
      <c r="A1282">
        <v>2816950</v>
      </c>
      <c r="B1282" t="s">
        <v>6529</v>
      </c>
      <c r="C1282">
        <v>0</v>
      </c>
      <c r="D1282">
        <v>1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 t="s">
        <v>3284</v>
      </c>
      <c r="M1282" t="s">
        <v>3296</v>
      </c>
      <c r="N1282" t="s">
        <v>3321</v>
      </c>
      <c r="O1282" t="s">
        <v>3322</v>
      </c>
      <c r="P1282" t="s">
        <v>3398</v>
      </c>
      <c r="Q1282" t="s">
        <v>6530</v>
      </c>
      <c r="R1282" t="s">
        <v>6531</v>
      </c>
    </row>
    <row r="1283" spans="1:18" x14ac:dyDescent="0.2">
      <c r="A1283">
        <v>2816908</v>
      </c>
      <c r="B1283" t="s">
        <v>6532</v>
      </c>
      <c r="C1283">
        <v>1</v>
      </c>
      <c r="D1283">
        <v>2</v>
      </c>
      <c r="E1283">
        <v>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 t="s">
        <v>3284</v>
      </c>
      <c r="M1283" t="s">
        <v>3327</v>
      </c>
      <c r="N1283" t="s">
        <v>4384</v>
      </c>
      <c r="O1283" t="s">
        <v>3271</v>
      </c>
      <c r="P1283" t="s">
        <v>3271</v>
      </c>
      <c r="Q1283" t="s">
        <v>4385</v>
      </c>
      <c r="R1283" t="s">
        <v>6533</v>
      </c>
    </row>
    <row r="1284" spans="1:18" x14ac:dyDescent="0.2">
      <c r="A1284">
        <v>2816856</v>
      </c>
      <c r="B1284" t="s">
        <v>6534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1</v>
      </c>
      <c r="K1284">
        <v>0</v>
      </c>
      <c r="L1284" t="s">
        <v>3284</v>
      </c>
      <c r="M1284" t="s">
        <v>3296</v>
      </c>
      <c r="N1284" t="s">
        <v>3343</v>
      </c>
      <c r="O1284" t="s">
        <v>3344</v>
      </c>
      <c r="P1284" t="s">
        <v>4347</v>
      </c>
      <c r="Q1284" t="s">
        <v>5813</v>
      </c>
      <c r="R1284" t="s">
        <v>6535</v>
      </c>
    </row>
    <row r="1285" spans="1:18" x14ac:dyDescent="0.2">
      <c r="A1285">
        <v>2816449</v>
      </c>
      <c r="B1285" t="s">
        <v>6536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1</v>
      </c>
      <c r="J1285">
        <v>0</v>
      </c>
      <c r="K1285">
        <v>0</v>
      </c>
      <c r="L1285" t="s">
        <v>3284</v>
      </c>
      <c r="M1285" t="s">
        <v>3327</v>
      </c>
      <c r="N1285" t="s">
        <v>3376</v>
      </c>
      <c r="O1285" t="s">
        <v>3377</v>
      </c>
      <c r="P1285" t="s">
        <v>3378</v>
      </c>
      <c r="Q1285" t="s">
        <v>3379</v>
      </c>
      <c r="R1285" t="s">
        <v>6537</v>
      </c>
    </row>
    <row r="1286" spans="1:18" x14ac:dyDescent="0.2">
      <c r="A1286">
        <v>2816357</v>
      </c>
      <c r="B1286" t="s">
        <v>6538</v>
      </c>
      <c r="C1286">
        <v>0</v>
      </c>
      <c r="D1286">
        <v>0</v>
      </c>
      <c r="E1286">
        <v>0</v>
      </c>
      <c r="F1286">
        <v>1</v>
      </c>
      <c r="G1286">
        <v>0</v>
      </c>
      <c r="H1286">
        <v>0</v>
      </c>
      <c r="I1286">
        <v>0</v>
      </c>
      <c r="J1286">
        <v>0</v>
      </c>
      <c r="K1286">
        <v>0</v>
      </c>
      <c r="L1286" t="s">
        <v>3284</v>
      </c>
      <c r="M1286" t="s">
        <v>3391</v>
      </c>
      <c r="N1286" t="s">
        <v>3411</v>
      </c>
      <c r="O1286" t="s">
        <v>3412</v>
      </c>
      <c r="P1286" t="s">
        <v>3413</v>
      </c>
      <c r="Q1286" t="s">
        <v>3414</v>
      </c>
      <c r="R1286" t="s">
        <v>6539</v>
      </c>
    </row>
    <row r="1287" spans="1:18" x14ac:dyDescent="0.2">
      <c r="A1287">
        <v>2816356</v>
      </c>
      <c r="B1287" t="s">
        <v>6540</v>
      </c>
      <c r="C1287">
        <v>0</v>
      </c>
      <c r="D1287">
        <v>0</v>
      </c>
      <c r="E1287">
        <v>0</v>
      </c>
      <c r="F1287">
        <v>1</v>
      </c>
      <c r="G1287">
        <v>0</v>
      </c>
      <c r="H1287">
        <v>0</v>
      </c>
      <c r="I1287">
        <v>0</v>
      </c>
      <c r="J1287">
        <v>0</v>
      </c>
      <c r="K1287">
        <v>0</v>
      </c>
      <c r="L1287" t="s">
        <v>3284</v>
      </c>
      <c r="M1287" t="s">
        <v>3296</v>
      </c>
      <c r="N1287" t="s">
        <v>3321</v>
      </c>
      <c r="O1287" t="s">
        <v>3322</v>
      </c>
      <c r="P1287" t="s">
        <v>3423</v>
      </c>
      <c r="Q1287" t="s">
        <v>6541</v>
      </c>
      <c r="R1287" t="s">
        <v>6542</v>
      </c>
    </row>
    <row r="1288" spans="1:18" x14ac:dyDescent="0.2">
      <c r="A1288">
        <v>2816251</v>
      </c>
      <c r="B1288" t="s">
        <v>6543</v>
      </c>
      <c r="C1288">
        <v>0</v>
      </c>
      <c r="D1288">
        <v>0</v>
      </c>
      <c r="E1288">
        <v>0</v>
      </c>
      <c r="F1288">
        <v>0</v>
      </c>
      <c r="G1288">
        <v>1</v>
      </c>
      <c r="H1288">
        <v>0</v>
      </c>
      <c r="I1288">
        <v>0</v>
      </c>
      <c r="J1288">
        <v>0</v>
      </c>
      <c r="K1288">
        <v>0</v>
      </c>
      <c r="L1288" t="s">
        <v>3284</v>
      </c>
      <c r="M1288" t="s">
        <v>3296</v>
      </c>
      <c r="N1288" t="s">
        <v>3297</v>
      </c>
      <c r="O1288" t="s">
        <v>3298</v>
      </c>
      <c r="P1288" t="s">
        <v>3299</v>
      </c>
      <c r="Q1288" t="s">
        <v>5622</v>
      </c>
      <c r="R1288" t="s">
        <v>6544</v>
      </c>
    </row>
    <row r="1289" spans="1:18" x14ac:dyDescent="0.2">
      <c r="A1289">
        <v>2815808</v>
      </c>
      <c r="B1289" t="s">
        <v>6545</v>
      </c>
      <c r="C1289">
        <v>0</v>
      </c>
      <c r="D1289">
        <v>1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 t="s">
        <v>3284</v>
      </c>
      <c r="M1289" t="s">
        <v>6546</v>
      </c>
      <c r="N1289" t="s">
        <v>6547</v>
      </c>
      <c r="O1289" t="s">
        <v>6548</v>
      </c>
      <c r="P1289" t="s">
        <v>6549</v>
      </c>
      <c r="Q1289" t="s">
        <v>6550</v>
      </c>
      <c r="R1289" t="s">
        <v>6551</v>
      </c>
    </row>
    <row r="1290" spans="1:18" x14ac:dyDescent="0.2">
      <c r="A1290">
        <v>2815579</v>
      </c>
      <c r="B1290" t="s">
        <v>6552</v>
      </c>
      <c r="C1290">
        <v>0</v>
      </c>
      <c r="D1290">
        <v>0</v>
      </c>
      <c r="E1290">
        <v>0</v>
      </c>
      <c r="F1290">
        <v>1</v>
      </c>
      <c r="G1290">
        <v>0</v>
      </c>
      <c r="H1290">
        <v>0</v>
      </c>
      <c r="I1290">
        <v>0</v>
      </c>
      <c r="J1290">
        <v>0</v>
      </c>
      <c r="K1290">
        <v>0</v>
      </c>
      <c r="L1290" t="s">
        <v>3284</v>
      </c>
      <c r="M1290" t="s">
        <v>3296</v>
      </c>
      <c r="N1290" t="s">
        <v>3343</v>
      </c>
      <c r="O1290" t="s">
        <v>3344</v>
      </c>
      <c r="P1290" t="s">
        <v>6553</v>
      </c>
      <c r="Q1290" t="s">
        <v>6554</v>
      </c>
      <c r="R1290" t="s">
        <v>6555</v>
      </c>
    </row>
    <row r="1291" spans="1:18" x14ac:dyDescent="0.2">
      <c r="A1291">
        <v>2815338</v>
      </c>
      <c r="B1291" t="s">
        <v>6556</v>
      </c>
      <c r="C1291">
        <v>0</v>
      </c>
      <c r="D1291">
        <v>0</v>
      </c>
      <c r="E1291">
        <v>0</v>
      </c>
      <c r="F1291">
        <v>1</v>
      </c>
      <c r="G1291">
        <v>0</v>
      </c>
      <c r="H1291">
        <v>0</v>
      </c>
      <c r="I1291">
        <v>0</v>
      </c>
      <c r="J1291">
        <v>0</v>
      </c>
      <c r="K1291">
        <v>0</v>
      </c>
      <c r="L1291" t="s">
        <v>3284</v>
      </c>
      <c r="M1291" t="s">
        <v>3296</v>
      </c>
      <c r="N1291" t="s">
        <v>3343</v>
      </c>
      <c r="O1291" t="s">
        <v>3344</v>
      </c>
      <c r="P1291" t="s">
        <v>3355</v>
      </c>
      <c r="Q1291" t="s">
        <v>3546</v>
      </c>
      <c r="R1291" t="s">
        <v>6557</v>
      </c>
    </row>
    <row r="1292" spans="1:18" x14ac:dyDescent="0.2">
      <c r="A1292">
        <v>2815212</v>
      </c>
      <c r="B1292" t="s">
        <v>6558</v>
      </c>
      <c r="C1292">
        <v>0</v>
      </c>
      <c r="D1292">
        <v>0</v>
      </c>
      <c r="E1292">
        <v>0</v>
      </c>
      <c r="F1292">
        <v>0</v>
      </c>
      <c r="G1292">
        <v>1</v>
      </c>
      <c r="H1292">
        <v>0</v>
      </c>
      <c r="I1292">
        <v>0</v>
      </c>
      <c r="J1292">
        <v>0</v>
      </c>
      <c r="K1292">
        <v>0</v>
      </c>
      <c r="L1292" t="s">
        <v>3284</v>
      </c>
      <c r="M1292" t="s">
        <v>3307</v>
      </c>
      <c r="N1292" t="s">
        <v>3308</v>
      </c>
      <c r="O1292" t="s">
        <v>3359</v>
      </c>
      <c r="P1292" t="s">
        <v>3360</v>
      </c>
      <c r="Q1292" t="s">
        <v>3515</v>
      </c>
      <c r="R1292" t="s">
        <v>6559</v>
      </c>
    </row>
    <row r="1293" spans="1:18" x14ac:dyDescent="0.2">
      <c r="A1293">
        <v>2813778</v>
      </c>
      <c r="B1293" t="s">
        <v>6560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1</v>
      </c>
      <c r="I1293">
        <v>0</v>
      </c>
      <c r="J1293">
        <v>0</v>
      </c>
      <c r="K1293">
        <v>0</v>
      </c>
      <c r="L1293" t="s">
        <v>3284</v>
      </c>
      <c r="M1293" t="s">
        <v>3296</v>
      </c>
      <c r="N1293" t="s">
        <v>3343</v>
      </c>
      <c r="O1293" t="s">
        <v>3402</v>
      </c>
      <c r="P1293" t="s">
        <v>3403</v>
      </c>
      <c r="Q1293" t="s">
        <v>3536</v>
      </c>
      <c r="R1293" t="s">
        <v>6561</v>
      </c>
    </row>
    <row r="1294" spans="1:18" x14ac:dyDescent="0.2">
      <c r="A1294">
        <v>2812850</v>
      </c>
      <c r="B1294" t="s">
        <v>6562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2</v>
      </c>
      <c r="K1294">
        <v>0</v>
      </c>
      <c r="L1294" t="s">
        <v>3284</v>
      </c>
      <c r="M1294" t="s">
        <v>3307</v>
      </c>
      <c r="N1294" t="s">
        <v>3308</v>
      </c>
      <c r="O1294" t="s">
        <v>3359</v>
      </c>
      <c r="P1294" t="s">
        <v>3360</v>
      </c>
      <c r="Q1294" t="s">
        <v>5690</v>
      </c>
      <c r="R1294" t="s">
        <v>6563</v>
      </c>
    </row>
    <row r="1295" spans="1:18" x14ac:dyDescent="0.2">
      <c r="A1295">
        <v>2812654</v>
      </c>
      <c r="B1295" t="s">
        <v>6564</v>
      </c>
      <c r="C1295">
        <v>0</v>
      </c>
      <c r="D1295">
        <v>0</v>
      </c>
      <c r="E1295">
        <v>0</v>
      </c>
      <c r="F1295">
        <v>0</v>
      </c>
      <c r="G1295">
        <v>1</v>
      </c>
      <c r="H1295">
        <v>0</v>
      </c>
      <c r="I1295">
        <v>0</v>
      </c>
      <c r="J1295">
        <v>0</v>
      </c>
      <c r="K1295">
        <v>0</v>
      </c>
      <c r="L1295" t="s">
        <v>3284</v>
      </c>
      <c r="M1295" t="s">
        <v>3307</v>
      </c>
      <c r="N1295" t="s">
        <v>3308</v>
      </c>
      <c r="O1295" t="s">
        <v>3446</v>
      </c>
      <c r="P1295" t="s">
        <v>3447</v>
      </c>
      <c r="Q1295" t="s">
        <v>3448</v>
      </c>
      <c r="R1295" t="s">
        <v>6565</v>
      </c>
    </row>
    <row r="1296" spans="1:18" x14ac:dyDescent="0.2">
      <c r="A1296">
        <v>2812562</v>
      </c>
      <c r="B1296" t="s">
        <v>6566</v>
      </c>
      <c r="C1296">
        <v>2</v>
      </c>
      <c r="D1296">
        <v>0</v>
      </c>
      <c r="E1296">
        <v>1</v>
      </c>
      <c r="F1296">
        <v>0</v>
      </c>
      <c r="G1296">
        <v>0</v>
      </c>
      <c r="H1296">
        <v>1</v>
      </c>
      <c r="I1296">
        <v>2</v>
      </c>
      <c r="J1296">
        <v>0</v>
      </c>
      <c r="K1296">
        <v>0</v>
      </c>
      <c r="L1296" t="s">
        <v>3284</v>
      </c>
      <c r="M1296" t="s">
        <v>3307</v>
      </c>
      <c r="N1296" t="s">
        <v>3308</v>
      </c>
      <c r="O1296" t="s">
        <v>3359</v>
      </c>
      <c r="P1296" t="s">
        <v>3360</v>
      </c>
      <c r="Q1296" t="s">
        <v>3561</v>
      </c>
      <c r="R1296" t="s">
        <v>6567</v>
      </c>
    </row>
    <row r="1297" spans="1:18" x14ac:dyDescent="0.2">
      <c r="A1297">
        <v>2812560</v>
      </c>
      <c r="B1297" t="s">
        <v>6568</v>
      </c>
      <c r="C1297">
        <v>1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 t="s">
        <v>3284</v>
      </c>
      <c r="M1297" t="s">
        <v>3307</v>
      </c>
      <c r="N1297" t="s">
        <v>3989</v>
      </c>
      <c r="O1297" t="s">
        <v>3990</v>
      </c>
      <c r="P1297" t="s">
        <v>5649</v>
      </c>
      <c r="Q1297" t="s">
        <v>5650</v>
      </c>
      <c r="R1297" t="s">
        <v>6569</v>
      </c>
    </row>
    <row r="1298" spans="1:18" x14ac:dyDescent="0.2">
      <c r="A1298">
        <v>2812555</v>
      </c>
      <c r="B1298" t="s">
        <v>6570</v>
      </c>
      <c r="C1298">
        <v>0</v>
      </c>
      <c r="D1298">
        <v>0</v>
      </c>
      <c r="E1298">
        <v>0</v>
      </c>
      <c r="F1298">
        <v>0</v>
      </c>
      <c r="G1298">
        <v>1</v>
      </c>
      <c r="H1298">
        <v>0</v>
      </c>
      <c r="I1298">
        <v>0</v>
      </c>
      <c r="J1298">
        <v>0</v>
      </c>
      <c r="K1298">
        <v>0</v>
      </c>
      <c r="L1298" t="s">
        <v>3284</v>
      </c>
      <c r="M1298" t="s">
        <v>3296</v>
      </c>
      <c r="N1298" t="s">
        <v>3343</v>
      </c>
      <c r="O1298" t="s">
        <v>3349</v>
      </c>
      <c r="P1298" t="s">
        <v>3350</v>
      </c>
      <c r="Q1298" t="s">
        <v>3580</v>
      </c>
      <c r="R1298" t="s">
        <v>6571</v>
      </c>
    </row>
    <row r="1299" spans="1:18" x14ac:dyDescent="0.2">
      <c r="A1299">
        <v>2811429</v>
      </c>
      <c r="B1299" t="s">
        <v>6572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37</v>
      </c>
      <c r="J1299">
        <v>17</v>
      </c>
      <c r="K1299">
        <v>7</v>
      </c>
      <c r="L1299" t="s">
        <v>3284</v>
      </c>
      <c r="M1299" t="s">
        <v>3296</v>
      </c>
      <c r="N1299" t="s">
        <v>3343</v>
      </c>
      <c r="O1299" t="s">
        <v>3429</v>
      </c>
      <c r="P1299" t="s">
        <v>4336</v>
      </c>
      <c r="Q1299" t="s">
        <v>5293</v>
      </c>
      <c r="R1299" t="s">
        <v>6573</v>
      </c>
    </row>
    <row r="1300" spans="1:18" x14ac:dyDescent="0.2">
      <c r="A1300">
        <v>2811423</v>
      </c>
      <c r="B1300" t="s">
        <v>6574</v>
      </c>
      <c r="C1300">
        <v>2</v>
      </c>
      <c r="D1300">
        <v>3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 t="s">
        <v>3284</v>
      </c>
      <c r="M1300" t="s">
        <v>3296</v>
      </c>
      <c r="N1300" t="s">
        <v>3343</v>
      </c>
      <c r="O1300" t="s">
        <v>3344</v>
      </c>
      <c r="P1300" t="s">
        <v>3355</v>
      </c>
      <c r="Q1300" t="s">
        <v>3525</v>
      </c>
      <c r="R1300" t="s">
        <v>6575</v>
      </c>
    </row>
    <row r="1301" spans="1:18" x14ac:dyDescent="0.2">
      <c r="A1301">
        <v>2811414</v>
      </c>
      <c r="B1301" t="s">
        <v>6576</v>
      </c>
      <c r="C1301">
        <v>1</v>
      </c>
      <c r="D1301">
        <v>1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 t="s">
        <v>3284</v>
      </c>
      <c r="M1301" t="s">
        <v>3327</v>
      </c>
      <c r="N1301" t="s">
        <v>3328</v>
      </c>
      <c r="O1301" t="s">
        <v>3329</v>
      </c>
      <c r="P1301" t="s">
        <v>3330</v>
      </c>
      <c r="Q1301" t="s">
        <v>3331</v>
      </c>
      <c r="R1301" t="s">
        <v>6577</v>
      </c>
    </row>
    <row r="1302" spans="1:18" x14ac:dyDescent="0.2">
      <c r="A1302">
        <v>2811411</v>
      </c>
      <c r="B1302" t="s">
        <v>6578</v>
      </c>
      <c r="C1302">
        <v>3</v>
      </c>
      <c r="D1302">
        <v>5</v>
      </c>
      <c r="E1302">
        <v>0</v>
      </c>
      <c r="F1302">
        <v>0</v>
      </c>
      <c r="G1302">
        <v>0</v>
      </c>
      <c r="H1302">
        <v>0</v>
      </c>
      <c r="I1302">
        <v>1</v>
      </c>
      <c r="J1302">
        <v>0</v>
      </c>
      <c r="K1302">
        <v>0</v>
      </c>
      <c r="L1302" t="s">
        <v>3284</v>
      </c>
      <c r="M1302" t="s">
        <v>3296</v>
      </c>
      <c r="N1302" t="s">
        <v>3343</v>
      </c>
      <c r="O1302" t="s">
        <v>3371</v>
      </c>
      <c r="P1302" t="s">
        <v>3688</v>
      </c>
      <c r="Q1302" t="s">
        <v>6579</v>
      </c>
      <c r="R1302" t="s">
        <v>6580</v>
      </c>
    </row>
    <row r="1303" spans="1:18" x14ac:dyDescent="0.2">
      <c r="A1303">
        <v>2811394</v>
      </c>
      <c r="B1303" t="s">
        <v>6581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1</v>
      </c>
      <c r="K1303">
        <v>0</v>
      </c>
      <c r="L1303" t="s">
        <v>3284</v>
      </c>
      <c r="M1303" t="s">
        <v>3296</v>
      </c>
      <c r="N1303" t="s">
        <v>3297</v>
      </c>
      <c r="O1303" t="s">
        <v>3298</v>
      </c>
      <c r="P1303" t="s">
        <v>6582</v>
      </c>
      <c r="Q1303" t="s">
        <v>6583</v>
      </c>
      <c r="R1303" t="s">
        <v>6584</v>
      </c>
    </row>
    <row r="1304" spans="1:18" x14ac:dyDescent="0.2">
      <c r="A1304">
        <v>2811234</v>
      </c>
      <c r="B1304" t="s">
        <v>6585</v>
      </c>
      <c r="C1304">
        <v>1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 t="s">
        <v>3284</v>
      </c>
      <c r="M1304" t="s">
        <v>3391</v>
      </c>
      <c r="N1304" t="s">
        <v>3740</v>
      </c>
      <c r="O1304" t="s">
        <v>3741</v>
      </c>
      <c r="P1304" t="s">
        <v>4388</v>
      </c>
      <c r="Q1304" t="s">
        <v>4389</v>
      </c>
      <c r="R1304" t="s">
        <v>6586</v>
      </c>
    </row>
    <row r="1305" spans="1:18" x14ac:dyDescent="0.2">
      <c r="A1305">
        <v>2810309</v>
      </c>
      <c r="B1305" t="s">
        <v>6587</v>
      </c>
      <c r="C1305">
        <v>0</v>
      </c>
      <c r="D1305">
        <v>1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 t="s">
        <v>3284</v>
      </c>
      <c r="M1305" t="s">
        <v>3391</v>
      </c>
      <c r="N1305" t="s">
        <v>3392</v>
      </c>
      <c r="O1305" t="s">
        <v>3393</v>
      </c>
      <c r="P1305" t="s">
        <v>3394</v>
      </c>
      <c r="Q1305" t="s">
        <v>6588</v>
      </c>
      <c r="R1305" t="s">
        <v>6589</v>
      </c>
    </row>
    <row r="1306" spans="1:18" x14ac:dyDescent="0.2">
      <c r="A1306">
        <v>2809018</v>
      </c>
      <c r="B1306" t="s">
        <v>6590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1</v>
      </c>
      <c r="K1306">
        <v>0</v>
      </c>
      <c r="L1306" t="s">
        <v>3284</v>
      </c>
      <c r="M1306" t="s">
        <v>3307</v>
      </c>
      <c r="N1306" t="s">
        <v>3308</v>
      </c>
      <c r="O1306" t="s">
        <v>3494</v>
      </c>
      <c r="P1306" t="s">
        <v>3495</v>
      </c>
      <c r="Q1306" t="s">
        <v>3496</v>
      </c>
      <c r="R1306" t="s">
        <v>6591</v>
      </c>
    </row>
    <row r="1307" spans="1:18" x14ac:dyDescent="0.2">
      <c r="A1307">
        <v>2809017</v>
      </c>
      <c r="B1307" t="s">
        <v>6592</v>
      </c>
      <c r="C1307">
        <v>0</v>
      </c>
      <c r="D1307">
        <v>0</v>
      </c>
      <c r="E1307">
        <v>0</v>
      </c>
      <c r="F1307">
        <v>1</v>
      </c>
      <c r="G1307">
        <v>0</v>
      </c>
      <c r="H1307">
        <v>0</v>
      </c>
      <c r="I1307">
        <v>0</v>
      </c>
      <c r="J1307">
        <v>0</v>
      </c>
      <c r="K1307">
        <v>0</v>
      </c>
      <c r="L1307" t="s">
        <v>3284</v>
      </c>
      <c r="M1307" t="s">
        <v>3296</v>
      </c>
      <c r="N1307" t="s">
        <v>3297</v>
      </c>
      <c r="O1307" t="s">
        <v>3434</v>
      </c>
      <c r="P1307" t="s">
        <v>3435</v>
      </c>
      <c r="Q1307" t="s">
        <v>3436</v>
      </c>
      <c r="R1307" t="s">
        <v>6593</v>
      </c>
    </row>
    <row r="1308" spans="1:18" x14ac:dyDescent="0.2">
      <c r="A1308">
        <v>2807626</v>
      </c>
      <c r="B1308" t="s">
        <v>6594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1</v>
      </c>
      <c r="J1308">
        <v>0</v>
      </c>
      <c r="K1308">
        <v>0</v>
      </c>
      <c r="L1308" t="s">
        <v>3284</v>
      </c>
      <c r="M1308" t="s">
        <v>3296</v>
      </c>
      <c r="N1308" t="s">
        <v>3321</v>
      </c>
      <c r="O1308" t="s">
        <v>3322</v>
      </c>
      <c r="P1308" t="s">
        <v>3323</v>
      </c>
      <c r="Q1308" t="s">
        <v>6595</v>
      </c>
      <c r="R1308" t="s">
        <v>6596</v>
      </c>
    </row>
    <row r="1309" spans="1:18" x14ac:dyDescent="0.2">
      <c r="A1309">
        <v>2807512</v>
      </c>
      <c r="B1309" t="s">
        <v>6597</v>
      </c>
      <c r="C1309">
        <v>0</v>
      </c>
      <c r="D1309">
        <v>0</v>
      </c>
      <c r="E1309">
        <v>0</v>
      </c>
      <c r="F1309">
        <v>1</v>
      </c>
      <c r="G1309">
        <v>1</v>
      </c>
      <c r="H1309">
        <v>1</v>
      </c>
      <c r="I1309">
        <v>0</v>
      </c>
      <c r="J1309">
        <v>0</v>
      </c>
      <c r="K1309">
        <v>0</v>
      </c>
      <c r="L1309" t="s">
        <v>3284</v>
      </c>
      <c r="M1309" t="s">
        <v>3794</v>
      </c>
      <c r="N1309" t="s">
        <v>6598</v>
      </c>
      <c r="O1309" t="s">
        <v>6599</v>
      </c>
      <c r="P1309" t="s">
        <v>6600</v>
      </c>
      <c r="Q1309" t="s">
        <v>6601</v>
      </c>
      <c r="R1309" t="s">
        <v>6602</v>
      </c>
    </row>
    <row r="1310" spans="1:18" x14ac:dyDescent="0.2">
      <c r="A1310">
        <v>2807101</v>
      </c>
      <c r="B1310" t="s">
        <v>6603</v>
      </c>
      <c r="C1310">
        <v>0</v>
      </c>
      <c r="D1310">
        <v>1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 t="s">
        <v>3284</v>
      </c>
      <c r="M1310" t="s">
        <v>3296</v>
      </c>
      <c r="N1310" t="s">
        <v>3343</v>
      </c>
      <c r="O1310" t="s">
        <v>3344</v>
      </c>
      <c r="P1310" t="s">
        <v>6089</v>
      </c>
      <c r="Q1310" t="s">
        <v>6090</v>
      </c>
      <c r="R1310" t="s">
        <v>6604</v>
      </c>
    </row>
    <row r="1311" spans="1:18" x14ac:dyDescent="0.2">
      <c r="A1311">
        <v>2807096</v>
      </c>
      <c r="B1311" t="s">
        <v>6605</v>
      </c>
      <c r="C1311">
        <v>2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 t="s">
        <v>3284</v>
      </c>
      <c r="M1311" t="s">
        <v>3296</v>
      </c>
      <c r="N1311" t="s">
        <v>3343</v>
      </c>
      <c r="O1311" t="s">
        <v>3371</v>
      </c>
      <c r="P1311" t="s">
        <v>3688</v>
      </c>
      <c r="Q1311" t="s">
        <v>3689</v>
      </c>
      <c r="R1311" t="s">
        <v>6606</v>
      </c>
    </row>
    <row r="1312" spans="1:18" x14ac:dyDescent="0.2">
      <c r="A1312">
        <v>2806571</v>
      </c>
      <c r="B1312" t="s">
        <v>6607</v>
      </c>
      <c r="C1312">
        <v>0</v>
      </c>
      <c r="D1312">
        <v>0</v>
      </c>
      <c r="E1312">
        <v>0</v>
      </c>
      <c r="F1312">
        <v>1</v>
      </c>
      <c r="G1312">
        <v>0</v>
      </c>
      <c r="H1312">
        <v>0</v>
      </c>
      <c r="I1312">
        <v>0</v>
      </c>
      <c r="J1312">
        <v>0</v>
      </c>
      <c r="K1312">
        <v>0</v>
      </c>
      <c r="L1312" t="s">
        <v>3284</v>
      </c>
      <c r="M1312" t="s">
        <v>3391</v>
      </c>
      <c r="N1312" t="s">
        <v>3411</v>
      </c>
      <c r="O1312" t="s">
        <v>3412</v>
      </c>
      <c r="P1312" t="s">
        <v>3413</v>
      </c>
      <c r="Q1312" t="s">
        <v>3414</v>
      </c>
      <c r="R1312" t="s">
        <v>6608</v>
      </c>
    </row>
    <row r="1313" spans="1:18" x14ac:dyDescent="0.2">
      <c r="A1313">
        <v>2806443</v>
      </c>
      <c r="B1313" t="s">
        <v>6609</v>
      </c>
      <c r="C1313">
        <v>0</v>
      </c>
      <c r="D1313">
        <v>0</v>
      </c>
      <c r="E1313">
        <v>0</v>
      </c>
      <c r="F1313">
        <v>1</v>
      </c>
      <c r="G1313">
        <v>0</v>
      </c>
      <c r="H1313">
        <v>0</v>
      </c>
      <c r="I1313">
        <v>0</v>
      </c>
      <c r="J1313">
        <v>0</v>
      </c>
      <c r="K1313">
        <v>0</v>
      </c>
      <c r="L1313" t="s">
        <v>3284</v>
      </c>
      <c r="M1313" t="s">
        <v>3327</v>
      </c>
      <c r="N1313" t="s">
        <v>6610</v>
      </c>
      <c r="O1313" t="s">
        <v>6611</v>
      </c>
      <c r="P1313" t="s">
        <v>6612</v>
      </c>
      <c r="Q1313" t="s">
        <v>6613</v>
      </c>
      <c r="R1313" t="s">
        <v>6614</v>
      </c>
    </row>
    <row r="1314" spans="1:18" x14ac:dyDescent="0.2">
      <c r="A1314">
        <v>2806348</v>
      </c>
      <c r="B1314" t="s">
        <v>6615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1</v>
      </c>
      <c r="J1314">
        <v>0</v>
      </c>
      <c r="K1314">
        <v>1</v>
      </c>
      <c r="L1314" t="s">
        <v>3284</v>
      </c>
      <c r="M1314" t="s">
        <v>3296</v>
      </c>
      <c r="N1314" t="s">
        <v>3343</v>
      </c>
      <c r="O1314" t="s">
        <v>3344</v>
      </c>
      <c r="P1314" t="s">
        <v>3345</v>
      </c>
      <c r="Q1314" t="s">
        <v>3346</v>
      </c>
      <c r="R1314" t="s">
        <v>6616</v>
      </c>
    </row>
    <row r="1315" spans="1:18" x14ac:dyDescent="0.2">
      <c r="A1315">
        <v>2806347</v>
      </c>
      <c r="B1315" t="s">
        <v>6617</v>
      </c>
      <c r="C1315">
        <v>1</v>
      </c>
      <c r="D1315">
        <v>2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 t="s">
        <v>3284</v>
      </c>
      <c r="M1315" t="s">
        <v>3296</v>
      </c>
      <c r="N1315" t="s">
        <v>3321</v>
      </c>
      <c r="O1315" t="s">
        <v>3322</v>
      </c>
      <c r="P1315" t="s">
        <v>3398</v>
      </c>
      <c r="Q1315" t="s">
        <v>3841</v>
      </c>
      <c r="R1315" t="s">
        <v>6618</v>
      </c>
    </row>
    <row r="1316" spans="1:18" x14ac:dyDescent="0.2">
      <c r="A1316">
        <v>2806263</v>
      </c>
      <c r="B1316" t="s">
        <v>6619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1</v>
      </c>
      <c r="J1316">
        <v>0</v>
      </c>
      <c r="K1316">
        <v>0</v>
      </c>
      <c r="L1316" t="s">
        <v>3284</v>
      </c>
      <c r="M1316" t="s">
        <v>3296</v>
      </c>
      <c r="N1316" t="s">
        <v>3321</v>
      </c>
      <c r="O1316" t="s">
        <v>5306</v>
      </c>
      <c r="P1316" t="s">
        <v>5307</v>
      </c>
      <c r="Q1316" t="s">
        <v>6620</v>
      </c>
      <c r="R1316" t="s">
        <v>6621</v>
      </c>
    </row>
    <row r="1317" spans="1:18" x14ac:dyDescent="0.2">
      <c r="A1317">
        <v>2806262</v>
      </c>
      <c r="B1317" t="s">
        <v>6622</v>
      </c>
      <c r="C1317">
        <v>0</v>
      </c>
      <c r="D1317">
        <v>1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 t="s">
        <v>3284</v>
      </c>
      <c r="M1317" t="s">
        <v>3296</v>
      </c>
      <c r="N1317" t="s">
        <v>3321</v>
      </c>
      <c r="O1317" t="s">
        <v>3322</v>
      </c>
      <c r="P1317" t="s">
        <v>3398</v>
      </c>
      <c r="Q1317" t="s">
        <v>3841</v>
      </c>
      <c r="R1317" t="s">
        <v>6623</v>
      </c>
    </row>
    <row r="1318" spans="1:18" x14ac:dyDescent="0.2">
      <c r="A1318">
        <v>2806102</v>
      </c>
      <c r="B1318" t="s">
        <v>6624</v>
      </c>
      <c r="C1318">
        <v>0</v>
      </c>
      <c r="D1318">
        <v>0</v>
      </c>
      <c r="E1318">
        <v>0</v>
      </c>
      <c r="F1318">
        <v>0</v>
      </c>
      <c r="G1318">
        <v>1</v>
      </c>
      <c r="H1318">
        <v>0</v>
      </c>
      <c r="I1318">
        <v>0</v>
      </c>
      <c r="J1318">
        <v>0</v>
      </c>
      <c r="K1318">
        <v>0</v>
      </c>
      <c r="L1318" t="s">
        <v>3284</v>
      </c>
      <c r="M1318" t="s">
        <v>3307</v>
      </c>
      <c r="N1318" t="s">
        <v>3308</v>
      </c>
      <c r="O1318" t="s">
        <v>3494</v>
      </c>
      <c r="P1318" t="s">
        <v>3495</v>
      </c>
      <c r="Q1318" t="s">
        <v>3496</v>
      </c>
      <c r="R1318" t="s">
        <v>6625</v>
      </c>
    </row>
    <row r="1319" spans="1:18" x14ac:dyDescent="0.2">
      <c r="A1319">
        <v>2805432</v>
      </c>
      <c r="B1319" t="s">
        <v>6626</v>
      </c>
      <c r="C1319">
        <v>0</v>
      </c>
      <c r="D1319">
        <v>0</v>
      </c>
      <c r="E1319">
        <v>0</v>
      </c>
      <c r="F1319">
        <v>1</v>
      </c>
      <c r="G1319">
        <v>0</v>
      </c>
      <c r="H1319">
        <v>0</v>
      </c>
      <c r="I1319">
        <v>0</v>
      </c>
      <c r="J1319">
        <v>0</v>
      </c>
      <c r="K1319">
        <v>0</v>
      </c>
      <c r="L1319" t="s">
        <v>3284</v>
      </c>
      <c r="M1319" t="s">
        <v>3296</v>
      </c>
      <c r="N1319" t="s">
        <v>3321</v>
      </c>
      <c r="O1319" t="s">
        <v>3322</v>
      </c>
      <c r="P1319" t="s">
        <v>3423</v>
      </c>
      <c r="Q1319" t="s">
        <v>4357</v>
      </c>
      <c r="R1319" t="s">
        <v>6627</v>
      </c>
    </row>
    <row r="1320" spans="1:18" x14ac:dyDescent="0.2">
      <c r="A1320">
        <v>2805397</v>
      </c>
      <c r="B1320" t="s">
        <v>6628</v>
      </c>
      <c r="C1320">
        <v>0</v>
      </c>
      <c r="D1320">
        <v>0</v>
      </c>
      <c r="E1320">
        <v>0</v>
      </c>
      <c r="F1320">
        <v>1</v>
      </c>
      <c r="G1320">
        <v>0</v>
      </c>
      <c r="H1320">
        <v>0</v>
      </c>
      <c r="I1320">
        <v>0</v>
      </c>
      <c r="J1320">
        <v>0</v>
      </c>
      <c r="K1320">
        <v>0</v>
      </c>
      <c r="L1320" t="s">
        <v>3284</v>
      </c>
      <c r="M1320" t="s">
        <v>3391</v>
      </c>
      <c r="N1320" t="s">
        <v>3392</v>
      </c>
      <c r="O1320" t="s">
        <v>3393</v>
      </c>
      <c r="P1320" t="s">
        <v>3394</v>
      </c>
      <c r="Q1320" t="s">
        <v>6629</v>
      </c>
      <c r="R1320" t="s">
        <v>6630</v>
      </c>
    </row>
    <row r="1321" spans="1:18" x14ac:dyDescent="0.2">
      <c r="A1321">
        <v>2804533</v>
      </c>
      <c r="B1321" t="s">
        <v>6631</v>
      </c>
      <c r="C1321">
        <v>0</v>
      </c>
      <c r="D1321">
        <v>0</v>
      </c>
      <c r="E1321">
        <v>0</v>
      </c>
      <c r="F1321">
        <v>1</v>
      </c>
      <c r="G1321">
        <v>0</v>
      </c>
      <c r="H1321">
        <v>0</v>
      </c>
      <c r="I1321">
        <v>0</v>
      </c>
      <c r="J1321">
        <v>0</v>
      </c>
      <c r="K1321">
        <v>0</v>
      </c>
      <c r="L1321" t="s">
        <v>3284</v>
      </c>
      <c r="M1321" t="s">
        <v>3296</v>
      </c>
      <c r="N1321" t="s">
        <v>3343</v>
      </c>
      <c r="O1321" t="s">
        <v>3429</v>
      </c>
      <c r="P1321" t="s">
        <v>3430</v>
      </c>
      <c r="Q1321" t="s">
        <v>6632</v>
      </c>
      <c r="R1321" t="s">
        <v>6633</v>
      </c>
    </row>
    <row r="1322" spans="1:18" x14ac:dyDescent="0.2">
      <c r="A1322">
        <v>2804532</v>
      </c>
      <c r="B1322" t="s">
        <v>6634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1</v>
      </c>
      <c r="J1322">
        <v>0</v>
      </c>
      <c r="K1322">
        <v>0</v>
      </c>
      <c r="L1322" t="s">
        <v>3284</v>
      </c>
      <c r="M1322" t="s">
        <v>3296</v>
      </c>
      <c r="N1322" t="s">
        <v>3343</v>
      </c>
      <c r="O1322" t="s">
        <v>3429</v>
      </c>
      <c r="P1322" t="s">
        <v>3430</v>
      </c>
      <c r="Q1322" t="s">
        <v>6632</v>
      </c>
      <c r="R1322" t="s">
        <v>6635</v>
      </c>
    </row>
    <row r="1323" spans="1:18" x14ac:dyDescent="0.2">
      <c r="A1323">
        <v>2804415</v>
      </c>
      <c r="B1323" t="s">
        <v>6636</v>
      </c>
      <c r="C1323">
        <v>2</v>
      </c>
      <c r="D1323">
        <v>5</v>
      </c>
      <c r="E1323">
        <v>30</v>
      </c>
      <c r="F1323">
        <v>2</v>
      </c>
      <c r="G1323">
        <v>8</v>
      </c>
      <c r="H1323">
        <v>28</v>
      </c>
      <c r="I1323">
        <v>9</v>
      </c>
      <c r="J1323">
        <v>11</v>
      </c>
      <c r="K1323">
        <v>79</v>
      </c>
      <c r="L1323" t="s">
        <v>3284</v>
      </c>
      <c r="M1323" t="s">
        <v>3327</v>
      </c>
      <c r="N1323" t="s">
        <v>3376</v>
      </c>
      <c r="O1323" t="s">
        <v>3377</v>
      </c>
      <c r="P1323" t="s">
        <v>4681</v>
      </c>
      <c r="Q1323" t="s">
        <v>4682</v>
      </c>
      <c r="R1323" t="s">
        <v>6637</v>
      </c>
    </row>
    <row r="1324" spans="1:18" x14ac:dyDescent="0.2">
      <c r="A1324">
        <v>2804028</v>
      </c>
      <c r="B1324" t="s">
        <v>6638</v>
      </c>
      <c r="C1324">
        <v>2</v>
      </c>
      <c r="D1324">
        <v>2</v>
      </c>
      <c r="E1324">
        <v>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 t="s">
        <v>3284</v>
      </c>
      <c r="M1324" t="s">
        <v>3327</v>
      </c>
      <c r="N1324" t="s">
        <v>3328</v>
      </c>
      <c r="O1324" t="s">
        <v>3329</v>
      </c>
      <c r="P1324" t="s">
        <v>3330</v>
      </c>
      <c r="Q1324" t="s">
        <v>4946</v>
      </c>
      <c r="R1324" t="s">
        <v>6639</v>
      </c>
    </row>
    <row r="1325" spans="1:18" x14ac:dyDescent="0.2">
      <c r="A1325">
        <v>2803939</v>
      </c>
      <c r="B1325" t="s">
        <v>6640</v>
      </c>
      <c r="C1325">
        <v>0</v>
      </c>
      <c r="D1325">
        <v>2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 t="s">
        <v>3284</v>
      </c>
      <c r="M1325" t="s">
        <v>3296</v>
      </c>
      <c r="N1325" t="s">
        <v>3343</v>
      </c>
      <c r="O1325" t="s">
        <v>3371</v>
      </c>
      <c r="P1325" t="s">
        <v>3688</v>
      </c>
      <c r="Q1325" t="s">
        <v>6641</v>
      </c>
      <c r="R1325" t="s">
        <v>6642</v>
      </c>
    </row>
    <row r="1326" spans="1:18" x14ac:dyDescent="0.2">
      <c r="A1326">
        <v>2803863</v>
      </c>
      <c r="B1326" t="s">
        <v>6643</v>
      </c>
      <c r="C1326">
        <v>0</v>
      </c>
      <c r="D1326">
        <v>2</v>
      </c>
      <c r="E1326">
        <v>1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 t="s">
        <v>3284</v>
      </c>
      <c r="M1326" t="s">
        <v>3327</v>
      </c>
      <c r="N1326" t="s">
        <v>3328</v>
      </c>
      <c r="O1326" t="s">
        <v>3329</v>
      </c>
      <c r="P1326" t="s">
        <v>3330</v>
      </c>
      <c r="Q1326" t="s">
        <v>3331</v>
      </c>
      <c r="R1326" t="s">
        <v>6644</v>
      </c>
    </row>
    <row r="1327" spans="1:18" x14ac:dyDescent="0.2">
      <c r="A1327">
        <v>2803861</v>
      </c>
      <c r="B1327" t="s">
        <v>6645</v>
      </c>
      <c r="C1327">
        <v>27</v>
      </c>
      <c r="D1327">
        <v>21</v>
      </c>
      <c r="E1327">
        <v>10</v>
      </c>
      <c r="F1327">
        <v>0</v>
      </c>
      <c r="G1327">
        <v>0</v>
      </c>
      <c r="H1327">
        <v>0</v>
      </c>
      <c r="I1327">
        <v>12</v>
      </c>
      <c r="J1327">
        <v>9</v>
      </c>
      <c r="K1327">
        <v>1</v>
      </c>
      <c r="L1327" t="s">
        <v>3284</v>
      </c>
      <c r="M1327" t="s">
        <v>3327</v>
      </c>
      <c r="N1327" t="s">
        <v>3328</v>
      </c>
      <c r="O1327" t="s">
        <v>3329</v>
      </c>
      <c r="P1327" t="s">
        <v>3330</v>
      </c>
      <c r="Q1327" t="s">
        <v>3331</v>
      </c>
      <c r="R1327" t="s">
        <v>6646</v>
      </c>
    </row>
    <row r="1328" spans="1:18" x14ac:dyDescent="0.2">
      <c r="A1328">
        <v>2803858</v>
      </c>
      <c r="B1328" t="s">
        <v>6647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1</v>
      </c>
      <c r="J1328">
        <v>2</v>
      </c>
      <c r="K1328">
        <v>0</v>
      </c>
      <c r="L1328" t="s">
        <v>3284</v>
      </c>
      <c r="M1328" t="s">
        <v>3307</v>
      </c>
      <c r="N1328" t="s">
        <v>3308</v>
      </c>
      <c r="O1328" t="s">
        <v>3309</v>
      </c>
      <c r="P1328" t="s">
        <v>3310</v>
      </c>
      <c r="Q1328" t="s">
        <v>3311</v>
      </c>
      <c r="R1328" t="s">
        <v>6648</v>
      </c>
    </row>
    <row r="1329" spans="1:18" x14ac:dyDescent="0.2">
      <c r="A1329">
        <v>2803775</v>
      </c>
      <c r="B1329" t="s">
        <v>6649</v>
      </c>
      <c r="C1329">
        <v>3</v>
      </c>
      <c r="D1329">
        <v>1</v>
      </c>
      <c r="E1329">
        <v>1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 t="s">
        <v>3284</v>
      </c>
      <c r="M1329" t="s">
        <v>3391</v>
      </c>
      <c r="N1329" t="s">
        <v>3392</v>
      </c>
      <c r="O1329" t="s">
        <v>3393</v>
      </c>
      <c r="P1329" t="s">
        <v>3394</v>
      </c>
      <c r="Q1329" t="s">
        <v>4351</v>
      </c>
      <c r="R1329" t="s">
        <v>6650</v>
      </c>
    </row>
    <row r="1330" spans="1:18" x14ac:dyDescent="0.2">
      <c r="A1330">
        <v>2802396</v>
      </c>
      <c r="B1330" t="s">
        <v>6651</v>
      </c>
      <c r="C1330">
        <v>0</v>
      </c>
      <c r="D1330">
        <v>0</v>
      </c>
      <c r="E1330">
        <v>0</v>
      </c>
      <c r="F1330">
        <v>0</v>
      </c>
      <c r="G1330">
        <v>1</v>
      </c>
      <c r="H1330">
        <v>0</v>
      </c>
      <c r="I1330">
        <v>0</v>
      </c>
      <c r="J1330">
        <v>0</v>
      </c>
      <c r="K1330">
        <v>0</v>
      </c>
      <c r="L1330" t="s">
        <v>3284</v>
      </c>
      <c r="M1330" t="s">
        <v>3296</v>
      </c>
      <c r="N1330" t="s">
        <v>3343</v>
      </c>
      <c r="O1330" t="s">
        <v>3429</v>
      </c>
      <c r="P1330" t="s">
        <v>6652</v>
      </c>
      <c r="Q1330" t="s">
        <v>6653</v>
      </c>
      <c r="R1330" t="s">
        <v>6654</v>
      </c>
    </row>
    <row r="1331" spans="1:18" x14ac:dyDescent="0.2">
      <c r="A1331">
        <v>2802287</v>
      </c>
      <c r="B1331" t="s">
        <v>6655</v>
      </c>
      <c r="C1331">
        <v>0</v>
      </c>
      <c r="D1331">
        <v>0</v>
      </c>
      <c r="E1331">
        <v>0</v>
      </c>
      <c r="F1331">
        <v>1</v>
      </c>
      <c r="G1331">
        <v>2</v>
      </c>
      <c r="H1331">
        <v>3</v>
      </c>
      <c r="I1331">
        <v>0</v>
      </c>
      <c r="J1331">
        <v>0</v>
      </c>
      <c r="K1331">
        <v>0</v>
      </c>
      <c r="L1331" t="s">
        <v>3284</v>
      </c>
      <c r="M1331" t="s">
        <v>3296</v>
      </c>
      <c r="N1331" t="s">
        <v>3343</v>
      </c>
      <c r="O1331" t="s">
        <v>3344</v>
      </c>
      <c r="P1331" t="s">
        <v>3355</v>
      </c>
      <c r="Q1331" t="s">
        <v>3356</v>
      </c>
      <c r="R1331" t="s">
        <v>6656</v>
      </c>
    </row>
    <row r="1332" spans="1:18" x14ac:dyDescent="0.2">
      <c r="A1332">
        <v>2801340</v>
      </c>
      <c r="B1332" t="s">
        <v>6657</v>
      </c>
      <c r="C1332">
        <v>0</v>
      </c>
      <c r="D1332">
        <v>0</v>
      </c>
      <c r="E1332">
        <v>0</v>
      </c>
      <c r="F1332">
        <v>1</v>
      </c>
      <c r="G1332">
        <v>1</v>
      </c>
      <c r="H1332">
        <v>0</v>
      </c>
      <c r="I1332">
        <v>0</v>
      </c>
      <c r="J1332">
        <v>0</v>
      </c>
      <c r="K1332">
        <v>0</v>
      </c>
      <c r="L1332" t="s">
        <v>3284</v>
      </c>
      <c r="M1332" t="s">
        <v>3296</v>
      </c>
      <c r="N1332" t="s">
        <v>3343</v>
      </c>
      <c r="O1332" t="s">
        <v>3344</v>
      </c>
      <c r="P1332" t="s">
        <v>3355</v>
      </c>
      <c r="Q1332" t="s">
        <v>3356</v>
      </c>
      <c r="R1332" t="s">
        <v>6658</v>
      </c>
    </row>
    <row r="1333" spans="1:18" x14ac:dyDescent="0.2">
      <c r="A1333">
        <v>2801336</v>
      </c>
      <c r="B1333" t="s">
        <v>6659</v>
      </c>
      <c r="C1333">
        <v>0</v>
      </c>
      <c r="D1333">
        <v>0</v>
      </c>
      <c r="E1333">
        <v>0</v>
      </c>
      <c r="F1333">
        <v>3</v>
      </c>
      <c r="G1333">
        <v>1</v>
      </c>
      <c r="H1333">
        <v>0</v>
      </c>
      <c r="I1333">
        <v>0</v>
      </c>
      <c r="J1333">
        <v>0</v>
      </c>
      <c r="K1333">
        <v>0</v>
      </c>
      <c r="L1333" t="s">
        <v>3284</v>
      </c>
      <c r="M1333" t="s">
        <v>3391</v>
      </c>
      <c r="N1333" t="s">
        <v>3411</v>
      </c>
      <c r="O1333" t="s">
        <v>3412</v>
      </c>
      <c r="P1333" t="s">
        <v>3413</v>
      </c>
      <c r="Q1333" t="s">
        <v>3414</v>
      </c>
      <c r="R1333" t="s">
        <v>6660</v>
      </c>
    </row>
    <row r="1334" spans="1:18" x14ac:dyDescent="0.2">
      <c r="A1334">
        <v>2801334</v>
      </c>
      <c r="B1334" t="s">
        <v>6661</v>
      </c>
      <c r="C1334">
        <v>0</v>
      </c>
      <c r="D1334">
        <v>1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 t="s">
        <v>3284</v>
      </c>
      <c r="M1334" t="s">
        <v>3391</v>
      </c>
      <c r="N1334" t="s">
        <v>3411</v>
      </c>
      <c r="O1334" t="s">
        <v>3412</v>
      </c>
      <c r="P1334" t="s">
        <v>3564</v>
      </c>
      <c r="Q1334" t="s">
        <v>3803</v>
      </c>
      <c r="R1334" t="s">
        <v>6662</v>
      </c>
    </row>
    <row r="1335" spans="1:18" x14ac:dyDescent="0.2">
      <c r="A1335">
        <v>2801332</v>
      </c>
      <c r="B1335" t="s">
        <v>6663</v>
      </c>
      <c r="C1335">
        <v>0</v>
      </c>
      <c r="D1335">
        <v>1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 t="s">
        <v>3284</v>
      </c>
      <c r="M1335" t="s">
        <v>3296</v>
      </c>
      <c r="N1335" t="s">
        <v>3321</v>
      </c>
      <c r="O1335" t="s">
        <v>3322</v>
      </c>
      <c r="P1335" t="s">
        <v>3671</v>
      </c>
      <c r="Q1335" t="s">
        <v>6664</v>
      </c>
      <c r="R1335" t="s">
        <v>6665</v>
      </c>
    </row>
    <row r="1336" spans="1:18" x14ac:dyDescent="0.2">
      <c r="A1336">
        <v>2801330</v>
      </c>
      <c r="B1336" t="s">
        <v>6666</v>
      </c>
      <c r="C1336">
        <v>0</v>
      </c>
      <c r="D1336">
        <v>1</v>
      </c>
      <c r="E1336">
        <v>0</v>
      </c>
      <c r="F1336">
        <v>1</v>
      </c>
      <c r="G1336">
        <v>0</v>
      </c>
      <c r="H1336">
        <v>0</v>
      </c>
      <c r="I1336">
        <v>0</v>
      </c>
      <c r="J1336">
        <v>0</v>
      </c>
      <c r="K1336">
        <v>0</v>
      </c>
      <c r="L1336" t="s">
        <v>3284</v>
      </c>
      <c r="M1336" t="s">
        <v>3296</v>
      </c>
      <c r="N1336" t="s">
        <v>3321</v>
      </c>
      <c r="O1336" t="s">
        <v>3322</v>
      </c>
      <c r="P1336" t="s">
        <v>3398</v>
      </c>
      <c r="Q1336" t="s">
        <v>3696</v>
      </c>
      <c r="R1336" t="s">
        <v>6667</v>
      </c>
    </row>
    <row r="1337" spans="1:18" x14ac:dyDescent="0.2">
      <c r="A1337">
        <v>2800818</v>
      </c>
      <c r="B1337" t="s">
        <v>6668</v>
      </c>
      <c r="C1337">
        <v>0</v>
      </c>
      <c r="D1337">
        <v>0</v>
      </c>
      <c r="E1337">
        <v>0</v>
      </c>
      <c r="F1337">
        <v>3</v>
      </c>
      <c r="G1337">
        <v>0</v>
      </c>
      <c r="H1337">
        <v>0</v>
      </c>
      <c r="I1337">
        <v>0</v>
      </c>
      <c r="J1337">
        <v>0</v>
      </c>
      <c r="K1337">
        <v>0</v>
      </c>
      <c r="L1337" t="s">
        <v>3284</v>
      </c>
      <c r="M1337" t="s">
        <v>3296</v>
      </c>
      <c r="N1337" t="s">
        <v>3343</v>
      </c>
      <c r="O1337" t="s">
        <v>3402</v>
      </c>
      <c r="P1337" t="s">
        <v>3403</v>
      </c>
      <c r="Q1337" t="s">
        <v>3536</v>
      </c>
      <c r="R1337" t="s">
        <v>6669</v>
      </c>
    </row>
    <row r="1338" spans="1:18" x14ac:dyDescent="0.2">
      <c r="A1338">
        <v>2800419</v>
      </c>
      <c r="B1338" t="s">
        <v>6670</v>
      </c>
      <c r="C1338">
        <v>0</v>
      </c>
      <c r="D1338">
        <v>1</v>
      </c>
      <c r="E1338">
        <v>1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 t="s">
        <v>3284</v>
      </c>
      <c r="M1338" t="s">
        <v>3327</v>
      </c>
      <c r="N1338" t="s">
        <v>3376</v>
      </c>
      <c r="O1338" t="s">
        <v>3377</v>
      </c>
      <c r="P1338" t="s">
        <v>3378</v>
      </c>
      <c r="Q1338" t="s">
        <v>5755</v>
      </c>
      <c r="R1338" t="s">
        <v>6671</v>
      </c>
    </row>
    <row r="1339" spans="1:18" x14ac:dyDescent="0.2">
      <c r="A1339">
        <v>2800325</v>
      </c>
      <c r="B1339" t="s">
        <v>6672</v>
      </c>
      <c r="C1339">
        <v>7</v>
      </c>
      <c r="D1339">
        <v>5</v>
      </c>
      <c r="E1339">
        <v>3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 t="s">
        <v>3284</v>
      </c>
      <c r="M1339" t="s">
        <v>3327</v>
      </c>
      <c r="N1339" t="s">
        <v>3328</v>
      </c>
      <c r="O1339" t="s">
        <v>3329</v>
      </c>
      <c r="P1339" t="s">
        <v>3330</v>
      </c>
      <c r="Q1339" t="s">
        <v>3331</v>
      </c>
      <c r="R1339" t="s">
        <v>6673</v>
      </c>
    </row>
    <row r="1340" spans="1:18" x14ac:dyDescent="0.2">
      <c r="A1340">
        <v>2799498</v>
      </c>
      <c r="B1340" t="s">
        <v>6674</v>
      </c>
      <c r="C1340">
        <v>0</v>
      </c>
      <c r="D1340">
        <v>1</v>
      </c>
      <c r="E1340">
        <v>0</v>
      </c>
      <c r="F1340">
        <v>0</v>
      </c>
      <c r="G1340">
        <v>0</v>
      </c>
      <c r="H1340">
        <v>0</v>
      </c>
      <c r="I1340">
        <v>1</v>
      </c>
      <c r="J1340">
        <v>0</v>
      </c>
      <c r="K1340">
        <v>0</v>
      </c>
      <c r="L1340" t="s">
        <v>3284</v>
      </c>
      <c r="M1340" t="s">
        <v>3307</v>
      </c>
      <c r="N1340" t="s">
        <v>3308</v>
      </c>
      <c r="O1340" t="s">
        <v>3635</v>
      </c>
      <c r="P1340" t="s">
        <v>3636</v>
      </c>
      <c r="Q1340" t="s">
        <v>6675</v>
      </c>
      <c r="R1340" t="s">
        <v>6676</v>
      </c>
    </row>
    <row r="1341" spans="1:18" x14ac:dyDescent="0.2">
      <c r="A1341">
        <v>2798841</v>
      </c>
      <c r="B1341" t="s">
        <v>6677</v>
      </c>
      <c r="C1341">
        <v>0</v>
      </c>
      <c r="D1341">
        <v>0</v>
      </c>
      <c r="E1341">
        <v>1</v>
      </c>
      <c r="F1341">
        <v>0</v>
      </c>
      <c r="G1341">
        <v>0</v>
      </c>
      <c r="H1341">
        <v>0</v>
      </c>
      <c r="I1341">
        <v>0</v>
      </c>
      <c r="J1341">
        <v>1</v>
      </c>
      <c r="K1341">
        <v>0</v>
      </c>
      <c r="L1341" t="s">
        <v>3284</v>
      </c>
      <c r="M1341" t="s">
        <v>4022</v>
      </c>
      <c r="N1341" t="s">
        <v>4023</v>
      </c>
      <c r="O1341" t="s">
        <v>6292</v>
      </c>
      <c r="P1341" t="s">
        <v>6293</v>
      </c>
      <c r="Q1341" t="s">
        <v>6294</v>
      </c>
      <c r="R1341" t="s">
        <v>6678</v>
      </c>
    </row>
    <row r="1342" spans="1:18" x14ac:dyDescent="0.2">
      <c r="A1342">
        <v>2798804</v>
      </c>
      <c r="B1342" t="s">
        <v>6679</v>
      </c>
      <c r="C1342">
        <v>1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 t="s">
        <v>3284</v>
      </c>
      <c r="M1342" t="s">
        <v>3296</v>
      </c>
      <c r="N1342" t="s">
        <v>3321</v>
      </c>
      <c r="O1342" t="s">
        <v>3322</v>
      </c>
      <c r="P1342" t="s">
        <v>3398</v>
      </c>
      <c r="Q1342" t="s">
        <v>3788</v>
      </c>
      <c r="R1342" t="s">
        <v>6680</v>
      </c>
    </row>
    <row r="1343" spans="1:18" x14ac:dyDescent="0.2">
      <c r="A1343">
        <v>2798577</v>
      </c>
      <c r="B1343" t="s">
        <v>6681</v>
      </c>
      <c r="C1343">
        <v>1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 t="s">
        <v>3284</v>
      </c>
      <c r="M1343" t="s">
        <v>6546</v>
      </c>
      <c r="N1343" t="s">
        <v>6547</v>
      </c>
      <c r="O1343" t="s">
        <v>6548</v>
      </c>
      <c r="P1343" t="s">
        <v>6682</v>
      </c>
      <c r="Q1343" t="s">
        <v>6683</v>
      </c>
      <c r="R1343" t="s">
        <v>6684</v>
      </c>
    </row>
    <row r="1344" spans="1:18" x14ac:dyDescent="0.2">
      <c r="A1344">
        <v>2796471</v>
      </c>
      <c r="B1344" t="s">
        <v>6685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1</v>
      </c>
      <c r="J1344">
        <v>1</v>
      </c>
      <c r="K1344">
        <v>0</v>
      </c>
      <c r="L1344" t="s">
        <v>3284</v>
      </c>
      <c r="M1344" t="s">
        <v>3307</v>
      </c>
      <c r="N1344" t="s">
        <v>3308</v>
      </c>
      <c r="O1344" t="s">
        <v>3359</v>
      </c>
      <c r="P1344" t="s">
        <v>3360</v>
      </c>
      <c r="Q1344" t="s">
        <v>5690</v>
      </c>
      <c r="R1344" t="s">
        <v>6686</v>
      </c>
    </row>
    <row r="1345" spans="1:18" x14ac:dyDescent="0.2">
      <c r="A1345">
        <v>2796465</v>
      </c>
      <c r="B1345" t="s">
        <v>6687</v>
      </c>
      <c r="C1345">
        <v>0</v>
      </c>
      <c r="D1345">
        <v>0</v>
      </c>
      <c r="E1345">
        <v>0</v>
      </c>
      <c r="F1345">
        <v>1</v>
      </c>
      <c r="G1345">
        <v>0</v>
      </c>
      <c r="H1345">
        <v>0</v>
      </c>
      <c r="I1345">
        <v>0</v>
      </c>
      <c r="J1345">
        <v>0</v>
      </c>
      <c r="K1345">
        <v>0</v>
      </c>
      <c r="L1345" t="s">
        <v>3284</v>
      </c>
      <c r="M1345" t="s">
        <v>3307</v>
      </c>
      <c r="N1345" t="s">
        <v>3308</v>
      </c>
      <c r="O1345" t="s">
        <v>3446</v>
      </c>
      <c r="P1345" t="s">
        <v>3447</v>
      </c>
      <c r="Q1345" t="s">
        <v>3448</v>
      </c>
      <c r="R1345" t="s">
        <v>6688</v>
      </c>
    </row>
    <row r="1346" spans="1:18" x14ac:dyDescent="0.2">
      <c r="A1346">
        <v>2796383</v>
      </c>
      <c r="B1346" t="s">
        <v>6689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1</v>
      </c>
      <c r="J1346">
        <v>0</v>
      </c>
      <c r="K1346">
        <v>0</v>
      </c>
      <c r="L1346" t="s">
        <v>3284</v>
      </c>
      <c r="M1346" t="s">
        <v>3327</v>
      </c>
      <c r="N1346" t="s">
        <v>3376</v>
      </c>
      <c r="O1346" t="s">
        <v>3377</v>
      </c>
      <c r="P1346" t="s">
        <v>3378</v>
      </c>
      <c r="Q1346" t="s">
        <v>3379</v>
      </c>
      <c r="R1346" t="s">
        <v>6690</v>
      </c>
    </row>
    <row r="1347" spans="1:18" x14ac:dyDescent="0.2">
      <c r="A1347">
        <v>2796366</v>
      </c>
      <c r="B1347" t="s">
        <v>6691</v>
      </c>
      <c r="C1347">
        <v>1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 t="s">
        <v>3284</v>
      </c>
      <c r="M1347" t="s">
        <v>3296</v>
      </c>
      <c r="N1347" t="s">
        <v>3321</v>
      </c>
      <c r="O1347" t="s">
        <v>3322</v>
      </c>
      <c r="P1347" t="s">
        <v>3398</v>
      </c>
      <c r="Q1347" t="s">
        <v>3806</v>
      </c>
      <c r="R1347" t="s">
        <v>6692</v>
      </c>
    </row>
    <row r="1348" spans="1:18" x14ac:dyDescent="0.2">
      <c r="A1348">
        <v>2795732</v>
      </c>
      <c r="B1348" t="s">
        <v>6693</v>
      </c>
      <c r="C1348">
        <v>1</v>
      </c>
      <c r="D1348">
        <v>1</v>
      </c>
      <c r="E1348">
        <v>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 t="s">
        <v>3284</v>
      </c>
      <c r="M1348" t="s">
        <v>3296</v>
      </c>
      <c r="N1348" t="s">
        <v>3321</v>
      </c>
      <c r="O1348" t="s">
        <v>3322</v>
      </c>
      <c r="P1348" t="s">
        <v>3398</v>
      </c>
      <c r="Q1348" t="s">
        <v>3806</v>
      </c>
      <c r="R1348" t="s">
        <v>6694</v>
      </c>
    </row>
    <row r="1349" spans="1:18" x14ac:dyDescent="0.2">
      <c r="A1349">
        <v>2795690</v>
      </c>
      <c r="B1349" t="s">
        <v>6695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2</v>
      </c>
      <c r="J1349">
        <v>2</v>
      </c>
      <c r="K1349">
        <v>0</v>
      </c>
      <c r="L1349" t="s">
        <v>3284</v>
      </c>
      <c r="M1349" t="s">
        <v>3296</v>
      </c>
      <c r="N1349" t="s">
        <v>3343</v>
      </c>
      <c r="O1349" t="s">
        <v>3344</v>
      </c>
      <c r="P1349" t="s">
        <v>3387</v>
      </c>
      <c r="Q1349" t="s">
        <v>3388</v>
      </c>
      <c r="R1349" t="s">
        <v>6696</v>
      </c>
    </row>
    <row r="1350" spans="1:18" x14ac:dyDescent="0.2">
      <c r="A1350">
        <v>2795389</v>
      </c>
      <c r="B1350" t="s">
        <v>6697</v>
      </c>
      <c r="C1350">
        <v>0</v>
      </c>
      <c r="D1350">
        <v>1</v>
      </c>
      <c r="E1350">
        <v>0</v>
      </c>
      <c r="F1350">
        <v>0</v>
      </c>
      <c r="G1350">
        <v>1</v>
      </c>
      <c r="H1350">
        <v>0</v>
      </c>
      <c r="I1350">
        <v>0</v>
      </c>
      <c r="J1350">
        <v>0</v>
      </c>
      <c r="K1350">
        <v>0</v>
      </c>
      <c r="L1350" t="s">
        <v>3284</v>
      </c>
      <c r="M1350" t="s">
        <v>3296</v>
      </c>
      <c r="N1350" t="s">
        <v>3321</v>
      </c>
      <c r="O1350" t="s">
        <v>4147</v>
      </c>
      <c r="P1350" t="s">
        <v>4148</v>
      </c>
      <c r="Q1350" t="s">
        <v>6698</v>
      </c>
      <c r="R1350" t="s">
        <v>6699</v>
      </c>
    </row>
    <row r="1351" spans="1:18" x14ac:dyDescent="0.2">
      <c r="A1351">
        <v>2795218</v>
      </c>
      <c r="B1351" t="s">
        <v>6700</v>
      </c>
      <c r="C1351">
        <v>0</v>
      </c>
      <c r="D1351">
        <v>1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 t="s">
        <v>3284</v>
      </c>
      <c r="M1351" t="s">
        <v>3327</v>
      </c>
      <c r="N1351" t="s">
        <v>3376</v>
      </c>
      <c r="O1351" t="s">
        <v>3377</v>
      </c>
      <c r="P1351" t="s">
        <v>3378</v>
      </c>
      <c r="Q1351" t="s">
        <v>6184</v>
      </c>
      <c r="R1351" t="s">
        <v>6701</v>
      </c>
    </row>
    <row r="1352" spans="1:18" x14ac:dyDescent="0.2">
      <c r="A1352">
        <v>2795129</v>
      </c>
      <c r="B1352" t="s">
        <v>6702</v>
      </c>
      <c r="C1352">
        <v>1</v>
      </c>
      <c r="D1352">
        <v>0</v>
      </c>
      <c r="E1352">
        <v>0</v>
      </c>
      <c r="F1352">
        <v>1</v>
      </c>
      <c r="G1352">
        <v>2</v>
      </c>
      <c r="H1352">
        <v>0</v>
      </c>
      <c r="I1352">
        <v>0</v>
      </c>
      <c r="J1352">
        <v>0</v>
      </c>
      <c r="K1352">
        <v>0</v>
      </c>
      <c r="L1352" t="s">
        <v>3284</v>
      </c>
      <c r="M1352" t="s">
        <v>3296</v>
      </c>
      <c r="N1352" t="s">
        <v>3321</v>
      </c>
      <c r="O1352" t="s">
        <v>3322</v>
      </c>
      <c r="P1352" t="s">
        <v>3271</v>
      </c>
      <c r="Q1352" t="s">
        <v>4474</v>
      </c>
      <c r="R1352" t="s">
        <v>6703</v>
      </c>
    </row>
    <row r="1353" spans="1:18" x14ac:dyDescent="0.2">
      <c r="A1353">
        <v>2795127</v>
      </c>
      <c r="B1353" t="s">
        <v>6704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2</v>
      </c>
      <c r="J1353">
        <v>1</v>
      </c>
      <c r="K1353">
        <v>0</v>
      </c>
      <c r="L1353" t="s">
        <v>3284</v>
      </c>
      <c r="M1353" t="s">
        <v>3296</v>
      </c>
      <c r="N1353" t="s">
        <v>3297</v>
      </c>
      <c r="O1353" t="s">
        <v>3298</v>
      </c>
      <c r="P1353" t="s">
        <v>3299</v>
      </c>
      <c r="Q1353" t="s">
        <v>3300</v>
      </c>
      <c r="R1353" t="s">
        <v>6705</v>
      </c>
    </row>
    <row r="1354" spans="1:18" x14ac:dyDescent="0.2">
      <c r="A1354">
        <v>2795123</v>
      </c>
      <c r="B1354" t="s">
        <v>6706</v>
      </c>
      <c r="C1354">
        <v>1</v>
      </c>
      <c r="D1354">
        <v>1</v>
      </c>
      <c r="E1354">
        <v>0</v>
      </c>
      <c r="F1354">
        <v>0</v>
      </c>
      <c r="G1354">
        <v>2</v>
      </c>
      <c r="H1354">
        <v>0</v>
      </c>
      <c r="I1354">
        <v>1</v>
      </c>
      <c r="J1354">
        <v>0</v>
      </c>
      <c r="K1354">
        <v>0</v>
      </c>
      <c r="L1354" t="s">
        <v>3284</v>
      </c>
      <c r="M1354" t="s">
        <v>3391</v>
      </c>
      <c r="N1354" t="s">
        <v>3392</v>
      </c>
      <c r="O1354" t="s">
        <v>3393</v>
      </c>
      <c r="P1354" t="s">
        <v>3394</v>
      </c>
      <c r="Q1354" t="s">
        <v>3395</v>
      </c>
      <c r="R1354" t="s">
        <v>6707</v>
      </c>
    </row>
    <row r="1355" spans="1:18" x14ac:dyDescent="0.2">
      <c r="A1355">
        <v>2795120</v>
      </c>
      <c r="B1355" t="s">
        <v>6708</v>
      </c>
      <c r="C1355">
        <v>0</v>
      </c>
      <c r="D1355">
        <v>0</v>
      </c>
      <c r="E1355">
        <v>0</v>
      </c>
      <c r="F1355">
        <v>1</v>
      </c>
      <c r="G1355">
        <v>0</v>
      </c>
      <c r="H1355">
        <v>0</v>
      </c>
      <c r="I1355">
        <v>1</v>
      </c>
      <c r="J1355">
        <v>1</v>
      </c>
      <c r="K1355">
        <v>0</v>
      </c>
      <c r="L1355" t="s">
        <v>3284</v>
      </c>
      <c r="M1355" t="s">
        <v>3391</v>
      </c>
      <c r="N1355" t="s">
        <v>3392</v>
      </c>
      <c r="O1355" t="s">
        <v>3393</v>
      </c>
      <c r="P1355" t="s">
        <v>3394</v>
      </c>
      <c r="Q1355" t="s">
        <v>3395</v>
      </c>
      <c r="R1355" t="s">
        <v>6709</v>
      </c>
    </row>
    <row r="1356" spans="1:18" x14ac:dyDescent="0.2">
      <c r="A1356">
        <v>2795113</v>
      </c>
      <c r="B1356" t="s">
        <v>6710</v>
      </c>
      <c r="C1356">
        <v>0</v>
      </c>
      <c r="D1356">
        <v>0</v>
      </c>
      <c r="E1356">
        <v>0</v>
      </c>
      <c r="F1356">
        <v>7</v>
      </c>
      <c r="G1356">
        <v>2</v>
      </c>
      <c r="H1356">
        <v>3</v>
      </c>
      <c r="I1356">
        <v>10</v>
      </c>
      <c r="J1356">
        <v>2</v>
      </c>
      <c r="K1356">
        <v>12</v>
      </c>
      <c r="L1356" t="s">
        <v>3284</v>
      </c>
      <c r="M1356" t="s">
        <v>3296</v>
      </c>
      <c r="N1356" t="s">
        <v>3321</v>
      </c>
      <c r="O1356" t="s">
        <v>3322</v>
      </c>
      <c r="P1356" t="s">
        <v>3398</v>
      </c>
      <c r="Q1356" t="s">
        <v>3439</v>
      </c>
      <c r="R1356" t="s">
        <v>6711</v>
      </c>
    </row>
    <row r="1357" spans="1:18" x14ac:dyDescent="0.2">
      <c r="A1357">
        <v>2795106</v>
      </c>
      <c r="B1357" t="s">
        <v>6712</v>
      </c>
      <c r="C1357">
        <v>0</v>
      </c>
      <c r="D1357">
        <v>0</v>
      </c>
      <c r="E1357">
        <v>0</v>
      </c>
      <c r="F1357">
        <v>45</v>
      </c>
      <c r="G1357">
        <v>22</v>
      </c>
      <c r="H1357">
        <v>3</v>
      </c>
      <c r="I1357">
        <v>80</v>
      </c>
      <c r="J1357">
        <v>25</v>
      </c>
      <c r="K1357">
        <v>15</v>
      </c>
      <c r="L1357" t="s">
        <v>3284</v>
      </c>
      <c r="M1357" t="s">
        <v>3296</v>
      </c>
      <c r="N1357" t="s">
        <v>3343</v>
      </c>
      <c r="O1357" t="s">
        <v>3344</v>
      </c>
      <c r="P1357" t="s">
        <v>3367</v>
      </c>
      <c r="Q1357" t="s">
        <v>3368</v>
      </c>
      <c r="R1357" t="s">
        <v>6713</v>
      </c>
    </row>
    <row r="1358" spans="1:18" x14ac:dyDescent="0.2">
      <c r="A1358">
        <v>2795030</v>
      </c>
      <c r="B1358" t="s">
        <v>6714</v>
      </c>
      <c r="C1358">
        <v>0</v>
      </c>
      <c r="D1358">
        <v>1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 t="s">
        <v>3284</v>
      </c>
      <c r="M1358" t="s">
        <v>3296</v>
      </c>
      <c r="N1358" t="s">
        <v>3321</v>
      </c>
      <c r="O1358" t="s">
        <v>3322</v>
      </c>
      <c r="P1358" t="s">
        <v>3671</v>
      </c>
      <c r="Q1358" t="s">
        <v>6715</v>
      </c>
      <c r="R1358" t="s">
        <v>6716</v>
      </c>
    </row>
    <row r="1359" spans="1:18" x14ac:dyDescent="0.2">
      <c r="A1359">
        <v>2795000</v>
      </c>
      <c r="B1359" t="s">
        <v>6717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1</v>
      </c>
      <c r="J1359">
        <v>1</v>
      </c>
      <c r="K1359">
        <v>0</v>
      </c>
      <c r="L1359" t="s">
        <v>3284</v>
      </c>
      <c r="M1359" t="s">
        <v>6718</v>
      </c>
      <c r="N1359" t="s">
        <v>6719</v>
      </c>
      <c r="O1359" t="s">
        <v>6720</v>
      </c>
      <c r="P1359" t="s">
        <v>6721</v>
      </c>
      <c r="Q1359" t="s">
        <v>6722</v>
      </c>
      <c r="R1359" t="s">
        <v>6723</v>
      </c>
    </row>
    <row r="1360" spans="1:18" x14ac:dyDescent="0.2">
      <c r="A1360">
        <v>2794934</v>
      </c>
      <c r="B1360" t="s">
        <v>6724</v>
      </c>
      <c r="C1360">
        <v>1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 t="s">
        <v>3284</v>
      </c>
      <c r="M1360" t="s">
        <v>3271</v>
      </c>
      <c r="N1360" t="s">
        <v>3271</v>
      </c>
      <c r="O1360" t="s">
        <v>3271</v>
      </c>
      <c r="P1360" t="s">
        <v>3271</v>
      </c>
      <c r="Q1360" t="s">
        <v>3271</v>
      </c>
      <c r="R1360" t="s">
        <v>6725</v>
      </c>
    </row>
    <row r="1361" spans="1:18" x14ac:dyDescent="0.2">
      <c r="A1361">
        <v>2794587</v>
      </c>
      <c r="B1361" t="s">
        <v>6726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2</v>
      </c>
      <c r="J1361">
        <v>2</v>
      </c>
      <c r="K1361">
        <v>0</v>
      </c>
      <c r="L1361" t="s">
        <v>3284</v>
      </c>
      <c r="M1361" t="s">
        <v>3327</v>
      </c>
      <c r="N1361" t="s">
        <v>3376</v>
      </c>
      <c r="O1361" t="s">
        <v>3377</v>
      </c>
      <c r="P1361" t="s">
        <v>3378</v>
      </c>
      <c r="Q1361" t="s">
        <v>3379</v>
      </c>
      <c r="R1361" t="s">
        <v>6727</v>
      </c>
    </row>
    <row r="1362" spans="1:18" x14ac:dyDescent="0.2">
      <c r="A1362">
        <v>2794585</v>
      </c>
      <c r="B1362" t="s">
        <v>6728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1</v>
      </c>
      <c r="L1362" t="s">
        <v>3284</v>
      </c>
      <c r="M1362" t="s">
        <v>3327</v>
      </c>
      <c r="N1362" t="s">
        <v>3376</v>
      </c>
      <c r="O1362" t="s">
        <v>3377</v>
      </c>
      <c r="P1362" t="s">
        <v>3378</v>
      </c>
      <c r="Q1362" t="s">
        <v>3379</v>
      </c>
      <c r="R1362" t="s">
        <v>6729</v>
      </c>
    </row>
    <row r="1363" spans="1:18" x14ac:dyDescent="0.2">
      <c r="A1363">
        <v>2794351</v>
      </c>
      <c r="B1363" t="s">
        <v>6730</v>
      </c>
      <c r="C1363">
        <v>0</v>
      </c>
      <c r="D1363">
        <v>0</v>
      </c>
      <c r="E1363">
        <v>0</v>
      </c>
      <c r="F1363">
        <v>1</v>
      </c>
      <c r="G1363">
        <v>0</v>
      </c>
      <c r="H1363">
        <v>0</v>
      </c>
      <c r="I1363">
        <v>0</v>
      </c>
      <c r="J1363">
        <v>0</v>
      </c>
      <c r="K1363">
        <v>0</v>
      </c>
      <c r="L1363" t="s">
        <v>3284</v>
      </c>
      <c r="M1363" t="s">
        <v>3296</v>
      </c>
      <c r="N1363" t="s">
        <v>3297</v>
      </c>
      <c r="O1363" t="s">
        <v>3434</v>
      </c>
      <c r="P1363" t="s">
        <v>3435</v>
      </c>
      <c r="Q1363" t="s">
        <v>3436</v>
      </c>
      <c r="R1363" t="s">
        <v>6731</v>
      </c>
    </row>
    <row r="1364" spans="1:18" x14ac:dyDescent="0.2">
      <c r="A1364">
        <v>2794346</v>
      </c>
      <c r="B1364" t="s">
        <v>6732</v>
      </c>
      <c r="C1364">
        <v>14</v>
      </c>
      <c r="D1364">
        <v>7</v>
      </c>
      <c r="E1364">
        <v>8</v>
      </c>
      <c r="F1364">
        <v>0</v>
      </c>
      <c r="G1364">
        <v>0</v>
      </c>
      <c r="H1364">
        <v>0</v>
      </c>
      <c r="I1364">
        <v>1</v>
      </c>
      <c r="J1364">
        <v>0</v>
      </c>
      <c r="K1364">
        <v>0</v>
      </c>
      <c r="L1364" t="s">
        <v>3284</v>
      </c>
      <c r="M1364" t="s">
        <v>3327</v>
      </c>
      <c r="N1364" t="s">
        <v>3328</v>
      </c>
      <c r="O1364" t="s">
        <v>3329</v>
      </c>
      <c r="P1364" t="s">
        <v>3330</v>
      </c>
      <c r="Q1364" t="s">
        <v>3331</v>
      </c>
      <c r="R1364" t="s">
        <v>6733</v>
      </c>
    </row>
    <row r="1365" spans="1:18" x14ac:dyDescent="0.2">
      <c r="A1365">
        <v>2793071</v>
      </c>
      <c r="B1365" t="s">
        <v>6734</v>
      </c>
      <c r="C1365">
        <v>0</v>
      </c>
      <c r="D1365">
        <v>0</v>
      </c>
      <c r="E1365">
        <v>0</v>
      </c>
      <c r="F1365">
        <v>2</v>
      </c>
      <c r="G1365">
        <v>0</v>
      </c>
      <c r="H1365">
        <v>0</v>
      </c>
      <c r="I1365">
        <v>0</v>
      </c>
      <c r="J1365">
        <v>0</v>
      </c>
      <c r="K1365">
        <v>0</v>
      </c>
      <c r="L1365" t="s">
        <v>3284</v>
      </c>
      <c r="M1365" t="s">
        <v>3391</v>
      </c>
      <c r="N1365" t="s">
        <v>3392</v>
      </c>
      <c r="O1365" t="s">
        <v>3393</v>
      </c>
      <c r="P1365" t="s">
        <v>3394</v>
      </c>
      <c r="Q1365" t="s">
        <v>4082</v>
      </c>
      <c r="R1365" t="s">
        <v>6735</v>
      </c>
    </row>
    <row r="1366" spans="1:18" x14ac:dyDescent="0.2">
      <c r="A1366">
        <v>2793070</v>
      </c>
      <c r="B1366" t="s">
        <v>6736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1</v>
      </c>
      <c r="J1366">
        <v>0</v>
      </c>
      <c r="K1366">
        <v>0</v>
      </c>
      <c r="L1366" t="s">
        <v>3284</v>
      </c>
      <c r="M1366" t="s">
        <v>3391</v>
      </c>
      <c r="N1366" t="s">
        <v>3740</v>
      </c>
      <c r="O1366" t="s">
        <v>3741</v>
      </c>
      <c r="P1366" t="s">
        <v>4993</v>
      </c>
      <c r="Q1366" t="s">
        <v>6737</v>
      </c>
      <c r="R1366" t="s">
        <v>6738</v>
      </c>
    </row>
    <row r="1367" spans="1:18" x14ac:dyDescent="0.2">
      <c r="A1367">
        <v>2792964</v>
      </c>
      <c r="B1367" t="s">
        <v>6739</v>
      </c>
      <c r="C1367">
        <v>0</v>
      </c>
      <c r="D1367">
        <v>0</v>
      </c>
      <c r="E1367">
        <v>0</v>
      </c>
      <c r="F1367">
        <v>2</v>
      </c>
      <c r="G1367">
        <v>0</v>
      </c>
      <c r="H1367">
        <v>0</v>
      </c>
      <c r="I1367">
        <v>0</v>
      </c>
      <c r="J1367">
        <v>0</v>
      </c>
      <c r="K1367">
        <v>0</v>
      </c>
      <c r="L1367" t="s">
        <v>3284</v>
      </c>
      <c r="M1367" t="s">
        <v>3296</v>
      </c>
      <c r="N1367" t="s">
        <v>3343</v>
      </c>
      <c r="O1367" t="s">
        <v>3349</v>
      </c>
      <c r="P1367" t="s">
        <v>3350</v>
      </c>
      <c r="Q1367" t="s">
        <v>3351</v>
      </c>
      <c r="R1367" t="s">
        <v>6740</v>
      </c>
    </row>
    <row r="1368" spans="1:18" x14ac:dyDescent="0.2">
      <c r="A1368">
        <v>2792784</v>
      </c>
      <c r="B1368" t="s">
        <v>6741</v>
      </c>
      <c r="C1368">
        <v>0</v>
      </c>
      <c r="D1368">
        <v>0</v>
      </c>
      <c r="E1368">
        <v>1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 t="s">
        <v>3284</v>
      </c>
      <c r="M1368" t="s">
        <v>3296</v>
      </c>
      <c r="N1368" t="s">
        <v>3297</v>
      </c>
      <c r="O1368" t="s">
        <v>3469</v>
      </c>
      <c r="P1368" t="s">
        <v>3470</v>
      </c>
      <c r="Q1368" t="s">
        <v>4417</v>
      </c>
      <c r="R1368" t="s">
        <v>6742</v>
      </c>
    </row>
    <row r="1369" spans="1:18" x14ac:dyDescent="0.2">
      <c r="A1369">
        <v>2792038</v>
      </c>
      <c r="B1369" t="s">
        <v>6743</v>
      </c>
      <c r="C1369">
        <v>0</v>
      </c>
      <c r="D1369">
        <v>0</v>
      </c>
      <c r="E1369">
        <v>0</v>
      </c>
      <c r="F1369">
        <v>0</v>
      </c>
      <c r="G1369">
        <v>1</v>
      </c>
      <c r="H1369">
        <v>0</v>
      </c>
      <c r="I1369">
        <v>0</v>
      </c>
      <c r="J1369">
        <v>0</v>
      </c>
      <c r="K1369">
        <v>0</v>
      </c>
      <c r="L1369" t="s">
        <v>3284</v>
      </c>
      <c r="M1369" t="s">
        <v>3307</v>
      </c>
      <c r="N1369" t="s">
        <v>3308</v>
      </c>
      <c r="O1369" t="s">
        <v>3359</v>
      </c>
      <c r="P1369" t="s">
        <v>3360</v>
      </c>
      <c r="Q1369" t="s">
        <v>4121</v>
      </c>
      <c r="R1369" t="s">
        <v>6744</v>
      </c>
    </row>
    <row r="1370" spans="1:18" x14ac:dyDescent="0.2">
      <c r="A1370">
        <v>2792015</v>
      </c>
      <c r="B1370" t="s">
        <v>6745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2</v>
      </c>
      <c r="J1370">
        <v>0</v>
      </c>
      <c r="K1370">
        <v>0</v>
      </c>
      <c r="L1370" t="s">
        <v>3284</v>
      </c>
      <c r="M1370" t="s">
        <v>3296</v>
      </c>
      <c r="N1370" t="s">
        <v>3343</v>
      </c>
      <c r="O1370" t="s">
        <v>3344</v>
      </c>
      <c r="P1370" t="s">
        <v>3355</v>
      </c>
      <c r="Q1370" t="s">
        <v>3546</v>
      </c>
      <c r="R1370" t="s">
        <v>6746</v>
      </c>
    </row>
    <row r="1371" spans="1:18" x14ac:dyDescent="0.2">
      <c r="A1371">
        <v>2791981</v>
      </c>
      <c r="B1371" t="s">
        <v>6747</v>
      </c>
      <c r="C1371">
        <v>1</v>
      </c>
      <c r="D1371">
        <v>1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 t="s">
        <v>3284</v>
      </c>
      <c r="M1371" t="s">
        <v>3296</v>
      </c>
      <c r="N1371" t="s">
        <v>3343</v>
      </c>
      <c r="O1371" t="s">
        <v>3349</v>
      </c>
      <c r="P1371" t="s">
        <v>3350</v>
      </c>
      <c r="Q1371" t="s">
        <v>3351</v>
      </c>
      <c r="R1371" t="s">
        <v>6748</v>
      </c>
    </row>
    <row r="1372" spans="1:18" x14ac:dyDescent="0.2">
      <c r="A1372">
        <v>2791028</v>
      </c>
      <c r="B1372" t="s">
        <v>6749</v>
      </c>
      <c r="C1372">
        <v>0</v>
      </c>
      <c r="D1372">
        <v>0</v>
      </c>
      <c r="E1372">
        <v>0</v>
      </c>
      <c r="F1372">
        <v>1</v>
      </c>
      <c r="G1372">
        <v>0</v>
      </c>
      <c r="H1372">
        <v>0</v>
      </c>
      <c r="I1372">
        <v>0</v>
      </c>
      <c r="J1372">
        <v>0</v>
      </c>
      <c r="K1372">
        <v>0</v>
      </c>
      <c r="L1372" t="s">
        <v>3284</v>
      </c>
      <c r="M1372" t="s">
        <v>3391</v>
      </c>
      <c r="N1372" t="s">
        <v>3740</v>
      </c>
      <c r="O1372" t="s">
        <v>3741</v>
      </c>
      <c r="P1372" t="s">
        <v>4993</v>
      </c>
      <c r="Q1372" t="s">
        <v>6750</v>
      </c>
      <c r="R1372" t="s">
        <v>6751</v>
      </c>
    </row>
    <row r="1373" spans="1:18" x14ac:dyDescent="0.2">
      <c r="A1373">
        <v>2791024</v>
      </c>
      <c r="B1373" t="s">
        <v>6752</v>
      </c>
      <c r="C1373">
        <v>0</v>
      </c>
      <c r="D1373">
        <v>0</v>
      </c>
      <c r="E1373">
        <v>0</v>
      </c>
      <c r="F1373">
        <v>0</v>
      </c>
      <c r="G1373">
        <v>1</v>
      </c>
      <c r="H1373">
        <v>0</v>
      </c>
      <c r="I1373">
        <v>0</v>
      </c>
      <c r="J1373">
        <v>0</v>
      </c>
      <c r="K1373">
        <v>0</v>
      </c>
      <c r="L1373" t="s">
        <v>3284</v>
      </c>
      <c r="M1373" t="s">
        <v>3296</v>
      </c>
      <c r="N1373" t="s">
        <v>3343</v>
      </c>
      <c r="O1373" t="s">
        <v>3344</v>
      </c>
      <c r="P1373" t="s">
        <v>6089</v>
      </c>
      <c r="Q1373" t="s">
        <v>6090</v>
      </c>
      <c r="R1373" t="s">
        <v>6753</v>
      </c>
    </row>
    <row r="1374" spans="1:18" x14ac:dyDescent="0.2">
      <c r="A1374">
        <v>2789776</v>
      </c>
      <c r="B1374" t="s">
        <v>6754</v>
      </c>
      <c r="C1374">
        <v>1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 t="s">
        <v>3284</v>
      </c>
      <c r="M1374" t="s">
        <v>3307</v>
      </c>
      <c r="N1374" t="s">
        <v>5924</v>
      </c>
      <c r="O1374" t="s">
        <v>5925</v>
      </c>
      <c r="P1374" t="s">
        <v>5926</v>
      </c>
      <c r="Q1374" t="s">
        <v>6755</v>
      </c>
      <c r="R1374" t="s">
        <v>6756</v>
      </c>
    </row>
    <row r="1375" spans="1:18" x14ac:dyDescent="0.2">
      <c r="A1375">
        <v>2789740</v>
      </c>
      <c r="B1375" t="s">
        <v>6757</v>
      </c>
      <c r="C1375">
        <v>0</v>
      </c>
      <c r="D1375">
        <v>0</v>
      </c>
      <c r="E1375">
        <v>0</v>
      </c>
      <c r="F1375">
        <v>2</v>
      </c>
      <c r="G1375">
        <v>6</v>
      </c>
      <c r="H1375">
        <v>0</v>
      </c>
      <c r="I1375">
        <v>1</v>
      </c>
      <c r="J1375">
        <v>0</v>
      </c>
      <c r="K1375">
        <v>0</v>
      </c>
      <c r="L1375" t="s">
        <v>3284</v>
      </c>
      <c r="M1375" t="s">
        <v>3391</v>
      </c>
      <c r="N1375" t="s">
        <v>3392</v>
      </c>
      <c r="O1375" t="s">
        <v>3393</v>
      </c>
      <c r="P1375" t="s">
        <v>3394</v>
      </c>
      <c r="Q1375" t="s">
        <v>3395</v>
      </c>
      <c r="R1375" t="s">
        <v>6758</v>
      </c>
    </row>
    <row r="1376" spans="1:18" x14ac:dyDescent="0.2">
      <c r="A1376">
        <v>2787733</v>
      </c>
      <c r="B1376" t="s">
        <v>6759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1</v>
      </c>
      <c r="L1376" t="s">
        <v>3284</v>
      </c>
      <c r="M1376" t="s">
        <v>3307</v>
      </c>
      <c r="N1376" t="s">
        <v>3308</v>
      </c>
      <c r="O1376" t="s">
        <v>3359</v>
      </c>
      <c r="P1376" t="s">
        <v>3360</v>
      </c>
      <c r="Q1376" t="s">
        <v>6760</v>
      </c>
      <c r="R1376" t="s">
        <v>6761</v>
      </c>
    </row>
    <row r="1377" spans="1:18" x14ac:dyDescent="0.2">
      <c r="A1377">
        <v>2787730</v>
      </c>
      <c r="B1377" t="s">
        <v>6762</v>
      </c>
      <c r="C1377">
        <v>0</v>
      </c>
      <c r="D1377">
        <v>2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 t="s">
        <v>3284</v>
      </c>
      <c r="M1377" t="s">
        <v>3296</v>
      </c>
      <c r="N1377" t="s">
        <v>3321</v>
      </c>
      <c r="O1377" t="s">
        <v>3322</v>
      </c>
      <c r="P1377" t="s">
        <v>3398</v>
      </c>
      <c r="Q1377" t="s">
        <v>4593</v>
      </c>
      <c r="R1377" t="s">
        <v>6763</v>
      </c>
    </row>
    <row r="1378" spans="1:18" x14ac:dyDescent="0.2">
      <c r="A1378">
        <v>2787727</v>
      </c>
      <c r="B1378" t="s">
        <v>6764</v>
      </c>
      <c r="C1378">
        <v>0</v>
      </c>
      <c r="D1378">
        <v>0</v>
      </c>
      <c r="E1378">
        <v>0</v>
      </c>
      <c r="F1378">
        <v>1</v>
      </c>
      <c r="G1378">
        <v>1</v>
      </c>
      <c r="H1378">
        <v>0</v>
      </c>
      <c r="I1378">
        <v>6</v>
      </c>
      <c r="J1378">
        <v>5</v>
      </c>
      <c r="K1378">
        <v>1</v>
      </c>
      <c r="L1378" t="s">
        <v>3284</v>
      </c>
      <c r="M1378" t="s">
        <v>3307</v>
      </c>
      <c r="N1378" t="s">
        <v>3308</v>
      </c>
      <c r="O1378" t="s">
        <v>3359</v>
      </c>
      <c r="P1378" t="s">
        <v>3360</v>
      </c>
      <c r="Q1378" t="s">
        <v>4121</v>
      </c>
      <c r="R1378" t="s">
        <v>6765</v>
      </c>
    </row>
    <row r="1379" spans="1:18" x14ac:dyDescent="0.2">
      <c r="A1379">
        <v>2787724</v>
      </c>
      <c r="B1379" t="s">
        <v>6766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1</v>
      </c>
      <c r="K1379">
        <v>0</v>
      </c>
      <c r="L1379" t="s">
        <v>3284</v>
      </c>
      <c r="M1379" t="s">
        <v>3307</v>
      </c>
      <c r="N1379" t="s">
        <v>3308</v>
      </c>
      <c r="O1379" t="s">
        <v>3359</v>
      </c>
      <c r="P1379" t="s">
        <v>3360</v>
      </c>
      <c r="Q1379" t="s">
        <v>3913</v>
      </c>
      <c r="R1379" t="s">
        <v>6767</v>
      </c>
    </row>
    <row r="1380" spans="1:18" x14ac:dyDescent="0.2">
      <c r="A1380">
        <v>2787634</v>
      </c>
      <c r="B1380" t="s">
        <v>6768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3</v>
      </c>
      <c r="J1380">
        <v>1</v>
      </c>
      <c r="K1380">
        <v>0</v>
      </c>
      <c r="L1380" t="s">
        <v>3284</v>
      </c>
      <c r="M1380" t="s">
        <v>3307</v>
      </c>
      <c r="N1380" t="s">
        <v>3308</v>
      </c>
      <c r="O1380" t="s">
        <v>3359</v>
      </c>
      <c r="P1380" t="s">
        <v>3360</v>
      </c>
      <c r="Q1380" t="s">
        <v>4364</v>
      </c>
      <c r="R1380" t="s">
        <v>6769</v>
      </c>
    </row>
    <row r="1381" spans="1:18" x14ac:dyDescent="0.2">
      <c r="A1381">
        <v>2787631</v>
      </c>
      <c r="B1381" t="s">
        <v>6770</v>
      </c>
      <c r="C1381">
        <v>0</v>
      </c>
      <c r="D1381">
        <v>0</v>
      </c>
      <c r="E1381">
        <v>0</v>
      </c>
      <c r="F1381">
        <v>2</v>
      </c>
      <c r="G1381">
        <v>0</v>
      </c>
      <c r="H1381">
        <v>0</v>
      </c>
      <c r="I1381">
        <v>1</v>
      </c>
      <c r="J1381">
        <v>2</v>
      </c>
      <c r="K1381">
        <v>0</v>
      </c>
      <c r="L1381" t="s">
        <v>3284</v>
      </c>
      <c r="M1381" t="s">
        <v>3307</v>
      </c>
      <c r="N1381" t="s">
        <v>3308</v>
      </c>
      <c r="O1381" t="s">
        <v>3359</v>
      </c>
      <c r="P1381" t="s">
        <v>3360</v>
      </c>
      <c r="Q1381" t="s">
        <v>4364</v>
      </c>
      <c r="R1381" t="s">
        <v>6771</v>
      </c>
    </row>
    <row r="1382" spans="1:18" x14ac:dyDescent="0.2">
      <c r="A1382">
        <v>2787622</v>
      </c>
      <c r="B1382" t="s">
        <v>6772</v>
      </c>
      <c r="C1382">
        <v>0</v>
      </c>
      <c r="D1382">
        <v>0</v>
      </c>
      <c r="E1382">
        <v>0</v>
      </c>
      <c r="F1382">
        <v>1</v>
      </c>
      <c r="G1382">
        <v>0</v>
      </c>
      <c r="H1382">
        <v>0</v>
      </c>
      <c r="I1382">
        <v>0</v>
      </c>
      <c r="J1382">
        <v>0</v>
      </c>
      <c r="K1382">
        <v>0</v>
      </c>
      <c r="L1382" t="s">
        <v>3284</v>
      </c>
      <c r="M1382" t="s">
        <v>3296</v>
      </c>
      <c r="N1382" t="s">
        <v>3297</v>
      </c>
      <c r="O1382" t="s">
        <v>3298</v>
      </c>
      <c r="P1382" t="s">
        <v>3299</v>
      </c>
      <c r="Q1382" t="s">
        <v>5622</v>
      </c>
      <c r="R1382" t="s">
        <v>6773</v>
      </c>
    </row>
    <row r="1383" spans="1:18" x14ac:dyDescent="0.2">
      <c r="A1383">
        <v>2787148</v>
      </c>
      <c r="B1383" t="s">
        <v>6774</v>
      </c>
      <c r="C1383">
        <v>0</v>
      </c>
      <c r="D1383">
        <v>1</v>
      </c>
      <c r="E1383">
        <v>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 t="s">
        <v>3284</v>
      </c>
      <c r="M1383" t="s">
        <v>3327</v>
      </c>
      <c r="N1383" t="s">
        <v>3328</v>
      </c>
      <c r="O1383" t="s">
        <v>3329</v>
      </c>
      <c r="P1383" t="s">
        <v>3330</v>
      </c>
      <c r="Q1383" t="s">
        <v>3331</v>
      </c>
      <c r="R1383" t="s">
        <v>6775</v>
      </c>
    </row>
    <row r="1384" spans="1:18" x14ac:dyDescent="0.2">
      <c r="A1384">
        <v>2787140</v>
      </c>
      <c r="B1384" t="s">
        <v>6776</v>
      </c>
      <c r="C1384">
        <v>1</v>
      </c>
      <c r="D1384">
        <v>2</v>
      </c>
      <c r="E1384">
        <v>1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 t="s">
        <v>3284</v>
      </c>
      <c r="M1384" t="s">
        <v>3327</v>
      </c>
      <c r="N1384" t="s">
        <v>3328</v>
      </c>
      <c r="O1384" t="s">
        <v>3329</v>
      </c>
      <c r="P1384" t="s">
        <v>3330</v>
      </c>
      <c r="Q1384" t="s">
        <v>3331</v>
      </c>
      <c r="R1384" t="s">
        <v>6777</v>
      </c>
    </row>
    <row r="1385" spans="1:18" x14ac:dyDescent="0.2">
      <c r="A1385">
        <v>2787110</v>
      </c>
      <c r="B1385" t="s">
        <v>6778</v>
      </c>
      <c r="C1385">
        <v>0</v>
      </c>
      <c r="D1385">
        <v>1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 t="s">
        <v>3284</v>
      </c>
      <c r="M1385" t="s">
        <v>3327</v>
      </c>
      <c r="N1385" t="s">
        <v>3328</v>
      </c>
      <c r="O1385" t="s">
        <v>3329</v>
      </c>
      <c r="P1385" t="s">
        <v>3330</v>
      </c>
      <c r="Q1385" t="s">
        <v>3331</v>
      </c>
      <c r="R1385" t="s">
        <v>6779</v>
      </c>
    </row>
    <row r="1386" spans="1:18" x14ac:dyDescent="0.2">
      <c r="A1386">
        <v>2787108</v>
      </c>
      <c r="B1386" t="s">
        <v>6780</v>
      </c>
      <c r="C1386">
        <v>0</v>
      </c>
      <c r="D1386">
        <v>1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 t="s">
        <v>3284</v>
      </c>
      <c r="M1386" t="s">
        <v>3327</v>
      </c>
      <c r="N1386" t="s">
        <v>3328</v>
      </c>
      <c r="O1386" t="s">
        <v>4184</v>
      </c>
      <c r="P1386" t="s">
        <v>4185</v>
      </c>
      <c r="Q1386" t="s">
        <v>6781</v>
      </c>
      <c r="R1386" t="s">
        <v>6782</v>
      </c>
    </row>
    <row r="1387" spans="1:18" x14ac:dyDescent="0.2">
      <c r="A1387">
        <v>2787101</v>
      </c>
      <c r="B1387" t="s">
        <v>6783</v>
      </c>
      <c r="C1387">
        <v>3</v>
      </c>
      <c r="D1387">
        <v>5</v>
      </c>
      <c r="E1387">
        <v>1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 t="s">
        <v>3284</v>
      </c>
      <c r="M1387" t="s">
        <v>3327</v>
      </c>
      <c r="N1387" t="s">
        <v>3328</v>
      </c>
      <c r="O1387" t="s">
        <v>3329</v>
      </c>
      <c r="P1387" t="s">
        <v>3330</v>
      </c>
      <c r="Q1387" t="s">
        <v>3331</v>
      </c>
      <c r="R1387" t="s">
        <v>6784</v>
      </c>
    </row>
    <row r="1388" spans="1:18" x14ac:dyDescent="0.2">
      <c r="A1388">
        <v>2786961</v>
      </c>
      <c r="B1388" t="s">
        <v>6785</v>
      </c>
      <c r="C1388">
        <v>1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 t="s">
        <v>3284</v>
      </c>
      <c r="M1388" t="s">
        <v>3296</v>
      </c>
      <c r="N1388" t="s">
        <v>3343</v>
      </c>
      <c r="O1388" t="s">
        <v>3371</v>
      </c>
      <c r="P1388" t="s">
        <v>3372</v>
      </c>
      <c r="Q1388" t="s">
        <v>6786</v>
      </c>
      <c r="R1388" t="s">
        <v>6787</v>
      </c>
    </row>
    <row r="1389" spans="1:18" x14ac:dyDescent="0.2">
      <c r="A1389">
        <v>2786951</v>
      </c>
      <c r="B1389" t="s">
        <v>6788</v>
      </c>
      <c r="C1389">
        <v>0</v>
      </c>
      <c r="D1389">
        <v>1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1</v>
      </c>
      <c r="L1389" t="s">
        <v>3284</v>
      </c>
      <c r="M1389" t="s">
        <v>3296</v>
      </c>
      <c r="N1389" t="s">
        <v>3343</v>
      </c>
      <c r="O1389" t="s">
        <v>3429</v>
      </c>
      <c r="P1389" t="s">
        <v>3430</v>
      </c>
      <c r="Q1389" t="s">
        <v>3651</v>
      </c>
      <c r="R1389" t="s">
        <v>6789</v>
      </c>
    </row>
    <row r="1390" spans="1:18" x14ac:dyDescent="0.2">
      <c r="A1390">
        <v>2785786</v>
      </c>
      <c r="B1390" t="s">
        <v>6790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</v>
      </c>
      <c r="J1390">
        <v>0</v>
      </c>
      <c r="K1390">
        <v>0</v>
      </c>
      <c r="L1390" t="s">
        <v>3284</v>
      </c>
      <c r="M1390" t="s">
        <v>3296</v>
      </c>
      <c r="N1390" t="s">
        <v>3343</v>
      </c>
      <c r="O1390" t="s">
        <v>3344</v>
      </c>
      <c r="P1390" t="s">
        <v>6791</v>
      </c>
      <c r="Q1390" t="s">
        <v>6792</v>
      </c>
      <c r="R1390" t="s">
        <v>6793</v>
      </c>
    </row>
    <row r="1391" spans="1:18" x14ac:dyDescent="0.2">
      <c r="A1391">
        <v>2785025</v>
      </c>
      <c r="B1391" t="s">
        <v>6794</v>
      </c>
      <c r="C1391">
        <v>0</v>
      </c>
      <c r="D1391">
        <v>3</v>
      </c>
      <c r="E1391">
        <v>1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 t="s">
        <v>3284</v>
      </c>
      <c r="M1391" t="s">
        <v>3327</v>
      </c>
      <c r="N1391" t="s">
        <v>3328</v>
      </c>
      <c r="O1391" t="s">
        <v>4017</v>
      </c>
      <c r="P1391" t="s">
        <v>4018</v>
      </c>
      <c r="Q1391" t="s">
        <v>6795</v>
      </c>
      <c r="R1391" t="s">
        <v>6796</v>
      </c>
    </row>
    <row r="1392" spans="1:18" x14ac:dyDescent="0.2">
      <c r="A1392">
        <v>2784339</v>
      </c>
      <c r="B1392" t="s">
        <v>6797</v>
      </c>
      <c r="C1392">
        <v>0</v>
      </c>
      <c r="D1392">
        <v>0</v>
      </c>
      <c r="E1392">
        <v>0</v>
      </c>
      <c r="F1392">
        <v>0</v>
      </c>
      <c r="G1392">
        <v>1</v>
      </c>
      <c r="H1392">
        <v>0</v>
      </c>
      <c r="I1392">
        <v>0</v>
      </c>
      <c r="J1392">
        <v>0</v>
      </c>
      <c r="K1392">
        <v>0</v>
      </c>
      <c r="L1392" t="s">
        <v>3284</v>
      </c>
      <c r="M1392" t="s">
        <v>3307</v>
      </c>
      <c r="N1392" t="s">
        <v>3308</v>
      </c>
      <c r="O1392" t="s">
        <v>3309</v>
      </c>
      <c r="P1392" t="s">
        <v>3310</v>
      </c>
      <c r="Q1392" t="s">
        <v>3311</v>
      </c>
      <c r="R1392" t="s">
        <v>6798</v>
      </c>
    </row>
    <row r="1393" spans="1:18" x14ac:dyDescent="0.2">
      <c r="A1393">
        <v>2783819</v>
      </c>
      <c r="B1393" t="s">
        <v>6799</v>
      </c>
      <c r="C1393">
        <v>0</v>
      </c>
      <c r="D1393">
        <v>0</v>
      </c>
      <c r="E1393">
        <v>0</v>
      </c>
      <c r="F1393">
        <v>1</v>
      </c>
      <c r="G1393">
        <v>0</v>
      </c>
      <c r="H1393">
        <v>0</v>
      </c>
      <c r="I1393">
        <v>0</v>
      </c>
      <c r="J1393">
        <v>0</v>
      </c>
      <c r="K1393">
        <v>0</v>
      </c>
      <c r="L1393" t="s">
        <v>3284</v>
      </c>
      <c r="M1393" t="s">
        <v>3307</v>
      </c>
      <c r="N1393" t="s">
        <v>3308</v>
      </c>
      <c r="O1393" t="s">
        <v>3359</v>
      </c>
      <c r="P1393" t="s">
        <v>3360</v>
      </c>
      <c r="Q1393" t="s">
        <v>3528</v>
      </c>
      <c r="R1393" t="s">
        <v>6800</v>
      </c>
    </row>
    <row r="1394" spans="1:18" x14ac:dyDescent="0.2">
      <c r="A1394">
        <v>2783793</v>
      </c>
      <c r="B1394" t="s">
        <v>6801</v>
      </c>
      <c r="C1394">
        <v>0</v>
      </c>
      <c r="D1394">
        <v>0</v>
      </c>
      <c r="E1394">
        <v>0</v>
      </c>
      <c r="F1394">
        <v>1</v>
      </c>
      <c r="G1394">
        <v>0</v>
      </c>
      <c r="H1394">
        <v>0</v>
      </c>
      <c r="I1394">
        <v>0</v>
      </c>
      <c r="J1394">
        <v>0</v>
      </c>
      <c r="K1394">
        <v>0</v>
      </c>
      <c r="L1394" t="s">
        <v>3284</v>
      </c>
      <c r="M1394" t="s">
        <v>3391</v>
      </c>
      <c r="N1394" t="s">
        <v>3411</v>
      </c>
      <c r="O1394" t="s">
        <v>3412</v>
      </c>
      <c r="P1394" t="s">
        <v>3413</v>
      </c>
      <c r="Q1394" t="s">
        <v>3414</v>
      </c>
      <c r="R1394" t="s">
        <v>6802</v>
      </c>
    </row>
    <row r="1395" spans="1:18" x14ac:dyDescent="0.2">
      <c r="A1395">
        <v>2782664</v>
      </c>
      <c r="B1395" t="s">
        <v>6803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2</v>
      </c>
      <c r="K1395">
        <v>1</v>
      </c>
      <c r="L1395" t="s">
        <v>3284</v>
      </c>
      <c r="M1395" t="s">
        <v>3296</v>
      </c>
      <c r="N1395" t="s">
        <v>3343</v>
      </c>
      <c r="O1395" t="s">
        <v>3344</v>
      </c>
      <c r="P1395" t="s">
        <v>3937</v>
      </c>
      <c r="Q1395" t="s">
        <v>3938</v>
      </c>
      <c r="R1395" t="s">
        <v>6804</v>
      </c>
    </row>
    <row r="1396" spans="1:18" x14ac:dyDescent="0.2">
      <c r="A1396">
        <v>2782644</v>
      </c>
      <c r="B1396" t="s">
        <v>6805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1</v>
      </c>
      <c r="J1396">
        <v>0</v>
      </c>
      <c r="K1396">
        <v>0</v>
      </c>
      <c r="L1396" t="s">
        <v>3284</v>
      </c>
      <c r="M1396" t="s">
        <v>3296</v>
      </c>
      <c r="N1396" t="s">
        <v>3343</v>
      </c>
      <c r="O1396" t="s">
        <v>3344</v>
      </c>
      <c r="P1396" t="s">
        <v>3937</v>
      </c>
      <c r="Q1396" t="s">
        <v>3938</v>
      </c>
      <c r="R1396" t="s">
        <v>6806</v>
      </c>
    </row>
    <row r="1397" spans="1:18" x14ac:dyDescent="0.2">
      <c r="A1397">
        <v>2782624</v>
      </c>
      <c r="B1397" t="s">
        <v>6807</v>
      </c>
      <c r="C1397">
        <v>0</v>
      </c>
      <c r="D1397">
        <v>0</v>
      </c>
      <c r="E1397">
        <v>0</v>
      </c>
      <c r="F1397">
        <v>1</v>
      </c>
      <c r="G1397">
        <v>0</v>
      </c>
      <c r="H1397">
        <v>0</v>
      </c>
      <c r="I1397">
        <v>0</v>
      </c>
      <c r="J1397">
        <v>0</v>
      </c>
      <c r="K1397">
        <v>0</v>
      </c>
      <c r="L1397" t="s">
        <v>3284</v>
      </c>
      <c r="M1397" t="s">
        <v>3296</v>
      </c>
      <c r="N1397" t="s">
        <v>3343</v>
      </c>
      <c r="O1397" t="s">
        <v>3344</v>
      </c>
      <c r="P1397" t="s">
        <v>3937</v>
      </c>
      <c r="Q1397" t="s">
        <v>3938</v>
      </c>
      <c r="R1397" t="s">
        <v>6808</v>
      </c>
    </row>
    <row r="1398" spans="1:18" x14ac:dyDescent="0.2">
      <c r="A1398">
        <v>2782607</v>
      </c>
      <c r="B1398" t="s">
        <v>6809</v>
      </c>
      <c r="C1398">
        <v>0</v>
      </c>
      <c r="D1398">
        <v>0</v>
      </c>
      <c r="E1398">
        <v>0</v>
      </c>
      <c r="F1398">
        <v>1</v>
      </c>
      <c r="G1398">
        <v>0</v>
      </c>
      <c r="H1398">
        <v>0</v>
      </c>
      <c r="I1398">
        <v>0</v>
      </c>
      <c r="J1398">
        <v>0</v>
      </c>
      <c r="K1398">
        <v>1</v>
      </c>
      <c r="L1398" t="s">
        <v>3284</v>
      </c>
      <c r="M1398" t="s">
        <v>3296</v>
      </c>
      <c r="N1398" t="s">
        <v>3343</v>
      </c>
      <c r="O1398" t="s">
        <v>3349</v>
      </c>
      <c r="P1398" t="s">
        <v>3350</v>
      </c>
      <c r="Q1398" t="s">
        <v>4175</v>
      </c>
      <c r="R1398" t="s">
        <v>6810</v>
      </c>
    </row>
    <row r="1399" spans="1:18" x14ac:dyDescent="0.2">
      <c r="A1399">
        <v>2782536</v>
      </c>
      <c r="B1399" t="s">
        <v>6811</v>
      </c>
      <c r="C1399">
        <v>1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 t="s">
        <v>3284</v>
      </c>
      <c r="M1399" t="s">
        <v>3327</v>
      </c>
      <c r="N1399" t="s">
        <v>3376</v>
      </c>
      <c r="O1399" t="s">
        <v>3377</v>
      </c>
      <c r="P1399" t="s">
        <v>5514</v>
      </c>
      <c r="Q1399" t="s">
        <v>6812</v>
      </c>
      <c r="R1399" t="s">
        <v>6813</v>
      </c>
    </row>
    <row r="1400" spans="1:18" x14ac:dyDescent="0.2">
      <c r="A1400">
        <v>2782176</v>
      </c>
      <c r="B1400" t="s">
        <v>6814</v>
      </c>
      <c r="C1400">
        <v>1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 t="s">
        <v>3284</v>
      </c>
      <c r="M1400" t="s">
        <v>3296</v>
      </c>
      <c r="N1400" t="s">
        <v>3321</v>
      </c>
      <c r="O1400" t="s">
        <v>3322</v>
      </c>
      <c r="P1400" t="s">
        <v>4143</v>
      </c>
      <c r="Q1400" t="s">
        <v>6815</v>
      </c>
      <c r="R1400" t="s">
        <v>6816</v>
      </c>
    </row>
    <row r="1401" spans="1:18" x14ac:dyDescent="0.2">
      <c r="A1401">
        <v>2782169</v>
      </c>
      <c r="B1401" t="s">
        <v>6817</v>
      </c>
      <c r="C1401">
        <v>1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 t="s">
        <v>3284</v>
      </c>
      <c r="M1401" t="s">
        <v>3307</v>
      </c>
      <c r="N1401" t="s">
        <v>3308</v>
      </c>
      <c r="O1401" t="s">
        <v>3359</v>
      </c>
      <c r="P1401" t="s">
        <v>3360</v>
      </c>
      <c r="Q1401" t="s">
        <v>3361</v>
      </c>
      <c r="R1401" t="s">
        <v>6818</v>
      </c>
    </row>
    <row r="1402" spans="1:18" x14ac:dyDescent="0.2">
      <c r="A1402">
        <v>2782168</v>
      </c>
      <c r="B1402" t="s">
        <v>6819</v>
      </c>
      <c r="C1402">
        <v>1</v>
      </c>
      <c r="D1402">
        <v>0</v>
      </c>
      <c r="E1402">
        <v>0</v>
      </c>
      <c r="F1402">
        <v>1</v>
      </c>
      <c r="G1402">
        <v>0</v>
      </c>
      <c r="H1402">
        <v>0</v>
      </c>
      <c r="I1402">
        <v>1</v>
      </c>
      <c r="J1402">
        <v>0</v>
      </c>
      <c r="K1402">
        <v>0</v>
      </c>
      <c r="L1402" t="s">
        <v>3284</v>
      </c>
      <c r="M1402" t="s">
        <v>3307</v>
      </c>
      <c r="N1402" t="s">
        <v>3308</v>
      </c>
      <c r="O1402" t="s">
        <v>3359</v>
      </c>
      <c r="P1402" t="s">
        <v>3360</v>
      </c>
      <c r="Q1402" t="s">
        <v>3361</v>
      </c>
      <c r="R1402" t="s">
        <v>6820</v>
      </c>
    </row>
    <row r="1403" spans="1:18" x14ac:dyDescent="0.2">
      <c r="A1403">
        <v>2781962</v>
      </c>
      <c r="B1403" t="s">
        <v>6821</v>
      </c>
      <c r="C1403">
        <v>1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 t="s">
        <v>3284</v>
      </c>
      <c r="M1403" t="s">
        <v>3307</v>
      </c>
      <c r="N1403" t="s">
        <v>3308</v>
      </c>
      <c r="O1403" t="s">
        <v>3359</v>
      </c>
      <c r="P1403" t="s">
        <v>3360</v>
      </c>
      <c r="Q1403" t="s">
        <v>3364</v>
      </c>
      <c r="R1403" t="s">
        <v>6822</v>
      </c>
    </row>
    <row r="1404" spans="1:18" x14ac:dyDescent="0.2">
      <c r="A1404">
        <v>2781959</v>
      </c>
      <c r="B1404" t="s">
        <v>6823</v>
      </c>
      <c r="C1404">
        <v>0</v>
      </c>
      <c r="D1404">
        <v>0</v>
      </c>
      <c r="E1404">
        <v>0</v>
      </c>
      <c r="F1404">
        <v>0</v>
      </c>
      <c r="G1404">
        <v>1</v>
      </c>
      <c r="H1404">
        <v>0</v>
      </c>
      <c r="I1404">
        <v>0</v>
      </c>
      <c r="J1404">
        <v>0</v>
      </c>
      <c r="K1404">
        <v>0</v>
      </c>
      <c r="L1404" t="s">
        <v>3284</v>
      </c>
      <c r="M1404" t="s">
        <v>3391</v>
      </c>
      <c r="N1404" t="s">
        <v>3392</v>
      </c>
      <c r="O1404" t="s">
        <v>3393</v>
      </c>
      <c r="P1404" t="s">
        <v>3394</v>
      </c>
      <c r="Q1404" t="s">
        <v>4351</v>
      </c>
      <c r="R1404" t="s">
        <v>6824</v>
      </c>
    </row>
    <row r="1405" spans="1:18" x14ac:dyDescent="0.2">
      <c r="A1405">
        <v>2781733</v>
      </c>
      <c r="B1405" t="s">
        <v>6825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1</v>
      </c>
      <c r="I1405">
        <v>1</v>
      </c>
      <c r="J1405">
        <v>0</v>
      </c>
      <c r="K1405">
        <v>0</v>
      </c>
      <c r="L1405" t="s">
        <v>3284</v>
      </c>
      <c r="M1405" t="s">
        <v>3296</v>
      </c>
      <c r="N1405" t="s">
        <v>3321</v>
      </c>
      <c r="O1405" t="s">
        <v>3322</v>
      </c>
      <c r="P1405" t="s">
        <v>3398</v>
      </c>
      <c r="Q1405" t="s">
        <v>3439</v>
      </c>
      <c r="R1405" t="s">
        <v>6826</v>
      </c>
    </row>
    <row r="1406" spans="1:18" x14ac:dyDescent="0.2">
      <c r="A1406">
        <v>2781019</v>
      </c>
      <c r="B1406" t="s">
        <v>6827</v>
      </c>
      <c r="C1406">
        <v>1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 t="s">
        <v>3284</v>
      </c>
      <c r="M1406" t="s">
        <v>3296</v>
      </c>
      <c r="N1406" t="s">
        <v>3321</v>
      </c>
      <c r="O1406" t="s">
        <v>5469</v>
      </c>
      <c r="P1406" t="s">
        <v>6828</v>
      </c>
      <c r="Q1406" t="s">
        <v>6829</v>
      </c>
      <c r="R1406" t="s">
        <v>6830</v>
      </c>
    </row>
    <row r="1407" spans="1:18" x14ac:dyDescent="0.2">
      <c r="A1407">
        <v>2780419</v>
      </c>
      <c r="B1407" t="s">
        <v>6831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2</v>
      </c>
      <c r="J1407">
        <v>0</v>
      </c>
      <c r="K1407">
        <v>0</v>
      </c>
      <c r="L1407" t="s">
        <v>3284</v>
      </c>
      <c r="M1407" t="s">
        <v>3391</v>
      </c>
      <c r="N1407" t="s">
        <v>3765</v>
      </c>
      <c r="O1407" t="s">
        <v>3766</v>
      </c>
      <c r="P1407" t="s">
        <v>6832</v>
      </c>
      <c r="Q1407" t="s">
        <v>6833</v>
      </c>
      <c r="R1407" t="s">
        <v>6834</v>
      </c>
    </row>
    <row r="1408" spans="1:18" x14ac:dyDescent="0.2">
      <c r="A1408">
        <v>2780090</v>
      </c>
      <c r="B1408" t="s">
        <v>6835</v>
      </c>
      <c r="C1408">
        <v>0</v>
      </c>
      <c r="D1408">
        <v>0</v>
      </c>
      <c r="E1408">
        <v>0</v>
      </c>
      <c r="F1408">
        <v>22</v>
      </c>
      <c r="G1408">
        <v>17</v>
      </c>
      <c r="H1408">
        <v>1</v>
      </c>
      <c r="I1408">
        <v>0</v>
      </c>
      <c r="J1408">
        <v>0</v>
      </c>
      <c r="K1408">
        <v>0</v>
      </c>
      <c r="L1408" t="s">
        <v>3284</v>
      </c>
      <c r="M1408" t="s">
        <v>3391</v>
      </c>
      <c r="N1408" t="s">
        <v>3392</v>
      </c>
      <c r="O1408" t="s">
        <v>3393</v>
      </c>
      <c r="P1408" t="s">
        <v>3394</v>
      </c>
      <c r="Q1408" t="s">
        <v>3395</v>
      </c>
      <c r="R1408" t="s">
        <v>6836</v>
      </c>
    </row>
    <row r="1409" spans="1:18" x14ac:dyDescent="0.2">
      <c r="A1409">
        <v>2780089</v>
      </c>
      <c r="B1409" t="s">
        <v>6837</v>
      </c>
      <c r="C1409">
        <v>0</v>
      </c>
      <c r="D1409">
        <v>0</v>
      </c>
      <c r="E1409">
        <v>0</v>
      </c>
      <c r="F1409">
        <v>1</v>
      </c>
      <c r="G1409">
        <v>0</v>
      </c>
      <c r="H1409">
        <v>0</v>
      </c>
      <c r="I1409">
        <v>0</v>
      </c>
      <c r="J1409">
        <v>0</v>
      </c>
      <c r="K1409">
        <v>0</v>
      </c>
      <c r="L1409" t="s">
        <v>3284</v>
      </c>
      <c r="M1409" t="s">
        <v>3391</v>
      </c>
      <c r="N1409" t="s">
        <v>3392</v>
      </c>
      <c r="O1409" t="s">
        <v>3393</v>
      </c>
      <c r="P1409" t="s">
        <v>3394</v>
      </c>
      <c r="Q1409" t="s">
        <v>3395</v>
      </c>
      <c r="R1409" t="s">
        <v>6838</v>
      </c>
    </row>
    <row r="1410" spans="1:18" x14ac:dyDescent="0.2">
      <c r="A1410">
        <v>2780087</v>
      </c>
      <c r="B1410" t="s">
        <v>6839</v>
      </c>
      <c r="C1410">
        <v>0</v>
      </c>
      <c r="D1410">
        <v>0</v>
      </c>
      <c r="E1410">
        <v>1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 t="s">
        <v>3284</v>
      </c>
      <c r="M1410" t="s">
        <v>3296</v>
      </c>
      <c r="N1410" t="s">
        <v>3321</v>
      </c>
      <c r="O1410" t="s">
        <v>3322</v>
      </c>
      <c r="P1410" t="s">
        <v>3398</v>
      </c>
      <c r="Q1410" t="s">
        <v>3696</v>
      </c>
      <c r="R1410" t="s">
        <v>6840</v>
      </c>
    </row>
    <row r="1411" spans="1:18" x14ac:dyDescent="0.2">
      <c r="A1411">
        <v>2780077</v>
      </c>
      <c r="B1411" t="s">
        <v>6841</v>
      </c>
      <c r="C1411">
        <v>0</v>
      </c>
      <c r="D1411">
        <v>0</v>
      </c>
      <c r="E1411">
        <v>8</v>
      </c>
      <c r="F1411">
        <v>4</v>
      </c>
      <c r="G1411">
        <v>3</v>
      </c>
      <c r="H1411">
        <v>4</v>
      </c>
      <c r="I1411">
        <v>7</v>
      </c>
      <c r="J1411">
        <v>3</v>
      </c>
      <c r="K1411">
        <v>10</v>
      </c>
      <c r="L1411" t="s">
        <v>3284</v>
      </c>
      <c r="M1411" t="s">
        <v>3296</v>
      </c>
      <c r="N1411" t="s">
        <v>3297</v>
      </c>
      <c r="O1411" t="s">
        <v>4037</v>
      </c>
      <c r="P1411" t="s">
        <v>4038</v>
      </c>
      <c r="Q1411" t="s">
        <v>4039</v>
      </c>
      <c r="R1411" t="s">
        <v>6842</v>
      </c>
    </row>
    <row r="1412" spans="1:18" x14ac:dyDescent="0.2">
      <c r="A1412">
        <v>2780074</v>
      </c>
      <c r="B1412" t="s">
        <v>6843</v>
      </c>
      <c r="C1412">
        <v>0</v>
      </c>
      <c r="D1412">
        <v>1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 t="s">
        <v>3284</v>
      </c>
      <c r="M1412" t="s">
        <v>3296</v>
      </c>
      <c r="N1412" t="s">
        <v>3343</v>
      </c>
      <c r="O1412" t="s">
        <v>3349</v>
      </c>
      <c r="P1412" t="s">
        <v>3350</v>
      </c>
      <c r="Q1412" t="s">
        <v>3351</v>
      </c>
      <c r="R1412" t="s">
        <v>6844</v>
      </c>
    </row>
    <row r="1413" spans="1:18" x14ac:dyDescent="0.2">
      <c r="A1413">
        <v>2779529</v>
      </c>
      <c r="B1413" t="s">
        <v>6845</v>
      </c>
      <c r="C1413">
        <v>0</v>
      </c>
      <c r="D1413">
        <v>0</v>
      </c>
      <c r="E1413">
        <v>0</v>
      </c>
      <c r="F1413">
        <v>0</v>
      </c>
      <c r="G1413">
        <v>1</v>
      </c>
      <c r="H1413">
        <v>0</v>
      </c>
      <c r="I1413">
        <v>0</v>
      </c>
      <c r="J1413">
        <v>0</v>
      </c>
      <c r="K1413">
        <v>0</v>
      </c>
      <c r="L1413" t="s">
        <v>3284</v>
      </c>
      <c r="M1413" t="s">
        <v>3296</v>
      </c>
      <c r="N1413" t="s">
        <v>3321</v>
      </c>
      <c r="O1413" t="s">
        <v>3322</v>
      </c>
      <c r="P1413" t="s">
        <v>4143</v>
      </c>
      <c r="Q1413" t="s">
        <v>6846</v>
      </c>
      <c r="R1413" t="s">
        <v>6847</v>
      </c>
    </row>
    <row r="1414" spans="1:18" x14ac:dyDescent="0.2">
      <c r="A1414">
        <v>2779445</v>
      </c>
      <c r="B1414" t="s">
        <v>6848</v>
      </c>
      <c r="C1414">
        <v>1</v>
      </c>
      <c r="D1414">
        <v>2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 t="s">
        <v>3284</v>
      </c>
      <c r="M1414" t="s">
        <v>3327</v>
      </c>
      <c r="N1414" t="s">
        <v>3328</v>
      </c>
      <c r="O1414" t="s">
        <v>3329</v>
      </c>
      <c r="P1414" t="s">
        <v>3330</v>
      </c>
      <c r="Q1414" t="s">
        <v>3331</v>
      </c>
      <c r="R1414" t="s">
        <v>6849</v>
      </c>
    </row>
    <row r="1415" spans="1:18" x14ac:dyDescent="0.2">
      <c r="A1415">
        <v>2779375</v>
      </c>
      <c r="B1415" t="s">
        <v>6850</v>
      </c>
      <c r="C1415">
        <v>0</v>
      </c>
      <c r="D1415">
        <v>0</v>
      </c>
      <c r="E1415">
        <v>0</v>
      </c>
      <c r="F1415">
        <v>0</v>
      </c>
      <c r="G1415">
        <v>1</v>
      </c>
      <c r="H1415">
        <v>0</v>
      </c>
      <c r="I1415">
        <v>0</v>
      </c>
      <c r="J1415">
        <v>0</v>
      </c>
      <c r="K1415">
        <v>0</v>
      </c>
      <c r="L1415" t="s">
        <v>3284</v>
      </c>
      <c r="M1415" t="s">
        <v>3391</v>
      </c>
      <c r="N1415" t="s">
        <v>3411</v>
      </c>
      <c r="O1415" t="s">
        <v>3412</v>
      </c>
      <c r="P1415" t="s">
        <v>3413</v>
      </c>
      <c r="Q1415" t="s">
        <v>3414</v>
      </c>
      <c r="R1415" t="s">
        <v>6851</v>
      </c>
    </row>
    <row r="1416" spans="1:18" x14ac:dyDescent="0.2">
      <c r="A1416">
        <v>2779370</v>
      </c>
      <c r="B1416" t="s">
        <v>6852</v>
      </c>
      <c r="C1416">
        <v>0</v>
      </c>
      <c r="D1416">
        <v>0</v>
      </c>
      <c r="E1416">
        <v>0</v>
      </c>
      <c r="F1416">
        <v>1</v>
      </c>
      <c r="G1416">
        <v>2</v>
      </c>
      <c r="H1416">
        <v>0</v>
      </c>
      <c r="I1416">
        <v>0</v>
      </c>
      <c r="J1416">
        <v>0</v>
      </c>
      <c r="K1416">
        <v>0</v>
      </c>
      <c r="L1416" t="s">
        <v>3284</v>
      </c>
      <c r="M1416" t="s">
        <v>3296</v>
      </c>
      <c r="N1416" t="s">
        <v>3321</v>
      </c>
      <c r="O1416" t="s">
        <v>3322</v>
      </c>
      <c r="P1416" t="s">
        <v>3398</v>
      </c>
      <c r="Q1416" t="s">
        <v>3399</v>
      </c>
      <c r="R1416" t="s">
        <v>6853</v>
      </c>
    </row>
    <row r="1417" spans="1:18" x14ac:dyDescent="0.2">
      <c r="A1417">
        <v>2779161</v>
      </c>
      <c r="B1417" t="s">
        <v>6854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1</v>
      </c>
      <c r="L1417" t="s">
        <v>3284</v>
      </c>
      <c r="M1417" t="s">
        <v>6855</v>
      </c>
      <c r="N1417" t="s">
        <v>6856</v>
      </c>
      <c r="O1417" t="s">
        <v>6857</v>
      </c>
      <c r="P1417" t="s">
        <v>6858</v>
      </c>
      <c r="Q1417" t="s">
        <v>6859</v>
      </c>
      <c r="R1417" t="s">
        <v>6860</v>
      </c>
    </row>
    <row r="1418" spans="1:18" x14ac:dyDescent="0.2">
      <c r="A1418">
        <v>2778902</v>
      </c>
      <c r="B1418" t="s">
        <v>6861</v>
      </c>
      <c r="C1418">
        <v>0</v>
      </c>
      <c r="D1418">
        <v>0</v>
      </c>
      <c r="E1418">
        <v>0</v>
      </c>
      <c r="F1418">
        <v>1</v>
      </c>
      <c r="G1418">
        <v>0</v>
      </c>
      <c r="H1418">
        <v>0</v>
      </c>
      <c r="I1418">
        <v>0</v>
      </c>
      <c r="J1418">
        <v>0</v>
      </c>
      <c r="K1418">
        <v>0</v>
      </c>
      <c r="L1418" t="s">
        <v>3284</v>
      </c>
      <c r="M1418" t="s">
        <v>3391</v>
      </c>
      <c r="N1418" t="s">
        <v>3392</v>
      </c>
      <c r="O1418" t="s">
        <v>3393</v>
      </c>
      <c r="P1418" t="s">
        <v>3394</v>
      </c>
      <c r="Q1418" t="s">
        <v>4082</v>
      </c>
      <c r="R1418" t="s">
        <v>6862</v>
      </c>
    </row>
    <row r="1419" spans="1:18" x14ac:dyDescent="0.2">
      <c r="A1419">
        <v>2778091</v>
      </c>
      <c r="B1419" t="s">
        <v>6863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1</v>
      </c>
      <c r="J1419">
        <v>0</v>
      </c>
      <c r="K1419">
        <v>1</v>
      </c>
      <c r="L1419" t="s">
        <v>3284</v>
      </c>
      <c r="M1419" t="s">
        <v>3327</v>
      </c>
      <c r="N1419" t="s">
        <v>3376</v>
      </c>
      <c r="O1419" t="s">
        <v>3377</v>
      </c>
      <c r="P1419" t="s">
        <v>3378</v>
      </c>
      <c r="Q1419" t="s">
        <v>3379</v>
      </c>
      <c r="R1419" t="s">
        <v>6864</v>
      </c>
    </row>
    <row r="1420" spans="1:18" x14ac:dyDescent="0.2">
      <c r="A1420">
        <v>2778057</v>
      </c>
      <c r="B1420" t="s">
        <v>6865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1</v>
      </c>
      <c r="K1420">
        <v>0</v>
      </c>
      <c r="L1420" t="s">
        <v>3284</v>
      </c>
      <c r="M1420" t="s">
        <v>3296</v>
      </c>
      <c r="N1420" t="s">
        <v>3297</v>
      </c>
      <c r="O1420" t="s">
        <v>4112</v>
      </c>
      <c r="P1420" t="s">
        <v>4113</v>
      </c>
      <c r="Q1420" t="s">
        <v>4114</v>
      </c>
      <c r="R1420" t="s">
        <v>6866</v>
      </c>
    </row>
    <row r="1421" spans="1:18" x14ac:dyDescent="0.2">
      <c r="A1421">
        <v>2777537</v>
      </c>
      <c r="B1421" t="s">
        <v>6867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1</v>
      </c>
      <c r="L1421" t="s">
        <v>3284</v>
      </c>
      <c r="M1421" t="s">
        <v>3296</v>
      </c>
      <c r="N1421" t="s">
        <v>3321</v>
      </c>
      <c r="O1421" t="s">
        <v>3322</v>
      </c>
      <c r="P1421" t="s">
        <v>3423</v>
      </c>
      <c r="Q1421" t="s">
        <v>4357</v>
      </c>
      <c r="R1421" t="s">
        <v>6868</v>
      </c>
    </row>
    <row r="1422" spans="1:18" x14ac:dyDescent="0.2">
      <c r="A1422">
        <v>2776705</v>
      </c>
      <c r="B1422" t="s">
        <v>6869</v>
      </c>
      <c r="C1422">
        <v>1</v>
      </c>
      <c r="D1422">
        <v>1</v>
      </c>
      <c r="E1422">
        <v>1</v>
      </c>
      <c r="F1422">
        <v>1</v>
      </c>
      <c r="G1422">
        <v>2</v>
      </c>
      <c r="H1422">
        <v>0</v>
      </c>
      <c r="I1422">
        <v>0</v>
      </c>
      <c r="J1422">
        <v>0</v>
      </c>
      <c r="K1422">
        <v>0</v>
      </c>
      <c r="L1422" t="s">
        <v>3284</v>
      </c>
      <c r="M1422" t="s">
        <v>3816</v>
      </c>
      <c r="N1422" t="s">
        <v>3817</v>
      </c>
      <c r="O1422" t="s">
        <v>3818</v>
      </c>
      <c r="P1422" t="s">
        <v>3819</v>
      </c>
      <c r="Q1422" t="s">
        <v>3820</v>
      </c>
      <c r="R1422" t="s">
        <v>6870</v>
      </c>
    </row>
    <row r="1423" spans="1:18" x14ac:dyDescent="0.2">
      <c r="A1423">
        <v>2775403</v>
      </c>
      <c r="B1423" t="s">
        <v>6871</v>
      </c>
      <c r="C1423">
        <v>0</v>
      </c>
      <c r="D1423">
        <v>0</v>
      </c>
      <c r="E1423">
        <v>0</v>
      </c>
      <c r="F1423">
        <v>1</v>
      </c>
      <c r="G1423">
        <v>0</v>
      </c>
      <c r="H1423">
        <v>0</v>
      </c>
      <c r="I1423">
        <v>0</v>
      </c>
      <c r="J1423">
        <v>1</v>
      </c>
      <c r="K1423">
        <v>0</v>
      </c>
      <c r="L1423" t="s">
        <v>3284</v>
      </c>
      <c r="M1423" t="s">
        <v>3296</v>
      </c>
      <c r="N1423" t="s">
        <v>3343</v>
      </c>
      <c r="O1423" t="s">
        <v>3344</v>
      </c>
      <c r="P1423" t="s">
        <v>3355</v>
      </c>
      <c r="Q1423" t="s">
        <v>3356</v>
      </c>
      <c r="R1423" t="s">
        <v>6872</v>
      </c>
    </row>
    <row r="1424" spans="1:18" x14ac:dyDescent="0.2">
      <c r="A1424">
        <v>2775298</v>
      </c>
      <c r="B1424" t="s">
        <v>6873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1</v>
      </c>
      <c r="I1424">
        <v>0</v>
      </c>
      <c r="J1424">
        <v>0</v>
      </c>
      <c r="K1424">
        <v>0</v>
      </c>
      <c r="L1424" t="s">
        <v>3284</v>
      </c>
      <c r="M1424" t="s">
        <v>3296</v>
      </c>
      <c r="N1424" t="s">
        <v>3297</v>
      </c>
      <c r="O1424" t="s">
        <v>3469</v>
      </c>
      <c r="P1424" t="s">
        <v>3470</v>
      </c>
      <c r="Q1424" t="s">
        <v>3471</v>
      </c>
      <c r="R1424" t="s">
        <v>6874</v>
      </c>
    </row>
    <row r="1425" spans="1:18" x14ac:dyDescent="0.2">
      <c r="A1425">
        <v>2775296</v>
      </c>
      <c r="B1425" t="s">
        <v>6875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1</v>
      </c>
      <c r="I1425">
        <v>0</v>
      </c>
      <c r="J1425">
        <v>0</v>
      </c>
      <c r="K1425">
        <v>0</v>
      </c>
      <c r="L1425" t="s">
        <v>3284</v>
      </c>
      <c r="M1425" t="s">
        <v>3296</v>
      </c>
      <c r="N1425" t="s">
        <v>3343</v>
      </c>
      <c r="O1425" t="s">
        <v>3344</v>
      </c>
      <c r="P1425" t="s">
        <v>3355</v>
      </c>
      <c r="Q1425" t="s">
        <v>3356</v>
      </c>
      <c r="R1425" t="s">
        <v>6876</v>
      </c>
    </row>
    <row r="1426" spans="1:18" x14ac:dyDescent="0.2">
      <c r="A1426">
        <v>2775294</v>
      </c>
      <c r="B1426" t="s">
        <v>6877</v>
      </c>
      <c r="C1426">
        <v>0</v>
      </c>
      <c r="D1426">
        <v>0</v>
      </c>
      <c r="E1426">
        <v>0</v>
      </c>
      <c r="F1426">
        <v>1</v>
      </c>
      <c r="G1426">
        <v>0</v>
      </c>
      <c r="H1426">
        <v>0</v>
      </c>
      <c r="I1426">
        <v>0</v>
      </c>
      <c r="J1426">
        <v>0</v>
      </c>
      <c r="K1426">
        <v>0</v>
      </c>
      <c r="L1426" t="s">
        <v>3284</v>
      </c>
      <c r="M1426" t="s">
        <v>3296</v>
      </c>
      <c r="N1426" t="s">
        <v>3343</v>
      </c>
      <c r="O1426" t="s">
        <v>3349</v>
      </c>
      <c r="P1426" t="s">
        <v>3350</v>
      </c>
      <c r="Q1426" t="s">
        <v>3580</v>
      </c>
      <c r="R1426" t="s">
        <v>6878</v>
      </c>
    </row>
    <row r="1427" spans="1:18" x14ac:dyDescent="0.2">
      <c r="A1427">
        <v>2775279</v>
      </c>
      <c r="B1427" t="s">
        <v>6879</v>
      </c>
      <c r="C1427">
        <v>1</v>
      </c>
      <c r="D1427">
        <v>0</v>
      </c>
      <c r="E1427">
        <v>0</v>
      </c>
      <c r="F1427">
        <v>1</v>
      </c>
      <c r="G1427">
        <v>0</v>
      </c>
      <c r="H1427">
        <v>0</v>
      </c>
      <c r="I1427">
        <v>0</v>
      </c>
      <c r="J1427">
        <v>0</v>
      </c>
      <c r="K1427">
        <v>0</v>
      </c>
      <c r="L1427" t="s">
        <v>3284</v>
      </c>
      <c r="M1427" t="s">
        <v>3296</v>
      </c>
      <c r="N1427" t="s">
        <v>3343</v>
      </c>
      <c r="O1427" t="s">
        <v>3344</v>
      </c>
      <c r="P1427" t="s">
        <v>3355</v>
      </c>
      <c r="Q1427" t="s">
        <v>3356</v>
      </c>
      <c r="R1427" t="s">
        <v>6880</v>
      </c>
    </row>
    <row r="1428" spans="1:18" x14ac:dyDescent="0.2">
      <c r="A1428">
        <v>2775081</v>
      </c>
      <c r="B1428" t="s">
        <v>6881</v>
      </c>
      <c r="C1428">
        <v>1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 t="s">
        <v>3284</v>
      </c>
      <c r="M1428" t="s">
        <v>3307</v>
      </c>
      <c r="N1428" t="s">
        <v>3308</v>
      </c>
      <c r="O1428" t="s">
        <v>3309</v>
      </c>
      <c r="P1428" t="s">
        <v>6036</v>
      </c>
      <c r="Q1428" t="s">
        <v>6882</v>
      </c>
      <c r="R1428" t="s">
        <v>6883</v>
      </c>
    </row>
    <row r="1429" spans="1:18" x14ac:dyDescent="0.2">
      <c r="A1429">
        <v>2775080</v>
      </c>
      <c r="B1429" t="s">
        <v>6884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1</v>
      </c>
      <c r="J1429">
        <v>0</v>
      </c>
      <c r="K1429">
        <v>0</v>
      </c>
      <c r="L1429" t="s">
        <v>3284</v>
      </c>
      <c r="M1429" t="s">
        <v>3296</v>
      </c>
      <c r="N1429" t="s">
        <v>3343</v>
      </c>
      <c r="O1429" t="s">
        <v>3861</v>
      </c>
      <c r="P1429" t="s">
        <v>6885</v>
      </c>
      <c r="Q1429" t="s">
        <v>6886</v>
      </c>
      <c r="R1429" t="s">
        <v>6887</v>
      </c>
    </row>
    <row r="1430" spans="1:18" x14ac:dyDescent="0.2">
      <c r="A1430">
        <v>2774875</v>
      </c>
      <c r="B1430" t="s">
        <v>6888</v>
      </c>
      <c r="C1430">
        <v>0</v>
      </c>
      <c r="D1430">
        <v>0</v>
      </c>
      <c r="E1430">
        <v>0</v>
      </c>
      <c r="F1430">
        <v>1</v>
      </c>
      <c r="G1430">
        <v>0</v>
      </c>
      <c r="H1430">
        <v>0</v>
      </c>
      <c r="I1430">
        <v>0</v>
      </c>
      <c r="J1430">
        <v>0</v>
      </c>
      <c r="K1430">
        <v>0</v>
      </c>
      <c r="L1430" t="s">
        <v>3284</v>
      </c>
      <c r="M1430" t="s">
        <v>3296</v>
      </c>
      <c r="N1430" t="s">
        <v>3321</v>
      </c>
      <c r="O1430" t="s">
        <v>3322</v>
      </c>
      <c r="P1430" t="s">
        <v>3398</v>
      </c>
      <c r="Q1430" t="s">
        <v>3399</v>
      </c>
      <c r="R1430" t="s">
        <v>6889</v>
      </c>
    </row>
    <row r="1431" spans="1:18" x14ac:dyDescent="0.2">
      <c r="A1431">
        <v>2774531</v>
      </c>
      <c r="B1431" t="s">
        <v>6890</v>
      </c>
      <c r="C1431">
        <v>0</v>
      </c>
      <c r="D1431">
        <v>1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 t="s">
        <v>3284</v>
      </c>
      <c r="M1431" t="s">
        <v>6891</v>
      </c>
      <c r="N1431" t="s">
        <v>6892</v>
      </c>
      <c r="O1431" t="s">
        <v>6893</v>
      </c>
      <c r="P1431" t="s">
        <v>6894</v>
      </c>
      <c r="Q1431" t="s">
        <v>6895</v>
      </c>
      <c r="R1431" t="s">
        <v>6896</v>
      </c>
    </row>
    <row r="1432" spans="1:18" x14ac:dyDescent="0.2">
      <c r="A1432">
        <v>2774190</v>
      </c>
      <c r="B1432" t="s">
        <v>6897</v>
      </c>
      <c r="C1432">
        <v>0</v>
      </c>
      <c r="D1432">
        <v>0</v>
      </c>
      <c r="E1432">
        <v>0</v>
      </c>
      <c r="F1432">
        <v>355</v>
      </c>
      <c r="G1432">
        <v>234</v>
      </c>
      <c r="H1432">
        <v>54</v>
      </c>
      <c r="I1432">
        <v>2</v>
      </c>
      <c r="J1432">
        <v>0</v>
      </c>
      <c r="K1432">
        <v>0</v>
      </c>
      <c r="L1432" t="s">
        <v>3284</v>
      </c>
      <c r="M1432" t="s">
        <v>3296</v>
      </c>
      <c r="N1432" t="s">
        <v>3343</v>
      </c>
      <c r="O1432" t="s">
        <v>3402</v>
      </c>
      <c r="P1432" t="s">
        <v>3403</v>
      </c>
      <c r="Q1432" t="s">
        <v>3536</v>
      </c>
      <c r="R1432" t="s">
        <v>6898</v>
      </c>
    </row>
    <row r="1433" spans="1:18" x14ac:dyDescent="0.2">
      <c r="A1433">
        <v>2774189</v>
      </c>
      <c r="B1433" t="s">
        <v>6899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1</v>
      </c>
      <c r="I1433">
        <v>0</v>
      </c>
      <c r="J1433">
        <v>0</v>
      </c>
      <c r="K1433">
        <v>0</v>
      </c>
      <c r="L1433" t="s">
        <v>3284</v>
      </c>
      <c r="M1433" t="s">
        <v>3296</v>
      </c>
      <c r="N1433" t="s">
        <v>3343</v>
      </c>
      <c r="O1433" t="s">
        <v>3402</v>
      </c>
      <c r="P1433" t="s">
        <v>3403</v>
      </c>
      <c r="Q1433" t="s">
        <v>3536</v>
      </c>
      <c r="R1433" t="s">
        <v>6900</v>
      </c>
    </row>
    <row r="1434" spans="1:18" x14ac:dyDescent="0.2">
      <c r="A1434">
        <v>2774139</v>
      </c>
      <c r="B1434" t="s">
        <v>6901</v>
      </c>
      <c r="C1434">
        <v>0</v>
      </c>
      <c r="D1434">
        <v>0</v>
      </c>
      <c r="E1434">
        <v>0</v>
      </c>
      <c r="F1434">
        <v>1</v>
      </c>
      <c r="G1434">
        <v>0</v>
      </c>
      <c r="H1434">
        <v>0</v>
      </c>
      <c r="I1434">
        <v>2</v>
      </c>
      <c r="J1434">
        <v>0</v>
      </c>
      <c r="K1434">
        <v>0</v>
      </c>
      <c r="L1434" t="s">
        <v>3284</v>
      </c>
      <c r="M1434" t="s">
        <v>3307</v>
      </c>
      <c r="N1434" t="s">
        <v>3308</v>
      </c>
      <c r="O1434" t="s">
        <v>3359</v>
      </c>
      <c r="P1434" t="s">
        <v>3588</v>
      </c>
      <c r="Q1434" t="s">
        <v>4970</v>
      </c>
      <c r="R1434" t="s">
        <v>6902</v>
      </c>
    </row>
    <row r="1435" spans="1:18" x14ac:dyDescent="0.2">
      <c r="A1435">
        <v>2774019</v>
      </c>
      <c r="B1435" t="s">
        <v>6903</v>
      </c>
      <c r="C1435">
        <v>1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 t="s">
        <v>3284</v>
      </c>
      <c r="M1435" t="s">
        <v>3307</v>
      </c>
      <c r="N1435" t="s">
        <v>3308</v>
      </c>
      <c r="O1435" t="s">
        <v>3309</v>
      </c>
      <c r="P1435" t="s">
        <v>3310</v>
      </c>
      <c r="Q1435" t="s">
        <v>3311</v>
      </c>
      <c r="R1435" t="s">
        <v>6904</v>
      </c>
    </row>
    <row r="1436" spans="1:18" x14ac:dyDescent="0.2">
      <c r="A1436">
        <v>2773457</v>
      </c>
      <c r="B1436" t="s">
        <v>6905</v>
      </c>
      <c r="C1436">
        <v>0</v>
      </c>
      <c r="D1436">
        <v>0</v>
      </c>
      <c r="E1436">
        <v>0</v>
      </c>
      <c r="F1436">
        <v>1</v>
      </c>
      <c r="G1436">
        <v>0</v>
      </c>
      <c r="H1436">
        <v>0</v>
      </c>
      <c r="I1436">
        <v>0</v>
      </c>
      <c r="J1436">
        <v>0</v>
      </c>
      <c r="K1436">
        <v>0</v>
      </c>
      <c r="L1436" t="s">
        <v>3284</v>
      </c>
      <c r="M1436" t="s">
        <v>3816</v>
      </c>
      <c r="N1436" t="s">
        <v>4987</v>
      </c>
      <c r="O1436" t="s">
        <v>6149</v>
      </c>
      <c r="P1436" t="s">
        <v>6906</v>
      </c>
      <c r="Q1436" t="s">
        <v>6907</v>
      </c>
      <c r="R1436" t="s">
        <v>6908</v>
      </c>
    </row>
    <row r="1437" spans="1:18" x14ac:dyDescent="0.2">
      <c r="A1437">
        <v>2773451</v>
      </c>
      <c r="B1437" t="s">
        <v>6909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2</v>
      </c>
      <c r="I1437">
        <v>1</v>
      </c>
      <c r="J1437">
        <v>0</v>
      </c>
      <c r="K1437">
        <v>0</v>
      </c>
      <c r="L1437" t="s">
        <v>3284</v>
      </c>
      <c r="M1437" t="s">
        <v>3296</v>
      </c>
      <c r="N1437" t="s">
        <v>3343</v>
      </c>
      <c r="O1437" t="s">
        <v>3344</v>
      </c>
      <c r="P1437" t="s">
        <v>3367</v>
      </c>
      <c r="Q1437" t="s">
        <v>3368</v>
      </c>
      <c r="R1437" t="s">
        <v>6910</v>
      </c>
    </row>
    <row r="1438" spans="1:18" x14ac:dyDescent="0.2">
      <c r="A1438">
        <v>2773304</v>
      </c>
      <c r="B1438" t="s">
        <v>6911</v>
      </c>
      <c r="C1438">
        <v>0</v>
      </c>
      <c r="D1438">
        <v>0</v>
      </c>
      <c r="E1438">
        <v>0</v>
      </c>
      <c r="F1438">
        <v>27</v>
      </c>
      <c r="G1438">
        <v>28</v>
      </c>
      <c r="H1438">
        <v>0</v>
      </c>
      <c r="I1438">
        <v>1</v>
      </c>
      <c r="J1438">
        <v>0</v>
      </c>
      <c r="K1438">
        <v>0</v>
      </c>
      <c r="L1438" t="s">
        <v>3284</v>
      </c>
      <c r="M1438" t="s">
        <v>3391</v>
      </c>
      <c r="N1438" t="s">
        <v>3740</v>
      </c>
      <c r="O1438" t="s">
        <v>3741</v>
      </c>
      <c r="P1438" t="s">
        <v>3742</v>
      </c>
      <c r="Q1438" t="s">
        <v>4598</v>
      </c>
      <c r="R1438" t="s">
        <v>6912</v>
      </c>
    </row>
    <row r="1439" spans="1:18" x14ac:dyDescent="0.2">
      <c r="A1439">
        <v>2772558</v>
      </c>
      <c r="B1439" t="s">
        <v>6913</v>
      </c>
      <c r="C1439">
        <v>0</v>
      </c>
      <c r="D1439">
        <v>0</v>
      </c>
      <c r="E1439">
        <v>0</v>
      </c>
      <c r="F1439">
        <v>0</v>
      </c>
      <c r="G1439">
        <v>1</v>
      </c>
      <c r="H1439">
        <v>0</v>
      </c>
      <c r="I1439">
        <v>0</v>
      </c>
      <c r="J1439">
        <v>0</v>
      </c>
      <c r="K1439">
        <v>0</v>
      </c>
      <c r="L1439" t="s">
        <v>3284</v>
      </c>
      <c r="M1439" t="s">
        <v>3296</v>
      </c>
      <c r="N1439" t="s">
        <v>3297</v>
      </c>
      <c r="O1439" t="s">
        <v>3434</v>
      </c>
      <c r="P1439" t="s">
        <v>3435</v>
      </c>
      <c r="Q1439" t="s">
        <v>3436</v>
      </c>
      <c r="R1439" t="s">
        <v>6914</v>
      </c>
    </row>
    <row r="1440" spans="1:18" x14ac:dyDescent="0.2">
      <c r="A1440">
        <v>2772557</v>
      </c>
      <c r="B1440" t="s">
        <v>6915</v>
      </c>
      <c r="C1440">
        <v>0</v>
      </c>
      <c r="D1440">
        <v>0</v>
      </c>
      <c r="E1440">
        <v>0</v>
      </c>
      <c r="F1440">
        <v>0</v>
      </c>
      <c r="G1440">
        <v>1</v>
      </c>
      <c r="H1440">
        <v>0</v>
      </c>
      <c r="I1440">
        <v>0</v>
      </c>
      <c r="J1440">
        <v>0</v>
      </c>
      <c r="K1440">
        <v>0</v>
      </c>
      <c r="L1440" t="s">
        <v>3284</v>
      </c>
      <c r="M1440" t="s">
        <v>6718</v>
      </c>
      <c r="N1440" t="s">
        <v>6916</v>
      </c>
      <c r="O1440" t="s">
        <v>6917</v>
      </c>
      <c r="P1440" t="s">
        <v>6918</v>
      </c>
      <c r="Q1440" t="s">
        <v>6919</v>
      </c>
      <c r="R1440" t="s">
        <v>6920</v>
      </c>
    </row>
    <row r="1441" spans="1:18" x14ac:dyDescent="0.2">
      <c r="A1441">
        <v>2772483</v>
      </c>
      <c r="B1441" t="s">
        <v>6921</v>
      </c>
      <c r="C1441">
        <v>1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 t="s">
        <v>3284</v>
      </c>
      <c r="M1441" t="s">
        <v>3391</v>
      </c>
      <c r="N1441" t="s">
        <v>3740</v>
      </c>
      <c r="O1441" t="s">
        <v>3741</v>
      </c>
      <c r="P1441" t="s">
        <v>4388</v>
      </c>
      <c r="Q1441" t="s">
        <v>4389</v>
      </c>
      <c r="R1441" t="s">
        <v>6922</v>
      </c>
    </row>
    <row r="1442" spans="1:18" x14ac:dyDescent="0.2">
      <c r="A1442">
        <v>2772457</v>
      </c>
      <c r="B1442" t="s">
        <v>6923</v>
      </c>
      <c r="C1442">
        <v>0</v>
      </c>
      <c r="D1442">
        <v>1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 t="s">
        <v>3284</v>
      </c>
      <c r="M1442" t="s">
        <v>3327</v>
      </c>
      <c r="N1442" t="s">
        <v>3753</v>
      </c>
      <c r="O1442" t="s">
        <v>3754</v>
      </c>
      <c r="P1442" t="s">
        <v>3755</v>
      </c>
      <c r="Q1442" t="s">
        <v>6924</v>
      </c>
      <c r="R1442" t="s">
        <v>6925</v>
      </c>
    </row>
    <row r="1443" spans="1:18" x14ac:dyDescent="0.2">
      <c r="A1443">
        <v>2772301</v>
      </c>
      <c r="B1443" t="s">
        <v>6926</v>
      </c>
      <c r="C1443">
        <v>1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 t="s">
        <v>3284</v>
      </c>
      <c r="M1443" t="s">
        <v>3296</v>
      </c>
      <c r="N1443" t="s">
        <v>3321</v>
      </c>
      <c r="O1443" t="s">
        <v>3322</v>
      </c>
      <c r="P1443" t="s">
        <v>3671</v>
      </c>
      <c r="Q1443" t="s">
        <v>6927</v>
      </c>
      <c r="R1443" t="s">
        <v>6928</v>
      </c>
    </row>
    <row r="1444" spans="1:18" x14ac:dyDescent="0.2">
      <c r="A1444">
        <v>2772110</v>
      </c>
      <c r="B1444" t="s">
        <v>6929</v>
      </c>
      <c r="C1444">
        <v>0</v>
      </c>
      <c r="D1444">
        <v>0</v>
      </c>
      <c r="E1444">
        <v>0</v>
      </c>
      <c r="F1444">
        <v>2</v>
      </c>
      <c r="G1444">
        <v>1</v>
      </c>
      <c r="H1444">
        <v>0</v>
      </c>
      <c r="I1444">
        <v>0</v>
      </c>
      <c r="J1444">
        <v>0</v>
      </c>
      <c r="K1444">
        <v>0</v>
      </c>
      <c r="L1444" t="s">
        <v>3284</v>
      </c>
      <c r="M1444" t="s">
        <v>3391</v>
      </c>
      <c r="N1444" t="s">
        <v>3392</v>
      </c>
      <c r="O1444" t="s">
        <v>3393</v>
      </c>
      <c r="P1444" t="s">
        <v>3394</v>
      </c>
      <c r="Q1444" t="s">
        <v>4082</v>
      </c>
      <c r="R1444" t="s">
        <v>6930</v>
      </c>
    </row>
    <row r="1445" spans="1:18" x14ac:dyDescent="0.2">
      <c r="A1445">
        <v>2772109</v>
      </c>
      <c r="B1445" t="s">
        <v>6931</v>
      </c>
      <c r="C1445">
        <v>0</v>
      </c>
      <c r="D1445">
        <v>0</v>
      </c>
      <c r="E1445">
        <v>0</v>
      </c>
      <c r="F1445">
        <v>6</v>
      </c>
      <c r="G1445">
        <v>2</v>
      </c>
      <c r="H1445">
        <v>0</v>
      </c>
      <c r="I1445">
        <v>0</v>
      </c>
      <c r="J1445">
        <v>0</v>
      </c>
      <c r="K1445">
        <v>0</v>
      </c>
      <c r="L1445" t="s">
        <v>3284</v>
      </c>
      <c r="M1445" t="s">
        <v>3391</v>
      </c>
      <c r="N1445" t="s">
        <v>3392</v>
      </c>
      <c r="O1445" t="s">
        <v>3393</v>
      </c>
      <c r="P1445" t="s">
        <v>3394</v>
      </c>
      <c r="Q1445" t="s">
        <v>4082</v>
      </c>
      <c r="R1445" t="s">
        <v>6932</v>
      </c>
    </row>
    <row r="1446" spans="1:18" x14ac:dyDescent="0.2">
      <c r="A1446">
        <v>2771434</v>
      </c>
      <c r="B1446" t="s">
        <v>6933</v>
      </c>
      <c r="C1446">
        <v>0</v>
      </c>
      <c r="D1446">
        <v>1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 t="s">
        <v>3284</v>
      </c>
      <c r="M1446" t="s">
        <v>3327</v>
      </c>
      <c r="N1446" t="s">
        <v>3376</v>
      </c>
      <c r="O1446" t="s">
        <v>3377</v>
      </c>
      <c r="P1446" t="s">
        <v>3378</v>
      </c>
      <c r="Q1446" t="s">
        <v>6184</v>
      </c>
      <c r="R1446" t="s">
        <v>6934</v>
      </c>
    </row>
    <row r="1447" spans="1:18" x14ac:dyDescent="0.2">
      <c r="A1447">
        <v>2771428</v>
      </c>
      <c r="B1447" t="s">
        <v>6935</v>
      </c>
      <c r="C1447">
        <v>0</v>
      </c>
      <c r="D1447">
        <v>0</v>
      </c>
      <c r="E1447">
        <v>0</v>
      </c>
      <c r="F1447">
        <v>0</v>
      </c>
      <c r="G1447">
        <v>1</v>
      </c>
      <c r="H1447">
        <v>0</v>
      </c>
      <c r="I1447">
        <v>0</v>
      </c>
      <c r="J1447">
        <v>0</v>
      </c>
      <c r="K1447">
        <v>0</v>
      </c>
      <c r="L1447" t="s">
        <v>3284</v>
      </c>
      <c r="M1447" t="s">
        <v>3391</v>
      </c>
      <c r="N1447" t="s">
        <v>3411</v>
      </c>
      <c r="O1447" t="s">
        <v>3412</v>
      </c>
      <c r="P1447" t="s">
        <v>3564</v>
      </c>
      <c r="Q1447" t="s">
        <v>3803</v>
      </c>
      <c r="R1447" t="s">
        <v>6936</v>
      </c>
    </row>
    <row r="1448" spans="1:18" x14ac:dyDescent="0.2">
      <c r="A1448">
        <v>2771427</v>
      </c>
      <c r="B1448" t="s">
        <v>6937</v>
      </c>
      <c r="C1448">
        <v>4</v>
      </c>
      <c r="D1448">
        <v>1</v>
      </c>
      <c r="E1448">
        <v>1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 t="s">
        <v>3284</v>
      </c>
      <c r="M1448" t="s">
        <v>3296</v>
      </c>
      <c r="N1448" t="s">
        <v>3321</v>
      </c>
      <c r="O1448" t="s">
        <v>3322</v>
      </c>
      <c r="P1448" t="s">
        <v>3398</v>
      </c>
      <c r="Q1448" t="s">
        <v>4796</v>
      </c>
      <c r="R1448" t="s">
        <v>6938</v>
      </c>
    </row>
    <row r="1449" spans="1:18" x14ac:dyDescent="0.2">
      <c r="A1449">
        <v>2771362</v>
      </c>
      <c r="B1449" t="s">
        <v>6939</v>
      </c>
      <c r="C1449">
        <v>0</v>
      </c>
      <c r="D1449">
        <v>0</v>
      </c>
      <c r="E1449">
        <v>0</v>
      </c>
      <c r="F1449">
        <v>5</v>
      </c>
      <c r="G1449">
        <v>0</v>
      </c>
      <c r="H1449">
        <v>0</v>
      </c>
      <c r="I1449">
        <v>5</v>
      </c>
      <c r="J1449">
        <v>5</v>
      </c>
      <c r="K1449">
        <v>3</v>
      </c>
      <c r="L1449" t="s">
        <v>3284</v>
      </c>
      <c r="M1449" t="s">
        <v>3296</v>
      </c>
      <c r="N1449" t="s">
        <v>3297</v>
      </c>
      <c r="O1449" t="s">
        <v>3469</v>
      </c>
      <c r="P1449" t="s">
        <v>3470</v>
      </c>
      <c r="Q1449" t="s">
        <v>3471</v>
      </c>
      <c r="R1449" t="s">
        <v>6940</v>
      </c>
    </row>
    <row r="1450" spans="1:18" x14ac:dyDescent="0.2">
      <c r="A1450">
        <v>2771361</v>
      </c>
      <c r="B1450" t="s">
        <v>6941</v>
      </c>
      <c r="C1450">
        <v>1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6</v>
      </c>
      <c r="J1450">
        <v>1</v>
      </c>
      <c r="K1450">
        <v>1</v>
      </c>
      <c r="L1450" t="s">
        <v>3284</v>
      </c>
      <c r="M1450" t="s">
        <v>3296</v>
      </c>
      <c r="N1450" t="s">
        <v>3343</v>
      </c>
      <c r="O1450" t="s">
        <v>3429</v>
      </c>
      <c r="P1450" t="s">
        <v>3430</v>
      </c>
      <c r="Q1450" t="s">
        <v>3431</v>
      </c>
      <c r="R1450" t="s">
        <v>6942</v>
      </c>
    </row>
    <row r="1451" spans="1:18" x14ac:dyDescent="0.2">
      <c r="A1451">
        <v>2771116</v>
      </c>
      <c r="B1451" t="s">
        <v>6943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1</v>
      </c>
      <c r="J1451">
        <v>0</v>
      </c>
      <c r="K1451">
        <v>0</v>
      </c>
      <c r="L1451" t="s">
        <v>3284</v>
      </c>
      <c r="M1451" t="s">
        <v>4022</v>
      </c>
      <c r="N1451" t="s">
        <v>4023</v>
      </c>
      <c r="O1451" t="s">
        <v>6944</v>
      </c>
      <c r="P1451" t="s">
        <v>6945</v>
      </c>
      <c r="Q1451" t="s">
        <v>6946</v>
      </c>
      <c r="R1451" t="s">
        <v>6947</v>
      </c>
    </row>
    <row r="1452" spans="1:18" x14ac:dyDescent="0.2">
      <c r="A1452">
        <v>2771008</v>
      </c>
      <c r="B1452" t="s">
        <v>6948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1</v>
      </c>
      <c r="K1452">
        <v>0</v>
      </c>
      <c r="L1452" t="s">
        <v>3284</v>
      </c>
      <c r="M1452" t="s">
        <v>3296</v>
      </c>
      <c r="N1452" t="s">
        <v>3343</v>
      </c>
      <c r="O1452" t="s">
        <v>3371</v>
      </c>
      <c r="P1452" t="s">
        <v>3688</v>
      </c>
      <c r="Q1452" t="s">
        <v>6949</v>
      </c>
      <c r="R1452" t="s">
        <v>6950</v>
      </c>
    </row>
    <row r="1453" spans="1:18" x14ac:dyDescent="0.2">
      <c r="A1453">
        <v>2770274</v>
      </c>
      <c r="B1453" t="s">
        <v>6951</v>
      </c>
      <c r="C1453">
        <v>0</v>
      </c>
      <c r="D1453">
        <v>1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 t="s">
        <v>3284</v>
      </c>
      <c r="M1453" t="s">
        <v>3327</v>
      </c>
      <c r="N1453" t="s">
        <v>3376</v>
      </c>
      <c r="O1453" t="s">
        <v>3377</v>
      </c>
      <c r="P1453" t="s">
        <v>3604</v>
      </c>
      <c r="Q1453" t="s">
        <v>3668</v>
      </c>
      <c r="R1453" t="s">
        <v>6952</v>
      </c>
    </row>
    <row r="1454" spans="1:18" x14ac:dyDescent="0.2">
      <c r="A1454">
        <v>2769420</v>
      </c>
      <c r="B1454" t="s">
        <v>6953</v>
      </c>
      <c r="C1454">
        <v>2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 t="s">
        <v>3284</v>
      </c>
      <c r="M1454" t="s">
        <v>3327</v>
      </c>
      <c r="N1454" t="s">
        <v>3328</v>
      </c>
      <c r="O1454" t="s">
        <v>3329</v>
      </c>
      <c r="P1454" t="s">
        <v>3330</v>
      </c>
      <c r="Q1454" t="s">
        <v>3331</v>
      </c>
      <c r="R1454" t="s">
        <v>6954</v>
      </c>
    </row>
    <row r="1455" spans="1:18" x14ac:dyDescent="0.2">
      <c r="A1455">
        <v>2769339</v>
      </c>
      <c r="B1455" t="s">
        <v>6955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1</v>
      </c>
      <c r="K1455">
        <v>0</v>
      </c>
      <c r="L1455" t="s">
        <v>3284</v>
      </c>
      <c r="M1455" t="s">
        <v>3296</v>
      </c>
      <c r="N1455" t="s">
        <v>3297</v>
      </c>
      <c r="O1455" t="s">
        <v>3298</v>
      </c>
      <c r="P1455" t="s">
        <v>3873</v>
      </c>
      <c r="Q1455" t="s">
        <v>4087</v>
      </c>
      <c r="R1455" t="s">
        <v>6956</v>
      </c>
    </row>
    <row r="1456" spans="1:18" x14ac:dyDescent="0.2">
      <c r="A1456">
        <v>2769310</v>
      </c>
      <c r="B1456" t="s">
        <v>6957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7</v>
      </c>
      <c r="J1456">
        <v>2</v>
      </c>
      <c r="K1456">
        <v>2</v>
      </c>
      <c r="L1456" t="s">
        <v>3284</v>
      </c>
      <c r="M1456" t="s">
        <v>3296</v>
      </c>
      <c r="N1456" t="s">
        <v>3321</v>
      </c>
      <c r="O1456" t="s">
        <v>3322</v>
      </c>
      <c r="P1456" t="s">
        <v>3398</v>
      </c>
      <c r="Q1456" t="s">
        <v>3556</v>
      </c>
      <c r="R1456" t="s">
        <v>6958</v>
      </c>
    </row>
    <row r="1457" spans="1:18" x14ac:dyDescent="0.2">
      <c r="A1457">
        <v>2769303</v>
      </c>
      <c r="B1457" t="s">
        <v>6959</v>
      </c>
      <c r="C1457">
        <v>0</v>
      </c>
      <c r="D1457">
        <v>0</v>
      </c>
      <c r="E1457">
        <v>0</v>
      </c>
      <c r="F1457">
        <v>1</v>
      </c>
      <c r="G1457">
        <v>1</v>
      </c>
      <c r="H1457">
        <v>0</v>
      </c>
      <c r="I1457">
        <v>0</v>
      </c>
      <c r="J1457">
        <v>0</v>
      </c>
      <c r="K1457">
        <v>0</v>
      </c>
      <c r="L1457" t="s">
        <v>3284</v>
      </c>
      <c r="M1457" t="s">
        <v>3296</v>
      </c>
      <c r="N1457" t="s">
        <v>3297</v>
      </c>
      <c r="O1457" t="s">
        <v>3434</v>
      </c>
      <c r="P1457" t="s">
        <v>3435</v>
      </c>
      <c r="Q1457" t="s">
        <v>3436</v>
      </c>
      <c r="R1457" t="s">
        <v>6960</v>
      </c>
    </row>
    <row r="1458" spans="1:18" x14ac:dyDescent="0.2">
      <c r="A1458">
        <v>2769295</v>
      </c>
      <c r="B1458" t="s">
        <v>6961</v>
      </c>
      <c r="C1458">
        <v>0</v>
      </c>
      <c r="D1458">
        <v>0</v>
      </c>
      <c r="E1458">
        <v>0</v>
      </c>
      <c r="F1458">
        <v>0</v>
      </c>
      <c r="G1458">
        <v>1</v>
      </c>
      <c r="H1458">
        <v>0</v>
      </c>
      <c r="I1458">
        <v>0</v>
      </c>
      <c r="J1458">
        <v>0</v>
      </c>
      <c r="K1458">
        <v>0</v>
      </c>
      <c r="L1458" t="s">
        <v>3284</v>
      </c>
      <c r="M1458" t="s">
        <v>3296</v>
      </c>
      <c r="N1458" t="s">
        <v>3297</v>
      </c>
      <c r="O1458" t="s">
        <v>3469</v>
      </c>
      <c r="P1458" t="s">
        <v>3470</v>
      </c>
      <c r="Q1458" t="s">
        <v>6962</v>
      </c>
      <c r="R1458" t="s">
        <v>6963</v>
      </c>
    </row>
    <row r="1459" spans="1:18" x14ac:dyDescent="0.2">
      <c r="A1459">
        <v>2769292</v>
      </c>
      <c r="B1459" t="s">
        <v>6964</v>
      </c>
      <c r="C1459">
        <v>0</v>
      </c>
      <c r="D1459">
        <v>0</v>
      </c>
      <c r="E1459">
        <v>0</v>
      </c>
      <c r="F1459">
        <v>0</v>
      </c>
      <c r="G1459">
        <v>2</v>
      </c>
      <c r="H1459">
        <v>1</v>
      </c>
      <c r="I1459">
        <v>0</v>
      </c>
      <c r="J1459">
        <v>0</v>
      </c>
      <c r="K1459">
        <v>0</v>
      </c>
      <c r="L1459" t="s">
        <v>3284</v>
      </c>
      <c r="M1459" t="s">
        <v>3296</v>
      </c>
      <c r="N1459" t="s">
        <v>3297</v>
      </c>
      <c r="O1459" t="s">
        <v>3434</v>
      </c>
      <c r="P1459" t="s">
        <v>3435</v>
      </c>
      <c r="Q1459" t="s">
        <v>3436</v>
      </c>
      <c r="R1459" t="s">
        <v>6965</v>
      </c>
    </row>
    <row r="1460" spans="1:18" x14ac:dyDescent="0.2">
      <c r="A1460">
        <v>2769291</v>
      </c>
      <c r="B1460" t="s">
        <v>6966</v>
      </c>
      <c r="C1460">
        <v>0</v>
      </c>
      <c r="D1460">
        <v>1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 t="s">
        <v>3284</v>
      </c>
      <c r="M1460" t="s">
        <v>3296</v>
      </c>
      <c r="N1460" t="s">
        <v>3343</v>
      </c>
      <c r="O1460" t="s">
        <v>3344</v>
      </c>
      <c r="P1460" t="s">
        <v>3355</v>
      </c>
      <c r="Q1460" t="s">
        <v>3525</v>
      </c>
      <c r="R1460" t="s">
        <v>6967</v>
      </c>
    </row>
    <row r="1461" spans="1:18" x14ac:dyDescent="0.2">
      <c r="A1461">
        <v>2769289</v>
      </c>
      <c r="B1461" t="s">
        <v>6968</v>
      </c>
      <c r="C1461">
        <v>0</v>
      </c>
      <c r="D1461">
        <v>0</v>
      </c>
      <c r="E1461">
        <v>0</v>
      </c>
      <c r="F1461">
        <v>0</v>
      </c>
      <c r="G1461">
        <v>1</v>
      </c>
      <c r="H1461">
        <v>0</v>
      </c>
      <c r="I1461">
        <v>0</v>
      </c>
      <c r="J1461">
        <v>0</v>
      </c>
      <c r="K1461">
        <v>0</v>
      </c>
      <c r="L1461" t="s">
        <v>3284</v>
      </c>
      <c r="M1461" t="s">
        <v>3296</v>
      </c>
      <c r="N1461" t="s">
        <v>3297</v>
      </c>
      <c r="O1461" t="s">
        <v>3469</v>
      </c>
      <c r="P1461" t="s">
        <v>3470</v>
      </c>
      <c r="Q1461" t="s">
        <v>5246</v>
      </c>
      <c r="R1461" t="s">
        <v>6969</v>
      </c>
    </row>
    <row r="1462" spans="1:18" x14ac:dyDescent="0.2">
      <c r="A1462">
        <v>2769288</v>
      </c>
      <c r="B1462" t="s">
        <v>6970</v>
      </c>
      <c r="C1462">
        <v>0</v>
      </c>
      <c r="D1462">
        <v>0</v>
      </c>
      <c r="E1462">
        <v>0</v>
      </c>
      <c r="F1462">
        <v>1</v>
      </c>
      <c r="G1462">
        <v>0</v>
      </c>
      <c r="H1462">
        <v>0</v>
      </c>
      <c r="I1462">
        <v>0</v>
      </c>
      <c r="J1462">
        <v>0</v>
      </c>
      <c r="K1462">
        <v>0</v>
      </c>
      <c r="L1462" t="s">
        <v>3284</v>
      </c>
      <c r="M1462" t="s">
        <v>3296</v>
      </c>
      <c r="N1462" t="s">
        <v>3297</v>
      </c>
      <c r="O1462" t="s">
        <v>3434</v>
      </c>
      <c r="P1462" t="s">
        <v>3435</v>
      </c>
      <c r="Q1462" t="s">
        <v>3436</v>
      </c>
      <c r="R1462" t="s">
        <v>6971</v>
      </c>
    </row>
    <row r="1463" spans="1:18" x14ac:dyDescent="0.2">
      <c r="A1463">
        <v>2769279</v>
      </c>
      <c r="B1463" t="s">
        <v>6972</v>
      </c>
      <c r="C1463">
        <v>0</v>
      </c>
      <c r="D1463">
        <v>0</v>
      </c>
      <c r="E1463">
        <v>0</v>
      </c>
      <c r="F1463">
        <v>3</v>
      </c>
      <c r="G1463">
        <v>1</v>
      </c>
      <c r="H1463">
        <v>5</v>
      </c>
      <c r="I1463">
        <v>8</v>
      </c>
      <c r="J1463">
        <v>5</v>
      </c>
      <c r="K1463">
        <v>5</v>
      </c>
      <c r="L1463" t="s">
        <v>3284</v>
      </c>
      <c r="M1463" t="s">
        <v>3296</v>
      </c>
      <c r="N1463" t="s">
        <v>3321</v>
      </c>
      <c r="O1463" t="s">
        <v>3322</v>
      </c>
      <c r="P1463" t="s">
        <v>3398</v>
      </c>
      <c r="Q1463" t="s">
        <v>3439</v>
      </c>
      <c r="R1463" t="s">
        <v>6973</v>
      </c>
    </row>
    <row r="1464" spans="1:18" x14ac:dyDescent="0.2">
      <c r="A1464">
        <v>2769273</v>
      </c>
      <c r="B1464" t="s">
        <v>6974</v>
      </c>
      <c r="C1464">
        <v>0</v>
      </c>
      <c r="D1464">
        <v>0</v>
      </c>
      <c r="E1464">
        <v>0</v>
      </c>
      <c r="F1464">
        <v>0</v>
      </c>
      <c r="G1464">
        <v>1</v>
      </c>
      <c r="H1464">
        <v>0</v>
      </c>
      <c r="I1464">
        <v>0</v>
      </c>
      <c r="J1464">
        <v>0</v>
      </c>
      <c r="K1464">
        <v>0</v>
      </c>
      <c r="L1464" t="s">
        <v>3284</v>
      </c>
      <c r="M1464" t="s">
        <v>3296</v>
      </c>
      <c r="N1464" t="s">
        <v>3343</v>
      </c>
      <c r="O1464" t="s">
        <v>3344</v>
      </c>
      <c r="P1464" t="s">
        <v>3355</v>
      </c>
      <c r="Q1464" t="s">
        <v>3525</v>
      </c>
      <c r="R1464" t="s">
        <v>6975</v>
      </c>
    </row>
    <row r="1465" spans="1:18" x14ac:dyDescent="0.2">
      <c r="A1465">
        <v>2769263</v>
      </c>
      <c r="B1465" t="s">
        <v>6976</v>
      </c>
      <c r="C1465">
        <v>0</v>
      </c>
      <c r="D1465">
        <v>1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 t="s">
        <v>3284</v>
      </c>
      <c r="M1465" t="s">
        <v>3296</v>
      </c>
      <c r="N1465" t="s">
        <v>3343</v>
      </c>
      <c r="O1465" t="s">
        <v>3344</v>
      </c>
      <c r="P1465" t="s">
        <v>3355</v>
      </c>
      <c r="Q1465" t="s">
        <v>3525</v>
      </c>
      <c r="R1465" t="s">
        <v>6977</v>
      </c>
    </row>
    <row r="1466" spans="1:18" x14ac:dyDescent="0.2">
      <c r="A1466">
        <v>2769255</v>
      </c>
      <c r="B1466" t="s">
        <v>6978</v>
      </c>
      <c r="C1466">
        <v>0</v>
      </c>
      <c r="D1466">
        <v>0</v>
      </c>
      <c r="E1466">
        <v>0</v>
      </c>
      <c r="F1466">
        <v>1</v>
      </c>
      <c r="G1466">
        <v>0</v>
      </c>
      <c r="H1466">
        <v>0</v>
      </c>
      <c r="I1466">
        <v>0</v>
      </c>
      <c r="J1466">
        <v>0</v>
      </c>
      <c r="K1466">
        <v>0</v>
      </c>
      <c r="L1466" t="s">
        <v>3284</v>
      </c>
      <c r="M1466" t="s">
        <v>3296</v>
      </c>
      <c r="N1466" t="s">
        <v>3297</v>
      </c>
      <c r="O1466" t="s">
        <v>3434</v>
      </c>
      <c r="P1466" t="s">
        <v>3435</v>
      </c>
      <c r="Q1466" t="s">
        <v>3436</v>
      </c>
      <c r="R1466" t="s">
        <v>6979</v>
      </c>
    </row>
    <row r="1467" spans="1:18" x14ac:dyDescent="0.2">
      <c r="A1467">
        <v>2768457</v>
      </c>
      <c r="B1467" t="s">
        <v>6980</v>
      </c>
      <c r="C1467">
        <v>0</v>
      </c>
      <c r="D1467">
        <v>1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 t="s">
        <v>3284</v>
      </c>
      <c r="M1467" t="s">
        <v>3307</v>
      </c>
      <c r="N1467" t="s">
        <v>3308</v>
      </c>
      <c r="O1467" t="s">
        <v>3359</v>
      </c>
      <c r="P1467" t="s">
        <v>3360</v>
      </c>
      <c r="Q1467" t="s">
        <v>3361</v>
      </c>
      <c r="R1467" t="s">
        <v>6981</v>
      </c>
    </row>
    <row r="1468" spans="1:18" x14ac:dyDescent="0.2">
      <c r="A1468">
        <v>2768166</v>
      </c>
      <c r="B1468" t="s">
        <v>6982</v>
      </c>
      <c r="C1468">
        <v>10</v>
      </c>
      <c r="D1468">
        <v>19</v>
      </c>
      <c r="E1468">
        <v>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 t="s">
        <v>3284</v>
      </c>
      <c r="M1468" t="s">
        <v>3327</v>
      </c>
      <c r="N1468" t="s">
        <v>3328</v>
      </c>
      <c r="O1468" t="s">
        <v>3329</v>
      </c>
      <c r="P1468" t="s">
        <v>3330</v>
      </c>
      <c r="Q1468" t="s">
        <v>3331</v>
      </c>
      <c r="R1468" t="s">
        <v>6983</v>
      </c>
    </row>
    <row r="1469" spans="1:18" x14ac:dyDescent="0.2">
      <c r="A1469">
        <v>2768162</v>
      </c>
      <c r="B1469" t="s">
        <v>6984</v>
      </c>
      <c r="C1469">
        <v>0</v>
      </c>
      <c r="D1469">
        <v>0</v>
      </c>
      <c r="E1469">
        <v>0</v>
      </c>
      <c r="F1469">
        <v>3</v>
      </c>
      <c r="G1469">
        <v>1</v>
      </c>
      <c r="H1469">
        <v>2</v>
      </c>
      <c r="I1469">
        <v>0</v>
      </c>
      <c r="J1469">
        <v>0</v>
      </c>
      <c r="K1469">
        <v>0</v>
      </c>
      <c r="L1469" t="s">
        <v>3284</v>
      </c>
      <c r="M1469" t="s">
        <v>3296</v>
      </c>
      <c r="N1469" t="s">
        <v>3343</v>
      </c>
      <c r="O1469" t="s">
        <v>3429</v>
      </c>
      <c r="P1469" t="s">
        <v>3430</v>
      </c>
      <c r="Q1469" t="s">
        <v>3651</v>
      </c>
      <c r="R1469" t="s">
        <v>6985</v>
      </c>
    </row>
    <row r="1470" spans="1:18" x14ac:dyDescent="0.2">
      <c r="A1470">
        <v>2768161</v>
      </c>
      <c r="B1470" t="s">
        <v>6986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1</v>
      </c>
      <c r="J1470">
        <v>0</v>
      </c>
      <c r="K1470">
        <v>2</v>
      </c>
      <c r="L1470" t="s">
        <v>3284</v>
      </c>
      <c r="M1470" t="s">
        <v>3296</v>
      </c>
      <c r="N1470" t="s">
        <v>3343</v>
      </c>
      <c r="O1470" t="s">
        <v>3429</v>
      </c>
      <c r="P1470" t="s">
        <v>3430</v>
      </c>
      <c r="Q1470" t="s">
        <v>3651</v>
      </c>
      <c r="R1470" t="s">
        <v>6987</v>
      </c>
    </row>
    <row r="1471" spans="1:18" x14ac:dyDescent="0.2">
      <c r="A1471">
        <v>2767772</v>
      </c>
      <c r="B1471" t="s">
        <v>6988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1</v>
      </c>
      <c r="K1471">
        <v>0</v>
      </c>
      <c r="L1471" t="s">
        <v>3284</v>
      </c>
      <c r="M1471" t="s">
        <v>4022</v>
      </c>
      <c r="N1471" t="s">
        <v>4023</v>
      </c>
      <c r="O1471" t="s">
        <v>5900</v>
      </c>
      <c r="P1471" t="s">
        <v>5901</v>
      </c>
      <c r="Q1471" t="s">
        <v>6989</v>
      </c>
      <c r="R1471" t="s">
        <v>6990</v>
      </c>
    </row>
    <row r="1472" spans="1:18" x14ac:dyDescent="0.2">
      <c r="A1472">
        <v>2767482</v>
      </c>
      <c r="B1472" t="s">
        <v>6991</v>
      </c>
      <c r="C1472">
        <v>0</v>
      </c>
      <c r="D1472">
        <v>0</v>
      </c>
      <c r="E1472">
        <v>0</v>
      </c>
      <c r="F1472">
        <v>0</v>
      </c>
      <c r="G1472">
        <v>1</v>
      </c>
      <c r="H1472">
        <v>0</v>
      </c>
      <c r="I1472">
        <v>0</v>
      </c>
      <c r="J1472">
        <v>0</v>
      </c>
      <c r="K1472">
        <v>0</v>
      </c>
      <c r="L1472" t="s">
        <v>3284</v>
      </c>
      <c r="M1472" t="s">
        <v>3296</v>
      </c>
      <c r="N1472" t="s">
        <v>3321</v>
      </c>
      <c r="O1472" t="s">
        <v>3322</v>
      </c>
      <c r="P1472" t="s">
        <v>3423</v>
      </c>
      <c r="Q1472" t="s">
        <v>6541</v>
      </c>
      <c r="R1472" t="s">
        <v>6992</v>
      </c>
    </row>
    <row r="1473" spans="1:18" x14ac:dyDescent="0.2">
      <c r="A1473">
        <v>2767464</v>
      </c>
      <c r="B1473" t="s">
        <v>6993</v>
      </c>
      <c r="C1473">
        <v>0</v>
      </c>
      <c r="D1473">
        <v>0</v>
      </c>
      <c r="E1473">
        <v>0</v>
      </c>
      <c r="F1473">
        <v>1</v>
      </c>
      <c r="G1473">
        <v>1</v>
      </c>
      <c r="H1473">
        <v>0</v>
      </c>
      <c r="I1473">
        <v>0</v>
      </c>
      <c r="J1473">
        <v>0</v>
      </c>
      <c r="K1473">
        <v>0</v>
      </c>
      <c r="L1473" t="s">
        <v>3284</v>
      </c>
      <c r="M1473" t="s">
        <v>3296</v>
      </c>
      <c r="N1473" t="s">
        <v>3297</v>
      </c>
      <c r="O1473" t="s">
        <v>3469</v>
      </c>
      <c r="P1473" t="s">
        <v>3470</v>
      </c>
      <c r="Q1473" t="s">
        <v>3471</v>
      </c>
      <c r="R1473" t="s">
        <v>6994</v>
      </c>
    </row>
    <row r="1474" spans="1:18" x14ac:dyDescent="0.2">
      <c r="A1474">
        <v>2767437</v>
      </c>
      <c r="B1474" t="s">
        <v>6995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1</v>
      </c>
      <c r="J1474">
        <v>0</v>
      </c>
      <c r="K1474">
        <v>0</v>
      </c>
      <c r="L1474" t="s">
        <v>3284</v>
      </c>
      <c r="M1474" t="s">
        <v>3296</v>
      </c>
      <c r="N1474" t="s">
        <v>3321</v>
      </c>
      <c r="O1474" t="s">
        <v>3322</v>
      </c>
      <c r="P1474" t="s">
        <v>3398</v>
      </c>
      <c r="Q1474" t="s">
        <v>3439</v>
      </c>
      <c r="R1474" t="s">
        <v>6996</v>
      </c>
    </row>
    <row r="1475" spans="1:18" x14ac:dyDescent="0.2">
      <c r="A1475">
        <v>2767222</v>
      </c>
      <c r="B1475" t="s">
        <v>6997</v>
      </c>
      <c r="C1475">
        <v>18</v>
      </c>
      <c r="D1475">
        <v>27</v>
      </c>
      <c r="E1475">
        <v>21</v>
      </c>
      <c r="F1475">
        <v>0</v>
      </c>
      <c r="G1475">
        <v>0</v>
      </c>
      <c r="H1475">
        <v>0</v>
      </c>
      <c r="I1475">
        <v>0</v>
      </c>
      <c r="J1475">
        <v>1</v>
      </c>
      <c r="K1475">
        <v>0</v>
      </c>
      <c r="L1475" t="s">
        <v>3284</v>
      </c>
      <c r="M1475" t="s">
        <v>3296</v>
      </c>
      <c r="N1475" t="s">
        <v>3321</v>
      </c>
      <c r="O1475" t="s">
        <v>3322</v>
      </c>
      <c r="P1475" t="s">
        <v>3398</v>
      </c>
      <c r="Q1475" t="s">
        <v>3439</v>
      </c>
      <c r="R1475" t="s">
        <v>6998</v>
      </c>
    </row>
    <row r="1476" spans="1:18" x14ac:dyDescent="0.2">
      <c r="A1476">
        <v>2766984</v>
      </c>
      <c r="B1476" t="s">
        <v>6999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1</v>
      </c>
      <c r="J1476">
        <v>0</v>
      </c>
      <c r="K1476">
        <v>0</v>
      </c>
      <c r="L1476" t="s">
        <v>3284</v>
      </c>
      <c r="M1476" t="s">
        <v>3391</v>
      </c>
      <c r="N1476" t="s">
        <v>3392</v>
      </c>
      <c r="O1476" t="s">
        <v>3393</v>
      </c>
      <c r="P1476" t="s">
        <v>3394</v>
      </c>
      <c r="Q1476" t="s">
        <v>3395</v>
      </c>
      <c r="R1476" t="s">
        <v>7000</v>
      </c>
    </row>
    <row r="1477" spans="1:18" x14ac:dyDescent="0.2">
      <c r="A1477">
        <v>2766537</v>
      </c>
      <c r="B1477" t="s">
        <v>7001</v>
      </c>
      <c r="C1477">
        <v>1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 t="s">
        <v>3284</v>
      </c>
      <c r="M1477" t="s">
        <v>3327</v>
      </c>
      <c r="N1477" t="s">
        <v>3328</v>
      </c>
      <c r="O1477" t="s">
        <v>3329</v>
      </c>
      <c r="P1477" t="s">
        <v>4620</v>
      </c>
      <c r="Q1477" t="s">
        <v>7002</v>
      </c>
      <c r="R1477" t="s">
        <v>7003</v>
      </c>
    </row>
    <row r="1478" spans="1:18" x14ac:dyDescent="0.2">
      <c r="A1478">
        <v>2766525</v>
      </c>
      <c r="B1478" t="s">
        <v>7004</v>
      </c>
      <c r="C1478">
        <v>0</v>
      </c>
      <c r="D1478">
        <v>0</v>
      </c>
      <c r="E1478">
        <v>0</v>
      </c>
      <c r="F1478">
        <v>0</v>
      </c>
      <c r="G1478">
        <v>1</v>
      </c>
      <c r="H1478">
        <v>0</v>
      </c>
      <c r="I1478">
        <v>0</v>
      </c>
      <c r="J1478">
        <v>0</v>
      </c>
      <c r="K1478">
        <v>0</v>
      </c>
      <c r="L1478" t="s">
        <v>3284</v>
      </c>
      <c r="M1478" t="s">
        <v>3296</v>
      </c>
      <c r="N1478" t="s">
        <v>3321</v>
      </c>
      <c r="O1478" t="s">
        <v>3322</v>
      </c>
      <c r="P1478" t="s">
        <v>3323</v>
      </c>
      <c r="Q1478" t="s">
        <v>7005</v>
      </c>
      <c r="R1478" t="s">
        <v>7006</v>
      </c>
    </row>
    <row r="1479" spans="1:18" x14ac:dyDescent="0.2">
      <c r="A1479">
        <v>2766479</v>
      </c>
      <c r="B1479" t="s">
        <v>7007</v>
      </c>
      <c r="C1479">
        <v>0</v>
      </c>
      <c r="D1479">
        <v>0</v>
      </c>
      <c r="E1479">
        <v>0</v>
      </c>
      <c r="F1479">
        <v>10</v>
      </c>
      <c r="G1479">
        <v>5</v>
      </c>
      <c r="H1479">
        <v>0</v>
      </c>
      <c r="I1479">
        <v>0</v>
      </c>
      <c r="J1479">
        <v>0</v>
      </c>
      <c r="K1479">
        <v>0</v>
      </c>
      <c r="L1479" t="s">
        <v>3284</v>
      </c>
      <c r="M1479" t="s">
        <v>3391</v>
      </c>
      <c r="N1479" t="s">
        <v>3411</v>
      </c>
      <c r="O1479" t="s">
        <v>3412</v>
      </c>
      <c r="P1479" t="s">
        <v>7008</v>
      </c>
      <c r="Q1479" t="s">
        <v>7009</v>
      </c>
      <c r="R1479" t="s">
        <v>7010</v>
      </c>
    </row>
    <row r="1480" spans="1:18" x14ac:dyDescent="0.2">
      <c r="A1480">
        <v>2766474</v>
      </c>
      <c r="B1480" t="s">
        <v>7011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1</v>
      </c>
      <c r="K1480">
        <v>1</v>
      </c>
      <c r="L1480" t="s">
        <v>3284</v>
      </c>
      <c r="M1480" t="s">
        <v>3296</v>
      </c>
      <c r="N1480" t="s">
        <v>3343</v>
      </c>
      <c r="O1480" t="s">
        <v>3344</v>
      </c>
      <c r="P1480" t="s">
        <v>7012</v>
      </c>
      <c r="Q1480" t="s">
        <v>7013</v>
      </c>
      <c r="R1480" t="s">
        <v>7014</v>
      </c>
    </row>
    <row r="1481" spans="1:18" x14ac:dyDescent="0.2">
      <c r="A1481">
        <v>2766473</v>
      </c>
      <c r="B1481" t="s">
        <v>7015</v>
      </c>
      <c r="C1481">
        <v>1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1</v>
      </c>
      <c r="J1481">
        <v>0</v>
      </c>
      <c r="K1481">
        <v>0</v>
      </c>
      <c r="L1481" t="s">
        <v>3284</v>
      </c>
      <c r="M1481" t="s">
        <v>3296</v>
      </c>
      <c r="N1481" t="s">
        <v>3343</v>
      </c>
      <c r="O1481" t="s">
        <v>3429</v>
      </c>
      <c r="P1481" t="s">
        <v>3430</v>
      </c>
      <c r="Q1481" t="s">
        <v>5837</v>
      </c>
      <c r="R1481" t="s">
        <v>7016</v>
      </c>
    </row>
    <row r="1482" spans="1:18" x14ac:dyDescent="0.2">
      <c r="A1482">
        <v>2765361</v>
      </c>
      <c r="B1482" t="s">
        <v>7017</v>
      </c>
      <c r="C1482">
        <v>0</v>
      </c>
      <c r="D1482">
        <v>0</v>
      </c>
      <c r="E1482">
        <v>0</v>
      </c>
      <c r="F1482">
        <v>6</v>
      </c>
      <c r="G1482">
        <v>2</v>
      </c>
      <c r="H1482">
        <v>0</v>
      </c>
      <c r="I1482">
        <v>0</v>
      </c>
      <c r="J1482">
        <v>0</v>
      </c>
      <c r="K1482">
        <v>0</v>
      </c>
      <c r="L1482" t="s">
        <v>3284</v>
      </c>
      <c r="M1482" t="s">
        <v>3391</v>
      </c>
      <c r="N1482" t="s">
        <v>3392</v>
      </c>
      <c r="O1482" t="s">
        <v>3393</v>
      </c>
      <c r="P1482" t="s">
        <v>3394</v>
      </c>
      <c r="Q1482" t="s">
        <v>3395</v>
      </c>
      <c r="R1482" t="s">
        <v>7018</v>
      </c>
    </row>
    <row r="1483" spans="1:18" x14ac:dyDescent="0.2">
      <c r="A1483">
        <v>2765360</v>
      </c>
      <c r="B1483" t="s">
        <v>7019</v>
      </c>
      <c r="C1483">
        <v>0</v>
      </c>
      <c r="D1483">
        <v>1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 t="s">
        <v>3284</v>
      </c>
      <c r="M1483" t="s">
        <v>3296</v>
      </c>
      <c r="N1483" t="s">
        <v>3321</v>
      </c>
      <c r="O1483" t="s">
        <v>3322</v>
      </c>
      <c r="P1483" t="s">
        <v>3323</v>
      </c>
      <c r="Q1483" t="s">
        <v>3324</v>
      </c>
      <c r="R1483" t="s">
        <v>7020</v>
      </c>
    </row>
    <row r="1484" spans="1:18" x14ac:dyDescent="0.2">
      <c r="A1484">
        <v>2764720</v>
      </c>
      <c r="B1484" t="s">
        <v>7021</v>
      </c>
      <c r="C1484">
        <v>0</v>
      </c>
      <c r="D1484">
        <v>0</v>
      </c>
      <c r="E1484">
        <v>0</v>
      </c>
      <c r="F1484">
        <v>1</v>
      </c>
      <c r="G1484">
        <v>0</v>
      </c>
      <c r="H1484">
        <v>0</v>
      </c>
      <c r="I1484">
        <v>0</v>
      </c>
      <c r="J1484">
        <v>0</v>
      </c>
      <c r="K1484">
        <v>0</v>
      </c>
      <c r="L1484" t="s">
        <v>3284</v>
      </c>
      <c r="M1484" t="s">
        <v>3391</v>
      </c>
      <c r="N1484" t="s">
        <v>3392</v>
      </c>
      <c r="O1484" t="s">
        <v>3393</v>
      </c>
      <c r="P1484" t="s">
        <v>3394</v>
      </c>
      <c r="Q1484" t="s">
        <v>4524</v>
      </c>
      <c r="R1484" t="s">
        <v>7022</v>
      </c>
    </row>
    <row r="1485" spans="1:18" x14ac:dyDescent="0.2">
      <c r="A1485">
        <v>2764716</v>
      </c>
      <c r="B1485" t="s">
        <v>7023</v>
      </c>
      <c r="C1485">
        <v>0</v>
      </c>
      <c r="D1485">
        <v>0</v>
      </c>
      <c r="E1485">
        <v>0</v>
      </c>
      <c r="F1485">
        <v>1</v>
      </c>
      <c r="G1485">
        <v>0</v>
      </c>
      <c r="H1485">
        <v>0</v>
      </c>
      <c r="I1485">
        <v>0</v>
      </c>
      <c r="J1485">
        <v>0</v>
      </c>
      <c r="K1485">
        <v>0</v>
      </c>
      <c r="L1485" t="s">
        <v>3284</v>
      </c>
      <c r="M1485" t="s">
        <v>3391</v>
      </c>
      <c r="N1485" t="s">
        <v>3411</v>
      </c>
      <c r="O1485" t="s">
        <v>3412</v>
      </c>
      <c r="P1485" t="s">
        <v>3413</v>
      </c>
      <c r="Q1485" t="s">
        <v>3414</v>
      </c>
      <c r="R1485" t="s">
        <v>7024</v>
      </c>
    </row>
    <row r="1486" spans="1:18" x14ac:dyDescent="0.2">
      <c r="A1486">
        <v>2764597</v>
      </c>
      <c r="B1486" t="s">
        <v>7025</v>
      </c>
      <c r="C1486">
        <v>0</v>
      </c>
      <c r="D1486">
        <v>1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 t="s">
        <v>3284</v>
      </c>
      <c r="M1486" t="s">
        <v>3327</v>
      </c>
      <c r="N1486" t="s">
        <v>3328</v>
      </c>
      <c r="O1486" t="s">
        <v>4184</v>
      </c>
      <c r="P1486" t="s">
        <v>4185</v>
      </c>
      <c r="Q1486" t="s">
        <v>6781</v>
      </c>
      <c r="R1486" t="s">
        <v>7026</v>
      </c>
    </row>
    <row r="1487" spans="1:18" x14ac:dyDescent="0.2">
      <c r="A1487">
        <v>2764329</v>
      </c>
      <c r="B1487" t="s">
        <v>7027</v>
      </c>
      <c r="C1487">
        <v>0</v>
      </c>
      <c r="D1487">
        <v>1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 t="s">
        <v>3284</v>
      </c>
      <c r="M1487" t="s">
        <v>3327</v>
      </c>
      <c r="N1487" t="s">
        <v>3328</v>
      </c>
      <c r="O1487" t="s">
        <v>4184</v>
      </c>
      <c r="P1487" t="s">
        <v>4185</v>
      </c>
      <c r="Q1487" t="s">
        <v>7028</v>
      </c>
      <c r="R1487" t="s">
        <v>7029</v>
      </c>
    </row>
    <row r="1488" spans="1:18" x14ac:dyDescent="0.2">
      <c r="A1488">
        <v>2763679</v>
      </c>
      <c r="B1488" t="s">
        <v>7030</v>
      </c>
      <c r="C1488">
        <v>2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 t="s">
        <v>3284</v>
      </c>
      <c r="M1488" t="s">
        <v>3327</v>
      </c>
      <c r="N1488" t="s">
        <v>4384</v>
      </c>
      <c r="O1488" t="s">
        <v>4605</v>
      </c>
      <c r="P1488" t="s">
        <v>4606</v>
      </c>
      <c r="Q1488" t="s">
        <v>7031</v>
      </c>
      <c r="R1488" t="s">
        <v>7032</v>
      </c>
    </row>
    <row r="1489" spans="1:18" x14ac:dyDescent="0.2">
      <c r="A1489">
        <v>2763667</v>
      </c>
      <c r="B1489" t="s">
        <v>7033</v>
      </c>
      <c r="C1489">
        <v>0</v>
      </c>
      <c r="D1489">
        <v>1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 t="s">
        <v>3284</v>
      </c>
      <c r="M1489" t="s">
        <v>3327</v>
      </c>
      <c r="N1489" t="s">
        <v>3328</v>
      </c>
      <c r="O1489" t="s">
        <v>4017</v>
      </c>
      <c r="P1489" t="s">
        <v>4018</v>
      </c>
      <c r="Q1489" t="s">
        <v>7034</v>
      </c>
      <c r="R1489" t="s">
        <v>7035</v>
      </c>
    </row>
    <row r="1490" spans="1:18" x14ac:dyDescent="0.2">
      <c r="A1490">
        <v>2763661</v>
      </c>
      <c r="B1490" t="s">
        <v>7036</v>
      </c>
      <c r="C1490">
        <v>0</v>
      </c>
      <c r="D1490">
        <v>1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 t="s">
        <v>3284</v>
      </c>
      <c r="M1490" t="s">
        <v>3327</v>
      </c>
      <c r="N1490" t="s">
        <v>3328</v>
      </c>
      <c r="O1490" t="s">
        <v>3329</v>
      </c>
      <c r="P1490" t="s">
        <v>7037</v>
      </c>
      <c r="Q1490" t="s">
        <v>7038</v>
      </c>
      <c r="R1490" t="s">
        <v>7039</v>
      </c>
    </row>
    <row r="1491" spans="1:18" x14ac:dyDescent="0.2">
      <c r="A1491">
        <v>2763502</v>
      </c>
      <c r="B1491" t="s">
        <v>7040</v>
      </c>
      <c r="C1491">
        <v>0</v>
      </c>
      <c r="D1491">
        <v>0</v>
      </c>
      <c r="E1491">
        <v>0</v>
      </c>
      <c r="F1491">
        <v>1</v>
      </c>
      <c r="G1491">
        <v>0</v>
      </c>
      <c r="H1491">
        <v>0</v>
      </c>
      <c r="I1491">
        <v>0</v>
      </c>
      <c r="J1491">
        <v>0</v>
      </c>
      <c r="K1491">
        <v>0</v>
      </c>
      <c r="L1491" t="s">
        <v>3284</v>
      </c>
      <c r="M1491" t="s">
        <v>3296</v>
      </c>
      <c r="N1491" t="s">
        <v>3343</v>
      </c>
      <c r="O1491" t="s">
        <v>3402</v>
      </c>
      <c r="P1491" t="s">
        <v>3403</v>
      </c>
      <c r="Q1491" t="s">
        <v>3404</v>
      </c>
      <c r="R1491" t="s">
        <v>7041</v>
      </c>
    </row>
    <row r="1492" spans="1:18" x14ac:dyDescent="0.2">
      <c r="A1492">
        <v>2763036</v>
      </c>
      <c r="B1492" t="s">
        <v>7042</v>
      </c>
      <c r="C1492">
        <v>10</v>
      </c>
      <c r="D1492">
        <v>9</v>
      </c>
      <c r="E1492">
        <v>2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 t="s">
        <v>3284</v>
      </c>
      <c r="M1492" t="s">
        <v>3327</v>
      </c>
      <c r="N1492" t="s">
        <v>3328</v>
      </c>
      <c r="O1492" t="s">
        <v>3329</v>
      </c>
      <c r="P1492" t="s">
        <v>3330</v>
      </c>
      <c r="Q1492" t="s">
        <v>3331</v>
      </c>
      <c r="R1492" t="s">
        <v>7043</v>
      </c>
    </row>
    <row r="1493" spans="1:18" x14ac:dyDescent="0.2">
      <c r="A1493">
        <v>2763011</v>
      </c>
      <c r="B1493" t="s">
        <v>7044</v>
      </c>
      <c r="C1493">
        <v>0</v>
      </c>
      <c r="D1493">
        <v>0</v>
      </c>
      <c r="E1493">
        <v>0</v>
      </c>
      <c r="F1493">
        <v>1</v>
      </c>
      <c r="G1493">
        <v>0</v>
      </c>
      <c r="H1493">
        <v>0</v>
      </c>
      <c r="I1493">
        <v>0</v>
      </c>
      <c r="J1493">
        <v>0</v>
      </c>
      <c r="K1493">
        <v>0</v>
      </c>
      <c r="L1493" t="s">
        <v>3284</v>
      </c>
      <c r="M1493" t="s">
        <v>3307</v>
      </c>
      <c r="N1493" t="s">
        <v>3308</v>
      </c>
      <c r="O1493" t="s">
        <v>3699</v>
      </c>
      <c r="P1493" t="s">
        <v>3700</v>
      </c>
      <c r="Q1493" t="s">
        <v>3701</v>
      </c>
      <c r="R1493" t="s">
        <v>7045</v>
      </c>
    </row>
    <row r="1494" spans="1:18" x14ac:dyDescent="0.2">
      <c r="A1494">
        <v>2762748</v>
      </c>
      <c r="B1494" t="s">
        <v>7046</v>
      </c>
      <c r="C1494">
        <v>0</v>
      </c>
      <c r="D1494">
        <v>0</v>
      </c>
      <c r="E1494">
        <v>0</v>
      </c>
      <c r="F1494">
        <v>0</v>
      </c>
      <c r="G1494">
        <v>1</v>
      </c>
      <c r="H1494">
        <v>0</v>
      </c>
      <c r="I1494">
        <v>0</v>
      </c>
      <c r="J1494">
        <v>0</v>
      </c>
      <c r="K1494">
        <v>0</v>
      </c>
      <c r="L1494" t="s">
        <v>3284</v>
      </c>
      <c r="M1494" t="s">
        <v>3296</v>
      </c>
      <c r="N1494" t="s">
        <v>3343</v>
      </c>
      <c r="O1494" t="s">
        <v>3349</v>
      </c>
      <c r="P1494" t="s">
        <v>3350</v>
      </c>
      <c r="Q1494" t="s">
        <v>7047</v>
      </c>
      <c r="R1494" t="s">
        <v>7048</v>
      </c>
    </row>
    <row r="1495" spans="1:18" x14ac:dyDescent="0.2">
      <c r="A1495">
        <v>2762745</v>
      </c>
      <c r="B1495" t="s">
        <v>7049</v>
      </c>
      <c r="C1495">
        <v>0</v>
      </c>
      <c r="D1495">
        <v>0</v>
      </c>
      <c r="E1495">
        <v>0</v>
      </c>
      <c r="F1495">
        <v>0</v>
      </c>
      <c r="G1495">
        <v>2</v>
      </c>
      <c r="H1495">
        <v>0</v>
      </c>
      <c r="I1495">
        <v>0</v>
      </c>
      <c r="J1495">
        <v>0</v>
      </c>
      <c r="K1495">
        <v>0</v>
      </c>
      <c r="L1495" t="s">
        <v>3284</v>
      </c>
      <c r="M1495" t="s">
        <v>3296</v>
      </c>
      <c r="N1495" t="s">
        <v>3297</v>
      </c>
      <c r="O1495" t="s">
        <v>3434</v>
      </c>
      <c r="P1495" t="s">
        <v>3435</v>
      </c>
      <c r="Q1495" t="s">
        <v>3436</v>
      </c>
      <c r="R1495" t="s">
        <v>7050</v>
      </c>
    </row>
    <row r="1496" spans="1:18" x14ac:dyDescent="0.2">
      <c r="A1496">
        <v>2762576</v>
      </c>
      <c r="B1496" t="s">
        <v>7051</v>
      </c>
      <c r="C1496">
        <v>0</v>
      </c>
      <c r="D1496">
        <v>0</v>
      </c>
      <c r="E1496">
        <v>0</v>
      </c>
      <c r="F1496">
        <v>0</v>
      </c>
      <c r="G1496">
        <v>2</v>
      </c>
      <c r="H1496">
        <v>0</v>
      </c>
      <c r="I1496">
        <v>0</v>
      </c>
      <c r="J1496">
        <v>0</v>
      </c>
      <c r="K1496">
        <v>0</v>
      </c>
      <c r="L1496" t="s">
        <v>3284</v>
      </c>
      <c r="M1496" t="s">
        <v>3296</v>
      </c>
      <c r="N1496" t="s">
        <v>3297</v>
      </c>
      <c r="O1496" t="s">
        <v>3434</v>
      </c>
      <c r="P1496" t="s">
        <v>3435</v>
      </c>
      <c r="Q1496" t="s">
        <v>3436</v>
      </c>
      <c r="R1496" t="s">
        <v>7052</v>
      </c>
    </row>
    <row r="1497" spans="1:18" x14ac:dyDescent="0.2">
      <c r="A1497">
        <v>2762323</v>
      </c>
      <c r="B1497" t="s">
        <v>7053</v>
      </c>
      <c r="C1497">
        <v>0</v>
      </c>
      <c r="D1497">
        <v>0</v>
      </c>
      <c r="E1497">
        <v>0</v>
      </c>
      <c r="F1497">
        <v>0</v>
      </c>
      <c r="G1497">
        <v>2</v>
      </c>
      <c r="H1497">
        <v>0</v>
      </c>
      <c r="I1497">
        <v>0</v>
      </c>
      <c r="J1497">
        <v>0</v>
      </c>
      <c r="K1497">
        <v>0</v>
      </c>
      <c r="L1497" t="s">
        <v>3284</v>
      </c>
      <c r="M1497" t="s">
        <v>3296</v>
      </c>
      <c r="N1497" t="s">
        <v>3321</v>
      </c>
      <c r="O1497" t="s">
        <v>3322</v>
      </c>
      <c r="P1497" t="s">
        <v>3398</v>
      </c>
      <c r="Q1497" t="s">
        <v>3399</v>
      </c>
      <c r="R1497" t="s">
        <v>7054</v>
      </c>
    </row>
    <row r="1498" spans="1:18" x14ac:dyDescent="0.2">
      <c r="A1498">
        <v>2762322</v>
      </c>
      <c r="B1498" t="s">
        <v>7055</v>
      </c>
      <c r="C1498">
        <v>0</v>
      </c>
      <c r="D1498">
        <v>0</v>
      </c>
      <c r="E1498">
        <v>0</v>
      </c>
      <c r="F1498">
        <v>1</v>
      </c>
      <c r="G1498">
        <v>1</v>
      </c>
      <c r="H1498">
        <v>0</v>
      </c>
      <c r="I1498">
        <v>0</v>
      </c>
      <c r="J1498">
        <v>1</v>
      </c>
      <c r="K1498">
        <v>0</v>
      </c>
      <c r="L1498" t="s">
        <v>3284</v>
      </c>
      <c r="M1498" t="s">
        <v>3296</v>
      </c>
      <c r="N1498" t="s">
        <v>3321</v>
      </c>
      <c r="O1498" t="s">
        <v>3322</v>
      </c>
      <c r="P1498" t="s">
        <v>3398</v>
      </c>
      <c r="Q1498" t="s">
        <v>3399</v>
      </c>
      <c r="R1498" t="s">
        <v>7056</v>
      </c>
    </row>
    <row r="1499" spans="1:18" x14ac:dyDescent="0.2">
      <c r="A1499">
        <v>2762294</v>
      </c>
      <c r="B1499" t="s">
        <v>7057</v>
      </c>
      <c r="C1499">
        <v>1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 t="s">
        <v>3284</v>
      </c>
      <c r="M1499" t="s">
        <v>3296</v>
      </c>
      <c r="N1499" t="s">
        <v>3321</v>
      </c>
      <c r="O1499" t="s">
        <v>3322</v>
      </c>
      <c r="P1499" t="s">
        <v>3323</v>
      </c>
      <c r="Q1499" t="s">
        <v>7058</v>
      </c>
      <c r="R1499" t="s">
        <v>7059</v>
      </c>
    </row>
    <row r="1500" spans="1:18" x14ac:dyDescent="0.2">
      <c r="A1500">
        <v>2762246</v>
      </c>
      <c r="B1500" t="s">
        <v>7060</v>
      </c>
      <c r="C1500">
        <v>6</v>
      </c>
      <c r="D1500">
        <v>3</v>
      </c>
      <c r="E1500">
        <v>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 t="s">
        <v>3284</v>
      </c>
      <c r="M1500" t="s">
        <v>3327</v>
      </c>
      <c r="N1500" t="s">
        <v>3328</v>
      </c>
      <c r="O1500" t="s">
        <v>3329</v>
      </c>
      <c r="P1500" t="s">
        <v>3330</v>
      </c>
      <c r="Q1500" t="s">
        <v>3331</v>
      </c>
      <c r="R1500" t="s">
        <v>7061</v>
      </c>
    </row>
    <row r="1501" spans="1:18" x14ac:dyDescent="0.2">
      <c r="A1501">
        <v>2762223</v>
      </c>
      <c r="B1501" t="s">
        <v>7062</v>
      </c>
      <c r="C1501">
        <v>1</v>
      </c>
      <c r="D1501">
        <v>1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 t="s">
        <v>3284</v>
      </c>
      <c r="M1501" t="s">
        <v>3327</v>
      </c>
      <c r="N1501" t="s">
        <v>3328</v>
      </c>
      <c r="O1501" t="s">
        <v>3329</v>
      </c>
      <c r="P1501" t="s">
        <v>3330</v>
      </c>
      <c r="Q1501" t="s">
        <v>3331</v>
      </c>
      <c r="R1501" t="s">
        <v>7063</v>
      </c>
    </row>
    <row r="1502" spans="1:18" x14ac:dyDescent="0.2">
      <c r="A1502">
        <v>2761578</v>
      </c>
      <c r="B1502" t="s">
        <v>7064</v>
      </c>
      <c r="C1502">
        <v>0</v>
      </c>
      <c r="D1502">
        <v>0</v>
      </c>
      <c r="E1502">
        <v>0</v>
      </c>
      <c r="F1502">
        <v>2</v>
      </c>
      <c r="G1502">
        <v>0</v>
      </c>
      <c r="H1502">
        <v>0</v>
      </c>
      <c r="I1502">
        <v>0</v>
      </c>
      <c r="J1502">
        <v>0</v>
      </c>
      <c r="K1502">
        <v>0</v>
      </c>
      <c r="L1502" t="s">
        <v>3284</v>
      </c>
      <c r="M1502" t="s">
        <v>3307</v>
      </c>
      <c r="N1502" t="s">
        <v>3308</v>
      </c>
      <c r="O1502" t="s">
        <v>3635</v>
      </c>
      <c r="P1502" t="s">
        <v>4011</v>
      </c>
      <c r="Q1502" t="s">
        <v>4471</v>
      </c>
      <c r="R1502" t="s">
        <v>7065</v>
      </c>
    </row>
    <row r="1503" spans="1:18" x14ac:dyDescent="0.2">
      <c r="A1503">
        <v>2761536</v>
      </c>
      <c r="B1503" t="s">
        <v>7066</v>
      </c>
      <c r="C1503">
        <v>1</v>
      </c>
      <c r="D1503">
        <v>0</v>
      </c>
      <c r="E1503">
        <v>1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 t="s">
        <v>3284</v>
      </c>
      <c r="M1503" t="s">
        <v>3296</v>
      </c>
      <c r="N1503" t="s">
        <v>3343</v>
      </c>
      <c r="O1503" t="s">
        <v>3344</v>
      </c>
      <c r="P1503" t="s">
        <v>3355</v>
      </c>
      <c r="Q1503" t="s">
        <v>3356</v>
      </c>
      <c r="R1503" t="s">
        <v>7067</v>
      </c>
    </row>
    <row r="1504" spans="1:18" x14ac:dyDescent="0.2">
      <c r="A1504">
        <v>2760084</v>
      </c>
      <c r="B1504" t="s">
        <v>7068</v>
      </c>
      <c r="C1504">
        <v>0</v>
      </c>
      <c r="D1504">
        <v>0</v>
      </c>
      <c r="E1504">
        <v>0</v>
      </c>
      <c r="F1504">
        <v>0</v>
      </c>
      <c r="G1504">
        <v>2</v>
      </c>
      <c r="H1504">
        <v>0</v>
      </c>
      <c r="I1504">
        <v>0</v>
      </c>
      <c r="J1504">
        <v>0</v>
      </c>
      <c r="K1504">
        <v>0</v>
      </c>
      <c r="L1504" t="s">
        <v>3284</v>
      </c>
      <c r="M1504" t="s">
        <v>3296</v>
      </c>
      <c r="N1504" t="s">
        <v>3297</v>
      </c>
      <c r="O1504" t="s">
        <v>3469</v>
      </c>
      <c r="P1504" t="s">
        <v>3470</v>
      </c>
      <c r="Q1504" t="s">
        <v>3471</v>
      </c>
      <c r="R1504" t="s">
        <v>7069</v>
      </c>
    </row>
    <row r="1505" spans="1:18" x14ac:dyDescent="0.2">
      <c r="A1505">
        <v>2759943</v>
      </c>
      <c r="B1505" t="s">
        <v>7070</v>
      </c>
      <c r="C1505">
        <v>1</v>
      </c>
      <c r="D1505">
        <v>1</v>
      </c>
      <c r="E1505">
        <v>0</v>
      </c>
      <c r="F1505">
        <v>1</v>
      </c>
      <c r="G1505">
        <v>0</v>
      </c>
      <c r="H1505">
        <v>0</v>
      </c>
      <c r="I1505">
        <v>0</v>
      </c>
      <c r="J1505">
        <v>1</v>
      </c>
      <c r="K1505">
        <v>0</v>
      </c>
      <c r="L1505" t="s">
        <v>3284</v>
      </c>
      <c r="M1505" t="s">
        <v>3307</v>
      </c>
      <c r="N1505" t="s">
        <v>3308</v>
      </c>
      <c r="O1505" t="s">
        <v>3359</v>
      </c>
      <c r="P1505" t="s">
        <v>3360</v>
      </c>
      <c r="Q1505" t="s">
        <v>5425</v>
      </c>
      <c r="R1505" t="s">
        <v>7071</v>
      </c>
    </row>
    <row r="1506" spans="1:18" x14ac:dyDescent="0.2">
      <c r="A1506">
        <v>2759526</v>
      </c>
      <c r="B1506" t="s">
        <v>7072</v>
      </c>
      <c r="C1506">
        <v>0</v>
      </c>
      <c r="D1506">
        <v>0</v>
      </c>
      <c r="E1506">
        <v>0</v>
      </c>
      <c r="F1506">
        <v>0</v>
      </c>
      <c r="G1506">
        <v>1</v>
      </c>
      <c r="H1506">
        <v>0</v>
      </c>
      <c r="I1506">
        <v>0</v>
      </c>
      <c r="J1506">
        <v>0</v>
      </c>
      <c r="K1506">
        <v>0</v>
      </c>
      <c r="L1506" t="s">
        <v>3284</v>
      </c>
      <c r="M1506" t="s">
        <v>3296</v>
      </c>
      <c r="N1506" t="s">
        <v>3343</v>
      </c>
      <c r="O1506" t="s">
        <v>3349</v>
      </c>
      <c r="P1506" t="s">
        <v>3350</v>
      </c>
      <c r="Q1506" t="s">
        <v>3580</v>
      </c>
      <c r="R1506" t="s">
        <v>7073</v>
      </c>
    </row>
    <row r="1507" spans="1:18" x14ac:dyDescent="0.2">
      <c r="A1507">
        <v>2759166</v>
      </c>
      <c r="B1507" t="s">
        <v>7074</v>
      </c>
      <c r="C1507">
        <v>0</v>
      </c>
      <c r="D1507">
        <v>0</v>
      </c>
      <c r="E1507">
        <v>0</v>
      </c>
      <c r="F1507">
        <v>1</v>
      </c>
      <c r="G1507">
        <v>1</v>
      </c>
      <c r="H1507">
        <v>0</v>
      </c>
      <c r="I1507">
        <v>0</v>
      </c>
      <c r="J1507">
        <v>0</v>
      </c>
      <c r="K1507">
        <v>0</v>
      </c>
      <c r="L1507" t="s">
        <v>3284</v>
      </c>
      <c r="M1507" t="s">
        <v>3296</v>
      </c>
      <c r="N1507" t="s">
        <v>3297</v>
      </c>
      <c r="O1507" t="s">
        <v>3434</v>
      </c>
      <c r="P1507" t="s">
        <v>3435</v>
      </c>
      <c r="Q1507" t="s">
        <v>7075</v>
      </c>
      <c r="R1507" t="s">
        <v>7076</v>
      </c>
    </row>
    <row r="1508" spans="1:18" x14ac:dyDescent="0.2">
      <c r="A1508">
        <v>2759165</v>
      </c>
      <c r="B1508" t="s">
        <v>7077</v>
      </c>
      <c r="C1508">
        <v>0</v>
      </c>
      <c r="D1508">
        <v>0</v>
      </c>
      <c r="E1508">
        <v>0</v>
      </c>
      <c r="F1508">
        <v>0</v>
      </c>
      <c r="G1508">
        <v>1</v>
      </c>
      <c r="H1508">
        <v>0</v>
      </c>
      <c r="I1508">
        <v>0</v>
      </c>
      <c r="J1508">
        <v>0</v>
      </c>
      <c r="K1508">
        <v>0</v>
      </c>
      <c r="L1508" t="s">
        <v>3284</v>
      </c>
      <c r="M1508" t="s">
        <v>3296</v>
      </c>
      <c r="N1508" t="s">
        <v>3297</v>
      </c>
      <c r="O1508" t="s">
        <v>3434</v>
      </c>
      <c r="P1508" t="s">
        <v>3435</v>
      </c>
      <c r="Q1508" t="s">
        <v>7075</v>
      </c>
      <c r="R1508" t="s">
        <v>7078</v>
      </c>
    </row>
    <row r="1509" spans="1:18" x14ac:dyDescent="0.2">
      <c r="A1509">
        <v>2759022</v>
      </c>
      <c r="B1509" t="s">
        <v>7079</v>
      </c>
      <c r="C1509">
        <v>4</v>
      </c>
      <c r="D1509">
        <v>3</v>
      </c>
      <c r="E1509">
        <v>2</v>
      </c>
      <c r="F1509">
        <v>0</v>
      </c>
      <c r="G1509">
        <v>0</v>
      </c>
      <c r="H1509">
        <v>0</v>
      </c>
      <c r="I1509">
        <v>4</v>
      </c>
      <c r="J1509">
        <v>1</v>
      </c>
      <c r="K1509">
        <v>1</v>
      </c>
      <c r="L1509" t="s">
        <v>3284</v>
      </c>
      <c r="M1509" t="s">
        <v>3327</v>
      </c>
      <c r="N1509" t="s">
        <v>3328</v>
      </c>
      <c r="O1509" t="s">
        <v>3329</v>
      </c>
      <c r="P1509" t="s">
        <v>3330</v>
      </c>
      <c r="Q1509" t="s">
        <v>3331</v>
      </c>
      <c r="R1509" t="s">
        <v>7080</v>
      </c>
    </row>
    <row r="1510" spans="1:18" x14ac:dyDescent="0.2">
      <c r="A1510">
        <v>2758695</v>
      </c>
      <c r="B1510" t="s">
        <v>7081</v>
      </c>
      <c r="C1510">
        <v>4</v>
      </c>
      <c r="D1510">
        <v>1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 t="s">
        <v>3284</v>
      </c>
      <c r="M1510" t="s">
        <v>3296</v>
      </c>
      <c r="N1510" t="s">
        <v>3297</v>
      </c>
      <c r="O1510" t="s">
        <v>3434</v>
      </c>
      <c r="P1510" t="s">
        <v>3435</v>
      </c>
      <c r="Q1510" t="s">
        <v>3436</v>
      </c>
      <c r="R1510" t="s">
        <v>7082</v>
      </c>
    </row>
    <row r="1511" spans="1:18" x14ac:dyDescent="0.2">
      <c r="A1511">
        <v>2758661</v>
      </c>
      <c r="B1511" t="s">
        <v>7083</v>
      </c>
      <c r="C1511">
        <v>0</v>
      </c>
      <c r="D1511">
        <v>0</v>
      </c>
      <c r="E1511">
        <v>0</v>
      </c>
      <c r="F1511">
        <v>0</v>
      </c>
      <c r="G1511">
        <v>1</v>
      </c>
      <c r="H1511">
        <v>0</v>
      </c>
      <c r="I1511">
        <v>0</v>
      </c>
      <c r="J1511">
        <v>0</v>
      </c>
      <c r="K1511">
        <v>0</v>
      </c>
      <c r="L1511" t="s">
        <v>3284</v>
      </c>
      <c r="M1511" t="s">
        <v>3307</v>
      </c>
      <c r="N1511" t="s">
        <v>3308</v>
      </c>
      <c r="O1511" t="s">
        <v>3309</v>
      </c>
      <c r="P1511" t="s">
        <v>3310</v>
      </c>
      <c r="Q1511" t="s">
        <v>3311</v>
      </c>
      <c r="R1511" t="s">
        <v>7084</v>
      </c>
    </row>
    <row r="1512" spans="1:18" x14ac:dyDescent="0.2">
      <c r="A1512">
        <v>2758579</v>
      </c>
      <c r="B1512" t="s">
        <v>7085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2</v>
      </c>
      <c r="I1512">
        <v>1</v>
      </c>
      <c r="J1512">
        <v>0</v>
      </c>
      <c r="K1512">
        <v>2</v>
      </c>
      <c r="L1512" t="s">
        <v>3284</v>
      </c>
      <c r="M1512" t="s">
        <v>3296</v>
      </c>
      <c r="N1512" t="s">
        <v>3297</v>
      </c>
      <c r="O1512" t="s">
        <v>3298</v>
      </c>
      <c r="P1512" t="s">
        <v>3826</v>
      </c>
      <c r="Q1512" t="s">
        <v>7086</v>
      </c>
      <c r="R1512" t="s">
        <v>7087</v>
      </c>
    </row>
    <row r="1513" spans="1:18" x14ac:dyDescent="0.2">
      <c r="A1513">
        <v>2758570</v>
      </c>
      <c r="B1513" t="s">
        <v>7088</v>
      </c>
      <c r="C1513">
        <v>0</v>
      </c>
      <c r="D1513">
        <v>0</v>
      </c>
      <c r="E1513">
        <v>0</v>
      </c>
      <c r="F1513">
        <v>1</v>
      </c>
      <c r="G1513">
        <v>0</v>
      </c>
      <c r="H1513">
        <v>0</v>
      </c>
      <c r="I1513">
        <v>0</v>
      </c>
      <c r="J1513">
        <v>0</v>
      </c>
      <c r="K1513">
        <v>0</v>
      </c>
      <c r="L1513" t="s">
        <v>3284</v>
      </c>
      <c r="M1513" t="s">
        <v>3296</v>
      </c>
      <c r="N1513" t="s">
        <v>3321</v>
      </c>
      <c r="O1513" t="s">
        <v>3322</v>
      </c>
      <c r="P1513" t="s">
        <v>3323</v>
      </c>
      <c r="Q1513" t="s">
        <v>6159</v>
      </c>
      <c r="R1513" t="s">
        <v>7089</v>
      </c>
    </row>
    <row r="1514" spans="1:18" x14ac:dyDescent="0.2">
      <c r="A1514">
        <v>2758439</v>
      </c>
      <c r="B1514" t="s">
        <v>7090</v>
      </c>
      <c r="C1514">
        <v>0</v>
      </c>
      <c r="D1514">
        <v>0</v>
      </c>
      <c r="E1514">
        <v>0</v>
      </c>
      <c r="F1514">
        <v>0</v>
      </c>
      <c r="G1514">
        <v>1</v>
      </c>
      <c r="H1514">
        <v>0</v>
      </c>
      <c r="I1514">
        <v>0</v>
      </c>
      <c r="J1514">
        <v>0</v>
      </c>
      <c r="K1514">
        <v>0</v>
      </c>
      <c r="L1514" t="s">
        <v>3284</v>
      </c>
      <c r="M1514" t="s">
        <v>3296</v>
      </c>
      <c r="N1514" t="s">
        <v>3343</v>
      </c>
      <c r="O1514" t="s">
        <v>3344</v>
      </c>
      <c r="P1514" t="s">
        <v>3355</v>
      </c>
      <c r="Q1514" t="s">
        <v>3356</v>
      </c>
      <c r="R1514" t="s">
        <v>7091</v>
      </c>
    </row>
    <row r="1515" spans="1:18" x14ac:dyDescent="0.2">
      <c r="A1515">
        <v>2758092</v>
      </c>
      <c r="B1515" t="s">
        <v>7092</v>
      </c>
      <c r="C1515">
        <v>1</v>
      </c>
      <c r="D1515">
        <v>0</v>
      </c>
      <c r="E1515">
        <v>1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 t="s">
        <v>3284</v>
      </c>
      <c r="M1515" t="s">
        <v>3391</v>
      </c>
      <c r="N1515" t="s">
        <v>3411</v>
      </c>
      <c r="O1515" t="s">
        <v>3412</v>
      </c>
      <c r="P1515" t="s">
        <v>3564</v>
      </c>
      <c r="Q1515" t="s">
        <v>3803</v>
      </c>
      <c r="R1515" t="s">
        <v>7093</v>
      </c>
    </row>
    <row r="1516" spans="1:18" x14ac:dyDescent="0.2">
      <c r="A1516">
        <v>2757768</v>
      </c>
      <c r="B1516" t="s">
        <v>7094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1</v>
      </c>
      <c r="J1516">
        <v>0</v>
      </c>
      <c r="K1516">
        <v>0</v>
      </c>
      <c r="L1516" t="s">
        <v>3284</v>
      </c>
      <c r="M1516" t="s">
        <v>3391</v>
      </c>
      <c r="N1516" t="s">
        <v>3740</v>
      </c>
      <c r="O1516" t="s">
        <v>3741</v>
      </c>
      <c r="P1516" t="s">
        <v>3853</v>
      </c>
      <c r="Q1516" t="s">
        <v>3854</v>
      </c>
      <c r="R1516" t="s">
        <v>7095</v>
      </c>
    </row>
    <row r="1517" spans="1:18" x14ac:dyDescent="0.2">
      <c r="A1517">
        <v>2755356</v>
      </c>
      <c r="B1517" t="s">
        <v>7096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1</v>
      </c>
      <c r="J1517">
        <v>0</v>
      </c>
      <c r="K1517">
        <v>0</v>
      </c>
      <c r="L1517" t="s">
        <v>3284</v>
      </c>
      <c r="M1517" t="s">
        <v>3307</v>
      </c>
      <c r="N1517" t="s">
        <v>3308</v>
      </c>
      <c r="O1517" t="s">
        <v>3309</v>
      </c>
      <c r="P1517" t="s">
        <v>3310</v>
      </c>
      <c r="Q1517" t="s">
        <v>3311</v>
      </c>
      <c r="R1517" t="s">
        <v>7097</v>
      </c>
    </row>
    <row r="1518" spans="1:18" x14ac:dyDescent="0.2">
      <c r="A1518">
        <v>2755051</v>
      </c>
      <c r="B1518" t="s">
        <v>7098</v>
      </c>
      <c r="C1518">
        <v>1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 t="s">
        <v>3284</v>
      </c>
      <c r="M1518" t="s">
        <v>3327</v>
      </c>
      <c r="N1518" t="s">
        <v>3328</v>
      </c>
      <c r="O1518" t="s">
        <v>4017</v>
      </c>
      <c r="P1518" t="s">
        <v>4018</v>
      </c>
      <c r="Q1518" t="s">
        <v>7099</v>
      </c>
      <c r="R1518" t="s">
        <v>7100</v>
      </c>
    </row>
    <row r="1519" spans="1:18" x14ac:dyDescent="0.2">
      <c r="A1519">
        <v>2755040</v>
      </c>
      <c r="B1519" t="s">
        <v>7101</v>
      </c>
      <c r="C1519">
        <v>1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 t="s">
        <v>3284</v>
      </c>
      <c r="M1519" t="s">
        <v>3296</v>
      </c>
      <c r="N1519" t="s">
        <v>3321</v>
      </c>
      <c r="O1519" t="s">
        <v>3322</v>
      </c>
      <c r="P1519" t="s">
        <v>4143</v>
      </c>
      <c r="Q1519" t="s">
        <v>7102</v>
      </c>
      <c r="R1519" t="s">
        <v>7103</v>
      </c>
    </row>
    <row r="1520" spans="1:18" x14ac:dyDescent="0.2">
      <c r="A1520">
        <v>2754694</v>
      </c>
      <c r="B1520" t="s">
        <v>7104</v>
      </c>
      <c r="C1520">
        <v>0</v>
      </c>
      <c r="D1520">
        <v>0</v>
      </c>
      <c r="E1520">
        <v>0</v>
      </c>
      <c r="F1520">
        <v>1</v>
      </c>
      <c r="G1520">
        <v>0</v>
      </c>
      <c r="H1520">
        <v>0</v>
      </c>
      <c r="I1520">
        <v>0</v>
      </c>
      <c r="J1520">
        <v>0</v>
      </c>
      <c r="K1520">
        <v>0</v>
      </c>
      <c r="L1520" t="s">
        <v>3284</v>
      </c>
      <c r="M1520" t="s">
        <v>3391</v>
      </c>
      <c r="N1520" t="s">
        <v>3411</v>
      </c>
      <c r="O1520" t="s">
        <v>3412</v>
      </c>
      <c r="P1520" t="s">
        <v>3564</v>
      </c>
      <c r="Q1520" t="s">
        <v>3803</v>
      </c>
      <c r="R1520" t="s">
        <v>7105</v>
      </c>
    </row>
    <row r="1521" spans="1:18" x14ac:dyDescent="0.2">
      <c r="A1521">
        <v>2752515</v>
      </c>
      <c r="B1521" t="s">
        <v>7106</v>
      </c>
      <c r="C1521">
        <v>0</v>
      </c>
      <c r="D1521">
        <v>0</v>
      </c>
      <c r="E1521">
        <v>0</v>
      </c>
      <c r="F1521">
        <v>1</v>
      </c>
      <c r="G1521">
        <v>0</v>
      </c>
      <c r="H1521">
        <v>0</v>
      </c>
      <c r="I1521">
        <v>0</v>
      </c>
      <c r="J1521">
        <v>0</v>
      </c>
      <c r="K1521">
        <v>0</v>
      </c>
      <c r="L1521" t="s">
        <v>3284</v>
      </c>
      <c r="M1521" t="s">
        <v>3296</v>
      </c>
      <c r="N1521" t="s">
        <v>3343</v>
      </c>
      <c r="O1521" t="s">
        <v>3402</v>
      </c>
      <c r="P1521" t="s">
        <v>3403</v>
      </c>
      <c r="Q1521" t="s">
        <v>3536</v>
      </c>
      <c r="R1521" t="s">
        <v>7107</v>
      </c>
    </row>
    <row r="1522" spans="1:18" x14ac:dyDescent="0.2">
      <c r="A1522">
        <v>2752316</v>
      </c>
      <c r="B1522" t="s">
        <v>7108</v>
      </c>
      <c r="C1522">
        <v>0</v>
      </c>
      <c r="D1522">
        <v>1</v>
      </c>
      <c r="E1522">
        <v>0</v>
      </c>
      <c r="F1522">
        <v>0</v>
      </c>
      <c r="G1522">
        <v>1</v>
      </c>
      <c r="H1522">
        <v>0</v>
      </c>
      <c r="I1522">
        <v>0</v>
      </c>
      <c r="J1522">
        <v>0</v>
      </c>
      <c r="K1522">
        <v>0</v>
      </c>
      <c r="L1522" t="s">
        <v>3284</v>
      </c>
      <c r="M1522" t="s">
        <v>3296</v>
      </c>
      <c r="N1522" t="s">
        <v>3321</v>
      </c>
      <c r="O1522" t="s">
        <v>3322</v>
      </c>
      <c r="P1522" t="s">
        <v>3398</v>
      </c>
      <c r="Q1522" t="s">
        <v>3788</v>
      </c>
      <c r="R1522" t="s">
        <v>7109</v>
      </c>
    </row>
    <row r="1523" spans="1:18" x14ac:dyDescent="0.2">
      <c r="A1523">
        <v>2751370</v>
      </c>
      <c r="B1523" t="s">
        <v>7110</v>
      </c>
      <c r="C1523">
        <v>1</v>
      </c>
      <c r="D1523">
        <v>0</v>
      </c>
      <c r="E1523">
        <v>1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 t="s">
        <v>3284</v>
      </c>
      <c r="M1523" t="s">
        <v>3307</v>
      </c>
      <c r="N1523" t="s">
        <v>5924</v>
      </c>
      <c r="O1523" t="s">
        <v>5925</v>
      </c>
      <c r="P1523" t="s">
        <v>5926</v>
      </c>
      <c r="Q1523" t="s">
        <v>5927</v>
      </c>
      <c r="R1523" t="s">
        <v>7111</v>
      </c>
    </row>
    <row r="1524" spans="1:18" x14ac:dyDescent="0.2">
      <c r="A1524">
        <v>2751274</v>
      </c>
      <c r="B1524" t="s">
        <v>7112</v>
      </c>
      <c r="C1524">
        <v>0</v>
      </c>
      <c r="D1524">
        <v>0</v>
      </c>
      <c r="E1524">
        <v>1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 t="s">
        <v>3284</v>
      </c>
      <c r="M1524" t="s">
        <v>3327</v>
      </c>
      <c r="N1524" t="s">
        <v>3376</v>
      </c>
      <c r="O1524" t="s">
        <v>3377</v>
      </c>
      <c r="P1524" t="s">
        <v>3271</v>
      </c>
      <c r="Q1524" t="s">
        <v>3648</v>
      </c>
      <c r="R1524" t="s">
        <v>7113</v>
      </c>
    </row>
    <row r="1525" spans="1:18" x14ac:dyDescent="0.2">
      <c r="A1525">
        <v>2751263</v>
      </c>
      <c r="B1525" t="s">
        <v>7114</v>
      </c>
      <c r="C1525">
        <v>0</v>
      </c>
      <c r="D1525">
        <v>1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 t="s">
        <v>3284</v>
      </c>
      <c r="M1525" t="s">
        <v>3327</v>
      </c>
      <c r="N1525" t="s">
        <v>3376</v>
      </c>
      <c r="O1525" t="s">
        <v>3377</v>
      </c>
      <c r="P1525" t="s">
        <v>3271</v>
      </c>
      <c r="Q1525" t="s">
        <v>3648</v>
      </c>
      <c r="R1525" t="s">
        <v>7115</v>
      </c>
    </row>
    <row r="1526" spans="1:18" x14ac:dyDescent="0.2">
      <c r="A1526">
        <v>2751262</v>
      </c>
      <c r="B1526" t="s">
        <v>7116</v>
      </c>
      <c r="C1526">
        <v>1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 t="s">
        <v>3284</v>
      </c>
      <c r="M1526" t="s">
        <v>3327</v>
      </c>
      <c r="N1526" t="s">
        <v>3376</v>
      </c>
      <c r="O1526" t="s">
        <v>3377</v>
      </c>
      <c r="P1526" t="s">
        <v>3271</v>
      </c>
      <c r="Q1526" t="s">
        <v>3648</v>
      </c>
      <c r="R1526" t="s">
        <v>7117</v>
      </c>
    </row>
    <row r="1527" spans="1:18" x14ac:dyDescent="0.2">
      <c r="A1527">
        <v>2751251</v>
      </c>
      <c r="B1527" t="s">
        <v>7118</v>
      </c>
      <c r="C1527">
        <v>1</v>
      </c>
      <c r="D1527">
        <v>2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 t="s">
        <v>3284</v>
      </c>
      <c r="M1527" t="s">
        <v>3327</v>
      </c>
      <c r="N1527" t="s">
        <v>3376</v>
      </c>
      <c r="O1527" t="s">
        <v>3377</v>
      </c>
      <c r="P1527" t="s">
        <v>3271</v>
      </c>
      <c r="Q1527" t="s">
        <v>3648</v>
      </c>
      <c r="R1527" t="s">
        <v>7119</v>
      </c>
    </row>
    <row r="1528" spans="1:18" x14ac:dyDescent="0.2">
      <c r="A1528">
        <v>2751250</v>
      </c>
      <c r="B1528" t="s">
        <v>7120</v>
      </c>
      <c r="C1528">
        <v>1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 t="s">
        <v>3284</v>
      </c>
      <c r="M1528" t="s">
        <v>3327</v>
      </c>
      <c r="N1528" t="s">
        <v>3376</v>
      </c>
      <c r="O1528" t="s">
        <v>3377</v>
      </c>
      <c r="P1528" t="s">
        <v>3271</v>
      </c>
      <c r="Q1528" t="s">
        <v>3648</v>
      </c>
      <c r="R1528" t="s">
        <v>7121</v>
      </c>
    </row>
    <row r="1529" spans="1:18" x14ac:dyDescent="0.2">
      <c r="A1529">
        <v>2751210</v>
      </c>
      <c r="B1529" t="s">
        <v>7122</v>
      </c>
      <c r="C1529">
        <v>1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 t="s">
        <v>3284</v>
      </c>
      <c r="M1529" t="s">
        <v>3327</v>
      </c>
      <c r="N1529" t="s">
        <v>3376</v>
      </c>
      <c r="O1529" t="s">
        <v>3377</v>
      </c>
      <c r="P1529" t="s">
        <v>3271</v>
      </c>
      <c r="Q1529" t="s">
        <v>3648</v>
      </c>
      <c r="R1529" t="s">
        <v>7123</v>
      </c>
    </row>
    <row r="1530" spans="1:18" x14ac:dyDescent="0.2">
      <c r="A1530">
        <v>2751209</v>
      </c>
      <c r="B1530" t="s">
        <v>7124</v>
      </c>
      <c r="C1530">
        <v>0</v>
      </c>
      <c r="D1530">
        <v>1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 t="s">
        <v>3284</v>
      </c>
      <c r="M1530" t="s">
        <v>3327</v>
      </c>
      <c r="N1530" t="s">
        <v>3376</v>
      </c>
      <c r="O1530" t="s">
        <v>3377</v>
      </c>
      <c r="P1530" t="s">
        <v>3271</v>
      </c>
      <c r="Q1530" t="s">
        <v>3648</v>
      </c>
      <c r="R1530" t="s">
        <v>7125</v>
      </c>
    </row>
    <row r="1531" spans="1:18" x14ac:dyDescent="0.2">
      <c r="A1531">
        <v>2751208</v>
      </c>
      <c r="B1531" t="s">
        <v>7126</v>
      </c>
      <c r="C1531">
        <v>1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 t="s">
        <v>3284</v>
      </c>
      <c r="M1531" t="s">
        <v>3327</v>
      </c>
      <c r="N1531" t="s">
        <v>3376</v>
      </c>
      <c r="O1531" t="s">
        <v>3377</v>
      </c>
      <c r="P1531" t="s">
        <v>3271</v>
      </c>
      <c r="Q1531" t="s">
        <v>3648</v>
      </c>
      <c r="R1531" t="s">
        <v>7127</v>
      </c>
    </row>
    <row r="1532" spans="1:18" x14ac:dyDescent="0.2">
      <c r="A1532">
        <v>2751207</v>
      </c>
      <c r="B1532" t="s">
        <v>7128</v>
      </c>
      <c r="C1532">
        <v>2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 t="s">
        <v>3284</v>
      </c>
      <c r="M1532" t="s">
        <v>3327</v>
      </c>
      <c r="N1532" t="s">
        <v>3376</v>
      </c>
      <c r="O1532" t="s">
        <v>3377</v>
      </c>
      <c r="P1532" t="s">
        <v>3271</v>
      </c>
      <c r="Q1532" t="s">
        <v>3648</v>
      </c>
      <c r="R1532" t="s">
        <v>7129</v>
      </c>
    </row>
    <row r="1533" spans="1:18" x14ac:dyDescent="0.2">
      <c r="A1533">
        <v>2751206</v>
      </c>
      <c r="B1533" t="s">
        <v>7130</v>
      </c>
      <c r="C1533">
        <v>3</v>
      </c>
      <c r="D1533">
        <v>2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 t="s">
        <v>3284</v>
      </c>
      <c r="M1533" t="s">
        <v>3327</v>
      </c>
      <c r="N1533" t="s">
        <v>3376</v>
      </c>
      <c r="O1533" t="s">
        <v>3377</v>
      </c>
      <c r="P1533" t="s">
        <v>3271</v>
      </c>
      <c r="Q1533" t="s">
        <v>3648</v>
      </c>
      <c r="R1533" t="s">
        <v>7131</v>
      </c>
    </row>
    <row r="1534" spans="1:18" x14ac:dyDescent="0.2">
      <c r="A1534">
        <v>2751194</v>
      </c>
      <c r="B1534" t="s">
        <v>7132</v>
      </c>
      <c r="C1534">
        <v>0</v>
      </c>
      <c r="D1534">
        <v>1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 t="s">
        <v>3284</v>
      </c>
      <c r="M1534" t="s">
        <v>3327</v>
      </c>
      <c r="N1534" t="s">
        <v>3376</v>
      </c>
      <c r="O1534" t="s">
        <v>3377</v>
      </c>
      <c r="P1534" t="s">
        <v>3271</v>
      </c>
      <c r="Q1534" t="s">
        <v>3648</v>
      </c>
      <c r="R1534" t="s">
        <v>7133</v>
      </c>
    </row>
    <row r="1535" spans="1:18" x14ac:dyDescent="0.2">
      <c r="A1535">
        <v>2751188</v>
      </c>
      <c r="B1535" t="s">
        <v>7134</v>
      </c>
      <c r="C1535">
        <v>0</v>
      </c>
      <c r="D1535">
        <v>0</v>
      </c>
      <c r="E1535">
        <v>0</v>
      </c>
      <c r="F1535">
        <v>2</v>
      </c>
      <c r="G1535">
        <v>3</v>
      </c>
      <c r="H1535">
        <v>0</v>
      </c>
      <c r="I1535">
        <v>0</v>
      </c>
      <c r="J1535">
        <v>0</v>
      </c>
      <c r="K1535">
        <v>0</v>
      </c>
      <c r="L1535" t="s">
        <v>3284</v>
      </c>
      <c r="M1535" t="s">
        <v>3296</v>
      </c>
      <c r="N1535" t="s">
        <v>3343</v>
      </c>
      <c r="O1535" t="s">
        <v>3349</v>
      </c>
      <c r="P1535" t="s">
        <v>3350</v>
      </c>
      <c r="Q1535" t="s">
        <v>3580</v>
      </c>
      <c r="R1535" t="s">
        <v>7135</v>
      </c>
    </row>
    <row r="1536" spans="1:18" x14ac:dyDescent="0.2">
      <c r="A1536">
        <v>2748865</v>
      </c>
      <c r="B1536" t="s">
        <v>7136</v>
      </c>
      <c r="C1536">
        <v>0</v>
      </c>
      <c r="D1536">
        <v>0</v>
      </c>
      <c r="E1536">
        <v>0</v>
      </c>
      <c r="F1536">
        <v>4</v>
      </c>
      <c r="G1536">
        <v>3</v>
      </c>
      <c r="H1536">
        <v>0</v>
      </c>
      <c r="I1536">
        <v>5</v>
      </c>
      <c r="J1536">
        <v>1</v>
      </c>
      <c r="K1536">
        <v>0</v>
      </c>
      <c r="L1536" t="s">
        <v>3284</v>
      </c>
      <c r="M1536" t="s">
        <v>3285</v>
      </c>
      <c r="N1536" t="s">
        <v>3286</v>
      </c>
      <c r="O1536" t="s">
        <v>3287</v>
      </c>
      <c r="P1536" t="s">
        <v>3288</v>
      </c>
      <c r="Q1536" t="s">
        <v>3289</v>
      </c>
      <c r="R1536" t="s">
        <v>7137</v>
      </c>
    </row>
    <row r="1537" spans="1:18" x14ac:dyDescent="0.2">
      <c r="A1537">
        <v>2748667</v>
      </c>
      <c r="B1537" t="s">
        <v>7138</v>
      </c>
      <c r="C1537">
        <v>0</v>
      </c>
      <c r="D1537">
        <v>3</v>
      </c>
      <c r="E1537">
        <v>0</v>
      </c>
      <c r="F1537">
        <v>0</v>
      </c>
      <c r="G1537">
        <v>0</v>
      </c>
      <c r="H1537">
        <v>0</v>
      </c>
      <c r="I1537">
        <v>4</v>
      </c>
      <c r="J1537">
        <v>0</v>
      </c>
      <c r="K1537">
        <v>0</v>
      </c>
      <c r="L1537" t="s">
        <v>3284</v>
      </c>
      <c r="M1537" t="s">
        <v>3296</v>
      </c>
      <c r="N1537" t="s">
        <v>3343</v>
      </c>
      <c r="O1537" t="s">
        <v>3429</v>
      </c>
      <c r="P1537" t="s">
        <v>3430</v>
      </c>
      <c r="Q1537" t="s">
        <v>3651</v>
      </c>
      <c r="R1537" t="s">
        <v>7139</v>
      </c>
    </row>
    <row r="1538" spans="1:18" x14ac:dyDescent="0.2">
      <c r="A1538">
        <v>2748666</v>
      </c>
      <c r="B1538" t="s">
        <v>7140</v>
      </c>
      <c r="C1538">
        <v>1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 t="s">
        <v>3284</v>
      </c>
      <c r="M1538" t="s">
        <v>3296</v>
      </c>
      <c r="N1538" t="s">
        <v>3343</v>
      </c>
      <c r="O1538" t="s">
        <v>3429</v>
      </c>
      <c r="P1538" t="s">
        <v>3430</v>
      </c>
      <c r="Q1538" t="s">
        <v>3651</v>
      </c>
      <c r="R1538" t="s">
        <v>7141</v>
      </c>
    </row>
    <row r="1539" spans="1:18" x14ac:dyDescent="0.2">
      <c r="A1539">
        <v>2748320</v>
      </c>
      <c r="B1539" t="s">
        <v>7142</v>
      </c>
      <c r="C1539">
        <v>0</v>
      </c>
      <c r="D1539">
        <v>2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 t="s">
        <v>3284</v>
      </c>
      <c r="M1539" t="s">
        <v>3391</v>
      </c>
      <c r="N1539" t="s">
        <v>3411</v>
      </c>
      <c r="O1539" t="s">
        <v>3412</v>
      </c>
      <c r="P1539" t="s">
        <v>3413</v>
      </c>
      <c r="Q1539" t="s">
        <v>3414</v>
      </c>
      <c r="R1539" t="s">
        <v>7143</v>
      </c>
    </row>
    <row r="1540" spans="1:18" x14ac:dyDescent="0.2">
      <c r="A1540">
        <v>2748318</v>
      </c>
      <c r="B1540" t="s">
        <v>7144</v>
      </c>
      <c r="C1540">
        <v>0</v>
      </c>
      <c r="D1540">
        <v>1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 t="s">
        <v>3284</v>
      </c>
      <c r="M1540" t="s">
        <v>3816</v>
      </c>
      <c r="N1540" t="s">
        <v>3817</v>
      </c>
      <c r="O1540" t="s">
        <v>3818</v>
      </c>
      <c r="P1540" t="s">
        <v>3819</v>
      </c>
      <c r="Q1540" t="s">
        <v>7145</v>
      </c>
      <c r="R1540" t="s">
        <v>7146</v>
      </c>
    </row>
    <row r="1541" spans="1:18" x14ac:dyDescent="0.2">
      <c r="A1541">
        <v>2748098</v>
      </c>
      <c r="B1541" t="s">
        <v>7147</v>
      </c>
      <c r="C1541">
        <v>0</v>
      </c>
      <c r="D1541">
        <v>0</v>
      </c>
      <c r="E1541">
        <v>0</v>
      </c>
      <c r="F1541">
        <v>1</v>
      </c>
      <c r="G1541">
        <v>0</v>
      </c>
      <c r="H1541">
        <v>0</v>
      </c>
      <c r="I1541">
        <v>0</v>
      </c>
      <c r="J1541">
        <v>0</v>
      </c>
      <c r="K1541">
        <v>0</v>
      </c>
      <c r="L1541" t="s">
        <v>3284</v>
      </c>
      <c r="M1541" t="s">
        <v>3296</v>
      </c>
      <c r="N1541" t="s">
        <v>3343</v>
      </c>
      <c r="O1541" t="s">
        <v>3371</v>
      </c>
      <c r="P1541" t="s">
        <v>3688</v>
      </c>
      <c r="Q1541" t="s">
        <v>7148</v>
      </c>
      <c r="R1541" t="s">
        <v>7149</v>
      </c>
    </row>
    <row r="1542" spans="1:18" x14ac:dyDescent="0.2">
      <c r="A1542">
        <v>2748079</v>
      </c>
      <c r="B1542" t="s">
        <v>7150</v>
      </c>
      <c r="C1542">
        <v>2</v>
      </c>
      <c r="D1542">
        <v>1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 t="s">
        <v>3284</v>
      </c>
      <c r="M1542" t="s">
        <v>3296</v>
      </c>
      <c r="N1542" t="s">
        <v>3343</v>
      </c>
      <c r="O1542" t="s">
        <v>3344</v>
      </c>
      <c r="P1542" t="s">
        <v>3355</v>
      </c>
      <c r="Q1542" t="s">
        <v>3356</v>
      </c>
      <c r="R1542" t="s">
        <v>7151</v>
      </c>
    </row>
    <row r="1543" spans="1:18" x14ac:dyDescent="0.2">
      <c r="A1543">
        <v>2746961</v>
      </c>
      <c r="B1543" t="s">
        <v>7152</v>
      </c>
      <c r="C1543">
        <v>0</v>
      </c>
      <c r="D1543">
        <v>1</v>
      </c>
      <c r="E1543">
        <v>0</v>
      </c>
      <c r="F1543">
        <v>0</v>
      </c>
      <c r="G1543">
        <v>0</v>
      </c>
      <c r="H1543">
        <v>0</v>
      </c>
      <c r="I1543">
        <v>1</v>
      </c>
      <c r="J1543">
        <v>0</v>
      </c>
      <c r="K1543">
        <v>0</v>
      </c>
      <c r="L1543" t="s">
        <v>3284</v>
      </c>
      <c r="M1543" t="s">
        <v>3307</v>
      </c>
      <c r="N1543" t="s">
        <v>3308</v>
      </c>
      <c r="O1543" t="s">
        <v>3446</v>
      </c>
      <c r="P1543" t="s">
        <v>3447</v>
      </c>
      <c r="Q1543" t="s">
        <v>3448</v>
      </c>
      <c r="R1543" t="s">
        <v>7153</v>
      </c>
    </row>
    <row r="1544" spans="1:18" x14ac:dyDescent="0.2">
      <c r="A1544">
        <v>2745935</v>
      </c>
      <c r="B1544" t="s">
        <v>7154</v>
      </c>
      <c r="C1544">
        <v>0</v>
      </c>
      <c r="D1544">
        <v>0</v>
      </c>
      <c r="E1544">
        <v>0</v>
      </c>
      <c r="F1544">
        <v>1</v>
      </c>
      <c r="G1544">
        <v>0</v>
      </c>
      <c r="H1544">
        <v>0</v>
      </c>
      <c r="I1544">
        <v>0</v>
      </c>
      <c r="J1544">
        <v>0</v>
      </c>
      <c r="K1544">
        <v>0</v>
      </c>
      <c r="L1544" t="s">
        <v>3284</v>
      </c>
      <c r="M1544" t="s">
        <v>3307</v>
      </c>
      <c r="N1544" t="s">
        <v>3308</v>
      </c>
      <c r="O1544" t="s">
        <v>3359</v>
      </c>
      <c r="P1544" t="s">
        <v>3360</v>
      </c>
      <c r="Q1544" t="s">
        <v>3361</v>
      </c>
      <c r="R1544" t="s">
        <v>7155</v>
      </c>
    </row>
    <row r="1545" spans="1:18" x14ac:dyDescent="0.2">
      <c r="A1545">
        <v>2745879</v>
      </c>
      <c r="B1545" t="s">
        <v>7156</v>
      </c>
      <c r="C1545">
        <v>0</v>
      </c>
      <c r="D1545">
        <v>0</v>
      </c>
      <c r="E1545">
        <v>1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 t="s">
        <v>3284</v>
      </c>
      <c r="M1545" t="s">
        <v>3327</v>
      </c>
      <c r="N1545" t="s">
        <v>3376</v>
      </c>
      <c r="O1545" t="s">
        <v>3377</v>
      </c>
      <c r="P1545" t="s">
        <v>3378</v>
      </c>
      <c r="Q1545" t="s">
        <v>4703</v>
      </c>
      <c r="R1545" t="s">
        <v>7157</v>
      </c>
    </row>
    <row r="1546" spans="1:18" x14ac:dyDescent="0.2">
      <c r="A1546">
        <v>2745876</v>
      </c>
      <c r="B1546" t="s">
        <v>7158</v>
      </c>
      <c r="C1546">
        <v>0</v>
      </c>
      <c r="D1546">
        <v>1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 t="s">
        <v>3284</v>
      </c>
      <c r="M1546" t="s">
        <v>3327</v>
      </c>
      <c r="N1546" t="s">
        <v>3376</v>
      </c>
      <c r="O1546" t="s">
        <v>3377</v>
      </c>
      <c r="P1546" t="s">
        <v>3378</v>
      </c>
      <c r="Q1546" t="s">
        <v>4703</v>
      </c>
      <c r="R1546" t="s">
        <v>7159</v>
      </c>
    </row>
    <row r="1547" spans="1:18" x14ac:dyDescent="0.2">
      <c r="A1547">
        <v>2745518</v>
      </c>
      <c r="B1547" t="s">
        <v>7160</v>
      </c>
      <c r="C1547">
        <v>0</v>
      </c>
      <c r="D1547">
        <v>0</v>
      </c>
      <c r="E1547">
        <v>0</v>
      </c>
      <c r="F1547">
        <v>0</v>
      </c>
      <c r="G1547">
        <v>1</v>
      </c>
      <c r="H1547">
        <v>0</v>
      </c>
      <c r="I1547">
        <v>0</v>
      </c>
      <c r="J1547">
        <v>0</v>
      </c>
      <c r="K1547">
        <v>0</v>
      </c>
      <c r="L1547" t="s">
        <v>3284</v>
      </c>
      <c r="M1547" t="s">
        <v>3296</v>
      </c>
      <c r="N1547" t="s">
        <v>3297</v>
      </c>
      <c r="O1547" t="s">
        <v>3434</v>
      </c>
      <c r="P1547" t="s">
        <v>3435</v>
      </c>
      <c r="Q1547" t="s">
        <v>3436</v>
      </c>
      <c r="R1547" t="s">
        <v>7161</v>
      </c>
    </row>
    <row r="1548" spans="1:18" x14ac:dyDescent="0.2">
      <c r="A1548">
        <v>2745509</v>
      </c>
      <c r="B1548" t="s">
        <v>7162</v>
      </c>
      <c r="C1548">
        <v>0</v>
      </c>
      <c r="D1548">
        <v>0</v>
      </c>
      <c r="E1548">
        <v>0</v>
      </c>
      <c r="F1548">
        <v>1</v>
      </c>
      <c r="G1548">
        <v>0</v>
      </c>
      <c r="H1548">
        <v>0</v>
      </c>
      <c r="I1548">
        <v>0</v>
      </c>
      <c r="J1548">
        <v>0</v>
      </c>
      <c r="K1548">
        <v>0</v>
      </c>
      <c r="L1548" t="s">
        <v>3284</v>
      </c>
      <c r="M1548" t="s">
        <v>3296</v>
      </c>
      <c r="N1548" t="s">
        <v>3297</v>
      </c>
      <c r="O1548" t="s">
        <v>3434</v>
      </c>
      <c r="P1548" t="s">
        <v>3435</v>
      </c>
      <c r="Q1548" t="s">
        <v>3436</v>
      </c>
      <c r="R1548" t="s">
        <v>7163</v>
      </c>
    </row>
    <row r="1549" spans="1:18" x14ac:dyDescent="0.2">
      <c r="A1549">
        <v>2745493</v>
      </c>
      <c r="B1549" t="s">
        <v>7164</v>
      </c>
      <c r="C1549">
        <v>0</v>
      </c>
      <c r="D1549">
        <v>2</v>
      </c>
      <c r="E1549">
        <v>8</v>
      </c>
      <c r="F1549">
        <v>1</v>
      </c>
      <c r="G1549">
        <v>0</v>
      </c>
      <c r="H1549">
        <v>3</v>
      </c>
      <c r="I1549">
        <v>1</v>
      </c>
      <c r="J1549">
        <v>0</v>
      </c>
      <c r="K1549">
        <v>8</v>
      </c>
      <c r="L1549" t="s">
        <v>3284</v>
      </c>
      <c r="M1549" t="s">
        <v>3296</v>
      </c>
      <c r="N1549" t="s">
        <v>3297</v>
      </c>
      <c r="O1549" t="s">
        <v>3434</v>
      </c>
      <c r="P1549" t="s">
        <v>3435</v>
      </c>
      <c r="Q1549" t="s">
        <v>3436</v>
      </c>
      <c r="R1549" t="s">
        <v>7165</v>
      </c>
    </row>
    <row r="1550" spans="1:18" x14ac:dyDescent="0.2">
      <c r="A1550">
        <v>2745489</v>
      </c>
      <c r="B1550" t="s">
        <v>7166</v>
      </c>
      <c r="C1550">
        <v>0</v>
      </c>
      <c r="D1550">
        <v>1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 t="s">
        <v>3284</v>
      </c>
      <c r="M1550" t="s">
        <v>3296</v>
      </c>
      <c r="N1550" t="s">
        <v>3297</v>
      </c>
      <c r="O1550" t="s">
        <v>3434</v>
      </c>
      <c r="P1550" t="s">
        <v>3435</v>
      </c>
      <c r="Q1550" t="s">
        <v>3436</v>
      </c>
      <c r="R1550" t="s">
        <v>7167</v>
      </c>
    </row>
    <row r="1551" spans="1:18" x14ac:dyDescent="0.2">
      <c r="A1551">
        <v>2744469</v>
      </c>
      <c r="B1551" t="s">
        <v>7168</v>
      </c>
      <c r="C1551">
        <v>0</v>
      </c>
      <c r="D1551">
        <v>0</v>
      </c>
      <c r="E1551">
        <v>0</v>
      </c>
      <c r="F1551">
        <v>1</v>
      </c>
      <c r="G1551">
        <v>1</v>
      </c>
      <c r="H1551">
        <v>0</v>
      </c>
      <c r="I1551">
        <v>0</v>
      </c>
      <c r="J1551">
        <v>1</v>
      </c>
      <c r="K1551">
        <v>1</v>
      </c>
      <c r="L1551" t="s">
        <v>3284</v>
      </c>
      <c r="M1551" t="s">
        <v>3296</v>
      </c>
      <c r="N1551" t="s">
        <v>3321</v>
      </c>
      <c r="O1551" t="s">
        <v>3322</v>
      </c>
      <c r="P1551" t="s">
        <v>3398</v>
      </c>
      <c r="Q1551" t="s">
        <v>3918</v>
      </c>
      <c r="R1551" t="s">
        <v>7169</v>
      </c>
    </row>
    <row r="1552" spans="1:18" x14ac:dyDescent="0.2">
      <c r="A1552">
        <v>2744457</v>
      </c>
      <c r="B1552" t="s">
        <v>7170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1</v>
      </c>
      <c r="J1552">
        <v>1</v>
      </c>
      <c r="K1552">
        <v>3</v>
      </c>
      <c r="L1552" t="s">
        <v>3284</v>
      </c>
      <c r="M1552" t="s">
        <v>3296</v>
      </c>
      <c r="N1552" t="s">
        <v>3343</v>
      </c>
      <c r="O1552" t="s">
        <v>3349</v>
      </c>
      <c r="P1552" t="s">
        <v>3350</v>
      </c>
      <c r="Q1552" t="s">
        <v>5444</v>
      </c>
      <c r="R1552" t="s">
        <v>7171</v>
      </c>
    </row>
    <row r="1553" spans="1:18" x14ac:dyDescent="0.2">
      <c r="A1553">
        <v>2744455</v>
      </c>
      <c r="B1553" t="s">
        <v>7172</v>
      </c>
      <c r="C1553">
        <v>0</v>
      </c>
      <c r="D1553">
        <v>0</v>
      </c>
      <c r="E1553">
        <v>0</v>
      </c>
      <c r="F1553">
        <v>8</v>
      </c>
      <c r="G1553">
        <v>9</v>
      </c>
      <c r="H1553">
        <v>4</v>
      </c>
      <c r="I1553">
        <v>0</v>
      </c>
      <c r="J1553">
        <v>0</v>
      </c>
      <c r="K1553">
        <v>0</v>
      </c>
      <c r="L1553" t="s">
        <v>3284</v>
      </c>
      <c r="M1553" t="s">
        <v>3296</v>
      </c>
      <c r="N1553" t="s">
        <v>3343</v>
      </c>
      <c r="O1553" t="s">
        <v>3344</v>
      </c>
      <c r="P1553" t="s">
        <v>3355</v>
      </c>
      <c r="Q1553" t="s">
        <v>3846</v>
      </c>
      <c r="R1553" t="s">
        <v>7173</v>
      </c>
    </row>
    <row r="1554" spans="1:18" x14ac:dyDescent="0.2">
      <c r="A1554">
        <v>2744446</v>
      </c>
      <c r="B1554" t="s">
        <v>7174</v>
      </c>
      <c r="C1554">
        <v>4</v>
      </c>
      <c r="D1554">
        <v>1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 t="s">
        <v>3284</v>
      </c>
      <c r="M1554" t="s">
        <v>3296</v>
      </c>
      <c r="N1554" t="s">
        <v>3321</v>
      </c>
      <c r="O1554" t="s">
        <v>3322</v>
      </c>
      <c r="P1554" t="s">
        <v>3398</v>
      </c>
      <c r="Q1554" t="s">
        <v>3841</v>
      </c>
      <c r="R1554" t="s">
        <v>7175</v>
      </c>
    </row>
    <row r="1555" spans="1:18" x14ac:dyDescent="0.2">
      <c r="A1555">
        <v>2744443</v>
      </c>
      <c r="B1555" t="s">
        <v>7176</v>
      </c>
      <c r="C1555">
        <v>0</v>
      </c>
      <c r="D1555">
        <v>0</v>
      </c>
      <c r="E1555">
        <v>0</v>
      </c>
      <c r="F1555">
        <v>0</v>
      </c>
      <c r="G1555">
        <v>1</v>
      </c>
      <c r="H1555">
        <v>0</v>
      </c>
      <c r="I1555">
        <v>0</v>
      </c>
      <c r="J1555">
        <v>0</v>
      </c>
      <c r="K1555">
        <v>0</v>
      </c>
      <c r="L1555" t="s">
        <v>3284</v>
      </c>
      <c r="M1555" t="s">
        <v>3296</v>
      </c>
      <c r="N1555" t="s">
        <v>3321</v>
      </c>
      <c r="O1555" t="s">
        <v>4147</v>
      </c>
      <c r="P1555" t="s">
        <v>7177</v>
      </c>
      <c r="Q1555" t="s">
        <v>7178</v>
      </c>
      <c r="R1555" t="s">
        <v>7179</v>
      </c>
    </row>
    <row r="1556" spans="1:18" x14ac:dyDescent="0.2">
      <c r="A1556">
        <v>2744251</v>
      </c>
      <c r="B1556" t="s">
        <v>7180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2</v>
      </c>
      <c r="L1556" t="s">
        <v>3284</v>
      </c>
      <c r="M1556" t="s">
        <v>3327</v>
      </c>
      <c r="N1556" t="s">
        <v>3376</v>
      </c>
      <c r="O1556" t="s">
        <v>3377</v>
      </c>
      <c r="P1556" t="s">
        <v>3378</v>
      </c>
      <c r="Q1556" t="s">
        <v>3379</v>
      </c>
      <c r="R1556" t="s">
        <v>7181</v>
      </c>
    </row>
    <row r="1557" spans="1:18" x14ac:dyDescent="0.2">
      <c r="A1557">
        <v>2743471</v>
      </c>
      <c r="B1557" t="s">
        <v>7182</v>
      </c>
      <c r="C1557">
        <v>0</v>
      </c>
      <c r="D1557">
        <v>0</v>
      </c>
      <c r="E1557">
        <v>0</v>
      </c>
      <c r="F1557">
        <v>2</v>
      </c>
      <c r="G1557">
        <v>1</v>
      </c>
      <c r="H1557">
        <v>0</v>
      </c>
      <c r="I1557">
        <v>0</v>
      </c>
      <c r="J1557">
        <v>0</v>
      </c>
      <c r="K1557">
        <v>0</v>
      </c>
      <c r="L1557" t="s">
        <v>3284</v>
      </c>
      <c r="M1557" t="s">
        <v>3391</v>
      </c>
      <c r="N1557" t="s">
        <v>3411</v>
      </c>
      <c r="O1557" t="s">
        <v>3412</v>
      </c>
      <c r="P1557" t="s">
        <v>3413</v>
      </c>
      <c r="Q1557" t="s">
        <v>3414</v>
      </c>
      <c r="R1557" t="s">
        <v>7183</v>
      </c>
    </row>
    <row r="1558" spans="1:18" x14ac:dyDescent="0.2">
      <c r="A1558">
        <v>2743470</v>
      </c>
      <c r="B1558" t="s">
        <v>7184</v>
      </c>
      <c r="C1558">
        <v>0</v>
      </c>
      <c r="D1558">
        <v>0</v>
      </c>
      <c r="E1558">
        <v>1</v>
      </c>
      <c r="F1558">
        <v>0</v>
      </c>
      <c r="G1558">
        <v>1</v>
      </c>
      <c r="H1558">
        <v>0</v>
      </c>
      <c r="I1558">
        <v>0</v>
      </c>
      <c r="J1558">
        <v>0</v>
      </c>
      <c r="K1558">
        <v>0</v>
      </c>
      <c r="L1558" t="s">
        <v>3284</v>
      </c>
      <c r="M1558" t="s">
        <v>3296</v>
      </c>
      <c r="N1558" t="s">
        <v>3321</v>
      </c>
      <c r="O1558" t="s">
        <v>3322</v>
      </c>
      <c r="P1558" t="s">
        <v>3398</v>
      </c>
      <c r="Q1558" t="s">
        <v>3806</v>
      </c>
      <c r="R1558" t="s">
        <v>7185</v>
      </c>
    </row>
    <row r="1559" spans="1:18" x14ac:dyDescent="0.2">
      <c r="A1559">
        <v>2743357</v>
      </c>
      <c r="B1559" t="s">
        <v>7186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1</v>
      </c>
      <c r="J1559">
        <v>1</v>
      </c>
      <c r="K1559">
        <v>0</v>
      </c>
      <c r="L1559" t="s">
        <v>3284</v>
      </c>
      <c r="M1559" t="s">
        <v>3296</v>
      </c>
      <c r="N1559" t="s">
        <v>3321</v>
      </c>
      <c r="O1559" t="s">
        <v>3322</v>
      </c>
      <c r="P1559" t="s">
        <v>3323</v>
      </c>
      <c r="Q1559" t="s">
        <v>6159</v>
      </c>
      <c r="R1559" t="s">
        <v>7187</v>
      </c>
    </row>
    <row r="1560" spans="1:18" x14ac:dyDescent="0.2">
      <c r="A1560">
        <v>2742698</v>
      </c>
      <c r="B1560" t="s">
        <v>7188</v>
      </c>
      <c r="C1560">
        <v>0</v>
      </c>
      <c r="D1560">
        <v>0</v>
      </c>
      <c r="E1560">
        <v>0</v>
      </c>
      <c r="F1560">
        <v>0</v>
      </c>
      <c r="G1560">
        <v>1</v>
      </c>
      <c r="H1560">
        <v>0</v>
      </c>
      <c r="I1560">
        <v>0</v>
      </c>
      <c r="J1560">
        <v>0</v>
      </c>
      <c r="K1560">
        <v>0</v>
      </c>
      <c r="L1560" t="s">
        <v>3284</v>
      </c>
      <c r="M1560" t="s">
        <v>3296</v>
      </c>
      <c r="N1560" t="s">
        <v>3343</v>
      </c>
      <c r="O1560" t="s">
        <v>3344</v>
      </c>
      <c r="P1560" t="s">
        <v>3355</v>
      </c>
      <c r="Q1560" t="s">
        <v>3525</v>
      </c>
      <c r="R1560" t="s">
        <v>7189</v>
      </c>
    </row>
    <row r="1561" spans="1:18" x14ac:dyDescent="0.2">
      <c r="A1561">
        <v>2742624</v>
      </c>
      <c r="B1561" t="s">
        <v>7190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1</v>
      </c>
      <c r="I1561">
        <v>0</v>
      </c>
      <c r="J1561">
        <v>0</v>
      </c>
      <c r="K1561">
        <v>0</v>
      </c>
      <c r="L1561" t="s">
        <v>3284</v>
      </c>
      <c r="M1561" t="s">
        <v>3296</v>
      </c>
      <c r="N1561" t="s">
        <v>3297</v>
      </c>
      <c r="O1561" t="s">
        <v>3298</v>
      </c>
      <c r="P1561" t="s">
        <v>3826</v>
      </c>
      <c r="Q1561" t="s">
        <v>3927</v>
      </c>
      <c r="R1561" t="s">
        <v>7191</v>
      </c>
    </row>
    <row r="1562" spans="1:18" x14ac:dyDescent="0.2">
      <c r="A1562">
        <v>2742602</v>
      </c>
      <c r="B1562" t="s">
        <v>7192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1</v>
      </c>
      <c r="J1562">
        <v>0</v>
      </c>
      <c r="K1562">
        <v>0</v>
      </c>
      <c r="L1562" t="s">
        <v>3284</v>
      </c>
      <c r="M1562" t="s">
        <v>3307</v>
      </c>
      <c r="N1562" t="s">
        <v>3308</v>
      </c>
      <c r="O1562" t="s">
        <v>3635</v>
      </c>
      <c r="P1562" t="s">
        <v>4321</v>
      </c>
      <c r="Q1562" t="s">
        <v>4322</v>
      </c>
      <c r="R1562" t="s">
        <v>7193</v>
      </c>
    </row>
    <row r="1563" spans="1:18" x14ac:dyDescent="0.2">
      <c r="A1563">
        <v>2741720</v>
      </c>
      <c r="B1563" t="s">
        <v>7194</v>
      </c>
      <c r="C1563">
        <v>1</v>
      </c>
      <c r="D1563">
        <v>1</v>
      </c>
      <c r="E1563">
        <v>0</v>
      </c>
      <c r="F1563">
        <v>1</v>
      </c>
      <c r="G1563">
        <v>0</v>
      </c>
      <c r="H1563">
        <v>0</v>
      </c>
      <c r="I1563">
        <v>0</v>
      </c>
      <c r="J1563">
        <v>0</v>
      </c>
      <c r="K1563">
        <v>0</v>
      </c>
      <c r="L1563" t="s">
        <v>3284</v>
      </c>
      <c r="M1563" t="s">
        <v>3296</v>
      </c>
      <c r="N1563" t="s">
        <v>3321</v>
      </c>
      <c r="O1563" t="s">
        <v>3322</v>
      </c>
      <c r="P1563" t="s">
        <v>3398</v>
      </c>
      <c r="Q1563" t="s">
        <v>3788</v>
      </c>
      <c r="R1563" t="s">
        <v>7195</v>
      </c>
    </row>
    <row r="1564" spans="1:18" x14ac:dyDescent="0.2">
      <c r="A1564">
        <v>2741071</v>
      </c>
      <c r="B1564" t="s">
        <v>7196</v>
      </c>
      <c r="C1564">
        <v>0</v>
      </c>
      <c r="D1564">
        <v>0</v>
      </c>
      <c r="E1564">
        <v>0</v>
      </c>
      <c r="F1564">
        <v>1</v>
      </c>
      <c r="G1564">
        <v>0</v>
      </c>
      <c r="H1564">
        <v>0</v>
      </c>
      <c r="I1564">
        <v>0</v>
      </c>
      <c r="J1564">
        <v>0</v>
      </c>
      <c r="K1564">
        <v>0</v>
      </c>
      <c r="L1564" t="s">
        <v>3284</v>
      </c>
      <c r="M1564" t="s">
        <v>5163</v>
      </c>
      <c r="N1564" t="s">
        <v>5164</v>
      </c>
      <c r="O1564" t="s">
        <v>5165</v>
      </c>
      <c r="P1564" t="s">
        <v>7197</v>
      </c>
      <c r="Q1564" t="s">
        <v>7198</v>
      </c>
      <c r="R1564" t="s">
        <v>7199</v>
      </c>
    </row>
    <row r="1565" spans="1:18" x14ac:dyDescent="0.2">
      <c r="A1565">
        <v>2740817</v>
      </c>
      <c r="B1565" t="s">
        <v>7200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3</v>
      </c>
      <c r="K1565">
        <v>0</v>
      </c>
      <c r="L1565" t="s">
        <v>3284</v>
      </c>
      <c r="M1565" t="s">
        <v>3296</v>
      </c>
      <c r="N1565" t="s">
        <v>3297</v>
      </c>
      <c r="O1565" t="s">
        <v>3298</v>
      </c>
      <c r="P1565" t="s">
        <v>3873</v>
      </c>
      <c r="Q1565" t="s">
        <v>7201</v>
      </c>
      <c r="R1565" t="s">
        <v>7202</v>
      </c>
    </row>
    <row r="1566" spans="1:18" x14ac:dyDescent="0.2">
      <c r="A1566">
        <v>2740518</v>
      </c>
      <c r="B1566" t="s">
        <v>7203</v>
      </c>
      <c r="C1566">
        <v>0</v>
      </c>
      <c r="D1566">
        <v>0</v>
      </c>
      <c r="E1566">
        <v>1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 t="s">
        <v>3284</v>
      </c>
      <c r="M1566" t="s">
        <v>3296</v>
      </c>
      <c r="N1566" t="s">
        <v>3297</v>
      </c>
      <c r="O1566" t="s">
        <v>3434</v>
      </c>
      <c r="P1566" t="s">
        <v>3435</v>
      </c>
      <c r="Q1566" t="s">
        <v>3436</v>
      </c>
      <c r="R1566" t="s">
        <v>7204</v>
      </c>
    </row>
    <row r="1567" spans="1:18" x14ac:dyDescent="0.2">
      <c r="A1567">
        <v>2740462</v>
      </c>
      <c r="B1567" t="s">
        <v>7205</v>
      </c>
      <c r="C1567">
        <v>1</v>
      </c>
      <c r="D1567">
        <v>0</v>
      </c>
      <c r="E1567">
        <v>0</v>
      </c>
      <c r="F1567">
        <v>12</v>
      </c>
      <c r="G1567">
        <v>24</v>
      </c>
      <c r="H1567">
        <v>0</v>
      </c>
      <c r="I1567">
        <v>0</v>
      </c>
      <c r="J1567">
        <v>0</v>
      </c>
      <c r="K1567">
        <v>0</v>
      </c>
      <c r="L1567" t="s">
        <v>3284</v>
      </c>
      <c r="M1567" t="s">
        <v>3391</v>
      </c>
      <c r="N1567" t="s">
        <v>3392</v>
      </c>
      <c r="O1567" t="s">
        <v>3393</v>
      </c>
      <c r="P1567" t="s">
        <v>3394</v>
      </c>
      <c r="Q1567" t="s">
        <v>4082</v>
      </c>
      <c r="R1567" t="s">
        <v>7206</v>
      </c>
    </row>
    <row r="1568" spans="1:18" x14ac:dyDescent="0.2">
      <c r="A1568">
        <v>2739025</v>
      </c>
      <c r="B1568" t="s">
        <v>7207</v>
      </c>
      <c r="C1568">
        <v>0</v>
      </c>
      <c r="D1568">
        <v>0</v>
      </c>
      <c r="E1568">
        <v>0</v>
      </c>
      <c r="F1568">
        <v>0</v>
      </c>
      <c r="G1568">
        <v>1</v>
      </c>
      <c r="H1568">
        <v>0</v>
      </c>
      <c r="I1568">
        <v>1</v>
      </c>
      <c r="J1568">
        <v>0</v>
      </c>
      <c r="K1568">
        <v>0</v>
      </c>
      <c r="L1568" t="s">
        <v>3284</v>
      </c>
      <c r="M1568" t="s">
        <v>3307</v>
      </c>
      <c r="N1568" t="s">
        <v>3308</v>
      </c>
      <c r="O1568" t="s">
        <v>3359</v>
      </c>
      <c r="P1568" t="s">
        <v>3360</v>
      </c>
      <c r="Q1568" t="s">
        <v>3561</v>
      </c>
      <c r="R1568" t="s">
        <v>7208</v>
      </c>
    </row>
    <row r="1569" spans="1:18" x14ac:dyDescent="0.2">
      <c r="A1569">
        <v>2738988</v>
      </c>
      <c r="B1569" t="s">
        <v>7209</v>
      </c>
      <c r="C1569">
        <v>0</v>
      </c>
      <c r="D1569">
        <v>0</v>
      </c>
      <c r="E1569">
        <v>0</v>
      </c>
      <c r="F1569">
        <v>1</v>
      </c>
      <c r="G1569">
        <v>0</v>
      </c>
      <c r="H1569">
        <v>0</v>
      </c>
      <c r="I1569">
        <v>0</v>
      </c>
      <c r="J1569">
        <v>0</v>
      </c>
      <c r="K1569">
        <v>0</v>
      </c>
      <c r="L1569" t="s">
        <v>3284</v>
      </c>
      <c r="M1569" t="s">
        <v>3307</v>
      </c>
      <c r="N1569" t="s">
        <v>3308</v>
      </c>
      <c r="O1569" t="s">
        <v>3309</v>
      </c>
      <c r="P1569" t="s">
        <v>3310</v>
      </c>
      <c r="Q1569" t="s">
        <v>7210</v>
      </c>
      <c r="R1569" t="s">
        <v>7211</v>
      </c>
    </row>
    <row r="1570" spans="1:18" x14ac:dyDescent="0.2">
      <c r="A1570">
        <v>2738867</v>
      </c>
      <c r="B1570" t="s">
        <v>7212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1</v>
      </c>
      <c r="K1570">
        <v>0</v>
      </c>
      <c r="L1570" t="s">
        <v>3284</v>
      </c>
      <c r="M1570" t="s">
        <v>3327</v>
      </c>
      <c r="N1570" t="s">
        <v>3376</v>
      </c>
      <c r="O1570" t="s">
        <v>3377</v>
      </c>
      <c r="P1570" t="s">
        <v>3604</v>
      </c>
      <c r="Q1570" t="s">
        <v>3605</v>
      </c>
      <c r="R1570" t="s">
        <v>7213</v>
      </c>
    </row>
    <row r="1571" spans="1:18" x14ac:dyDescent="0.2">
      <c r="A1571">
        <v>2738515</v>
      </c>
      <c r="B1571" t="s">
        <v>7214</v>
      </c>
      <c r="C1571">
        <v>1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 t="s">
        <v>3284</v>
      </c>
      <c r="M1571" t="s">
        <v>3296</v>
      </c>
      <c r="N1571" t="s">
        <v>3297</v>
      </c>
      <c r="O1571" t="s">
        <v>3434</v>
      </c>
      <c r="P1571" t="s">
        <v>3435</v>
      </c>
      <c r="Q1571" t="s">
        <v>7215</v>
      </c>
      <c r="R1571" t="s">
        <v>7216</v>
      </c>
    </row>
    <row r="1572" spans="1:18" x14ac:dyDescent="0.2">
      <c r="A1572">
        <v>2738409</v>
      </c>
      <c r="B1572" t="s">
        <v>7217</v>
      </c>
      <c r="C1572">
        <v>0</v>
      </c>
      <c r="D1572">
        <v>0</v>
      </c>
      <c r="E1572">
        <v>1</v>
      </c>
      <c r="F1572">
        <v>0</v>
      </c>
      <c r="G1572">
        <v>0</v>
      </c>
      <c r="H1572">
        <v>0</v>
      </c>
      <c r="I1572">
        <v>1</v>
      </c>
      <c r="J1572">
        <v>0</v>
      </c>
      <c r="K1572">
        <v>0</v>
      </c>
      <c r="L1572" t="s">
        <v>3284</v>
      </c>
      <c r="M1572" t="s">
        <v>3307</v>
      </c>
      <c r="N1572" t="s">
        <v>3308</v>
      </c>
      <c r="O1572" t="s">
        <v>3635</v>
      </c>
      <c r="P1572" t="s">
        <v>4011</v>
      </c>
      <c r="Q1572" t="s">
        <v>4012</v>
      </c>
      <c r="R1572" t="s">
        <v>7218</v>
      </c>
    </row>
    <row r="1573" spans="1:18" x14ac:dyDescent="0.2">
      <c r="A1573">
        <v>2738134</v>
      </c>
      <c r="B1573" t="s">
        <v>7219</v>
      </c>
      <c r="C1573">
        <v>0</v>
      </c>
      <c r="D1573">
        <v>2</v>
      </c>
      <c r="E1573">
        <v>1</v>
      </c>
      <c r="F1573">
        <v>1</v>
      </c>
      <c r="G1573">
        <v>2</v>
      </c>
      <c r="H1573">
        <v>0</v>
      </c>
      <c r="I1573">
        <v>0</v>
      </c>
      <c r="J1573">
        <v>0</v>
      </c>
      <c r="K1573">
        <v>1</v>
      </c>
      <c r="L1573" t="s">
        <v>3284</v>
      </c>
      <c r="M1573" t="s">
        <v>3307</v>
      </c>
      <c r="N1573" t="s">
        <v>3308</v>
      </c>
      <c r="O1573" t="s">
        <v>3949</v>
      </c>
      <c r="P1573" t="s">
        <v>3950</v>
      </c>
      <c r="Q1573" t="s">
        <v>7220</v>
      </c>
      <c r="R1573" t="s">
        <v>7221</v>
      </c>
    </row>
    <row r="1574" spans="1:18" x14ac:dyDescent="0.2">
      <c r="A1574">
        <v>2737662</v>
      </c>
      <c r="B1574" t="s">
        <v>7222</v>
      </c>
      <c r="C1574">
        <v>1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 t="s">
        <v>3284</v>
      </c>
      <c r="M1574" t="s">
        <v>3296</v>
      </c>
      <c r="N1574" t="s">
        <v>3343</v>
      </c>
      <c r="O1574" t="s">
        <v>3371</v>
      </c>
      <c r="P1574" t="s">
        <v>3688</v>
      </c>
      <c r="Q1574" t="s">
        <v>7223</v>
      </c>
      <c r="R1574" t="s">
        <v>7224</v>
      </c>
    </row>
    <row r="1575" spans="1:18" x14ac:dyDescent="0.2">
      <c r="A1575">
        <v>2736928</v>
      </c>
      <c r="B1575" t="s">
        <v>7225</v>
      </c>
      <c r="C1575">
        <v>0</v>
      </c>
      <c r="D1575">
        <v>0</v>
      </c>
      <c r="E1575">
        <v>0</v>
      </c>
      <c r="F1575">
        <v>1</v>
      </c>
      <c r="G1575">
        <v>0</v>
      </c>
      <c r="H1575">
        <v>0</v>
      </c>
      <c r="I1575">
        <v>0</v>
      </c>
      <c r="J1575">
        <v>0</v>
      </c>
      <c r="K1575">
        <v>0</v>
      </c>
      <c r="L1575" t="s">
        <v>3284</v>
      </c>
      <c r="M1575" t="s">
        <v>3307</v>
      </c>
      <c r="N1575" t="s">
        <v>3308</v>
      </c>
      <c r="O1575" t="s">
        <v>3635</v>
      </c>
      <c r="P1575" t="s">
        <v>4011</v>
      </c>
      <c r="Q1575" t="s">
        <v>4471</v>
      </c>
      <c r="R1575" t="s">
        <v>7226</v>
      </c>
    </row>
    <row r="1576" spans="1:18" x14ac:dyDescent="0.2">
      <c r="A1576">
        <v>2736757</v>
      </c>
      <c r="B1576" t="s">
        <v>7227</v>
      </c>
      <c r="C1576">
        <v>0</v>
      </c>
      <c r="D1576">
        <v>0</v>
      </c>
      <c r="E1576">
        <v>0</v>
      </c>
      <c r="F1576">
        <v>0</v>
      </c>
      <c r="G1576">
        <v>1</v>
      </c>
      <c r="H1576">
        <v>0</v>
      </c>
      <c r="I1576">
        <v>0</v>
      </c>
      <c r="J1576">
        <v>0</v>
      </c>
      <c r="K1576">
        <v>0</v>
      </c>
      <c r="L1576" t="s">
        <v>3284</v>
      </c>
      <c r="M1576" t="s">
        <v>3307</v>
      </c>
      <c r="N1576" t="s">
        <v>3308</v>
      </c>
      <c r="O1576" t="s">
        <v>3309</v>
      </c>
      <c r="P1576" t="s">
        <v>3310</v>
      </c>
      <c r="Q1576" t="s">
        <v>3311</v>
      </c>
      <c r="R1576" t="s">
        <v>7228</v>
      </c>
    </row>
    <row r="1577" spans="1:18" x14ac:dyDescent="0.2">
      <c r="A1577">
        <v>2736649</v>
      </c>
      <c r="B1577" t="s">
        <v>7229</v>
      </c>
      <c r="C1577">
        <v>0</v>
      </c>
      <c r="D1577">
        <v>0</v>
      </c>
      <c r="E1577">
        <v>0</v>
      </c>
      <c r="F1577">
        <v>2</v>
      </c>
      <c r="G1577">
        <v>0</v>
      </c>
      <c r="H1577">
        <v>0</v>
      </c>
      <c r="I1577">
        <v>0</v>
      </c>
      <c r="J1577">
        <v>0</v>
      </c>
      <c r="K1577">
        <v>0</v>
      </c>
      <c r="L1577" t="s">
        <v>3284</v>
      </c>
      <c r="M1577" t="s">
        <v>3307</v>
      </c>
      <c r="N1577" t="s">
        <v>3308</v>
      </c>
      <c r="O1577" t="s">
        <v>3635</v>
      </c>
      <c r="P1577" t="s">
        <v>4011</v>
      </c>
      <c r="Q1577" t="s">
        <v>4471</v>
      </c>
      <c r="R1577" t="s">
        <v>7230</v>
      </c>
    </row>
    <row r="1578" spans="1:18" x14ac:dyDescent="0.2">
      <c r="A1578">
        <v>2735899</v>
      </c>
      <c r="B1578" t="s">
        <v>7231</v>
      </c>
      <c r="C1578">
        <v>0</v>
      </c>
      <c r="D1578">
        <v>1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 t="s">
        <v>3284</v>
      </c>
      <c r="M1578" t="s">
        <v>3391</v>
      </c>
      <c r="N1578" t="s">
        <v>3411</v>
      </c>
      <c r="O1578" t="s">
        <v>3412</v>
      </c>
      <c r="P1578" t="s">
        <v>3564</v>
      </c>
      <c r="Q1578" t="s">
        <v>7232</v>
      </c>
      <c r="R1578" t="s">
        <v>7233</v>
      </c>
    </row>
    <row r="1579" spans="1:18" x14ac:dyDescent="0.2">
      <c r="A1579">
        <v>2735897</v>
      </c>
      <c r="B1579" t="s">
        <v>7234</v>
      </c>
      <c r="C1579">
        <v>1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 t="s">
        <v>3284</v>
      </c>
      <c r="M1579" t="s">
        <v>3296</v>
      </c>
      <c r="N1579" t="s">
        <v>3321</v>
      </c>
      <c r="O1579" t="s">
        <v>3322</v>
      </c>
      <c r="P1579" t="s">
        <v>3671</v>
      </c>
      <c r="Q1579" t="s">
        <v>5824</v>
      </c>
      <c r="R1579" t="s">
        <v>7235</v>
      </c>
    </row>
    <row r="1580" spans="1:18" x14ac:dyDescent="0.2">
      <c r="A1580">
        <v>2735528</v>
      </c>
      <c r="B1580" t="s">
        <v>7236</v>
      </c>
      <c r="C1580">
        <v>0</v>
      </c>
      <c r="D1580">
        <v>0</v>
      </c>
      <c r="E1580">
        <v>0</v>
      </c>
      <c r="F1580">
        <v>1</v>
      </c>
      <c r="G1580">
        <v>0</v>
      </c>
      <c r="H1580">
        <v>0</v>
      </c>
      <c r="I1580">
        <v>0</v>
      </c>
      <c r="J1580">
        <v>0</v>
      </c>
      <c r="K1580">
        <v>0</v>
      </c>
      <c r="L1580" t="s">
        <v>3284</v>
      </c>
      <c r="M1580" t="s">
        <v>3296</v>
      </c>
      <c r="N1580" t="s">
        <v>3343</v>
      </c>
      <c r="O1580" t="s">
        <v>3344</v>
      </c>
      <c r="P1580" t="s">
        <v>3355</v>
      </c>
      <c r="Q1580" t="s">
        <v>3546</v>
      </c>
      <c r="R1580" t="s">
        <v>7237</v>
      </c>
    </row>
    <row r="1581" spans="1:18" x14ac:dyDescent="0.2">
      <c r="A1581">
        <v>2734609</v>
      </c>
      <c r="B1581" t="s">
        <v>7238</v>
      </c>
      <c r="C1581">
        <v>1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 t="s">
        <v>3284</v>
      </c>
      <c r="M1581" t="s">
        <v>3296</v>
      </c>
      <c r="N1581" t="s">
        <v>3321</v>
      </c>
      <c r="O1581" t="s">
        <v>4147</v>
      </c>
      <c r="P1581" t="s">
        <v>4148</v>
      </c>
      <c r="Q1581" t="s">
        <v>6698</v>
      </c>
      <c r="R1581" t="s">
        <v>7239</v>
      </c>
    </row>
    <row r="1582" spans="1:18" x14ac:dyDescent="0.2">
      <c r="A1582">
        <v>2733867</v>
      </c>
      <c r="B1582" t="s">
        <v>7240</v>
      </c>
      <c r="C1582">
        <v>0</v>
      </c>
      <c r="D1582">
        <v>2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 t="s">
        <v>3284</v>
      </c>
      <c r="M1582" t="s">
        <v>3296</v>
      </c>
      <c r="N1582" t="s">
        <v>3343</v>
      </c>
      <c r="O1582" t="s">
        <v>3349</v>
      </c>
      <c r="P1582" t="s">
        <v>3350</v>
      </c>
      <c r="Q1582" t="s">
        <v>4175</v>
      </c>
      <c r="R1582" t="s">
        <v>7241</v>
      </c>
    </row>
    <row r="1583" spans="1:18" x14ac:dyDescent="0.2">
      <c r="A1583">
        <v>2732510</v>
      </c>
      <c r="B1583" t="s">
        <v>7242</v>
      </c>
      <c r="C1583">
        <v>0</v>
      </c>
      <c r="D1583">
        <v>0</v>
      </c>
      <c r="E1583">
        <v>0</v>
      </c>
      <c r="F1583">
        <v>1</v>
      </c>
      <c r="G1583">
        <v>0</v>
      </c>
      <c r="H1583">
        <v>0</v>
      </c>
      <c r="I1583">
        <v>0</v>
      </c>
      <c r="J1583">
        <v>0</v>
      </c>
      <c r="K1583">
        <v>0</v>
      </c>
      <c r="L1583" t="s">
        <v>3284</v>
      </c>
      <c r="M1583" t="s">
        <v>3391</v>
      </c>
      <c r="N1583" t="s">
        <v>3392</v>
      </c>
      <c r="O1583" t="s">
        <v>3393</v>
      </c>
      <c r="P1583" t="s">
        <v>3394</v>
      </c>
      <c r="Q1583" t="s">
        <v>4082</v>
      </c>
      <c r="R1583" t="s">
        <v>7243</v>
      </c>
    </row>
    <row r="1584" spans="1:18" x14ac:dyDescent="0.2">
      <c r="A1584">
        <v>2731377</v>
      </c>
      <c r="B1584" t="s">
        <v>7244</v>
      </c>
      <c r="C1584">
        <v>0</v>
      </c>
      <c r="D1584">
        <v>1</v>
      </c>
      <c r="E1584">
        <v>1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 t="s">
        <v>3284</v>
      </c>
      <c r="M1584" t="s">
        <v>3327</v>
      </c>
      <c r="N1584" t="s">
        <v>3328</v>
      </c>
      <c r="O1584" t="s">
        <v>3329</v>
      </c>
      <c r="P1584" t="s">
        <v>7245</v>
      </c>
      <c r="Q1584" t="s">
        <v>7246</v>
      </c>
      <c r="R1584" t="s">
        <v>7247</v>
      </c>
    </row>
    <row r="1585" spans="1:18" x14ac:dyDescent="0.2">
      <c r="A1585">
        <v>2731219</v>
      </c>
      <c r="B1585" t="s">
        <v>7248</v>
      </c>
      <c r="C1585">
        <v>3</v>
      </c>
      <c r="D1585">
        <v>1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 t="s">
        <v>3284</v>
      </c>
      <c r="M1585" t="s">
        <v>3327</v>
      </c>
      <c r="N1585" t="s">
        <v>3328</v>
      </c>
      <c r="O1585" t="s">
        <v>4184</v>
      </c>
      <c r="P1585" t="s">
        <v>6312</v>
      </c>
      <c r="Q1585" t="s">
        <v>6313</v>
      </c>
      <c r="R1585" t="s">
        <v>7249</v>
      </c>
    </row>
    <row r="1586" spans="1:18" x14ac:dyDescent="0.2">
      <c r="A1586">
        <v>2730925</v>
      </c>
      <c r="B1586" t="s">
        <v>7250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1</v>
      </c>
      <c r="J1586">
        <v>0</v>
      </c>
      <c r="K1586">
        <v>0</v>
      </c>
      <c r="L1586" t="s">
        <v>3284</v>
      </c>
      <c r="M1586" t="s">
        <v>3296</v>
      </c>
      <c r="N1586" t="s">
        <v>3343</v>
      </c>
      <c r="O1586" t="s">
        <v>3429</v>
      </c>
      <c r="P1586" t="s">
        <v>3430</v>
      </c>
      <c r="Q1586" t="s">
        <v>6052</v>
      </c>
      <c r="R1586" t="s">
        <v>7251</v>
      </c>
    </row>
    <row r="1587" spans="1:18" x14ac:dyDescent="0.2">
      <c r="A1587">
        <v>2730920</v>
      </c>
      <c r="B1587" t="s">
        <v>7252</v>
      </c>
      <c r="C1587">
        <v>0</v>
      </c>
      <c r="D1587">
        <v>1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 t="s">
        <v>3284</v>
      </c>
      <c r="M1587" t="s">
        <v>3296</v>
      </c>
      <c r="N1587" t="s">
        <v>3343</v>
      </c>
      <c r="O1587" t="s">
        <v>3344</v>
      </c>
      <c r="P1587" t="s">
        <v>6089</v>
      </c>
      <c r="Q1587" t="s">
        <v>7253</v>
      </c>
      <c r="R1587" t="s">
        <v>7254</v>
      </c>
    </row>
    <row r="1588" spans="1:18" x14ac:dyDescent="0.2">
      <c r="A1588">
        <v>2730405</v>
      </c>
      <c r="B1588" t="s">
        <v>7255</v>
      </c>
      <c r="C1588">
        <v>0</v>
      </c>
      <c r="D1588">
        <v>2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 t="s">
        <v>3284</v>
      </c>
      <c r="M1588" t="s">
        <v>3327</v>
      </c>
      <c r="N1588" t="s">
        <v>3376</v>
      </c>
      <c r="O1588" t="s">
        <v>3377</v>
      </c>
      <c r="P1588" t="s">
        <v>3378</v>
      </c>
      <c r="Q1588" t="s">
        <v>6184</v>
      </c>
      <c r="R1588" t="s">
        <v>7256</v>
      </c>
    </row>
    <row r="1589" spans="1:18" x14ac:dyDescent="0.2">
      <c r="A1589">
        <v>2730403</v>
      </c>
      <c r="B1589" t="s">
        <v>7257</v>
      </c>
      <c r="C1589">
        <v>1</v>
      </c>
      <c r="D1589">
        <v>0</v>
      </c>
      <c r="E1589">
        <v>0</v>
      </c>
      <c r="F1589">
        <v>8</v>
      </c>
      <c r="G1589">
        <v>7</v>
      </c>
      <c r="H1589">
        <v>1</v>
      </c>
      <c r="I1589">
        <v>0</v>
      </c>
      <c r="J1589">
        <v>0</v>
      </c>
      <c r="K1589">
        <v>0</v>
      </c>
      <c r="L1589" t="s">
        <v>3284</v>
      </c>
      <c r="M1589" t="s">
        <v>3391</v>
      </c>
      <c r="N1589" t="s">
        <v>3392</v>
      </c>
      <c r="O1589" t="s">
        <v>3393</v>
      </c>
      <c r="P1589" t="s">
        <v>3394</v>
      </c>
      <c r="Q1589" t="s">
        <v>3395</v>
      </c>
      <c r="R1589" t="s">
        <v>7258</v>
      </c>
    </row>
    <row r="1590" spans="1:18" x14ac:dyDescent="0.2">
      <c r="A1590">
        <v>2729599</v>
      </c>
      <c r="B1590" t="s">
        <v>7259</v>
      </c>
      <c r="C1590">
        <v>0</v>
      </c>
      <c r="D1590">
        <v>0</v>
      </c>
      <c r="E1590">
        <v>0</v>
      </c>
      <c r="F1590">
        <v>0</v>
      </c>
      <c r="G1590">
        <v>1</v>
      </c>
      <c r="H1590">
        <v>0</v>
      </c>
      <c r="I1590">
        <v>0</v>
      </c>
      <c r="J1590">
        <v>0</v>
      </c>
      <c r="K1590">
        <v>0</v>
      </c>
      <c r="L1590" t="s">
        <v>3284</v>
      </c>
      <c r="M1590" t="s">
        <v>3391</v>
      </c>
      <c r="N1590" t="s">
        <v>3740</v>
      </c>
      <c r="O1590" t="s">
        <v>3741</v>
      </c>
      <c r="P1590" t="s">
        <v>7260</v>
      </c>
      <c r="Q1590" t="s">
        <v>7261</v>
      </c>
      <c r="R1590" t="s">
        <v>7262</v>
      </c>
    </row>
    <row r="1591" spans="1:18" x14ac:dyDescent="0.2">
      <c r="A1591">
        <v>2729598</v>
      </c>
      <c r="B1591" t="s">
        <v>7263</v>
      </c>
      <c r="C1591">
        <v>0</v>
      </c>
      <c r="D1591">
        <v>0</v>
      </c>
      <c r="E1591">
        <v>0</v>
      </c>
      <c r="F1591">
        <v>1</v>
      </c>
      <c r="G1591">
        <v>0</v>
      </c>
      <c r="H1591">
        <v>0</v>
      </c>
      <c r="I1591">
        <v>0</v>
      </c>
      <c r="J1591">
        <v>0</v>
      </c>
      <c r="K1591">
        <v>0</v>
      </c>
      <c r="L1591" t="s">
        <v>3284</v>
      </c>
      <c r="M1591" t="s">
        <v>3296</v>
      </c>
      <c r="N1591" t="s">
        <v>3343</v>
      </c>
      <c r="O1591" t="s">
        <v>3861</v>
      </c>
      <c r="P1591" t="s">
        <v>7264</v>
      </c>
      <c r="Q1591" t="s">
        <v>7265</v>
      </c>
      <c r="R1591" t="s">
        <v>7266</v>
      </c>
    </row>
    <row r="1592" spans="1:18" x14ac:dyDescent="0.2">
      <c r="A1592">
        <v>2729141</v>
      </c>
      <c r="B1592" t="s">
        <v>7267</v>
      </c>
      <c r="C1592">
        <v>0</v>
      </c>
      <c r="D1592">
        <v>0</v>
      </c>
      <c r="E1592">
        <v>0</v>
      </c>
      <c r="F1592">
        <v>1</v>
      </c>
      <c r="G1592">
        <v>1</v>
      </c>
      <c r="H1592">
        <v>1</v>
      </c>
      <c r="I1592">
        <v>0</v>
      </c>
      <c r="J1592">
        <v>0</v>
      </c>
      <c r="K1592">
        <v>0</v>
      </c>
      <c r="L1592" t="s">
        <v>3284</v>
      </c>
      <c r="M1592" t="s">
        <v>3296</v>
      </c>
      <c r="N1592" t="s">
        <v>3297</v>
      </c>
      <c r="O1592" t="s">
        <v>3469</v>
      </c>
      <c r="P1592" t="s">
        <v>3470</v>
      </c>
      <c r="Q1592" t="s">
        <v>3471</v>
      </c>
      <c r="R1592" t="s">
        <v>7268</v>
      </c>
    </row>
    <row r="1593" spans="1:18" x14ac:dyDescent="0.2">
      <c r="A1593">
        <v>2728851</v>
      </c>
      <c r="B1593" t="s">
        <v>7269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1</v>
      </c>
      <c r="K1593">
        <v>0</v>
      </c>
      <c r="L1593" t="s">
        <v>3284</v>
      </c>
      <c r="M1593" t="s">
        <v>3296</v>
      </c>
      <c r="N1593" t="s">
        <v>3343</v>
      </c>
      <c r="O1593" t="s">
        <v>3349</v>
      </c>
      <c r="P1593" t="s">
        <v>3350</v>
      </c>
      <c r="Q1593" t="s">
        <v>3351</v>
      </c>
      <c r="R1593" t="s">
        <v>7270</v>
      </c>
    </row>
    <row r="1594" spans="1:18" x14ac:dyDescent="0.2">
      <c r="A1594">
        <v>2728850</v>
      </c>
      <c r="B1594" t="s">
        <v>7271</v>
      </c>
      <c r="C1594">
        <v>0</v>
      </c>
      <c r="D1594">
        <v>0</v>
      </c>
      <c r="E1594">
        <v>0</v>
      </c>
      <c r="F1594">
        <v>1</v>
      </c>
      <c r="G1594">
        <v>0</v>
      </c>
      <c r="H1594">
        <v>0</v>
      </c>
      <c r="I1594">
        <v>0</v>
      </c>
      <c r="J1594">
        <v>0</v>
      </c>
      <c r="K1594">
        <v>0</v>
      </c>
      <c r="L1594" t="s">
        <v>3284</v>
      </c>
      <c r="M1594" t="s">
        <v>3296</v>
      </c>
      <c r="N1594" t="s">
        <v>3343</v>
      </c>
      <c r="O1594" t="s">
        <v>3349</v>
      </c>
      <c r="P1594" t="s">
        <v>3350</v>
      </c>
      <c r="Q1594" t="s">
        <v>4175</v>
      </c>
      <c r="R1594" t="s">
        <v>7272</v>
      </c>
    </row>
    <row r="1595" spans="1:18" x14ac:dyDescent="0.2">
      <c r="A1595">
        <v>2728845</v>
      </c>
      <c r="B1595" t="s">
        <v>7273</v>
      </c>
      <c r="C1595">
        <v>0</v>
      </c>
      <c r="D1595">
        <v>0</v>
      </c>
      <c r="E1595">
        <v>0</v>
      </c>
      <c r="F1595">
        <v>1</v>
      </c>
      <c r="G1595">
        <v>0</v>
      </c>
      <c r="H1595">
        <v>0</v>
      </c>
      <c r="I1595">
        <v>0</v>
      </c>
      <c r="J1595">
        <v>0</v>
      </c>
      <c r="K1595">
        <v>0</v>
      </c>
      <c r="L1595" t="s">
        <v>3284</v>
      </c>
      <c r="M1595" t="s">
        <v>3391</v>
      </c>
      <c r="N1595" t="s">
        <v>3411</v>
      </c>
      <c r="O1595" t="s">
        <v>3412</v>
      </c>
      <c r="P1595" t="s">
        <v>3564</v>
      </c>
      <c r="Q1595" t="s">
        <v>3803</v>
      </c>
      <c r="R1595" t="s">
        <v>7274</v>
      </c>
    </row>
    <row r="1596" spans="1:18" x14ac:dyDescent="0.2">
      <c r="A1596">
        <v>2728838</v>
      </c>
      <c r="B1596" t="s">
        <v>7275</v>
      </c>
      <c r="C1596">
        <v>0</v>
      </c>
      <c r="D1596">
        <v>1</v>
      </c>
      <c r="E1596">
        <v>0</v>
      </c>
      <c r="F1596">
        <v>1</v>
      </c>
      <c r="G1596">
        <v>0</v>
      </c>
      <c r="H1596">
        <v>0</v>
      </c>
      <c r="I1596">
        <v>0</v>
      </c>
      <c r="J1596">
        <v>0</v>
      </c>
      <c r="K1596">
        <v>0</v>
      </c>
      <c r="L1596" t="s">
        <v>3284</v>
      </c>
      <c r="M1596" t="s">
        <v>3296</v>
      </c>
      <c r="N1596" t="s">
        <v>3343</v>
      </c>
      <c r="O1596" t="s">
        <v>3349</v>
      </c>
      <c r="P1596" t="s">
        <v>3350</v>
      </c>
      <c r="Q1596" t="s">
        <v>3580</v>
      </c>
      <c r="R1596" t="s">
        <v>7276</v>
      </c>
    </row>
    <row r="1597" spans="1:18" x14ac:dyDescent="0.2">
      <c r="A1597">
        <v>2728837</v>
      </c>
      <c r="B1597" t="s">
        <v>7277</v>
      </c>
      <c r="C1597">
        <v>0</v>
      </c>
      <c r="D1597">
        <v>1</v>
      </c>
      <c r="E1597">
        <v>0</v>
      </c>
      <c r="F1597">
        <v>2</v>
      </c>
      <c r="G1597">
        <v>1</v>
      </c>
      <c r="H1597">
        <v>0</v>
      </c>
      <c r="I1597">
        <v>0</v>
      </c>
      <c r="J1597">
        <v>0</v>
      </c>
      <c r="K1597">
        <v>0</v>
      </c>
      <c r="L1597" t="s">
        <v>3284</v>
      </c>
      <c r="M1597" t="s">
        <v>3296</v>
      </c>
      <c r="N1597" t="s">
        <v>3321</v>
      </c>
      <c r="O1597" t="s">
        <v>3322</v>
      </c>
      <c r="P1597" t="s">
        <v>3398</v>
      </c>
      <c r="Q1597" t="s">
        <v>3696</v>
      </c>
      <c r="R1597" t="s">
        <v>7278</v>
      </c>
    </row>
    <row r="1598" spans="1:18" x14ac:dyDescent="0.2">
      <c r="A1598">
        <v>2728835</v>
      </c>
      <c r="B1598" t="s">
        <v>7279</v>
      </c>
      <c r="C1598">
        <v>0</v>
      </c>
      <c r="D1598">
        <v>1</v>
      </c>
      <c r="E1598">
        <v>0</v>
      </c>
      <c r="F1598">
        <v>6</v>
      </c>
      <c r="G1598">
        <v>0</v>
      </c>
      <c r="H1598">
        <v>0</v>
      </c>
      <c r="I1598">
        <v>0</v>
      </c>
      <c r="J1598">
        <v>0</v>
      </c>
      <c r="K1598">
        <v>0</v>
      </c>
      <c r="L1598" t="s">
        <v>3284</v>
      </c>
      <c r="M1598" t="s">
        <v>3816</v>
      </c>
      <c r="N1598" t="s">
        <v>3817</v>
      </c>
      <c r="O1598" t="s">
        <v>3818</v>
      </c>
      <c r="P1598" t="s">
        <v>3819</v>
      </c>
      <c r="Q1598" t="s">
        <v>3820</v>
      </c>
      <c r="R1598" t="s">
        <v>7280</v>
      </c>
    </row>
    <row r="1599" spans="1:18" x14ac:dyDescent="0.2">
      <c r="A1599">
        <v>2728022</v>
      </c>
      <c r="B1599" t="s">
        <v>7281</v>
      </c>
      <c r="C1599">
        <v>0</v>
      </c>
      <c r="D1599">
        <v>0</v>
      </c>
      <c r="E1599">
        <v>0</v>
      </c>
      <c r="F1599">
        <v>2</v>
      </c>
      <c r="G1599">
        <v>0</v>
      </c>
      <c r="H1599">
        <v>0</v>
      </c>
      <c r="I1599">
        <v>0</v>
      </c>
      <c r="J1599">
        <v>0</v>
      </c>
      <c r="K1599">
        <v>0</v>
      </c>
      <c r="L1599" t="s">
        <v>3284</v>
      </c>
      <c r="M1599" t="s">
        <v>3391</v>
      </c>
      <c r="N1599" t="s">
        <v>3392</v>
      </c>
      <c r="O1599" t="s">
        <v>3393</v>
      </c>
      <c r="P1599" t="s">
        <v>3394</v>
      </c>
      <c r="Q1599" t="s">
        <v>4082</v>
      </c>
      <c r="R1599" t="s">
        <v>7282</v>
      </c>
    </row>
    <row r="1600" spans="1:18" x14ac:dyDescent="0.2">
      <c r="A1600">
        <v>2728021</v>
      </c>
      <c r="B1600" t="s">
        <v>7283</v>
      </c>
      <c r="C1600">
        <v>0</v>
      </c>
      <c r="D1600">
        <v>0</v>
      </c>
      <c r="E1600">
        <v>0</v>
      </c>
      <c r="F1600">
        <v>0</v>
      </c>
      <c r="G1600">
        <v>1</v>
      </c>
      <c r="H1600">
        <v>0</v>
      </c>
      <c r="I1600">
        <v>0</v>
      </c>
      <c r="J1600">
        <v>0</v>
      </c>
      <c r="K1600">
        <v>0</v>
      </c>
      <c r="L1600" t="s">
        <v>3284</v>
      </c>
      <c r="M1600" t="s">
        <v>3296</v>
      </c>
      <c r="N1600" t="s">
        <v>3321</v>
      </c>
      <c r="O1600" t="s">
        <v>3322</v>
      </c>
      <c r="P1600" t="s">
        <v>3323</v>
      </c>
      <c r="Q1600" t="s">
        <v>5058</v>
      </c>
      <c r="R1600" t="s">
        <v>7284</v>
      </c>
    </row>
    <row r="1601" spans="1:18" x14ac:dyDescent="0.2">
      <c r="A1601">
        <v>2726982</v>
      </c>
      <c r="B1601" t="s">
        <v>7285</v>
      </c>
      <c r="C1601">
        <v>0</v>
      </c>
      <c r="D1601">
        <v>0</v>
      </c>
      <c r="E1601">
        <v>0</v>
      </c>
      <c r="F1601">
        <v>0</v>
      </c>
      <c r="G1601">
        <v>2</v>
      </c>
      <c r="H1601">
        <v>1</v>
      </c>
      <c r="I1601">
        <v>0</v>
      </c>
      <c r="J1601">
        <v>0</v>
      </c>
      <c r="K1601">
        <v>0</v>
      </c>
      <c r="L1601" t="s">
        <v>3284</v>
      </c>
      <c r="M1601" t="s">
        <v>3296</v>
      </c>
      <c r="N1601" t="s">
        <v>3343</v>
      </c>
      <c r="O1601" t="s">
        <v>3402</v>
      </c>
      <c r="P1601" t="s">
        <v>3403</v>
      </c>
      <c r="Q1601" t="s">
        <v>3536</v>
      </c>
      <c r="R1601" t="s">
        <v>7286</v>
      </c>
    </row>
    <row r="1602" spans="1:18" x14ac:dyDescent="0.2">
      <c r="A1602">
        <v>2726740</v>
      </c>
      <c r="B1602" t="s">
        <v>7287</v>
      </c>
      <c r="C1602">
        <v>0</v>
      </c>
      <c r="D1602">
        <v>0</v>
      </c>
      <c r="E1602">
        <v>0</v>
      </c>
      <c r="F1602">
        <v>0</v>
      </c>
      <c r="G1602">
        <v>2</v>
      </c>
      <c r="H1602">
        <v>0</v>
      </c>
      <c r="I1602">
        <v>0</v>
      </c>
      <c r="J1602">
        <v>0</v>
      </c>
      <c r="K1602">
        <v>0</v>
      </c>
      <c r="L1602" t="s">
        <v>3284</v>
      </c>
      <c r="M1602" t="s">
        <v>3296</v>
      </c>
      <c r="N1602" t="s">
        <v>3343</v>
      </c>
      <c r="O1602" t="s">
        <v>3344</v>
      </c>
      <c r="P1602" t="s">
        <v>3355</v>
      </c>
      <c r="Q1602" t="s">
        <v>3356</v>
      </c>
      <c r="R1602" t="s">
        <v>7288</v>
      </c>
    </row>
    <row r="1603" spans="1:18" x14ac:dyDescent="0.2">
      <c r="A1603">
        <v>2726739</v>
      </c>
      <c r="B1603" t="s">
        <v>7289</v>
      </c>
      <c r="C1603">
        <v>0</v>
      </c>
      <c r="D1603">
        <v>0</v>
      </c>
      <c r="E1603">
        <v>0</v>
      </c>
      <c r="F1603">
        <v>0</v>
      </c>
      <c r="G1603">
        <v>2</v>
      </c>
      <c r="H1603">
        <v>0</v>
      </c>
      <c r="I1603">
        <v>0</v>
      </c>
      <c r="J1603">
        <v>0</v>
      </c>
      <c r="K1603">
        <v>0</v>
      </c>
      <c r="L1603" t="s">
        <v>3284</v>
      </c>
      <c r="M1603" t="s">
        <v>3296</v>
      </c>
      <c r="N1603" t="s">
        <v>3343</v>
      </c>
      <c r="O1603" t="s">
        <v>3344</v>
      </c>
      <c r="P1603" t="s">
        <v>3355</v>
      </c>
      <c r="Q1603" t="s">
        <v>3356</v>
      </c>
      <c r="R1603" t="s">
        <v>7290</v>
      </c>
    </row>
    <row r="1604" spans="1:18" x14ac:dyDescent="0.2">
      <c r="A1604">
        <v>2726189</v>
      </c>
      <c r="B1604" t="s">
        <v>7291</v>
      </c>
      <c r="C1604">
        <v>0</v>
      </c>
      <c r="D1604">
        <v>0</v>
      </c>
      <c r="E1604">
        <v>0</v>
      </c>
      <c r="F1604">
        <v>3</v>
      </c>
      <c r="G1604">
        <v>1</v>
      </c>
      <c r="H1604">
        <v>0</v>
      </c>
      <c r="I1604">
        <v>0</v>
      </c>
      <c r="J1604">
        <v>0</v>
      </c>
      <c r="K1604">
        <v>0</v>
      </c>
      <c r="L1604" t="s">
        <v>3284</v>
      </c>
      <c r="M1604" t="s">
        <v>3296</v>
      </c>
      <c r="N1604" t="s">
        <v>3343</v>
      </c>
      <c r="O1604" t="s">
        <v>3349</v>
      </c>
      <c r="P1604" t="s">
        <v>3350</v>
      </c>
      <c r="Q1604" t="s">
        <v>3351</v>
      </c>
      <c r="R1604" t="s">
        <v>7292</v>
      </c>
    </row>
    <row r="1605" spans="1:18" x14ac:dyDescent="0.2">
      <c r="A1605">
        <v>2726188</v>
      </c>
      <c r="B1605" t="s">
        <v>7293</v>
      </c>
      <c r="C1605">
        <v>9</v>
      </c>
      <c r="D1605">
        <v>4</v>
      </c>
      <c r="E1605">
        <v>6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 t="s">
        <v>3284</v>
      </c>
      <c r="M1605" t="s">
        <v>3327</v>
      </c>
      <c r="N1605" t="s">
        <v>3328</v>
      </c>
      <c r="O1605" t="s">
        <v>3329</v>
      </c>
      <c r="P1605" t="s">
        <v>3330</v>
      </c>
      <c r="Q1605" t="s">
        <v>3331</v>
      </c>
      <c r="R1605" t="s">
        <v>7294</v>
      </c>
    </row>
    <row r="1606" spans="1:18" x14ac:dyDescent="0.2">
      <c r="A1606">
        <v>2726187</v>
      </c>
      <c r="B1606" t="s">
        <v>7295</v>
      </c>
      <c r="C1606">
        <v>1</v>
      </c>
      <c r="D1606">
        <v>2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1</v>
      </c>
      <c r="K1606">
        <v>0</v>
      </c>
      <c r="L1606" t="s">
        <v>3284</v>
      </c>
      <c r="M1606" t="s">
        <v>3296</v>
      </c>
      <c r="N1606" t="s">
        <v>3343</v>
      </c>
      <c r="O1606" t="s">
        <v>3349</v>
      </c>
      <c r="P1606" t="s">
        <v>3350</v>
      </c>
      <c r="Q1606" t="s">
        <v>3351</v>
      </c>
      <c r="R1606" t="s">
        <v>7296</v>
      </c>
    </row>
    <row r="1607" spans="1:18" x14ac:dyDescent="0.2">
      <c r="A1607">
        <v>2726186</v>
      </c>
      <c r="B1607" t="s">
        <v>7297</v>
      </c>
      <c r="C1607">
        <v>0</v>
      </c>
      <c r="D1607">
        <v>0</v>
      </c>
      <c r="E1607">
        <v>0</v>
      </c>
      <c r="F1607">
        <v>0</v>
      </c>
      <c r="G1607">
        <v>1</v>
      </c>
      <c r="H1607">
        <v>0</v>
      </c>
      <c r="I1607">
        <v>0</v>
      </c>
      <c r="J1607">
        <v>0</v>
      </c>
      <c r="K1607">
        <v>0</v>
      </c>
      <c r="L1607" t="s">
        <v>3284</v>
      </c>
      <c r="M1607" t="s">
        <v>3296</v>
      </c>
      <c r="N1607" t="s">
        <v>3343</v>
      </c>
      <c r="O1607" t="s">
        <v>3349</v>
      </c>
      <c r="P1607" t="s">
        <v>3350</v>
      </c>
      <c r="Q1607" t="s">
        <v>3351</v>
      </c>
      <c r="R1607" t="s">
        <v>7298</v>
      </c>
    </row>
    <row r="1608" spans="1:18" x14ac:dyDescent="0.2">
      <c r="A1608">
        <v>2726076</v>
      </c>
      <c r="B1608" t="s">
        <v>7299</v>
      </c>
      <c r="C1608">
        <v>0</v>
      </c>
      <c r="D1608">
        <v>0</v>
      </c>
      <c r="E1608">
        <v>0</v>
      </c>
      <c r="F1608">
        <v>1</v>
      </c>
      <c r="G1608">
        <v>0</v>
      </c>
      <c r="H1608">
        <v>0</v>
      </c>
      <c r="I1608">
        <v>0</v>
      </c>
      <c r="J1608">
        <v>0</v>
      </c>
      <c r="K1608">
        <v>0</v>
      </c>
      <c r="L1608" t="s">
        <v>3284</v>
      </c>
      <c r="M1608" t="s">
        <v>3296</v>
      </c>
      <c r="N1608" t="s">
        <v>3343</v>
      </c>
      <c r="O1608" t="s">
        <v>3344</v>
      </c>
      <c r="P1608" t="s">
        <v>3355</v>
      </c>
      <c r="Q1608" t="s">
        <v>3356</v>
      </c>
      <c r="R1608" t="s">
        <v>7300</v>
      </c>
    </row>
    <row r="1609" spans="1:18" x14ac:dyDescent="0.2">
      <c r="A1609">
        <v>2725477</v>
      </c>
      <c r="B1609" t="s">
        <v>7301</v>
      </c>
      <c r="C1609">
        <v>0</v>
      </c>
      <c r="D1609">
        <v>0</v>
      </c>
      <c r="E1609">
        <v>0</v>
      </c>
      <c r="F1609">
        <v>1</v>
      </c>
      <c r="G1609">
        <v>1</v>
      </c>
      <c r="H1609">
        <v>0</v>
      </c>
      <c r="I1609">
        <v>0</v>
      </c>
      <c r="J1609">
        <v>0</v>
      </c>
      <c r="K1609">
        <v>0</v>
      </c>
      <c r="L1609" t="s">
        <v>3284</v>
      </c>
      <c r="M1609" t="s">
        <v>3296</v>
      </c>
      <c r="N1609" t="s">
        <v>3297</v>
      </c>
      <c r="O1609" t="s">
        <v>3434</v>
      </c>
      <c r="P1609" t="s">
        <v>3435</v>
      </c>
      <c r="Q1609" t="s">
        <v>3436</v>
      </c>
      <c r="R1609" t="s">
        <v>7302</v>
      </c>
    </row>
    <row r="1610" spans="1:18" x14ac:dyDescent="0.2">
      <c r="A1610">
        <v>2725303</v>
      </c>
      <c r="B1610" t="s">
        <v>7303</v>
      </c>
      <c r="C1610">
        <v>8</v>
      </c>
      <c r="D1610">
        <v>4</v>
      </c>
      <c r="E1610">
        <v>3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 t="s">
        <v>3284</v>
      </c>
      <c r="M1610" t="s">
        <v>3327</v>
      </c>
      <c r="N1610" t="s">
        <v>3328</v>
      </c>
      <c r="O1610" t="s">
        <v>3329</v>
      </c>
      <c r="P1610" t="s">
        <v>3330</v>
      </c>
      <c r="Q1610" t="s">
        <v>3331</v>
      </c>
      <c r="R1610" t="s">
        <v>7304</v>
      </c>
    </row>
    <row r="1611" spans="1:18" x14ac:dyDescent="0.2">
      <c r="A1611">
        <v>2725283</v>
      </c>
      <c r="B1611" t="s">
        <v>7305</v>
      </c>
      <c r="C1611">
        <v>0</v>
      </c>
      <c r="D1611">
        <v>0</v>
      </c>
      <c r="E1611">
        <v>0</v>
      </c>
      <c r="F1611">
        <v>1</v>
      </c>
      <c r="G1611">
        <v>0</v>
      </c>
      <c r="H1611">
        <v>0</v>
      </c>
      <c r="I1611">
        <v>0</v>
      </c>
      <c r="J1611">
        <v>0</v>
      </c>
      <c r="K1611">
        <v>0</v>
      </c>
      <c r="L1611" t="s">
        <v>3284</v>
      </c>
      <c r="M1611" t="s">
        <v>3307</v>
      </c>
      <c r="N1611" t="s">
        <v>3308</v>
      </c>
      <c r="O1611" t="s">
        <v>3635</v>
      </c>
      <c r="P1611" t="s">
        <v>4321</v>
      </c>
      <c r="Q1611" t="s">
        <v>4322</v>
      </c>
      <c r="R1611" t="s">
        <v>7306</v>
      </c>
    </row>
    <row r="1612" spans="1:18" x14ac:dyDescent="0.2">
      <c r="A1612">
        <v>2724481</v>
      </c>
      <c r="B1612" t="s">
        <v>7307</v>
      </c>
      <c r="C1612">
        <v>0</v>
      </c>
      <c r="D1612">
        <v>4</v>
      </c>
      <c r="E1612">
        <v>1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 t="s">
        <v>3284</v>
      </c>
      <c r="M1612" t="s">
        <v>3327</v>
      </c>
      <c r="N1612" t="s">
        <v>3328</v>
      </c>
      <c r="O1612" t="s">
        <v>3329</v>
      </c>
      <c r="P1612" t="s">
        <v>3330</v>
      </c>
      <c r="Q1612" t="s">
        <v>3331</v>
      </c>
      <c r="R1612" t="s">
        <v>7308</v>
      </c>
    </row>
    <row r="1613" spans="1:18" x14ac:dyDescent="0.2">
      <c r="A1613">
        <v>2724178</v>
      </c>
      <c r="B1613" t="s">
        <v>7309</v>
      </c>
      <c r="C1613">
        <v>0</v>
      </c>
      <c r="D1613">
        <v>0</v>
      </c>
      <c r="E1613">
        <v>0</v>
      </c>
      <c r="F1613">
        <v>1</v>
      </c>
      <c r="G1613">
        <v>0</v>
      </c>
      <c r="H1613">
        <v>0</v>
      </c>
      <c r="I1613">
        <v>0</v>
      </c>
      <c r="J1613">
        <v>0</v>
      </c>
      <c r="K1613">
        <v>0</v>
      </c>
      <c r="L1613" t="s">
        <v>3284</v>
      </c>
      <c r="M1613" t="s">
        <v>3296</v>
      </c>
      <c r="N1613" t="s">
        <v>3297</v>
      </c>
      <c r="O1613" t="s">
        <v>3434</v>
      </c>
      <c r="P1613" t="s">
        <v>3435</v>
      </c>
      <c r="Q1613" t="s">
        <v>3436</v>
      </c>
      <c r="R1613" t="s">
        <v>7310</v>
      </c>
    </row>
    <row r="1614" spans="1:18" x14ac:dyDescent="0.2">
      <c r="A1614">
        <v>2724123</v>
      </c>
      <c r="B1614" t="s">
        <v>7311</v>
      </c>
      <c r="C1614">
        <v>0</v>
      </c>
      <c r="D1614">
        <v>0</v>
      </c>
      <c r="E1614">
        <v>0</v>
      </c>
      <c r="F1614">
        <v>1</v>
      </c>
      <c r="G1614">
        <v>0</v>
      </c>
      <c r="H1614">
        <v>0</v>
      </c>
      <c r="I1614">
        <v>0</v>
      </c>
      <c r="J1614">
        <v>0</v>
      </c>
      <c r="K1614">
        <v>0</v>
      </c>
      <c r="L1614" t="s">
        <v>3284</v>
      </c>
      <c r="M1614" t="s">
        <v>3296</v>
      </c>
      <c r="N1614" t="s">
        <v>3297</v>
      </c>
      <c r="O1614" t="s">
        <v>3469</v>
      </c>
      <c r="P1614" t="s">
        <v>3470</v>
      </c>
      <c r="Q1614" t="s">
        <v>5246</v>
      </c>
      <c r="R1614" t="s">
        <v>7312</v>
      </c>
    </row>
    <row r="1615" spans="1:18" x14ac:dyDescent="0.2">
      <c r="A1615">
        <v>2724121</v>
      </c>
      <c r="B1615" t="s">
        <v>7313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1</v>
      </c>
      <c r="I1615">
        <v>0</v>
      </c>
      <c r="J1615">
        <v>0</v>
      </c>
      <c r="K1615">
        <v>0</v>
      </c>
      <c r="L1615" t="s">
        <v>3284</v>
      </c>
      <c r="M1615" t="s">
        <v>3296</v>
      </c>
      <c r="N1615" t="s">
        <v>3297</v>
      </c>
      <c r="O1615" t="s">
        <v>3469</v>
      </c>
      <c r="P1615" t="s">
        <v>3470</v>
      </c>
      <c r="Q1615" t="s">
        <v>5246</v>
      </c>
      <c r="R1615" t="s">
        <v>7314</v>
      </c>
    </row>
    <row r="1616" spans="1:18" x14ac:dyDescent="0.2">
      <c r="A1616">
        <v>2724076</v>
      </c>
      <c r="B1616" t="s">
        <v>7315</v>
      </c>
      <c r="C1616">
        <v>5</v>
      </c>
      <c r="D1616">
        <v>2</v>
      </c>
      <c r="E1616">
        <v>2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 t="s">
        <v>3284</v>
      </c>
      <c r="M1616" t="s">
        <v>3327</v>
      </c>
      <c r="N1616" t="s">
        <v>3328</v>
      </c>
      <c r="O1616" t="s">
        <v>3329</v>
      </c>
      <c r="P1616" t="s">
        <v>3330</v>
      </c>
      <c r="Q1616" t="s">
        <v>3331</v>
      </c>
      <c r="R1616" t="s">
        <v>7316</v>
      </c>
    </row>
    <row r="1617" spans="1:18" x14ac:dyDescent="0.2">
      <c r="A1617">
        <v>2723092</v>
      </c>
      <c r="B1617" t="s">
        <v>7317</v>
      </c>
      <c r="C1617">
        <v>0</v>
      </c>
      <c r="D1617">
        <v>0</v>
      </c>
      <c r="E1617">
        <v>0</v>
      </c>
      <c r="F1617">
        <v>2</v>
      </c>
      <c r="G1617">
        <v>1</v>
      </c>
      <c r="H1617">
        <v>0</v>
      </c>
      <c r="I1617">
        <v>0</v>
      </c>
      <c r="J1617">
        <v>0</v>
      </c>
      <c r="K1617">
        <v>0</v>
      </c>
      <c r="L1617" t="s">
        <v>3284</v>
      </c>
      <c r="M1617" t="s">
        <v>3391</v>
      </c>
      <c r="N1617" t="s">
        <v>3392</v>
      </c>
      <c r="O1617" t="s">
        <v>3393</v>
      </c>
      <c r="P1617" t="s">
        <v>3394</v>
      </c>
      <c r="Q1617" t="s">
        <v>4082</v>
      </c>
      <c r="R1617" t="s">
        <v>7318</v>
      </c>
    </row>
    <row r="1618" spans="1:18" x14ac:dyDescent="0.2">
      <c r="A1618">
        <v>2723091</v>
      </c>
      <c r="B1618" t="s">
        <v>7319</v>
      </c>
      <c r="C1618">
        <v>0</v>
      </c>
      <c r="D1618">
        <v>0</v>
      </c>
      <c r="E1618">
        <v>0</v>
      </c>
      <c r="F1618">
        <v>1</v>
      </c>
      <c r="G1618">
        <v>1</v>
      </c>
      <c r="H1618">
        <v>0</v>
      </c>
      <c r="I1618">
        <v>0</v>
      </c>
      <c r="J1618">
        <v>0</v>
      </c>
      <c r="K1618">
        <v>0</v>
      </c>
      <c r="L1618" t="s">
        <v>3284</v>
      </c>
      <c r="M1618" t="s">
        <v>3391</v>
      </c>
      <c r="N1618" t="s">
        <v>3392</v>
      </c>
      <c r="O1618" t="s">
        <v>3393</v>
      </c>
      <c r="P1618" t="s">
        <v>3394</v>
      </c>
      <c r="Q1618" t="s">
        <v>4082</v>
      </c>
      <c r="R1618" t="s">
        <v>7320</v>
      </c>
    </row>
    <row r="1619" spans="1:18" x14ac:dyDescent="0.2">
      <c r="A1619">
        <v>2723090</v>
      </c>
      <c r="B1619" t="s">
        <v>7321</v>
      </c>
      <c r="C1619">
        <v>0</v>
      </c>
      <c r="D1619">
        <v>0</v>
      </c>
      <c r="E1619">
        <v>0</v>
      </c>
      <c r="F1619">
        <v>2</v>
      </c>
      <c r="G1619">
        <v>1</v>
      </c>
      <c r="H1619">
        <v>0</v>
      </c>
      <c r="I1619">
        <v>0</v>
      </c>
      <c r="J1619">
        <v>0</v>
      </c>
      <c r="K1619">
        <v>0</v>
      </c>
      <c r="L1619" t="s">
        <v>3284</v>
      </c>
      <c r="M1619" t="s">
        <v>3391</v>
      </c>
      <c r="N1619" t="s">
        <v>3392</v>
      </c>
      <c r="O1619" t="s">
        <v>3393</v>
      </c>
      <c r="P1619" t="s">
        <v>3394</v>
      </c>
      <c r="Q1619" t="s">
        <v>4082</v>
      </c>
      <c r="R1619" t="s">
        <v>7322</v>
      </c>
    </row>
    <row r="1620" spans="1:18" x14ac:dyDescent="0.2">
      <c r="A1620">
        <v>2723089</v>
      </c>
      <c r="B1620" t="s">
        <v>7323</v>
      </c>
      <c r="C1620">
        <v>0</v>
      </c>
      <c r="D1620">
        <v>0</v>
      </c>
      <c r="E1620">
        <v>0</v>
      </c>
      <c r="F1620">
        <v>0</v>
      </c>
      <c r="G1620">
        <v>1</v>
      </c>
      <c r="H1620">
        <v>0</v>
      </c>
      <c r="I1620">
        <v>0</v>
      </c>
      <c r="J1620">
        <v>0</v>
      </c>
      <c r="K1620">
        <v>0</v>
      </c>
      <c r="L1620" t="s">
        <v>3284</v>
      </c>
      <c r="M1620" t="s">
        <v>3391</v>
      </c>
      <c r="N1620" t="s">
        <v>3392</v>
      </c>
      <c r="O1620" t="s">
        <v>3393</v>
      </c>
      <c r="P1620" t="s">
        <v>3394</v>
      </c>
      <c r="Q1620" t="s">
        <v>4082</v>
      </c>
      <c r="R1620" t="s">
        <v>7324</v>
      </c>
    </row>
    <row r="1621" spans="1:18" x14ac:dyDescent="0.2">
      <c r="A1621">
        <v>2723088</v>
      </c>
      <c r="B1621" t="s">
        <v>7325</v>
      </c>
      <c r="C1621">
        <v>0</v>
      </c>
      <c r="D1621">
        <v>0</v>
      </c>
      <c r="E1621">
        <v>0</v>
      </c>
      <c r="F1621">
        <v>2</v>
      </c>
      <c r="G1621">
        <v>0</v>
      </c>
      <c r="H1621">
        <v>0</v>
      </c>
      <c r="I1621">
        <v>0</v>
      </c>
      <c r="J1621">
        <v>0</v>
      </c>
      <c r="K1621">
        <v>0</v>
      </c>
      <c r="L1621" t="s">
        <v>3284</v>
      </c>
      <c r="M1621" t="s">
        <v>3391</v>
      </c>
      <c r="N1621" t="s">
        <v>3392</v>
      </c>
      <c r="O1621" t="s">
        <v>3393</v>
      </c>
      <c r="P1621" t="s">
        <v>3394</v>
      </c>
      <c r="Q1621" t="s">
        <v>4082</v>
      </c>
      <c r="R1621" t="s">
        <v>7326</v>
      </c>
    </row>
    <row r="1622" spans="1:18" x14ac:dyDescent="0.2">
      <c r="A1622">
        <v>2723077</v>
      </c>
      <c r="B1622" t="s">
        <v>7327</v>
      </c>
      <c r="C1622">
        <v>0</v>
      </c>
      <c r="D1622">
        <v>0</v>
      </c>
      <c r="E1622">
        <v>0</v>
      </c>
      <c r="F1622">
        <v>2</v>
      </c>
      <c r="G1622">
        <v>1</v>
      </c>
      <c r="H1622">
        <v>1</v>
      </c>
      <c r="I1622">
        <v>0</v>
      </c>
      <c r="J1622">
        <v>0</v>
      </c>
      <c r="K1622">
        <v>0</v>
      </c>
      <c r="L1622" t="s">
        <v>3284</v>
      </c>
      <c r="M1622" t="s">
        <v>3296</v>
      </c>
      <c r="N1622" t="s">
        <v>3297</v>
      </c>
      <c r="O1622" t="s">
        <v>3469</v>
      </c>
      <c r="P1622" t="s">
        <v>3470</v>
      </c>
      <c r="Q1622" t="s">
        <v>3471</v>
      </c>
      <c r="R1622" t="s">
        <v>7328</v>
      </c>
    </row>
    <row r="1623" spans="1:18" x14ac:dyDescent="0.2">
      <c r="A1623">
        <v>2723075</v>
      </c>
      <c r="B1623" t="s">
        <v>7329</v>
      </c>
      <c r="C1623">
        <v>0</v>
      </c>
      <c r="D1623">
        <v>0</v>
      </c>
      <c r="E1623">
        <v>0</v>
      </c>
      <c r="F1623">
        <v>1</v>
      </c>
      <c r="G1623">
        <v>0</v>
      </c>
      <c r="H1623">
        <v>0</v>
      </c>
      <c r="I1623">
        <v>17</v>
      </c>
      <c r="J1623">
        <v>2</v>
      </c>
      <c r="K1623">
        <v>3</v>
      </c>
      <c r="L1623" t="s">
        <v>3284</v>
      </c>
      <c r="M1623" t="s">
        <v>3307</v>
      </c>
      <c r="N1623" t="s">
        <v>3308</v>
      </c>
      <c r="O1623" t="s">
        <v>3359</v>
      </c>
      <c r="P1623" t="s">
        <v>3360</v>
      </c>
      <c r="Q1623" t="s">
        <v>3515</v>
      </c>
      <c r="R1623" t="s">
        <v>7330</v>
      </c>
    </row>
    <row r="1624" spans="1:18" x14ac:dyDescent="0.2">
      <c r="A1624">
        <v>2723073</v>
      </c>
      <c r="B1624" t="s">
        <v>7331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1</v>
      </c>
      <c r="J1624">
        <v>1</v>
      </c>
      <c r="K1624">
        <v>0</v>
      </c>
      <c r="L1624" t="s">
        <v>3284</v>
      </c>
      <c r="M1624" t="s">
        <v>3391</v>
      </c>
      <c r="N1624" t="s">
        <v>3392</v>
      </c>
      <c r="O1624" t="s">
        <v>3393</v>
      </c>
      <c r="P1624" t="s">
        <v>3394</v>
      </c>
      <c r="Q1624" t="s">
        <v>3395</v>
      </c>
      <c r="R1624" t="s">
        <v>7332</v>
      </c>
    </row>
    <row r="1625" spans="1:18" x14ac:dyDescent="0.2">
      <c r="A1625">
        <v>2723072</v>
      </c>
      <c r="B1625" t="s">
        <v>7333</v>
      </c>
      <c r="C1625">
        <v>0</v>
      </c>
      <c r="D1625">
        <v>0</v>
      </c>
      <c r="E1625">
        <v>0</v>
      </c>
      <c r="F1625">
        <v>1</v>
      </c>
      <c r="G1625">
        <v>1</v>
      </c>
      <c r="H1625">
        <v>0</v>
      </c>
      <c r="I1625">
        <v>0</v>
      </c>
      <c r="J1625">
        <v>0</v>
      </c>
      <c r="K1625">
        <v>0</v>
      </c>
      <c r="L1625" t="s">
        <v>3284</v>
      </c>
      <c r="M1625" t="s">
        <v>3391</v>
      </c>
      <c r="N1625" t="s">
        <v>3392</v>
      </c>
      <c r="O1625" t="s">
        <v>3393</v>
      </c>
      <c r="P1625" t="s">
        <v>3394</v>
      </c>
      <c r="Q1625" t="s">
        <v>4082</v>
      </c>
      <c r="R1625" t="s">
        <v>7334</v>
      </c>
    </row>
    <row r="1626" spans="1:18" x14ac:dyDescent="0.2">
      <c r="A1626">
        <v>2723071</v>
      </c>
      <c r="B1626" t="s">
        <v>7335</v>
      </c>
      <c r="C1626">
        <v>0</v>
      </c>
      <c r="D1626">
        <v>0</v>
      </c>
      <c r="E1626">
        <v>0</v>
      </c>
      <c r="F1626">
        <v>2</v>
      </c>
      <c r="G1626">
        <v>0</v>
      </c>
      <c r="H1626">
        <v>0</v>
      </c>
      <c r="I1626">
        <v>1</v>
      </c>
      <c r="J1626">
        <v>0</v>
      </c>
      <c r="K1626">
        <v>0</v>
      </c>
      <c r="L1626" t="s">
        <v>3284</v>
      </c>
      <c r="M1626" t="s">
        <v>3391</v>
      </c>
      <c r="N1626" t="s">
        <v>3392</v>
      </c>
      <c r="O1626" t="s">
        <v>3393</v>
      </c>
      <c r="P1626" t="s">
        <v>3394</v>
      </c>
      <c r="Q1626" t="s">
        <v>3395</v>
      </c>
      <c r="R1626" t="s">
        <v>7336</v>
      </c>
    </row>
    <row r="1627" spans="1:18" x14ac:dyDescent="0.2">
      <c r="A1627">
        <v>2723053</v>
      </c>
      <c r="B1627" t="s">
        <v>7337</v>
      </c>
      <c r="C1627">
        <v>0</v>
      </c>
      <c r="D1627">
        <v>1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 t="s">
        <v>3284</v>
      </c>
      <c r="M1627" t="s">
        <v>3327</v>
      </c>
      <c r="N1627" t="s">
        <v>3376</v>
      </c>
      <c r="O1627" t="s">
        <v>3377</v>
      </c>
      <c r="P1627" t="s">
        <v>3378</v>
      </c>
      <c r="Q1627" t="s">
        <v>3379</v>
      </c>
      <c r="R1627" t="s">
        <v>7338</v>
      </c>
    </row>
    <row r="1628" spans="1:18" x14ac:dyDescent="0.2">
      <c r="A1628">
        <v>2722793</v>
      </c>
      <c r="B1628" t="s">
        <v>7339</v>
      </c>
      <c r="C1628">
        <v>0</v>
      </c>
      <c r="D1628">
        <v>0</v>
      </c>
      <c r="E1628">
        <v>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 t="s">
        <v>3284</v>
      </c>
      <c r="M1628" t="s">
        <v>3327</v>
      </c>
      <c r="N1628" t="s">
        <v>3328</v>
      </c>
      <c r="O1628" t="s">
        <v>7340</v>
      </c>
      <c r="P1628" t="s">
        <v>7341</v>
      </c>
      <c r="Q1628" t="s">
        <v>7342</v>
      </c>
      <c r="R1628" t="s">
        <v>7343</v>
      </c>
    </row>
    <row r="1629" spans="1:18" x14ac:dyDescent="0.2">
      <c r="A1629">
        <v>2722710</v>
      </c>
      <c r="B1629" t="s">
        <v>7344</v>
      </c>
      <c r="C1629">
        <v>0</v>
      </c>
      <c r="D1629">
        <v>1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 t="s">
        <v>3284</v>
      </c>
      <c r="M1629" t="s">
        <v>3307</v>
      </c>
      <c r="N1629" t="s">
        <v>5924</v>
      </c>
      <c r="O1629" t="s">
        <v>5925</v>
      </c>
      <c r="P1629" t="s">
        <v>5926</v>
      </c>
      <c r="Q1629" t="s">
        <v>7345</v>
      </c>
      <c r="R1629" t="s">
        <v>7346</v>
      </c>
    </row>
    <row r="1630" spans="1:18" x14ac:dyDescent="0.2">
      <c r="A1630">
        <v>2722704</v>
      </c>
      <c r="B1630" t="s">
        <v>7347</v>
      </c>
      <c r="C1630">
        <v>0</v>
      </c>
      <c r="D1630">
        <v>0</v>
      </c>
      <c r="E1630">
        <v>0</v>
      </c>
      <c r="F1630">
        <v>1</v>
      </c>
      <c r="G1630">
        <v>1</v>
      </c>
      <c r="H1630">
        <v>0</v>
      </c>
      <c r="I1630">
        <v>0</v>
      </c>
      <c r="J1630">
        <v>0</v>
      </c>
      <c r="K1630">
        <v>0</v>
      </c>
      <c r="L1630" t="s">
        <v>3284</v>
      </c>
      <c r="M1630" t="s">
        <v>3391</v>
      </c>
      <c r="N1630" t="s">
        <v>3411</v>
      </c>
      <c r="O1630" t="s">
        <v>3412</v>
      </c>
      <c r="P1630" t="s">
        <v>3413</v>
      </c>
      <c r="Q1630" t="s">
        <v>3414</v>
      </c>
      <c r="R1630" t="s">
        <v>7348</v>
      </c>
    </row>
    <row r="1631" spans="1:18" x14ac:dyDescent="0.2">
      <c r="A1631">
        <v>2721560</v>
      </c>
      <c r="B1631" t="s">
        <v>7349</v>
      </c>
      <c r="C1631">
        <v>1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 t="s">
        <v>3284</v>
      </c>
      <c r="M1631" t="s">
        <v>3296</v>
      </c>
      <c r="N1631" t="s">
        <v>3343</v>
      </c>
      <c r="O1631" t="s">
        <v>3371</v>
      </c>
      <c r="P1631" t="s">
        <v>3688</v>
      </c>
      <c r="Q1631" t="s">
        <v>7350</v>
      </c>
      <c r="R1631" t="s">
        <v>7351</v>
      </c>
    </row>
    <row r="1632" spans="1:18" x14ac:dyDescent="0.2">
      <c r="A1632">
        <v>2721546</v>
      </c>
      <c r="B1632" t="s">
        <v>7352</v>
      </c>
      <c r="C1632">
        <v>0</v>
      </c>
      <c r="D1632">
        <v>0</v>
      </c>
      <c r="E1632">
        <v>0</v>
      </c>
      <c r="F1632">
        <v>1</v>
      </c>
      <c r="G1632">
        <v>0</v>
      </c>
      <c r="H1632">
        <v>0</v>
      </c>
      <c r="I1632">
        <v>0</v>
      </c>
      <c r="J1632">
        <v>0</v>
      </c>
      <c r="K1632">
        <v>0</v>
      </c>
      <c r="L1632" t="s">
        <v>3284</v>
      </c>
      <c r="M1632" t="s">
        <v>3296</v>
      </c>
      <c r="N1632" t="s">
        <v>3321</v>
      </c>
      <c r="O1632" t="s">
        <v>3322</v>
      </c>
      <c r="P1632" t="s">
        <v>3398</v>
      </c>
      <c r="Q1632" t="s">
        <v>3399</v>
      </c>
      <c r="R1632" t="s">
        <v>7353</v>
      </c>
    </row>
    <row r="1633" spans="1:18" x14ac:dyDescent="0.2">
      <c r="A1633">
        <v>2721175</v>
      </c>
      <c r="B1633" t="s">
        <v>7354</v>
      </c>
      <c r="C1633">
        <v>0</v>
      </c>
      <c r="D1633">
        <v>0</v>
      </c>
      <c r="E1633">
        <v>0</v>
      </c>
      <c r="F1633">
        <v>1</v>
      </c>
      <c r="G1633">
        <v>0</v>
      </c>
      <c r="H1633">
        <v>0</v>
      </c>
      <c r="I1633">
        <v>0</v>
      </c>
      <c r="J1633">
        <v>0</v>
      </c>
      <c r="K1633">
        <v>0</v>
      </c>
      <c r="L1633" t="s">
        <v>3284</v>
      </c>
      <c r="M1633" t="s">
        <v>3296</v>
      </c>
      <c r="N1633" t="s">
        <v>3343</v>
      </c>
      <c r="O1633" t="s">
        <v>3349</v>
      </c>
      <c r="P1633" t="s">
        <v>3350</v>
      </c>
      <c r="Q1633" t="s">
        <v>3580</v>
      </c>
      <c r="R1633" t="s">
        <v>7355</v>
      </c>
    </row>
    <row r="1634" spans="1:18" x14ac:dyDescent="0.2">
      <c r="A1634">
        <v>2720726</v>
      </c>
      <c r="B1634" t="s">
        <v>7356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1</v>
      </c>
      <c r="J1634">
        <v>1</v>
      </c>
      <c r="K1634">
        <v>0</v>
      </c>
      <c r="L1634" t="s">
        <v>3284</v>
      </c>
      <c r="M1634" t="s">
        <v>3296</v>
      </c>
      <c r="N1634" t="s">
        <v>3343</v>
      </c>
      <c r="O1634" t="s">
        <v>3344</v>
      </c>
      <c r="P1634" t="s">
        <v>4347</v>
      </c>
      <c r="Q1634" t="s">
        <v>7357</v>
      </c>
      <c r="R1634" t="s">
        <v>7358</v>
      </c>
    </row>
    <row r="1635" spans="1:18" x14ac:dyDescent="0.2">
      <c r="A1635">
        <v>2720081</v>
      </c>
      <c r="B1635" t="s">
        <v>7359</v>
      </c>
      <c r="C1635">
        <v>0</v>
      </c>
      <c r="D1635">
        <v>1</v>
      </c>
      <c r="E1635">
        <v>0</v>
      </c>
      <c r="F1635">
        <v>0</v>
      </c>
      <c r="G1635">
        <v>2</v>
      </c>
      <c r="H1635">
        <v>1</v>
      </c>
      <c r="I1635">
        <v>5</v>
      </c>
      <c r="J1635">
        <v>0</v>
      </c>
      <c r="K1635">
        <v>0</v>
      </c>
      <c r="L1635" t="s">
        <v>3284</v>
      </c>
      <c r="M1635" t="s">
        <v>3307</v>
      </c>
      <c r="N1635" t="s">
        <v>3308</v>
      </c>
      <c r="O1635" t="s">
        <v>3359</v>
      </c>
      <c r="P1635" t="s">
        <v>3360</v>
      </c>
      <c r="Q1635" t="s">
        <v>3934</v>
      </c>
      <c r="R1635" t="s">
        <v>7360</v>
      </c>
    </row>
    <row r="1636" spans="1:18" x14ac:dyDescent="0.2">
      <c r="A1636">
        <v>2720079</v>
      </c>
      <c r="B1636" t="s">
        <v>7361</v>
      </c>
      <c r="C1636">
        <v>0</v>
      </c>
      <c r="D1636">
        <v>0</v>
      </c>
      <c r="E1636">
        <v>0</v>
      </c>
      <c r="F1636">
        <v>0</v>
      </c>
      <c r="G1636">
        <v>1</v>
      </c>
      <c r="H1636">
        <v>0</v>
      </c>
      <c r="I1636">
        <v>0</v>
      </c>
      <c r="J1636">
        <v>0</v>
      </c>
      <c r="K1636">
        <v>0</v>
      </c>
      <c r="L1636" t="s">
        <v>3284</v>
      </c>
      <c r="M1636" t="s">
        <v>3391</v>
      </c>
      <c r="N1636" t="s">
        <v>3392</v>
      </c>
      <c r="O1636" t="s">
        <v>3393</v>
      </c>
      <c r="P1636" t="s">
        <v>3394</v>
      </c>
      <c r="Q1636" t="s">
        <v>4082</v>
      </c>
      <c r="R1636" t="s">
        <v>7362</v>
      </c>
    </row>
    <row r="1637" spans="1:18" x14ac:dyDescent="0.2">
      <c r="A1637">
        <v>2720078</v>
      </c>
      <c r="B1637" t="s">
        <v>7363</v>
      </c>
      <c r="C1637">
        <v>0</v>
      </c>
      <c r="D1637">
        <v>1</v>
      </c>
      <c r="E1637">
        <v>0</v>
      </c>
      <c r="F1637">
        <v>3</v>
      </c>
      <c r="G1637">
        <v>1</v>
      </c>
      <c r="H1637">
        <v>0</v>
      </c>
      <c r="I1637">
        <v>0</v>
      </c>
      <c r="J1637">
        <v>0</v>
      </c>
      <c r="K1637">
        <v>0</v>
      </c>
      <c r="L1637" t="s">
        <v>3284</v>
      </c>
      <c r="M1637" t="s">
        <v>3296</v>
      </c>
      <c r="N1637" t="s">
        <v>3321</v>
      </c>
      <c r="O1637" t="s">
        <v>3322</v>
      </c>
      <c r="P1637" t="s">
        <v>3398</v>
      </c>
      <c r="Q1637" t="s">
        <v>3399</v>
      </c>
      <c r="R1637" t="s">
        <v>7364</v>
      </c>
    </row>
    <row r="1638" spans="1:18" x14ac:dyDescent="0.2">
      <c r="A1638">
        <v>2719234</v>
      </c>
      <c r="B1638" t="s">
        <v>7365</v>
      </c>
      <c r="C1638">
        <v>2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 t="s">
        <v>3284</v>
      </c>
      <c r="M1638" t="s">
        <v>3327</v>
      </c>
      <c r="N1638" t="s">
        <v>3328</v>
      </c>
      <c r="O1638" t="s">
        <v>4017</v>
      </c>
      <c r="P1638" t="s">
        <v>4018</v>
      </c>
      <c r="Q1638" t="s">
        <v>4019</v>
      </c>
      <c r="R1638" t="s">
        <v>7366</v>
      </c>
    </row>
    <row r="1639" spans="1:18" x14ac:dyDescent="0.2">
      <c r="A1639">
        <v>2718714</v>
      </c>
      <c r="B1639" t="s">
        <v>7367</v>
      </c>
      <c r="C1639">
        <v>0</v>
      </c>
      <c r="D1639">
        <v>2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 t="s">
        <v>3284</v>
      </c>
      <c r="M1639" t="s">
        <v>3327</v>
      </c>
      <c r="N1639" t="s">
        <v>3328</v>
      </c>
      <c r="O1639" t="s">
        <v>4017</v>
      </c>
      <c r="P1639" t="s">
        <v>4018</v>
      </c>
      <c r="Q1639" t="s">
        <v>7368</v>
      </c>
      <c r="R1639" t="s">
        <v>7369</v>
      </c>
    </row>
    <row r="1640" spans="1:18" x14ac:dyDescent="0.2">
      <c r="A1640">
        <v>2718532</v>
      </c>
      <c r="B1640" t="s">
        <v>7370</v>
      </c>
      <c r="C1640">
        <v>6</v>
      </c>
      <c r="D1640">
        <v>3</v>
      </c>
      <c r="E1640">
        <v>1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 t="s">
        <v>3284</v>
      </c>
      <c r="M1640" t="s">
        <v>3296</v>
      </c>
      <c r="N1640" t="s">
        <v>3321</v>
      </c>
      <c r="O1640" t="s">
        <v>3322</v>
      </c>
      <c r="P1640" t="s">
        <v>3271</v>
      </c>
      <c r="Q1640" t="s">
        <v>4214</v>
      </c>
      <c r="R1640" t="s">
        <v>7371</v>
      </c>
    </row>
    <row r="1641" spans="1:18" x14ac:dyDescent="0.2">
      <c r="A1641">
        <v>2717477</v>
      </c>
      <c r="B1641" t="s">
        <v>7372</v>
      </c>
      <c r="C1641">
        <v>0</v>
      </c>
      <c r="D1641">
        <v>0</v>
      </c>
      <c r="E1641">
        <v>0</v>
      </c>
      <c r="F1641">
        <v>1</v>
      </c>
      <c r="G1641">
        <v>1</v>
      </c>
      <c r="H1641">
        <v>0</v>
      </c>
      <c r="I1641">
        <v>0</v>
      </c>
      <c r="J1641">
        <v>0</v>
      </c>
      <c r="K1641">
        <v>0</v>
      </c>
      <c r="L1641" t="s">
        <v>3284</v>
      </c>
      <c r="M1641" t="s">
        <v>3296</v>
      </c>
      <c r="N1641" t="s">
        <v>3297</v>
      </c>
      <c r="O1641" t="s">
        <v>3434</v>
      </c>
      <c r="P1641" t="s">
        <v>3435</v>
      </c>
      <c r="Q1641" t="s">
        <v>3436</v>
      </c>
      <c r="R1641" t="s">
        <v>7373</v>
      </c>
    </row>
    <row r="1642" spans="1:18" x14ac:dyDescent="0.2">
      <c r="A1642">
        <v>2717368</v>
      </c>
      <c r="B1642" t="s">
        <v>7374</v>
      </c>
      <c r="C1642">
        <v>20</v>
      </c>
      <c r="D1642">
        <v>13</v>
      </c>
      <c r="E1642">
        <v>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 t="s">
        <v>3284</v>
      </c>
      <c r="M1642" t="s">
        <v>3296</v>
      </c>
      <c r="N1642" t="s">
        <v>3343</v>
      </c>
      <c r="O1642" t="s">
        <v>3344</v>
      </c>
      <c r="P1642" t="s">
        <v>4076</v>
      </c>
      <c r="Q1642" t="s">
        <v>7375</v>
      </c>
      <c r="R1642" t="s">
        <v>7376</v>
      </c>
    </row>
    <row r="1643" spans="1:18" x14ac:dyDescent="0.2">
      <c r="A1643">
        <v>2716930</v>
      </c>
      <c r="B1643" t="s">
        <v>7377</v>
      </c>
      <c r="C1643">
        <v>1</v>
      </c>
      <c r="D1643">
        <v>1</v>
      </c>
      <c r="E1643">
        <v>0</v>
      </c>
      <c r="F1643">
        <v>0</v>
      </c>
      <c r="G1643">
        <v>0</v>
      </c>
      <c r="H1643">
        <v>0</v>
      </c>
      <c r="I1643">
        <v>4</v>
      </c>
      <c r="J1643">
        <v>2</v>
      </c>
      <c r="K1643">
        <v>0</v>
      </c>
      <c r="L1643" t="s">
        <v>3284</v>
      </c>
      <c r="M1643" t="s">
        <v>3296</v>
      </c>
      <c r="N1643" t="s">
        <v>3343</v>
      </c>
      <c r="O1643" t="s">
        <v>3429</v>
      </c>
      <c r="P1643" t="s">
        <v>3430</v>
      </c>
      <c r="Q1643" t="s">
        <v>5837</v>
      </c>
      <c r="R1643" t="s">
        <v>7378</v>
      </c>
    </row>
    <row r="1644" spans="1:18" x14ac:dyDescent="0.2">
      <c r="A1644">
        <v>2716538</v>
      </c>
      <c r="B1644" t="s">
        <v>7379</v>
      </c>
      <c r="C1644">
        <v>9</v>
      </c>
      <c r="D1644">
        <v>5</v>
      </c>
      <c r="E1644">
        <v>3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 t="s">
        <v>3284</v>
      </c>
      <c r="M1644" t="s">
        <v>3327</v>
      </c>
      <c r="N1644" t="s">
        <v>3328</v>
      </c>
      <c r="O1644" t="s">
        <v>3329</v>
      </c>
      <c r="P1644" t="s">
        <v>3330</v>
      </c>
      <c r="Q1644" t="s">
        <v>3331</v>
      </c>
      <c r="R1644" t="s">
        <v>7380</v>
      </c>
    </row>
    <row r="1645" spans="1:18" x14ac:dyDescent="0.2">
      <c r="A1645">
        <v>2716335</v>
      </c>
      <c r="B1645" t="s">
        <v>7381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3</v>
      </c>
      <c r="J1645">
        <v>3</v>
      </c>
      <c r="K1645">
        <v>1</v>
      </c>
      <c r="L1645" t="s">
        <v>3284</v>
      </c>
      <c r="M1645" t="s">
        <v>3296</v>
      </c>
      <c r="N1645" t="s">
        <v>3343</v>
      </c>
      <c r="O1645" t="s">
        <v>3429</v>
      </c>
      <c r="P1645" t="s">
        <v>3430</v>
      </c>
      <c r="Q1645" t="s">
        <v>5837</v>
      </c>
      <c r="R1645" t="s">
        <v>7382</v>
      </c>
    </row>
    <row r="1646" spans="1:18" x14ac:dyDescent="0.2">
      <c r="A1646">
        <v>2715964</v>
      </c>
      <c r="B1646" t="s">
        <v>7383</v>
      </c>
      <c r="C1646">
        <v>0</v>
      </c>
      <c r="D1646">
        <v>0</v>
      </c>
      <c r="E1646">
        <v>0</v>
      </c>
      <c r="F1646">
        <v>0</v>
      </c>
      <c r="G1646">
        <v>1</v>
      </c>
      <c r="H1646">
        <v>1</v>
      </c>
      <c r="I1646">
        <v>0</v>
      </c>
      <c r="J1646">
        <v>0</v>
      </c>
      <c r="K1646">
        <v>0</v>
      </c>
      <c r="L1646" t="s">
        <v>3284</v>
      </c>
      <c r="M1646" t="s">
        <v>3296</v>
      </c>
      <c r="N1646" t="s">
        <v>3297</v>
      </c>
      <c r="O1646" t="s">
        <v>3434</v>
      </c>
      <c r="P1646" t="s">
        <v>3435</v>
      </c>
      <c r="Q1646" t="s">
        <v>3436</v>
      </c>
      <c r="R1646" t="s">
        <v>7384</v>
      </c>
    </row>
    <row r="1647" spans="1:18" x14ac:dyDescent="0.2">
      <c r="A1647">
        <v>2715959</v>
      </c>
      <c r="B1647" t="s">
        <v>7385</v>
      </c>
      <c r="C1647">
        <v>0</v>
      </c>
      <c r="D1647">
        <v>0</v>
      </c>
      <c r="E1647">
        <v>0</v>
      </c>
      <c r="F1647">
        <v>9</v>
      </c>
      <c r="G1647">
        <v>5</v>
      </c>
      <c r="H1647">
        <v>8</v>
      </c>
      <c r="I1647">
        <v>0</v>
      </c>
      <c r="J1647">
        <v>2</v>
      </c>
      <c r="K1647">
        <v>0</v>
      </c>
      <c r="L1647" t="s">
        <v>3284</v>
      </c>
      <c r="M1647" t="s">
        <v>3296</v>
      </c>
      <c r="N1647" t="s">
        <v>3343</v>
      </c>
      <c r="O1647" t="s">
        <v>3344</v>
      </c>
      <c r="P1647" t="s">
        <v>3355</v>
      </c>
      <c r="Q1647" t="s">
        <v>3846</v>
      </c>
      <c r="R1647" t="s">
        <v>7386</v>
      </c>
    </row>
    <row r="1648" spans="1:18" x14ac:dyDescent="0.2">
      <c r="A1648">
        <v>2715536</v>
      </c>
      <c r="B1648" t="s">
        <v>7387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1</v>
      </c>
      <c r="J1648">
        <v>0</v>
      </c>
      <c r="K1648">
        <v>0</v>
      </c>
      <c r="L1648" t="s">
        <v>3284</v>
      </c>
      <c r="M1648" t="s">
        <v>3307</v>
      </c>
      <c r="N1648" t="s">
        <v>3308</v>
      </c>
      <c r="O1648" t="s">
        <v>7388</v>
      </c>
      <c r="P1648" t="s">
        <v>7389</v>
      </c>
      <c r="Q1648" t="s">
        <v>7390</v>
      </c>
      <c r="R1648" t="s">
        <v>7391</v>
      </c>
    </row>
    <row r="1649" spans="1:18" x14ac:dyDescent="0.2">
      <c r="A1649">
        <v>2714956</v>
      </c>
      <c r="B1649" t="s">
        <v>7392</v>
      </c>
      <c r="C1649">
        <v>0</v>
      </c>
      <c r="D1649">
        <v>1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 t="s">
        <v>3284</v>
      </c>
      <c r="M1649" t="s">
        <v>3307</v>
      </c>
      <c r="N1649" t="s">
        <v>3308</v>
      </c>
      <c r="O1649" t="s">
        <v>7393</v>
      </c>
      <c r="P1649" t="s">
        <v>7394</v>
      </c>
      <c r="Q1649" t="s">
        <v>7395</v>
      </c>
      <c r="R1649" t="s">
        <v>7396</v>
      </c>
    </row>
    <row r="1650" spans="1:18" x14ac:dyDescent="0.2">
      <c r="A1650">
        <v>2714952</v>
      </c>
      <c r="B1650" t="s">
        <v>7397</v>
      </c>
      <c r="C1650">
        <v>7</v>
      </c>
      <c r="D1650">
        <v>2</v>
      </c>
      <c r="E1650">
        <v>0</v>
      </c>
      <c r="F1650">
        <v>1</v>
      </c>
      <c r="G1650">
        <v>0</v>
      </c>
      <c r="H1650">
        <v>0</v>
      </c>
      <c r="I1650">
        <v>0</v>
      </c>
      <c r="J1650">
        <v>0</v>
      </c>
      <c r="K1650">
        <v>0</v>
      </c>
      <c r="L1650" t="s">
        <v>3284</v>
      </c>
      <c r="M1650" t="s">
        <v>3296</v>
      </c>
      <c r="N1650" t="s">
        <v>3321</v>
      </c>
      <c r="O1650" t="s">
        <v>3322</v>
      </c>
      <c r="P1650" t="s">
        <v>3671</v>
      </c>
      <c r="Q1650" t="s">
        <v>3672</v>
      </c>
      <c r="R1650" t="s">
        <v>7398</v>
      </c>
    </row>
    <row r="1651" spans="1:18" x14ac:dyDescent="0.2">
      <c r="A1651">
        <v>2714940</v>
      </c>
      <c r="B1651" t="s">
        <v>7399</v>
      </c>
      <c r="C1651">
        <v>0</v>
      </c>
      <c r="D1651">
        <v>0</v>
      </c>
      <c r="E1651">
        <v>0</v>
      </c>
      <c r="F1651">
        <v>1</v>
      </c>
      <c r="G1651">
        <v>0</v>
      </c>
      <c r="H1651">
        <v>0</v>
      </c>
      <c r="I1651">
        <v>0</v>
      </c>
      <c r="J1651">
        <v>0</v>
      </c>
      <c r="K1651">
        <v>0</v>
      </c>
      <c r="L1651" t="s">
        <v>3284</v>
      </c>
      <c r="M1651" t="s">
        <v>3391</v>
      </c>
      <c r="N1651" t="s">
        <v>3392</v>
      </c>
      <c r="O1651" t="s">
        <v>3393</v>
      </c>
      <c r="P1651" t="s">
        <v>3394</v>
      </c>
      <c r="Q1651" t="s">
        <v>3395</v>
      </c>
      <c r="R1651" t="s">
        <v>7400</v>
      </c>
    </row>
    <row r="1652" spans="1:18" x14ac:dyDescent="0.2">
      <c r="A1652">
        <v>2714939</v>
      </c>
      <c r="B1652" t="s">
        <v>7401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1</v>
      </c>
      <c r="K1652">
        <v>0</v>
      </c>
      <c r="L1652" t="s">
        <v>3284</v>
      </c>
      <c r="M1652" t="s">
        <v>3307</v>
      </c>
      <c r="N1652" t="s">
        <v>3308</v>
      </c>
      <c r="O1652" t="s">
        <v>3309</v>
      </c>
      <c r="P1652" t="s">
        <v>3310</v>
      </c>
      <c r="Q1652" t="s">
        <v>3311</v>
      </c>
      <c r="R1652" t="s">
        <v>7402</v>
      </c>
    </row>
    <row r="1653" spans="1:18" x14ac:dyDescent="0.2">
      <c r="A1653">
        <v>2714938</v>
      </c>
      <c r="B1653" t="s">
        <v>7403</v>
      </c>
      <c r="C1653">
        <v>0</v>
      </c>
      <c r="D1653">
        <v>0</v>
      </c>
      <c r="E1653">
        <v>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 t="s">
        <v>3284</v>
      </c>
      <c r="M1653" t="s">
        <v>3307</v>
      </c>
      <c r="N1653" t="s">
        <v>3308</v>
      </c>
      <c r="O1653" t="s">
        <v>3309</v>
      </c>
      <c r="P1653" t="s">
        <v>3310</v>
      </c>
      <c r="Q1653" t="s">
        <v>3311</v>
      </c>
      <c r="R1653" t="s">
        <v>7404</v>
      </c>
    </row>
    <row r="1654" spans="1:18" x14ac:dyDescent="0.2">
      <c r="A1654">
        <v>2714936</v>
      </c>
      <c r="B1654" t="s">
        <v>7405</v>
      </c>
      <c r="C1654">
        <v>0</v>
      </c>
      <c r="D1654">
        <v>0</v>
      </c>
      <c r="E1654">
        <v>0</v>
      </c>
      <c r="F1654">
        <v>0</v>
      </c>
      <c r="G1654">
        <v>1</v>
      </c>
      <c r="H1654">
        <v>0</v>
      </c>
      <c r="I1654">
        <v>0</v>
      </c>
      <c r="J1654">
        <v>0</v>
      </c>
      <c r="K1654">
        <v>0</v>
      </c>
      <c r="L1654" t="s">
        <v>3284</v>
      </c>
      <c r="M1654" t="s">
        <v>3296</v>
      </c>
      <c r="N1654" t="s">
        <v>3297</v>
      </c>
      <c r="O1654" t="s">
        <v>3469</v>
      </c>
      <c r="P1654" t="s">
        <v>3470</v>
      </c>
      <c r="Q1654" t="s">
        <v>4417</v>
      </c>
      <c r="R1654" t="s">
        <v>7406</v>
      </c>
    </row>
    <row r="1655" spans="1:18" x14ac:dyDescent="0.2">
      <c r="A1655">
        <v>2714935</v>
      </c>
      <c r="B1655" t="s">
        <v>7407</v>
      </c>
      <c r="C1655">
        <v>1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1</v>
      </c>
      <c r="K1655">
        <v>0</v>
      </c>
      <c r="L1655" t="s">
        <v>3284</v>
      </c>
      <c r="M1655" t="s">
        <v>3307</v>
      </c>
      <c r="N1655" t="s">
        <v>3308</v>
      </c>
      <c r="O1655" t="s">
        <v>3359</v>
      </c>
      <c r="P1655" t="s">
        <v>3360</v>
      </c>
      <c r="Q1655" t="s">
        <v>5690</v>
      </c>
      <c r="R1655" t="s">
        <v>7408</v>
      </c>
    </row>
    <row r="1656" spans="1:18" x14ac:dyDescent="0.2">
      <c r="A1656">
        <v>2714933</v>
      </c>
      <c r="B1656" t="s">
        <v>7409</v>
      </c>
      <c r="C1656">
        <v>1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 t="s">
        <v>3284</v>
      </c>
      <c r="M1656" t="s">
        <v>3307</v>
      </c>
      <c r="N1656" t="s">
        <v>3308</v>
      </c>
      <c r="O1656" t="s">
        <v>3359</v>
      </c>
      <c r="P1656" t="s">
        <v>3360</v>
      </c>
      <c r="Q1656" t="s">
        <v>5690</v>
      </c>
      <c r="R1656" t="s">
        <v>7410</v>
      </c>
    </row>
    <row r="1657" spans="1:18" x14ac:dyDescent="0.2">
      <c r="A1657">
        <v>2714924</v>
      </c>
      <c r="B1657" t="s">
        <v>7411</v>
      </c>
      <c r="C1657">
        <v>0</v>
      </c>
      <c r="D1657">
        <v>1</v>
      </c>
      <c r="E1657">
        <v>0</v>
      </c>
      <c r="F1657">
        <v>1</v>
      </c>
      <c r="G1657">
        <v>0</v>
      </c>
      <c r="H1657">
        <v>0</v>
      </c>
      <c r="I1657">
        <v>0</v>
      </c>
      <c r="J1657">
        <v>0</v>
      </c>
      <c r="K1657">
        <v>0</v>
      </c>
      <c r="L1657" t="s">
        <v>3284</v>
      </c>
      <c r="M1657" t="s">
        <v>3296</v>
      </c>
      <c r="N1657" t="s">
        <v>3321</v>
      </c>
      <c r="O1657" t="s">
        <v>3322</v>
      </c>
      <c r="P1657" t="s">
        <v>3398</v>
      </c>
      <c r="Q1657" t="s">
        <v>4955</v>
      </c>
      <c r="R1657" t="s">
        <v>7412</v>
      </c>
    </row>
    <row r="1658" spans="1:18" x14ac:dyDescent="0.2">
      <c r="A1658">
        <v>2714923</v>
      </c>
      <c r="B1658" t="s">
        <v>7413</v>
      </c>
      <c r="C1658">
        <v>0</v>
      </c>
      <c r="D1658">
        <v>0</v>
      </c>
      <c r="E1658">
        <v>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 t="s">
        <v>3284</v>
      </c>
      <c r="M1658" t="s">
        <v>3296</v>
      </c>
      <c r="N1658" t="s">
        <v>3321</v>
      </c>
      <c r="O1658" t="s">
        <v>3322</v>
      </c>
      <c r="P1658" t="s">
        <v>3398</v>
      </c>
      <c r="Q1658" t="s">
        <v>3556</v>
      </c>
      <c r="R1658" t="s">
        <v>7414</v>
      </c>
    </row>
    <row r="1659" spans="1:18" x14ac:dyDescent="0.2">
      <c r="A1659">
        <v>2714892</v>
      </c>
      <c r="B1659" t="s">
        <v>7415</v>
      </c>
      <c r="C1659">
        <v>0</v>
      </c>
      <c r="D1659">
        <v>0</v>
      </c>
      <c r="E1659">
        <v>0</v>
      </c>
      <c r="F1659">
        <v>2</v>
      </c>
      <c r="G1659">
        <v>1</v>
      </c>
      <c r="H1659">
        <v>0</v>
      </c>
      <c r="I1659">
        <v>0</v>
      </c>
      <c r="J1659">
        <v>0</v>
      </c>
      <c r="K1659">
        <v>0</v>
      </c>
      <c r="L1659" t="s">
        <v>3284</v>
      </c>
      <c r="M1659" t="s">
        <v>3391</v>
      </c>
      <c r="N1659" t="s">
        <v>3392</v>
      </c>
      <c r="O1659" t="s">
        <v>3393</v>
      </c>
      <c r="P1659" t="s">
        <v>3394</v>
      </c>
      <c r="Q1659" t="s">
        <v>4082</v>
      </c>
      <c r="R1659" t="s">
        <v>7416</v>
      </c>
    </row>
    <row r="1660" spans="1:18" x14ac:dyDescent="0.2">
      <c r="A1660">
        <v>2714865</v>
      </c>
      <c r="B1660" t="s">
        <v>7417</v>
      </c>
      <c r="C1660">
        <v>1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 t="s">
        <v>3284</v>
      </c>
      <c r="M1660" t="s">
        <v>3391</v>
      </c>
      <c r="N1660" t="s">
        <v>3411</v>
      </c>
      <c r="O1660" t="s">
        <v>3412</v>
      </c>
      <c r="P1660" t="s">
        <v>3413</v>
      </c>
      <c r="Q1660" t="s">
        <v>7418</v>
      </c>
      <c r="R1660" t="s">
        <v>7419</v>
      </c>
    </row>
    <row r="1661" spans="1:18" x14ac:dyDescent="0.2">
      <c r="A1661">
        <v>2712864</v>
      </c>
      <c r="B1661" t="s">
        <v>7420</v>
      </c>
      <c r="C1661">
        <v>0</v>
      </c>
      <c r="D1661">
        <v>1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 t="s">
        <v>3284</v>
      </c>
      <c r="M1661" t="s">
        <v>3794</v>
      </c>
      <c r="N1661" t="s">
        <v>3795</v>
      </c>
      <c r="O1661" t="s">
        <v>7421</v>
      </c>
      <c r="P1661" t="s">
        <v>7422</v>
      </c>
      <c r="Q1661" t="s">
        <v>7423</v>
      </c>
      <c r="R1661" t="s">
        <v>7424</v>
      </c>
    </row>
    <row r="1662" spans="1:18" x14ac:dyDescent="0.2">
      <c r="A1662">
        <v>2712224</v>
      </c>
      <c r="B1662" t="s">
        <v>7425</v>
      </c>
      <c r="C1662">
        <v>0</v>
      </c>
      <c r="D1662">
        <v>0</v>
      </c>
      <c r="E1662">
        <v>0</v>
      </c>
      <c r="F1662">
        <v>1</v>
      </c>
      <c r="G1662">
        <v>0</v>
      </c>
      <c r="H1662">
        <v>0</v>
      </c>
      <c r="I1662">
        <v>0</v>
      </c>
      <c r="J1662">
        <v>0</v>
      </c>
      <c r="K1662">
        <v>0</v>
      </c>
      <c r="L1662" t="s">
        <v>3284</v>
      </c>
      <c r="M1662" t="s">
        <v>3307</v>
      </c>
      <c r="N1662" t="s">
        <v>3308</v>
      </c>
      <c r="O1662" t="s">
        <v>3309</v>
      </c>
      <c r="P1662" t="s">
        <v>3310</v>
      </c>
      <c r="Q1662" t="s">
        <v>3311</v>
      </c>
      <c r="R1662" t="s">
        <v>7426</v>
      </c>
    </row>
    <row r="1663" spans="1:18" x14ac:dyDescent="0.2">
      <c r="A1663">
        <v>2712223</v>
      </c>
      <c r="B1663" t="s">
        <v>7427</v>
      </c>
      <c r="C1663">
        <v>1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 t="s">
        <v>3284</v>
      </c>
      <c r="M1663" t="s">
        <v>3307</v>
      </c>
      <c r="N1663" t="s">
        <v>3308</v>
      </c>
      <c r="O1663" t="s">
        <v>3309</v>
      </c>
      <c r="P1663" t="s">
        <v>3310</v>
      </c>
      <c r="Q1663" t="s">
        <v>3311</v>
      </c>
      <c r="R1663" t="s">
        <v>7428</v>
      </c>
    </row>
    <row r="1664" spans="1:18" x14ac:dyDescent="0.2">
      <c r="A1664">
        <v>2712222</v>
      </c>
      <c r="B1664" t="s">
        <v>7429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1</v>
      </c>
      <c r="J1664">
        <v>0</v>
      </c>
      <c r="K1664">
        <v>0</v>
      </c>
      <c r="L1664" t="s">
        <v>3284</v>
      </c>
      <c r="M1664" t="s">
        <v>3296</v>
      </c>
      <c r="N1664" t="s">
        <v>3343</v>
      </c>
      <c r="O1664" t="s">
        <v>3344</v>
      </c>
      <c r="P1664" t="s">
        <v>3271</v>
      </c>
      <c r="Q1664" t="s">
        <v>7430</v>
      </c>
      <c r="R1664" t="s">
        <v>7431</v>
      </c>
    </row>
    <row r="1665" spans="1:18" x14ac:dyDescent="0.2">
      <c r="A1665">
        <v>2711233</v>
      </c>
      <c r="B1665" t="s">
        <v>7432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2</v>
      </c>
      <c r="J1665">
        <v>0</v>
      </c>
      <c r="K1665">
        <v>0</v>
      </c>
      <c r="L1665" t="s">
        <v>3284</v>
      </c>
      <c r="M1665" t="s">
        <v>3307</v>
      </c>
      <c r="N1665" t="s">
        <v>3308</v>
      </c>
      <c r="O1665" t="s">
        <v>3359</v>
      </c>
      <c r="P1665" t="s">
        <v>3360</v>
      </c>
      <c r="Q1665" t="s">
        <v>7433</v>
      </c>
      <c r="R1665" t="s">
        <v>7434</v>
      </c>
    </row>
    <row r="1666" spans="1:18" x14ac:dyDescent="0.2">
      <c r="A1666">
        <v>2711231</v>
      </c>
      <c r="B1666" t="s">
        <v>7435</v>
      </c>
      <c r="C1666">
        <v>0</v>
      </c>
      <c r="D1666">
        <v>1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 t="s">
        <v>3284</v>
      </c>
      <c r="M1666" t="s">
        <v>3816</v>
      </c>
      <c r="N1666" t="s">
        <v>3817</v>
      </c>
      <c r="O1666" t="s">
        <v>3818</v>
      </c>
      <c r="P1666" t="s">
        <v>3819</v>
      </c>
      <c r="Q1666" t="s">
        <v>7436</v>
      </c>
      <c r="R1666" t="s">
        <v>7437</v>
      </c>
    </row>
    <row r="1667" spans="1:18" x14ac:dyDescent="0.2">
      <c r="A1667">
        <v>2711156</v>
      </c>
      <c r="B1667" t="s">
        <v>7438</v>
      </c>
      <c r="C1667">
        <v>1</v>
      </c>
      <c r="D1667">
        <v>0</v>
      </c>
      <c r="E1667">
        <v>0</v>
      </c>
      <c r="F1667">
        <v>1</v>
      </c>
      <c r="G1667">
        <v>1</v>
      </c>
      <c r="H1667">
        <v>0</v>
      </c>
      <c r="I1667">
        <v>0</v>
      </c>
      <c r="J1667">
        <v>0</v>
      </c>
      <c r="K1667">
        <v>0</v>
      </c>
      <c r="L1667" t="s">
        <v>3284</v>
      </c>
      <c r="M1667" t="s">
        <v>3296</v>
      </c>
      <c r="N1667" t="s">
        <v>3343</v>
      </c>
      <c r="O1667" t="s">
        <v>3349</v>
      </c>
      <c r="P1667" t="s">
        <v>3350</v>
      </c>
      <c r="Q1667" t="s">
        <v>7439</v>
      </c>
      <c r="R1667" t="s">
        <v>7440</v>
      </c>
    </row>
    <row r="1668" spans="1:18" x14ac:dyDescent="0.2">
      <c r="A1668">
        <v>2710882</v>
      </c>
      <c r="B1668" t="s">
        <v>7441</v>
      </c>
      <c r="C1668">
        <v>1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 t="s">
        <v>3284</v>
      </c>
      <c r="M1668" t="s">
        <v>3296</v>
      </c>
      <c r="N1668" t="s">
        <v>3343</v>
      </c>
      <c r="O1668" t="s">
        <v>3371</v>
      </c>
      <c r="P1668" t="s">
        <v>3271</v>
      </c>
      <c r="Q1668" t="s">
        <v>5409</v>
      </c>
      <c r="R1668" t="s">
        <v>7442</v>
      </c>
    </row>
    <row r="1669" spans="1:18" x14ac:dyDescent="0.2">
      <c r="A1669">
        <v>2710650</v>
      </c>
      <c r="B1669" t="s">
        <v>7443</v>
      </c>
      <c r="C1669">
        <v>1</v>
      </c>
      <c r="D1669">
        <v>4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 t="s">
        <v>3284</v>
      </c>
      <c r="M1669" t="s">
        <v>3296</v>
      </c>
      <c r="N1669" t="s">
        <v>3343</v>
      </c>
      <c r="O1669" t="s">
        <v>3371</v>
      </c>
      <c r="P1669" t="s">
        <v>3688</v>
      </c>
      <c r="Q1669" t="s">
        <v>7444</v>
      </c>
      <c r="R1669" t="s">
        <v>7445</v>
      </c>
    </row>
    <row r="1670" spans="1:18" x14ac:dyDescent="0.2">
      <c r="A1670">
        <v>2710648</v>
      </c>
      <c r="B1670" t="s">
        <v>7446</v>
      </c>
      <c r="C1670">
        <v>0</v>
      </c>
      <c r="D1670">
        <v>0</v>
      </c>
      <c r="E1670">
        <v>0</v>
      </c>
      <c r="F1670">
        <v>1</v>
      </c>
      <c r="G1670">
        <v>1</v>
      </c>
      <c r="H1670">
        <v>0</v>
      </c>
      <c r="I1670">
        <v>0</v>
      </c>
      <c r="J1670">
        <v>0</v>
      </c>
      <c r="K1670">
        <v>0</v>
      </c>
      <c r="L1670" t="s">
        <v>3284</v>
      </c>
      <c r="M1670" t="s">
        <v>3296</v>
      </c>
      <c r="N1670" t="s">
        <v>3297</v>
      </c>
      <c r="O1670" t="s">
        <v>3469</v>
      </c>
      <c r="P1670" t="s">
        <v>3470</v>
      </c>
      <c r="Q1670" t="s">
        <v>3471</v>
      </c>
      <c r="R1670" t="s">
        <v>7447</v>
      </c>
    </row>
    <row r="1671" spans="1:18" x14ac:dyDescent="0.2">
      <c r="A1671">
        <v>2710596</v>
      </c>
      <c r="B1671" t="s">
        <v>7448</v>
      </c>
      <c r="C1671">
        <v>0</v>
      </c>
      <c r="D1671">
        <v>0</v>
      </c>
      <c r="E1671">
        <v>0</v>
      </c>
      <c r="F1671">
        <v>4</v>
      </c>
      <c r="G1671">
        <v>1</v>
      </c>
      <c r="H1671">
        <v>1</v>
      </c>
      <c r="I1671">
        <v>1</v>
      </c>
      <c r="J1671">
        <v>0</v>
      </c>
      <c r="K1671">
        <v>0</v>
      </c>
      <c r="L1671" t="s">
        <v>3284</v>
      </c>
      <c r="M1671" t="s">
        <v>3391</v>
      </c>
      <c r="N1671" t="s">
        <v>3740</v>
      </c>
      <c r="O1671" t="s">
        <v>3741</v>
      </c>
      <c r="P1671" t="s">
        <v>4241</v>
      </c>
      <c r="Q1671" t="s">
        <v>4242</v>
      </c>
      <c r="R1671" t="s">
        <v>7449</v>
      </c>
    </row>
    <row r="1672" spans="1:18" x14ac:dyDescent="0.2">
      <c r="A1672">
        <v>2709780</v>
      </c>
      <c r="B1672" t="s">
        <v>7450</v>
      </c>
      <c r="C1672">
        <v>1</v>
      </c>
      <c r="D1672">
        <v>3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 t="s">
        <v>3284</v>
      </c>
      <c r="M1672" t="s">
        <v>3391</v>
      </c>
      <c r="N1672" t="s">
        <v>3411</v>
      </c>
      <c r="O1672" t="s">
        <v>3412</v>
      </c>
      <c r="P1672" t="s">
        <v>3413</v>
      </c>
      <c r="Q1672" t="s">
        <v>3414</v>
      </c>
      <c r="R1672" t="s">
        <v>7451</v>
      </c>
    </row>
    <row r="1673" spans="1:18" x14ac:dyDescent="0.2">
      <c r="A1673">
        <v>2709708</v>
      </c>
      <c r="B1673" t="s">
        <v>7452</v>
      </c>
      <c r="C1673">
        <v>0</v>
      </c>
      <c r="D1673">
        <v>1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 t="s">
        <v>3284</v>
      </c>
      <c r="M1673" t="s">
        <v>3296</v>
      </c>
      <c r="N1673" t="s">
        <v>3297</v>
      </c>
      <c r="O1673" t="s">
        <v>3434</v>
      </c>
      <c r="P1673" t="s">
        <v>3435</v>
      </c>
      <c r="Q1673" t="s">
        <v>3436</v>
      </c>
      <c r="R1673" t="s">
        <v>7453</v>
      </c>
    </row>
    <row r="1674" spans="1:18" x14ac:dyDescent="0.2">
      <c r="A1674">
        <v>2709688</v>
      </c>
      <c r="B1674" t="s">
        <v>7454</v>
      </c>
      <c r="C1674">
        <v>0</v>
      </c>
      <c r="D1674">
        <v>0</v>
      </c>
      <c r="E1674">
        <v>0</v>
      </c>
      <c r="F1674">
        <v>2</v>
      </c>
      <c r="G1674">
        <v>0</v>
      </c>
      <c r="H1674">
        <v>0</v>
      </c>
      <c r="I1674">
        <v>0</v>
      </c>
      <c r="J1674">
        <v>0</v>
      </c>
      <c r="K1674">
        <v>0</v>
      </c>
      <c r="L1674" t="s">
        <v>3284</v>
      </c>
      <c r="M1674" t="s">
        <v>3296</v>
      </c>
      <c r="N1674" t="s">
        <v>3343</v>
      </c>
      <c r="O1674" t="s">
        <v>3349</v>
      </c>
      <c r="P1674" t="s">
        <v>3350</v>
      </c>
      <c r="Q1674" t="s">
        <v>7455</v>
      </c>
      <c r="R1674" t="s">
        <v>7456</v>
      </c>
    </row>
    <row r="1675" spans="1:18" x14ac:dyDescent="0.2">
      <c r="A1675">
        <v>2709663</v>
      </c>
      <c r="B1675" t="s">
        <v>7457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1</v>
      </c>
      <c r="J1675">
        <v>0</v>
      </c>
      <c r="K1675">
        <v>0</v>
      </c>
      <c r="L1675" t="s">
        <v>3284</v>
      </c>
      <c r="M1675" t="s">
        <v>5163</v>
      </c>
      <c r="N1675" t="s">
        <v>5164</v>
      </c>
      <c r="O1675" t="s">
        <v>5165</v>
      </c>
      <c r="P1675" t="s">
        <v>5166</v>
      </c>
      <c r="Q1675" t="s">
        <v>5167</v>
      </c>
      <c r="R1675" t="s">
        <v>7458</v>
      </c>
    </row>
    <row r="1676" spans="1:18" x14ac:dyDescent="0.2">
      <c r="A1676">
        <v>2709381</v>
      </c>
      <c r="B1676" t="s">
        <v>7459</v>
      </c>
      <c r="C1676">
        <v>1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 t="s">
        <v>3284</v>
      </c>
      <c r="M1676" t="s">
        <v>3296</v>
      </c>
      <c r="N1676" t="s">
        <v>3343</v>
      </c>
      <c r="O1676" t="s">
        <v>3371</v>
      </c>
      <c r="P1676" t="s">
        <v>3688</v>
      </c>
      <c r="Q1676" t="s">
        <v>4314</v>
      </c>
      <c r="R1676" t="s">
        <v>7460</v>
      </c>
    </row>
    <row r="1677" spans="1:18" x14ac:dyDescent="0.2">
      <c r="A1677">
        <v>2709380</v>
      </c>
      <c r="B1677" t="s">
        <v>7461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1</v>
      </c>
      <c r="J1677">
        <v>0</v>
      </c>
      <c r="K1677">
        <v>0</v>
      </c>
      <c r="L1677" t="s">
        <v>3284</v>
      </c>
      <c r="M1677" t="s">
        <v>3296</v>
      </c>
      <c r="N1677" t="s">
        <v>3343</v>
      </c>
      <c r="O1677" t="s">
        <v>3344</v>
      </c>
      <c r="P1677" t="s">
        <v>3661</v>
      </c>
      <c r="Q1677" t="s">
        <v>7462</v>
      </c>
      <c r="R1677" t="s">
        <v>7463</v>
      </c>
    </row>
    <row r="1678" spans="1:18" x14ac:dyDescent="0.2">
      <c r="A1678">
        <v>2709132</v>
      </c>
      <c r="B1678" t="s">
        <v>7464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1</v>
      </c>
      <c r="J1678">
        <v>1</v>
      </c>
      <c r="K1678">
        <v>0</v>
      </c>
      <c r="L1678" t="s">
        <v>3284</v>
      </c>
      <c r="M1678" t="s">
        <v>3307</v>
      </c>
      <c r="N1678" t="s">
        <v>3308</v>
      </c>
      <c r="O1678" t="s">
        <v>3359</v>
      </c>
      <c r="P1678" t="s">
        <v>3360</v>
      </c>
      <c r="Q1678" t="s">
        <v>3364</v>
      </c>
      <c r="R1678" t="s">
        <v>7465</v>
      </c>
    </row>
    <row r="1679" spans="1:18" x14ac:dyDescent="0.2">
      <c r="A1679">
        <v>2708539</v>
      </c>
      <c r="B1679" t="s">
        <v>7466</v>
      </c>
      <c r="C1679">
        <v>0</v>
      </c>
      <c r="D1679">
        <v>0</v>
      </c>
      <c r="E1679">
        <v>0</v>
      </c>
      <c r="F1679">
        <v>7</v>
      </c>
      <c r="G1679">
        <v>7</v>
      </c>
      <c r="H1679">
        <v>0</v>
      </c>
      <c r="I1679">
        <v>0</v>
      </c>
      <c r="J1679">
        <v>0</v>
      </c>
      <c r="K1679">
        <v>0</v>
      </c>
      <c r="L1679" t="s">
        <v>3284</v>
      </c>
      <c r="M1679" t="s">
        <v>3296</v>
      </c>
      <c r="N1679" t="s">
        <v>3343</v>
      </c>
      <c r="O1679" t="s">
        <v>3402</v>
      </c>
      <c r="P1679" t="s">
        <v>3403</v>
      </c>
      <c r="Q1679" t="s">
        <v>3404</v>
      </c>
      <c r="R1679" t="s">
        <v>7467</v>
      </c>
    </row>
    <row r="1680" spans="1:18" x14ac:dyDescent="0.2">
      <c r="A1680">
        <v>2708254</v>
      </c>
      <c r="B1680" t="s">
        <v>7468</v>
      </c>
      <c r="C1680">
        <v>5</v>
      </c>
      <c r="D1680">
        <v>3</v>
      </c>
      <c r="E1680">
        <v>1</v>
      </c>
      <c r="F1680">
        <v>0</v>
      </c>
      <c r="G1680">
        <v>0</v>
      </c>
      <c r="H1680">
        <v>0</v>
      </c>
      <c r="I1680">
        <v>2</v>
      </c>
      <c r="J1680">
        <v>1</v>
      </c>
      <c r="K1680">
        <v>0</v>
      </c>
      <c r="L1680" t="s">
        <v>3284</v>
      </c>
      <c r="M1680" t="s">
        <v>3307</v>
      </c>
      <c r="N1680" t="s">
        <v>3308</v>
      </c>
      <c r="O1680" t="s">
        <v>3359</v>
      </c>
      <c r="P1680" t="s">
        <v>3360</v>
      </c>
      <c r="Q1680" t="s">
        <v>7469</v>
      </c>
      <c r="R1680" t="s">
        <v>7470</v>
      </c>
    </row>
    <row r="1681" spans="1:18" x14ac:dyDescent="0.2">
      <c r="A1681">
        <v>2708133</v>
      </c>
      <c r="B1681" t="s">
        <v>7471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1</v>
      </c>
      <c r="K1681">
        <v>0</v>
      </c>
      <c r="L1681" t="s">
        <v>3284</v>
      </c>
      <c r="M1681" t="s">
        <v>3307</v>
      </c>
      <c r="N1681" t="s">
        <v>3308</v>
      </c>
      <c r="O1681" t="s">
        <v>3359</v>
      </c>
      <c r="P1681" t="s">
        <v>5645</v>
      </c>
      <c r="Q1681" t="s">
        <v>5646</v>
      </c>
      <c r="R1681" t="s">
        <v>7472</v>
      </c>
    </row>
    <row r="1682" spans="1:18" x14ac:dyDescent="0.2">
      <c r="A1682">
        <v>2708132</v>
      </c>
      <c r="B1682" t="s">
        <v>7473</v>
      </c>
      <c r="C1682">
        <v>1</v>
      </c>
      <c r="D1682">
        <v>0</v>
      </c>
      <c r="E1682">
        <v>0</v>
      </c>
      <c r="F1682">
        <v>2</v>
      </c>
      <c r="G1682">
        <v>0</v>
      </c>
      <c r="H1682">
        <v>0</v>
      </c>
      <c r="I1682">
        <v>1</v>
      </c>
      <c r="J1682">
        <v>1</v>
      </c>
      <c r="K1682">
        <v>0</v>
      </c>
      <c r="L1682" t="s">
        <v>3284</v>
      </c>
      <c r="M1682" t="s">
        <v>3391</v>
      </c>
      <c r="N1682" t="s">
        <v>3411</v>
      </c>
      <c r="O1682" t="s">
        <v>3412</v>
      </c>
      <c r="P1682" t="s">
        <v>3413</v>
      </c>
      <c r="Q1682" t="s">
        <v>3414</v>
      </c>
      <c r="R1682" t="s">
        <v>7474</v>
      </c>
    </row>
    <row r="1683" spans="1:18" x14ac:dyDescent="0.2">
      <c r="A1683">
        <v>2708079</v>
      </c>
      <c r="B1683" t="s">
        <v>7475</v>
      </c>
      <c r="C1683">
        <v>0</v>
      </c>
      <c r="D1683">
        <v>0</v>
      </c>
      <c r="E1683">
        <v>1</v>
      </c>
      <c r="F1683">
        <v>1</v>
      </c>
      <c r="G1683">
        <v>0</v>
      </c>
      <c r="H1683">
        <v>0</v>
      </c>
      <c r="I1683">
        <v>0</v>
      </c>
      <c r="J1683">
        <v>0</v>
      </c>
      <c r="K1683">
        <v>0</v>
      </c>
      <c r="L1683" t="s">
        <v>3284</v>
      </c>
      <c r="M1683" t="s">
        <v>3307</v>
      </c>
      <c r="N1683" t="s">
        <v>3308</v>
      </c>
      <c r="O1683" t="s">
        <v>3359</v>
      </c>
      <c r="P1683" t="s">
        <v>3360</v>
      </c>
      <c r="Q1683" t="s">
        <v>7476</v>
      </c>
      <c r="R1683" t="s">
        <v>7477</v>
      </c>
    </row>
    <row r="1684" spans="1:18" x14ac:dyDescent="0.2">
      <c r="A1684">
        <v>2707525</v>
      </c>
      <c r="B1684" t="s">
        <v>7478</v>
      </c>
      <c r="C1684">
        <v>0</v>
      </c>
      <c r="D1684">
        <v>1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 t="s">
        <v>3284</v>
      </c>
      <c r="M1684" t="s">
        <v>3816</v>
      </c>
      <c r="N1684" t="s">
        <v>3817</v>
      </c>
      <c r="O1684" t="s">
        <v>3818</v>
      </c>
      <c r="P1684" t="s">
        <v>3819</v>
      </c>
      <c r="Q1684" t="s">
        <v>7479</v>
      </c>
      <c r="R1684" t="s">
        <v>7480</v>
      </c>
    </row>
    <row r="1685" spans="1:18" x14ac:dyDescent="0.2">
      <c r="A1685">
        <v>2707330</v>
      </c>
      <c r="B1685" t="s">
        <v>7481</v>
      </c>
      <c r="C1685">
        <v>8</v>
      </c>
      <c r="D1685">
        <v>11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 t="s">
        <v>3284</v>
      </c>
      <c r="M1685" t="s">
        <v>3296</v>
      </c>
      <c r="N1685" t="s">
        <v>3321</v>
      </c>
      <c r="O1685" t="s">
        <v>3322</v>
      </c>
      <c r="P1685" t="s">
        <v>4143</v>
      </c>
      <c r="Q1685" t="s">
        <v>7482</v>
      </c>
      <c r="R1685" t="s">
        <v>7483</v>
      </c>
    </row>
    <row r="1686" spans="1:18" x14ac:dyDescent="0.2">
      <c r="A1686">
        <v>2707176</v>
      </c>
      <c r="B1686" t="s">
        <v>7484</v>
      </c>
      <c r="C1686">
        <v>0</v>
      </c>
      <c r="D1686">
        <v>2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 t="s">
        <v>3284</v>
      </c>
      <c r="M1686" t="s">
        <v>3296</v>
      </c>
      <c r="N1686" t="s">
        <v>3321</v>
      </c>
      <c r="O1686" t="s">
        <v>3322</v>
      </c>
      <c r="P1686" t="s">
        <v>3671</v>
      </c>
      <c r="Q1686" t="s">
        <v>4354</v>
      </c>
      <c r="R1686" t="s">
        <v>7485</v>
      </c>
    </row>
    <row r="1687" spans="1:18" x14ac:dyDescent="0.2">
      <c r="A1687">
        <v>2707016</v>
      </c>
      <c r="B1687" t="s">
        <v>7486</v>
      </c>
      <c r="C1687">
        <v>6</v>
      </c>
      <c r="D1687">
        <v>6</v>
      </c>
      <c r="E1687">
        <v>1</v>
      </c>
      <c r="F1687">
        <v>0</v>
      </c>
      <c r="G1687">
        <v>0</v>
      </c>
      <c r="H1687">
        <v>0</v>
      </c>
      <c r="I1687">
        <v>1</v>
      </c>
      <c r="J1687">
        <v>0</v>
      </c>
      <c r="K1687">
        <v>0</v>
      </c>
      <c r="L1687" t="s">
        <v>3284</v>
      </c>
      <c r="M1687" t="s">
        <v>3296</v>
      </c>
      <c r="N1687" t="s">
        <v>3321</v>
      </c>
      <c r="O1687" t="s">
        <v>3322</v>
      </c>
      <c r="P1687" t="s">
        <v>3271</v>
      </c>
      <c r="Q1687" t="s">
        <v>7487</v>
      </c>
      <c r="R1687" t="s">
        <v>7488</v>
      </c>
    </row>
    <row r="1688" spans="1:18" x14ac:dyDescent="0.2">
      <c r="A1688">
        <v>2705319</v>
      </c>
      <c r="B1688" t="s">
        <v>7489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2</v>
      </c>
      <c r="L1688" t="s">
        <v>3284</v>
      </c>
      <c r="M1688" t="s">
        <v>4022</v>
      </c>
      <c r="N1688" t="s">
        <v>4023</v>
      </c>
      <c r="O1688" t="s">
        <v>6292</v>
      </c>
      <c r="P1688" t="s">
        <v>6293</v>
      </c>
      <c r="Q1688" t="s">
        <v>6294</v>
      </c>
      <c r="R1688" t="s">
        <v>7490</v>
      </c>
    </row>
    <row r="1689" spans="1:18" x14ac:dyDescent="0.2">
      <c r="A1689">
        <v>2704140</v>
      </c>
      <c r="B1689" t="s">
        <v>7491</v>
      </c>
      <c r="C1689">
        <v>0</v>
      </c>
      <c r="D1689">
        <v>0</v>
      </c>
      <c r="E1689">
        <v>0</v>
      </c>
      <c r="F1689">
        <v>1</v>
      </c>
      <c r="G1689">
        <v>0</v>
      </c>
      <c r="H1689">
        <v>0</v>
      </c>
      <c r="I1689">
        <v>0</v>
      </c>
      <c r="J1689">
        <v>0</v>
      </c>
      <c r="K1689">
        <v>0</v>
      </c>
      <c r="L1689" t="s">
        <v>3284</v>
      </c>
      <c r="M1689" t="s">
        <v>3391</v>
      </c>
      <c r="N1689" t="s">
        <v>3411</v>
      </c>
      <c r="O1689" t="s">
        <v>3412</v>
      </c>
      <c r="P1689" t="s">
        <v>3413</v>
      </c>
      <c r="Q1689" t="s">
        <v>3414</v>
      </c>
      <c r="R1689" t="s">
        <v>7492</v>
      </c>
    </row>
    <row r="1690" spans="1:18" x14ac:dyDescent="0.2">
      <c r="A1690">
        <v>2703883</v>
      </c>
      <c r="B1690" t="s">
        <v>7493</v>
      </c>
      <c r="C1690">
        <v>0</v>
      </c>
      <c r="D1690">
        <v>0</v>
      </c>
      <c r="E1690">
        <v>0</v>
      </c>
      <c r="F1690">
        <v>0</v>
      </c>
      <c r="G1690">
        <v>2</v>
      </c>
      <c r="H1690">
        <v>0</v>
      </c>
      <c r="I1690">
        <v>0</v>
      </c>
      <c r="J1690">
        <v>0</v>
      </c>
      <c r="K1690">
        <v>0</v>
      </c>
      <c r="L1690" t="s">
        <v>3284</v>
      </c>
      <c r="M1690" t="s">
        <v>3296</v>
      </c>
      <c r="N1690" t="s">
        <v>3321</v>
      </c>
      <c r="O1690" t="s">
        <v>3322</v>
      </c>
      <c r="P1690" t="s">
        <v>3323</v>
      </c>
      <c r="Q1690" t="s">
        <v>5058</v>
      </c>
      <c r="R1690" t="s">
        <v>7494</v>
      </c>
    </row>
    <row r="1691" spans="1:18" x14ac:dyDescent="0.2">
      <c r="A1691">
        <v>2703882</v>
      </c>
      <c r="B1691" t="s">
        <v>7495</v>
      </c>
      <c r="C1691">
        <v>0</v>
      </c>
      <c r="D1691">
        <v>0</v>
      </c>
      <c r="E1691">
        <v>0</v>
      </c>
      <c r="F1691">
        <v>0</v>
      </c>
      <c r="G1691">
        <v>1</v>
      </c>
      <c r="H1691">
        <v>0</v>
      </c>
      <c r="I1691">
        <v>0</v>
      </c>
      <c r="J1691">
        <v>0</v>
      </c>
      <c r="K1691">
        <v>0</v>
      </c>
      <c r="L1691" t="s">
        <v>3284</v>
      </c>
      <c r="M1691" t="s">
        <v>3296</v>
      </c>
      <c r="N1691" t="s">
        <v>3297</v>
      </c>
      <c r="O1691" t="s">
        <v>3298</v>
      </c>
      <c r="P1691" t="s">
        <v>3299</v>
      </c>
      <c r="Q1691" t="s">
        <v>5622</v>
      </c>
      <c r="R1691" t="s">
        <v>7496</v>
      </c>
    </row>
    <row r="1692" spans="1:18" x14ac:dyDescent="0.2">
      <c r="A1692">
        <v>2703793</v>
      </c>
      <c r="B1692" t="s">
        <v>7497</v>
      </c>
      <c r="C1692">
        <v>1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1</v>
      </c>
      <c r="L1692" t="s">
        <v>3284</v>
      </c>
      <c r="M1692" t="s">
        <v>3296</v>
      </c>
      <c r="N1692" t="s">
        <v>3297</v>
      </c>
      <c r="O1692" t="s">
        <v>3298</v>
      </c>
      <c r="P1692" t="s">
        <v>3299</v>
      </c>
      <c r="Q1692" t="s">
        <v>3300</v>
      </c>
      <c r="R1692" t="s">
        <v>7498</v>
      </c>
    </row>
    <row r="1693" spans="1:18" x14ac:dyDescent="0.2">
      <c r="A1693">
        <v>2699468</v>
      </c>
      <c r="B1693" t="s">
        <v>7499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1</v>
      </c>
      <c r="J1693">
        <v>0</v>
      </c>
      <c r="K1693">
        <v>0</v>
      </c>
      <c r="L1693" t="s">
        <v>3284</v>
      </c>
      <c r="M1693" t="s">
        <v>3296</v>
      </c>
      <c r="N1693" t="s">
        <v>3321</v>
      </c>
      <c r="O1693" t="s">
        <v>3322</v>
      </c>
      <c r="P1693" t="s">
        <v>3398</v>
      </c>
      <c r="Q1693" t="s">
        <v>3556</v>
      </c>
      <c r="R1693" t="s">
        <v>7500</v>
      </c>
    </row>
    <row r="1694" spans="1:18" x14ac:dyDescent="0.2">
      <c r="A1694">
        <v>2699202</v>
      </c>
      <c r="B1694" t="s">
        <v>7501</v>
      </c>
      <c r="C1694">
        <v>3</v>
      </c>
      <c r="D1694">
        <v>4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 t="s">
        <v>3284</v>
      </c>
      <c r="M1694" t="s">
        <v>3296</v>
      </c>
      <c r="N1694" t="s">
        <v>3343</v>
      </c>
      <c r="O1694" t="s">
        <v>3371</v>
      </c>
      <c r="P1694" t="s">
        <v>3688</v>
      </c>
      <c r="Q1694" t="s">
        <v>7502</v>
      </c>
      <c r="R1694" t="s">
        <v>7503</v>
      </c>
    </row>
    <row r="1695" spans="1:18" x14ac:dyDescent="0.2">
      <c r="A1695">
        <v>2698832</v>
      </c>
      <c r="B1695" t="s">
        <v>7504</v>
      </c>
      <c r="C1695">
        <v>9</v>
      </c>
      <c r="D1695">
        <v>3</v>
      </c>
      <c r="E1695">
        <v>5</v>
      </c>
      <c r="F1695">
        <v>0</v>
      </c>
      <c r="G1695">
        <v>0</v>
      </c>
      <c r="H1695">
        <v>0</v>
      </c>
      <c r="I1695">
        <v>0</v>
      </c>
      <c r="J1695">
        <v>1</v>
      </c>
      <c r="K1695">
        <v>0</v>
      </c>
      <c r="L1695" t="s">
        <v>3284</v>
      </c>
      <c r="M1695" t="s">
        <v>3327</v>
      </c>
      <c r="N1695" t="s">
        <v>3328</v>
      </c>
      <c r="O1695" t="s">
        <v>3329</v>
      </c>
      <c r="P1695" t="s">
        <v>3330</v>
      </c>
      <c r="Q1695" t="s">
        <v>3331</v>
      </c>
      <c r="R1695" t="s">
        <v>7505</v>
      </c>
    </row>
    <row r="1696" spans="1:18" x14ac:dyDescent="0.2">
      <c r="A1696">
        <v>2698831</v>
      </c>
      <c r="B1696" t="s">
        <v>7506</v>
      </c>
      <c r="C1696">
        <v>8</v>
      </c>
      <c r="D1696">
        <v>3</v>
      </c>
      <c r="E1696">
        <v>4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 t="s">
        <v>3284</v>
      </c>
      <c r="M1696" t="s">
        <v>3327</v>
      </c>
      <c r="N1696" t="s">
        <v>3328</v>
      </c>
      <c r="O1696" t="s">
        <v>3329</v>
      </c>
      <c r="P1696" t="s">
        <v>3330</v>
      </c>
      <c r="Q1696" t="s">
        <v>3331</v>
      </c>
      <c r="R1696" t="s">
        <v>7507</v>
      </c>
    </row>
    <row r="1697" spans="1:18" x14ac:dyDescent="0.2">
      <c r="A1697">
        <v>2698826</v>
      </c>
      <c r="B1697" t="s">
        <v>7508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1</v>
      </c>
      <c r="L1697" t="s">
        <v>3284</v>
      </c>
      <c r="M1697" t="s">
        <v>3296</v>
      </c>
      <c r="N1697" t="s">
        <v>3343</v>
      </c>
      <c r="O1697" t="s">
        <v>3344</v>
      </c>
      <c r="P1697" t="s">
        <v>3937</v>
      </c>
      <c r="Q1697" t="s">
        <v>3938</v>
      </c>
      <c r="R1697" t="s">
        <v>7509</v>
      </c>
    </row>
    <row r="1698" spans="1:18" x14ac:dyDescent="0.2">
      <c r="A1698">
        <v>2697032</v>
      </c>
      <c r="B1698" t="s">
        <v>7510</v>
      </c>
      <c r="C1698">
        <v>1</v>
      </c>
      <c r="D1698">
        <v>0</v>
      </c>
      <c r="E1698">
        <v>0</v>
      </c>
      <c r="F1698">
        <v>8</v>
      </c>
      <c r="G1698">
        <v>4</v>
      </c>
      <c r="H1698">
        <v>1</v>
      </c>
      <c r="I1698">
        <v>0</v>
      </c>
      <c r="J1698">
        <v>0</v>
      </c>
      <c r="K1698">
        <v>0</v>
      </c>
      <c r="L1698" t="s">
        <v>3284</v>
      </c>
      <c r="M1698" t="s">
        <v>3296</v>
      </c>
      <c r="N1698" t="s">
        <v>3321</v>
      </c>
      <c r="O1698" t="s">
        <v>3322</v>
      </c>
      <c r="P1698" t="s">
        <v>3271</v>
      </c>
      <c r="Q1698" t="s">
        <v>4474</v>
      </c>
      <c r="R1698" t="s">
        <v>7511</v>
      </c>
    </row>
    <row r="1699" spans="1:18" x14ac:dyDescent="0.2">
      <c r="A1699">
        <v>2697030</v>
      </c>
      <c r="B1699" t="s">
        <v>7512</v>
      </c>
      <c r="C1699">
        <v>1</v>
      </c>
      <c r="D1699">
        <v>1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 t="s">
        <v>3284</v>
      </c>
      <c r="M1699" t="s">
        <v>3327</v>
      </c>
      <c r="N1699" t="s">
        <v>3328</v>
      </c>
      <c r="O1699" t="s">
        <v>4184</v>
      </c>
      <c r="P1699" t="s">
        <v>7513</v>
      </c>
      <c r="Q1699" t="s">
        <v>7514</v>
      </c>
      <c r="R1699" t="s">
        <v>7515</v>
      </c>
    </row>
    <row r="1700" spans="1:18" x14ac:dyDescent="0.2">
      <c r="A1700">
        <v>2697027</v>
      </c>
      <c r="B1700" t="s">
        <v>7516</v>
      </c>
      <c r="C1700">
        <v>1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 t="s">
        <v>3284</v>
      </c>
      <c r="M1700" t="s">
        <v>3296</v>
      </c>
      <c r="N1700" t="s">
        <v>3297</v>
      </c>
      <c r="O1700" t="s">
        <v>3298</v>
      </c>
      <c r="P1700" t="s">
        <v>7517</v>
      </c>
      <c r="Q1700" t="s">
        <v>7518</v>
      </c>
      <c r="R1700" t="s">
        <v>7519</v>
      </c>
    </row>
    <row r="1701" spans="1:18" x14ac:dyDescent="0.2">
      <c r="A1701">
        <v>2697024</v>
      </c>
      <c r="B1701" t="s">
        <v>7520</v>
      </c>
      <c r="C1701">
        <v>0</v>
      </c>
      <c r="D1701">
        <v>0</v>
      </c>
      <c r="E1701">
        <v>0</v>
      </c>
      <c r="F1701">
        <v>0</v>
      </c>
      <c r="G1701">
        <v>1</v>
      </c>
      <c r="H1701">
        <v>0</v>
      </c>
      <c r="I1701">
        <v>0</v>
      </c>
      <c r="J1701">
        <v>0</v>
      </c>
      <c r="K1701">
        <v>0</v>
      </c>
      <c r="L1701" t="s">
        <v>3284</v>
      </c>
      <c r="M1701" t="s">
        <v>3296</v>
      </c>
      <c r="N1701" t="s">
        <v>3321</v>
      </c>
      <c r="O1701" t="s">
        <v>3322</v>
      </c>
      <c r="P1701" t="s">
        <v>4143</v>
      </c>
      <c r="Q1701" t="s">
        <v>7521</v>
      </c>
      <c r="R1701" t="s">
        <v>7522</v>
      </c>
    </row>
    <row r="1702" spans="1:18" x14ac:dyDescent="0.2">
      <c r="A1702">
        <v>2696467</v>
      </c>
      <c r="B1702" t="s">
        <v>7523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</v>
      </c>
      <c r="J1702">
        <v>0</v>
      </c>
      <c r="K1702">
        <v>0</v>
      </c>
      <c r="L1702" t="s">
        <v>3284</v>
      </c>
      <c r="M1702" t="s">
        <v>3296</v>
      </c>
      <c r="N1702" t="s">
        <v>3343</v>
      </c>
      <c r="O1702" t="s">
        <v>3344</v>
      </c>
      <c r="P1702" t="s">
        <v>3898</v>
      </c>
      <c r="Q1702" t="s">
        <v>7524</v>
      </c>
      <c r="R1702" t="s">
        <v>7525</v>
      </c>
    </row>
    <row r="1703" spans="1:18" x14ac:dyDescent="0.2">
      <c r="A1703">
        <v>2696063</v>
      </c>
      <c r="B1703" t="s">
        <v>7526</v>
      </c>
      <c r="C1703">
        <v>1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 t="s">
        <v>3284</v>
      </c>
      <c r="M1703" t="s">
        <v>3327</v>
      </c>
      <c r="N1703" t="s">
        <v>3328</v>
      </c>
      <c r="O1703" t="s">
        <v>4017</v>
      </c>
      <c r="P1703" t="s">
        <v>4018</v>
      </c>
      <c r="Q1703" t="s">
        <v>4507</v>
      </c>
      <c r="R1703" t="s">
        <v>7527</v>
      </c>
    </row>
    <row r="1704" spans="1:18" x14ac:dyDescent="0.2">
      <c r="A1704">
        <v>2695856</v>
      </c>
      <c r="B1704" t="s">
        <v>7528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1</v>
      </c>
      <c r="J1704">
        <v>0</v>
      </c>
      <c r="K1704">
        <v>0</v>
      </c>
      <c r="L1704" t="s">
        <v>3284</v>
      </c>
      <c r="M1704" t="s">
        <v>3296</v>
      </c>
      <c r="N1704" t="s">
        <v>3297</v>
      </c>
      <c r="O1704" t="s">
        <v>7529</v>
      </c>
      <c r="P1704" t="s">
        <v>7530</v>
      </c>
      <c r="Q1704" t="s">
        <v>7531</v>
      </c>
      <c r="R1704" t="s">
        <v>7532</v>
      </c>
    </row>
    <row r="1705" spans="1:18" x14ac:dyDescent="0.2">
      <c r="A1705">
        <v>2695275</v>
      </c>
      <c r="B1705" t="s">
        <v>7533</v>
      </c>
      <c r="C1705">
        <v>0</v>
      </c>
      <c r="D1705">
        <v>0</v>
      </c>
      <c r="E1705">
        <v>0</v>
      </c>
      <c r="F1705">
        <v>3</v>
      </c>
      <c r="G1705">
        <v>0</v>
      </c>
      <c r="H1705">
        <v>0</v>
      </c>
      <c r="I1705">
        <v>0</v>
      </c>
      <c r="J1705">
        <v>0</v>
      </c>
      <c r="K1705">
        <v>0</v>
      </c>
      <c r="L1705" t="s">
        <v>3284</v>
      </c>
      <c r="M1705" t="s">
        <v>3391</v>
      </c>
      <c r="N1705" t="s">
        <v>3392</v>
      </c>
      <c r="O1705" t="s">
        <v>3393</v>
      </c>
      <c r="P1705" t="s">
        <v>3394</v>
      </c>
      <c r="Q1705" t="s">
        <v>7534</v>
      </c>
      <c r="R1705" t="s">
        <v>7535</v>
      </c>
    </row>
    <row r="1706" spans="1:18" x14ac:dyDescent="0.2">
      <c r="A1706">
        <v>2695274</v>
      </c>
      <c r="B1706" t="s">
        <v>7536</v>
      </c>
      <c r="C1706">
        <v>0</v>
      </c>
      <c r="D1706">
        <v>1</v>
      </c>
      <c r="E1706">
        <v>0</v>
      </c>
      <c r="F1706">
        <v>2</v>
      </c>
      <c r="G1706">
        <v>1</v>
      </c>
      <c r="H1706">
        <v>0</v>
      </c>
      <c r="I1706">
        <v>0</v>
      </c>
      <c r="J1706">
        <v>0</v>
      </c>
      <c r="K1706">
        <v>0</v>
      </c>
      <c r="L1706" t="s">
        <v>3284</v>
      </c>
      <c r="M1706" t="s">
        <v>3391</v>
      </c>
      <c r="N1706" t="s">
        <v>3392</v>
      </c>
      <c r="O1706" t="s">
        <v>3393</v>
      </c>
      <c r="P1706" t="s">
        <v>3394</v>
      </c>
      <c r="Q1706" t="s">
        <v>7534</v>
      </c>
      <c r="R1706" t="s">
        <v>7537</v>
      </c>
    </row>
    <row r="1707" spans="1:18" x14ac:dyDescent="0.2">
      <c r="A1707">
        <v>2695265</v>
      </c>
      <c r="B1707" t="s">
        <v>7538</v>
      </c>
      <c r="C1707">
        <v>0</v>
      </c>
      <c r="D1707">
        <v>0</v>
      </c>
      <c r="E1707">
        <v>0</v>
      </c>
      <c r="F1707">
        <v>1</v>
      </c>
      <c r="G1707">
        <v>3</v>
      </c>
      <c r="H1707">
        <v>0</v>
      </c>
      <c r="I1707">
        <v>0</v>
      </c>
      <c r="J1707">
        <v>0</v>
      </c>
      <c r="K1707">
        <v>0</v>
      </c>
      <c r="L1707" t="s">
        <v>3284</v>
      </c>
      <c r="M1707" t="s">
        <v>3391</v>
      </c>
      <c r="N1707" t="s">
        <v>3392</v>
      </c>
      <c r="O1707" t="s">
        <v>3393</v>
      </c>
      <c r="P1707" t="s">
        <v>3394</v>
      </c>
      <c r="Q1707" t="s">
        <v>4082</v>
      </c>
      <c r="R1707" t="s">
        <v>7539</v>
      </c>
    </row>
    <row r="1708" spans="1:18" x14ac:dyDescent="0.2">
      <c r="A1708">
        <v>2692847</v>
      </c>
      <c r="B1708" t="s">
        <v>7540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1</v>
      </c>
      <c r="I1708">
        <v>0</v>
      </c>
      <c r="J1708">
        <v>0</v>
      </c>
      <c r="K1708">
        <v>0</v>
      </c>
      <c r="L1708" t="s">
        <v>3284</v>
      </c>
      <c r="M1708" t="s">
        <v>4022</v>
      </c>
      <c r="N1708" t="s">
        <v>4023</v>
      </c>
      <c r="O1708" t="s">
        <v>6292</v>
      </c>
      <c r="P1708" t="s">
        <v>7541</v>
      </c>
      <c r="Q1708" t="s">
        <v>7542</v>
      </c>
      <c r="R1708" t="s">
        <v>7543</v>
      </c>
    </row>
    <row r="1709" spans="1:18" x14ac:dyDescent="0.2">
      <c r="A1709">
        <v>2692834</v>
      </c>
      <c r="B1709" t="s">
        <v>7544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1</v>
      </c>
      <c r="J1709">
        <v>0</v>
      </c>
      <c r="K1709">
        <v>0</v>
      </c>
      <c r="L1709" t="s">
        <v>3284</v>
      </c>
      <c r="M1709" t="s">
        <v>4022</v>
      </c>
      <c r="N1709" t="s">
        <v>4023</v>
      </c>
      <c r="O1709" t="s">
        <v>4289</v>
      </c>
      <c r="P1709" t="s">
        <v>4563</v>
      </c>
      <c r="Q1709" t="s">
        <v>4564</v>
      </c>
      <c r="R1709" t="s">
        <v>7545</v>
      </c>
    </row>
    <row r="1710" spans="1:18" x14ac:dyDescent="0.2">
      <c r="A1710">
        <v>2692830</v>
      </c>
      <c r="B1710" t="s">
        <v>7546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1</v>
      </c>
      <c r="J1710">
        <v>0</v>
      </c>
      <c r="K1710">
        <v>0</v>
      </c>
      <c r="L1710" t="s">
        <v>3284</v>
      </c>
      <c r="M1710" t="s">
        <v>4022</v>
      </c>
      <c r="N1710" t="s">
        <v>4023</v>
      </c>
      <c r="O1710" t="s">
        <v>6292</v>
      </c>
      <c r="P1710" t="s">
        <v>6293</v>
      </c>
      <c r="Q1710" t="s">
        <v>6294</v>
      </c>
      <c r="R1710" t="s">
        <v>7547</v>
      </c>
    </row>
    <row r="1711" spans="1:18" x14ac:dyDescent="0.2">
      <c r="A1711">
        <v>2692806</v>
      </c>
      <c r="B1711" t="s">
        <v>7548</v>
      </c>
      <c r="C1711">
        <v>0</v>
      </c>
      <c r="D1711">
        <v>1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 t="s">
        <v>3284</v>
      </c>
      <c r="M1711" t="s">
        <v>4022</v>
      </c>
      <c r="N1711" t="s">
        <v>4023</v>
      </c>
      <c r="O1711" t="s">
        <v>5900</v>
      </c>
      <c r="P1711" t="s">
        <v>5901</v>
      </c>
      <c r="Q1711" t="s">
        <v>6989</v>
      </c>
      <c r="R1711" t="s">
        <v>7549</v>
      </c>
    </row>
    <row r="1712" spans="1:18" x14ac:dyDescent="0.2">
      <c r="A1712">
        <v>2692626</v>
      </c>
      <c r="B1712" t="s">
        <v>7550</v>
      </c>
      <c r="C1712">
        <v>0</v>
      </c>
      <c r="D1712">
        <v>0</v>
      </c>
      <c r="E1712">
        <v>1</v>
      </c>
      <c r="F1712">
        <v>0</v>
      </c>
      <c r="G1712">
        <v>0</v>
      </c>
      <c r="H1712">
        <v>0</v>
      </c>
      <c r="I1712">
        <v>0</v>
      </c>
      <c r="J1712">
        <v>1</v>
      </c>
      <c r="K1712">
        <v>0</v>
      </c>
      <c r="L1712" t="s">
        <v>3284</v>
      </c>
      <c r="M1712" t="s">
        <v>3296</v>
      </c>
      <c r="N1712" t="s">
        <v>3297</v>
      </c>
      <c r="O1712" t="s">
        <v>7551</v>
      </c>
      <c r="P1712" t="s">
        <v>7552</v>
      </c>
      <c r="Q1712" t="s">
        <v>7553</v>
      </c>
      <c r="R1712" t="s">
        <v>7554</v>
      </c>
    </row>
    <row r="1713" spans="1:18" x14ac:dyDescent="0.2">
      <c r="A1713">
        <v>2692619</v>
      </c>
      <c r="B1713" t="s">
        <v>7555</v>
      </c>
      <c r="C1713">
        <v>0</v>
      </c>
      <c r="D1713">
        <v>0</v>
      </c>
      <c r="E1713">
        <v>0</v>
      </c>
      <c r="F1713">
        <v>2</v>
      </c>
      <c r="G1713">
        <v>1</v>
      </c>
      <c r="H1713">
        <v>0</v>
      </c>
      <c r="I1713">
        <v>0</v>
      </c>
      <c r="J1713">
        <v>0</v>
      </c>
      <c r="K1713">
        <v>0</v>
      </c>
      <c r="L1713" t="s">
        <v>3284</v>
      </c>
      <c r="M1713" t="s">
        <v>3296</v>
      </c>
      <c r="N1713" t="s">
        <v>3343</v>
      </c>
      <c r="O1713" t="s">
        <v>3349</v>
      </c>
      <c r="P1713" t="s">
        <v>3350</v>
      </c>
      <c r="Q1713" t="s">
        <v>3351</v>
      </c>
      <c r="R1713" t="s">
        <v>7556</v>
      </c>
    </row>
    <row r="1714" spans="1:18" x14ac:dyDescent="0.2">
      <c r="A1714">
        <v>2692318</v>
      </c>
      <c r="B1714" t="s">
        <v>7557</v>
      </c>
      <c r="C1714">
        <v>0</v>
      </c>
      <c r="D1714">
        <v>1</v>
      </c>
      <c r="E1714">
        <v>0</v>
      </c>
      <c r="F1714">
        <v>0</v>
      </c>
      <c r="G1714">
        <v>2</v>
      </c>
      <c r="H1714">
        <v>0</v>
      </c>
      <c r="I1714">
        <v>0</v>
      </c>
      <c r="J1714">
        <v>0</v>
      </c>
      <c r="K1714">
        <v>0</v>
      </c>
      <c r="L1714" t="s">
        <v>3284</v>
      </c>
      <c r="M1714" t="s">
        <v>3391</v>
      </c>
      <c r="N1714" t="s">
        <v>3411</v>
      </c>
      <c r="O1714" t="s">
        <v>3412</v>
      </c>
      <c r="P1714" t="s">
        <v>3413</v>
      </c>
      <c r="Q1714" t="s">
        <v>3414</v>
      </c>
      <c r="R1714" t="s">
        <v>7558</v>
      </c>
    </row>
    <row r="1715" spans="1:18" x14ac:dyDescent="0.2">
      <c r="A1715">
        <v>2692212</v>
      </c>
      <c r="B1715" t="s">
        <v>7559</v>
      </c>
      <c r="C1715">
        <v>0</v>
      </c>
      <c r="D1715">
        <v>0</v>
      </c>
      <c r="E1715">
        <v>0</v>
      </c>
      <c r="F1715">
        <v>1</v>
      </c>
      <c r="G1715">
        <v>3</v>
      </c>
      <c r="H1715">
        <v>0</v>
      </c>
      <c r="I1715">
        <v>0</v>
      </c>
      <c r="J1715">
        <v>0</v>
      </c>
      <c r="K1715">
        <v>0</v>
      </c>
      <c r="L1715" t="s">
        <v>3284</v>
      </c>
      <c r="M1715" t="s">
        <v>3391</v>
      </c>
      <c r="N1715" t="s">
        <v>3411</v>
      </c>
      <c r="O1715" t="s">
        <v>3412</v>
      </c>
      <c r="P1715" t="s">
        <v>3413</v>
      </c>
      <c r="Q1715" t="s">
        <v>3414</v>
      </c>
      <c r="R1715" t="s">
        <v>7560</v>
      </c>
    </row>
    <row r="1716" spans="1:18" x14ac:dyDescent="0.2">
      <c r="A1716">
        <v>2692194</v>
      </c>
      <c r="B1716" t="s">
        <v>7561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2</v>
      </c>
      <c r="J1716">
        <v>0</v>
      </c>
      <c r="K1716">
        <v>4</v>
      </c>
      <c r="L1716" t="s">
        <v>3284</v>
      </c>
      <c r="M1716" t="s">
        <v>3296</v>
      </c>
      <c r="N1716" t="s">
        <v>3321</v>
      </c>
      <c r="O1716" t="s">
        <v>3322</v>
      </c>
      <c r="P1716" t="s">
        <v>3398</v>
      </c>
      <c r="Q1716" t="s">
        <v>3439</v>
      </c>
      <c r="R1716" t="s">
        <v>7562</v>
      </c>
    </row>
    <row r="1717" spans="1:18" x14ac:dyDescent="0.2">
      <c r="A1717">
        <v>2692175</v>
      </c>
      <c r="B1717" t="s">
        <v>7563</v>
      </c>
      <c r="C1717">
        <v>0</v>
      </c>
      <c r="D1717">
        <v>0</v>
      </c>
      <c r="E1717">
        <v>0</v>
      </c>
      <c r="F1717">
        <v>1</v>
      </c>
      <c r="G1717">
        <v>0</v>
      </c>
      <c r="H1717">
        <v>0</v>
      </c>
      <c r="I1717">
        <v>0</v>
      </c>
      <c r="J1717">
        <v>0</v>
      </c>
      <c r="K1717">
        <v>0</v>
      </c>
      <c r="L1717" t="s">
        <v>3284</v>
      </c>
      <c r="M1717" t="s">
        <v>3296</v>
      </c>
      <c r="N1717" t="s">
        <v>3321</v>
      </c>
      <c r="O1717" t="s">
        <v>3322</v>
      </c>
      <c r="P1717" t="s">
        <v>3323</v>
      </c>
      <c r="Q1717" t="s">
        <v>5058</v>
      </c>
      <c r="R1717" t="s">
        <v>7564</v>
      </c>
    </row>
    <row r="1718" spans="1:18" x14ac:dyDescent="0.2">
      <c r="A1718">
        <v>2692172</v>
      </c>
      <c r="B1718" t="s">
        <v>7565</v>
      </c>
      <c r="C1718">
        <v>0</v>
      </c>
      <c r="D1718">
        <v>0</v>
      </c>
      <c r="E1718">
        <v>0</v>
      </c>
      <c r="F1718">
        <v>0</v>
      </c>
      <c r="G1718">
        <v>1</v>
      </c>
      <c r="H1718">
        <v>0</v>
      </c>
      <c r="I1718">
        <v>0</v>
      </c>
      <c r="J1718">
        <v>0</v>
      </c>
      <c r="K1718">
        <v>0</v>
      </c>
      <c r="L1718" t="s">
        <v>3284</v>
      </c>
      <c r="M1718" t="s">
        <v>3296</v>
      </c>
      <c r="N1718" t="s">
        <v>3321</v>
      </c>
      <c r="O1718" t="s">
        <v>3322</v>
      </c>
      <c r="P1718" t="s">
        <v>3323</v>
      </c>
      <c r="Q1718" t="s">
        <v>5058</v>
      </c>
      <c r="R1718" t="s">
        <v>7566</v>
      </c>
    </row>
    <row r="1719" spans="1:18" x14ac:dyDescent="0.2">
      <c r="A1719">
        <v>2692170</v>
      </c>
      <c r="B1719" t="s">
        <v>7567</v>
      </c>
      <c r="C1719">
        <v>0</v>
      </c>
      <c r="D1719">
        <v>0</v>
      </c>
      <c r="E1719">
        <v>0</v>
      </c>
      <c r="F1719">
        <v>2</v>
      </c>
      <c r="G1719">
        <v>2</v>
      </c>
      <c r="H1719">
        <v>0</v>
      </c>
      <c r="I1719">
        <v>0</v>
      </c>
      <c r="J1719">
        <v>0</v>
      </c>
      <c r="K1719">
        <v>0</v>
      </c>
      <c r="L1719" t="s">
        <v>3284</v>
      </c>
      <c r="M1719" t="s">
        <v>3296</v>
      </c>
      <c r="N1719" t="s">
        <v>3321</v>
      </c>
      <c r="O1719" t="s">
        <v>3322</v>
      </c>
      <c r="P1719" t="s">
        <v>3323</v>
      </c>
      <c r="Q1719" t="s">
        <v>5058</v>
      </c>
      <c r="R1719" t="s">
        <v>7568</v>
      </c>
    </row>
    <row r="1720" spans="1:18" x14ac:dyDescent="0.2">
      <c r="A1720">
        <v>2692166</v>
      </c>
      <c r="B1720" t="s">
        <v>7569</v>
      </c>
      <c r="C1720">
        <v>0</v>
      </c>
      <c r="D1720">
        <v>0</v>
      </c>
      <c r="E1720">
        <v>0</v>
      </c>
      <c r="F1720">
        <v>1</v>
      </c>
      <c r="G1720">
        <v>0</v>
      </c>
      <c r="H1720">
        <v>0</v>
      </c>
      <c r="I1720">
        <v>0</v>
      </c>
      <c r="J1720">
        <v>0</v>
      </c>
      <c r="K1720">
        <v>0</v>
      </c>
      <c r="L1720" t="s">
        <v>3284</v>
      </c>
      <c r="M1720" t="s">
        <v>3296</v>
      </c>
      <c r="N1720" t="s">
        <v>3321</v>
      </c>
      <c r="O1720" t="s">
        <v>3322</v>
      </c>
      <c r="P1720" t="s">
        <v>3323</v>
      </c>
      <c r="Q1720" t="s">
        <v>5058</v>
      </c>
      <c r="R1720" t="s">
        <v>7570</v>
      </c>
    </row>
    <row r="1721" spans="1:18" x14ac:dyDescent="0.2">
      <c r="A1721">
        <v>2691959</v>
      </c>
      <c r="B1721" t="s">
        <v>7571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1</v>
      </c>
      <c r="J1721">
        <v>0</v>
      </c>
      <c r="K1721">
        <v>0</v>
      </c>
      <c r="L1721" t="s">
        <v>3284</v>
      </c>
      <c r="M1721" t="s">
        <v>3307</v>
      </c>
      <c r="N1721" t="s">
        <v>3308</v>
      </c>
      <c r="O1721" t="s">
        <v>3309</v>
      </c>
      <c r="P1721" t="s">
        <v>3310</v>
      </c>
      <c r="Q1721" t="s">
        <v>3311</v>
      </c>
      <c r="R1721" t="s">
        <v>7572</v>
      </c>
    </row>
    <row r="1722" spans="1:18" x14ac:dyDescent="0.2">
      <c r="A1722">
        <v>2691571</v>
      </c>
      <c r="B1722" t="s">
        <v>7573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1</v>
      </c>
      <c r="I1722">
        <v>4</v>
      </c>
      <c r="J1722">
        <v>1</v>
      </c>
      <c r="K1722">
        <v>0</v>
      </c>
      <c r="L1722" t="s">
        <v>3284</v>
      </c>
      <c r="M1722" t="s">
        <v>3296</v>
      </c>
      <c r="N1722" t="s">
        <v>3297</v>
      </c>
      <c r="O1722" t="s">
        <v>3469</v>
      </c>
      <c r="P1722" t="s">
        <v>3470</v>
      </c>
      <c r="Q1722" t="s">
        <v>3471</v>
      </c>
      <c r="R1722" t="s">
        <v>7574</v>
      </c>
    </row>
    <row r="1723" spans="1:18" x14ac:dyDescent="0.2">
      <c r="A1723">
        <v>2689107</v>
      </c>
      <c r="B1723" t="s">
        <v>7575</v>
      </c>
      <c r="C1723">
        <v>1</v>
      </c>
      <c r="D1723">
        <v>1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 t="s">
        <v>3284</v>
      </c>
      <c r="M1723" t="s">
        <v>3296</v>
      </c>
      <c r="N1723" t="s">
        <v>3321</v>
      </c>
      <c r="O1723" t="s">
        <v>3322</v>
      </c>
      <c r="P1723" t="s">
        <v>3423</v>
      </c>
      <c r="Q1723" t="s">
        <v>4394</v>
      </c>
      <c r="R1723" t="s">
        <v>7576</v>
      </c>
    </row>
    <row r="1724" spans="1:18" x14ac:dyDescent="0.2">
      <c r="A1724">
        <v>2689103</v>
      </c>
      <c r="B1724" t="s">
        <v>7577</v>
      </c>
      <c r="C1724">
        <v>1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 t="s">
        <v>3284</v>
      </c>
      <c r="M1724" t="s">
        <v>3296</v>
      </c>
      <c r="N1724" t="s">
        <v>3321</v>
      </c>
      <c r="O1724" t="s">
        <v>3322</v>
      </c>
      <c r="P1724" t="s">
        <v>3423</v>
      </c>
      <c r="Q1724" t="s">
        <v>4394</v>
      </c>
      <c r="R1724" t="s">
        <v>7578</v>
      </c>
    </row>
    <row r="1725" spans="1:18" x14ac:dyDescent="0.2">
      <c r="A1725">
        <v>2689102</v>
      </c>
      <c r="B1725" t="s">
        <v>7579</v>
      </c>
      <c r="C1725">
        <v>0</v>
      </c>
      <c r="D1725">
        <v>0</v>
      </c>
      <c r="E1725">
        <v>1</v>
      </c>
      <c r="F1725">
        <v>0</v>
      </c>
      <c r="G1725">
        <v>0</v>
      </c>
      <c r="H1725">
        <v>0</v>
      </c>
      <c r="I1725">
        <v>1</v>
      </c>
      <c r="J1725">
        <v>0</v>
      </c>
      <c r="K1725">
        <v>0</v>
      </c>
      <c r="L1725" t="s">
        <v>3284</v>
      </c>
      <c r="M1725" t="s">
        <v>3296</v>
      </c>
      <c r="N1725" t="s">
        <v>3321</v>
      </c>
      <c r="O1725" t="s">
        <v>3322</v>
      </c>
      <c r="P1725" t="s">
        <v>3423</v>
      </c>
      <c r="Q1725" t="s">
        <v>4394</v>
      </c>
      <c r="R1725" t="s">
        <v>7580</v>
      </c>
    </row>
    <row r="1726" spans="1:18" x14ac:dyDescent="0.2">
      <c r="A1726">
        <v>2689101</v>
      </c>
      <c r="B1726" t="s">
        <v>7581</v>
      </c>
      <c r="C1726">
        <v>1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3</v>
      </c>
      <c r="J1726">
        <v>3</v>
      </c>
      <c r="K1726">
        <v>1</v>
      </c>
      <c r="L1726" t="s">
        <v>3284</v>
      </c>
      <c r="M1726" t="s">
        <v>3296</v>
      </c>
      <c r="N1726" t="s">
        <v>3321</v>
      </c>
      <c r="O1726" t="s">
        <v>3322</v>
      </c>
      <c r="P1726" t="s">
        <v>3423</v>
      </c>
      <c r="Q1726" t="s">
        <v>4394</v>
      </c>
      <c r="R1726" t="s">
        <v>7582</v>
      </c>
    </row>
    <row r="1727" spans="1:18" x14ac:dyDescent="0.2">
      <c r="A1727">
        <v>2689098</v>
      </c>
      <c r="B1727" t="s">
        <v>7583</v>
      </c>
      <c r="C1727">
        <v>1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 t="s">
        <v>3284</v>
      </c>
      <c r="M1727" t="s">
        <v>3296</v>
      </c>
      <c r="N1727" t="s">
        <v>3321</v>
      </c>
      <c r="O1727" t="s">
        <v>3322</v>
      </c>
      <c r="P1727" t="s">
        <v>3423</v>
      </c>
      <c r="Q1727" t="s">
        <v>4394</v>
      </c>
      <c r="R1727" t="s">
        <v>7584</v>
      </c>
    </row>
    <row r="1728" spans="1:18" x14ac:dyDescent="0.2">
      <c r="A1728">
        <v>2689097</v>
      </c>
      <c r="B1728" t="s">
        <v>7585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1</v>
      </c>
      <c r="J1728">
        <v>0</v>
      </c>
      <c r="K1728">
        <v>0</v>
      </c>
      <c r="L1728" t="s">
        <v>3284</v>
      </c>
      <c r="M1728" t="s">
        <v>3296</v>
      </c>
      <c r="N1728" t="s">
        <v>3321</v>
      </c>
      <c r="O1728" t="s">
        <v>3322</v>
      </c>
      <c r="P1728" t="s">
        <v>3423</v>
      </c>
      <c r="Q1728" t="s">
        <v>4394</v>
      </c>
      <c r="R1728" t="s">
        <v>7586</v>
      </c>
    </row>
    <row r="1729" spans="1:18" x14ac:dyDescent="0.2">
      <c r="A1729">
        <v>2689095</v>
      </c>
      <c r="B1729" t="s">
        <v>7587</v>
      </c>
      <c r="C1729">
        <v>1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 t="s">
        <v>3284</v>
      </c>
      <c r="M1729" t="s">
        <v>3296</v>
      </c>
      <c r="N1729" t="s">
        <v>3321</v>
      </c>
      <c r="O1729" t="s">
        <v>3322</v>
      </c>
      <c r="P1729" t="s">
        <v>3423</v>
      </c>
      <c r="Q1729" t="s">
        <v>4394</v>
      </c>
      <c r="R1729" t="s">
        <v>7588</v>
      </c>
    </row>
    <row r="1730" spans="1:18" x14ac:dyDescent="0.2">
      <c r="A1730">
        <v>2689094</v>
      </c>
      <c r="B1730" t="s">
        <v>7589</v>
      </c>
      <c r="C1730">
        <v>1</v>
      </c>
      <c r="D1730">
        <v>0</v>
      </c>
      <c r="E1730">
        <v>1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 t="s">
        <v>3284</v>
      </c>
      <c r="M1730" t="s">
        <v>3296</v>
      </c>
      <c r="N1730" t="s">
        <v>3321</v>
      </c>
      <c r="O1730" t="s">
        <v>3322</v>
      </c>
      <c r="P1730" t="s">
        <v>3423</v>
      </c>
      <c r="Q1730" t="s">
        <v>4394</v>
      </c>
      <c r="R1730" t="s">
        <v>7590</v>
      </c>
    </row>
    <row r="1731" spans="1:18" x14ac:dyDescent="0.2">
      <c r="A1731">
        <v>2687306</v>
      </c>
      <c r="B1731" t="s">
        <v>7591</v>
      </c>
      <c r="C1731">
        <v>0</v>
      </c>
      <c r="D1731">
        <v>0</v>
      </c>
      <c r="E1731">
        <v>0</v>
      </c>
      <c r="F1731">
        <v>1</v>
      </c>
      <c r="G1731">
        <v>0</v>
      </c>
      <c r="H1731">
        <v>0</v>
      </c>
      <c r="I1731">
        <v>0</v>
      </c>
      <c r="J1731">
        <v>0</v>
      </c>
      <c r="K1731">
        <v>0</v>
      </c>
      <c r="L1731" t="s">
        <v>3284</v>
      </c>
      <c r="M1731" t="s">
        <v>3296</v>
      </c>
      <c r="N1731" t="s">
        <v>3343</v>
      </c>
      <c r="O1731" t="s">
        <v>3429</v>
      </c>
      <c r="P1731" t="s">
        <v>4336</v>
      </c>
      <c r="Q1731" t="s">
        <v>7592</v>
      </c>
      <c r="R1731" t="s">
        <v>7593</v>
      </c>
    </row>
    <row r="1732" spans="1:18" x14ac:dyDescent="0.2">
      <c r="A1732">
        <v>2685869</v>
      </c>
      <c r="B1732" t="s">
        <v>7594</v>
      </c>
      <c r="C1732">
        <v>0</v>
      </c>
      <c r="D1732">
        <v>0</v>
      </c>
      <c r="E1732">
        <v>0</v>
      </c>
      <c r="F1732">
        <v>1</v>
      </c>
      <c r="G1732">
        <v>0</v>
      </c>
      <c r="H1732">
        <v>0</v>
      </c>
      <c r="I1732">
        <v>0</v>
      </c>
      <c r="J1732">
        <v>0</v>
      </c>
      <c r="K1732">
        <v>0</v>
      </c>
      <c r="L1732" t="s">
        <v>3284</v>
      </c>
      <c r="M1732" t="s">
        <v>3307</v>
      </c>
      <c r="N1732" t="s">
        <v>3308</v>
      </c>
      <c r="O1732" t="s">
        <v>3309</v>
      </c>
      <c r="P1732" t="s">
        <v>3310</v>
      </c>
      <c r="Q1732" t="s">
        <v>3311</v>
      </c>
      <c r="R1732" t="s">
        <v>7595</v>
      </c>
    </row>
    <row r="1733" spans="1:18" x14ac:dyDescent="0.2">
      <c r="A1733">
        <v>2684211</v>
      </c>
      <c r="B1733" t="s">
        <v>7596</v>
      </c>
      <c r="C1733">
        <v>0</v>
      </c>
      <c r="D1733">
        <v>0</v>
      </c>
      <c r="E1733">
        <v>0</v>
      </c>
      <c r="F1733">
        <v>1</v>
      </c>
      <c r="G1733">
        <v>0</v>
      </c>
      <c r="H1733">
        <v>0</v>
      </c>
      <c r="I1733">
        <v>0</v>
      </c>
      <c r="J1733">
        <v>0</v>
      </c>
      <c r="K1733">
        <v>0</v>
      </c>
      <c r="L1733" t="s">
        <v>3284</v>
      </c>
      <c r="M1733" t="s">
        <v>3391</v>
      </c>
      <c r="N1733" t="s">
        <v>3392</v>
      </c>
      <c r="O1733" t="s">
        <v>3393</v>
      </c>
      <c r="P1733" t="s">
        <v>3394</v>
      </c>
      <c r="Q1733" t="s">
        <v>4082</v>
      </c>
      <c r="R1733" t="s">
        <v>7597</v>
      </c>
    </row>
    <row r="1734" spans="1:18" x14ac:dyDescent="0.2">
      <c r="A1734">
        <v>2683708</v>
      </c>
      <c r="B1734" t="s">
        <v>7598</v>
      </c>
      <c r="C1734">
        <v>1</v>
      </c>
      <c r="D1734">
        <v>0</v>
      </c>
      <c r="E1734">
        <v>1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 t="s">
        <v>3284</v>
      </c>
      <c r="M1734" t="s">
        <v>3327</v>
      </c>
      <c r="N1734" t="s">
        <v>3328</v>
      </c>
      <c r="O1734" t="s">
        <v>3329</v>
      </c>
      <c r="P1734" t="s">
        <v>3330</v>
      </c>
      <c r="Q1734" t="s">
        <v>7599</v>
      </c>
      <c r="R1734" t="s">
        <v>7600</v>
      </c>
    </row>
    <row r="1735" spans="1:18" x14ac:dyDescent="0.2">
      <c r="A1735">
        <v>2683345</v>
      </c>
      <c r="B1735" t="s">
        <v>7601</v>
      </c>
      <c r="C1735">
        <v>0</v>
      </c>
      <c r="D1735">
        <v>1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 t="s">
        <v>3284</v>
      </c>
      <c r="M1735" t="s">
        <v>3296</v>
      </c>
      <c r="N1735" t="s">
        <v>3321</v>
      </c>
      <c r="O1735" t="s">
        <v>3322</v>
      </c>
      <c r="P1735" t="s">
        <v>4143</v>
      </c>
      <c r="Q1735" t="s">
        <v>4708</v>
      </c>
      <c r="R1735" t="s">
        <v>7602</v>
      </c>
    </row>
    <row r="1736" spans="1:18" x14ac:dyDescent="0.2">
      <c r="A1736">
        <v>2683267</v>
      </c>
      <c r="B1736" t="s">
        <v>7603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1</v>
      </c>
      <c r="I1736">
        <v>0</v>
      </c>
      <c r="J1736">
        <v>0</v>
      </c>
      <c r="K1736">
        <v>0</v>
      </c>
      <c r="L1736" t="s">
        <v>3284</v>
      </c>
      <c r="M1736" t="s">
        <v>3296</v>
      </c>
      <c r="N1736" t="s">
        <v>3297</v>
      </c>
      <c r="O1736" t="s">
        <v>3434</v>
      </c>
      <c r="P1736" t="s">
        <v>3435</v>
      </c>
      <c r="Q1736" t="s">
        <v>3436</v>
      </c>
      <c r="R1736" t="s">
        <v>7604</v>
      </c>
    </row>
    <row r="1737" spans="1:18" x14ac:dyDescent="0.2">
      <c r="A1737">
        <v>2683263</v>
      </c>
      <c r="B1737" t="s">
        <v>7605</v>
      </c>
      <c r="C1737">
        <v>11</v>
      </c>
      <c r="D1737">
        <v>6</v>
      </c>
      <c r="E1737">
        <v>0</v>
      </c>
      <c r="F1737">
        <v>0</v>
      </c>
      <c r="G1737">
        <v>0</v>
      </c>
      <c r="H1737">
        <v>0</v>
      </c>
      <c r="I1737">
        <v>12</v>
      </c>
      <c r="J1737">
        <v>4</v>
      </c>
      <c r="K1737">
        <v>0</v>
      </c>
      <c r="L1737" t="s">
        <v>3284</v>
      </c>
      <c r="M1737" t="s">
        <v>3391</v>
      </c>
      <c r="N1737" t="s">
        <v>3411</v>
      </c>
      <c r="O1737" t="s">
        <v>3412</v>
      </c>
      <c r="P1737" t="s">
        <v>3413</v>
      </c>
      <c r="Q1737" t="s">
        <v>7606</v>
      </c>
      <c r="R1737" t="s">
        <v>7607</v>
      </c>
    </row>
    <row r="1738" spans="1:18" x14ac:dyDescent="0.2">
      <c r="A1738">
        <v>2683262</v>
      </c>
      <c r="B1738" t="s">
        <v>7608</v>
      </c>
      <c r="C1738">
        <v>0</v>
      </c>
      <c r="D1738">
        <v>0</v>
      </c>
      <c r="E1738">
        <v>0</v>
      </c>
      <c r="F1738">
        <v>3</v>
      </c>
      <c r="G1738">
        <v>1</v>
      </c>
      <c r="H1738">
        <v>0</v>
      </c>
      <c r="I1738">
        <v>0</v>
      </c>
      <c r="J1738">
        <v>0</v>
      </c>
      <c r="K1738">
        <v>0</v>
      </c>
      <c r="L1738" t="s">
        <v>3284</v>
      </c>
      <c r="M1738" t="s">
        <v>3296</v>
      </c>
      <c r="N1738" t="s">
        <v>3343</v>
      </c>
      <c r="O1738" t="s">
        <v>3402</v>
      </c>
      <c r="P1738" t="s">
        <v>3403</v>
      </c>
      <c r="Q1738" t="s">
        <v>3404</v>
      </c>
      <c r="R1738" t="s">
        <v>7609</v>
      </c>
    </row>
    <row r="1739" spans="1:18" x14ac:dyDescent="0.2">
      <c r="A1739">
        <v>2683258</v>
      </c>
      <c r="B1739" t="s">
        <v>7610</v>
      </c>
      <c r="C1739">
        <v>0</v>
      </c>
      <c r="D1739">
        <v>0</v>
      </c>
      <c r="E1739">
        <v>0</v>
      </c>
      <c r="F1739">
        <v>0</v>
      </c>
      <c r="G1739">
        <v>1</v>
      </c>
      <c r="H1739">
        <v>0</v>
      </c>
      <c r="I1739">
        <v>0</v>
      </c>
      <c r="J1739">
        <v>0</v>
      </c>
      <c r="K1739">
        <v>0</v>
      </c>
      <c r="L1739" t="s">
        <v>3284</v>
      </c>
      <c r="M1739" t="s">
        <v>3391</v>
      </c>
      <c r="N1739" t="s">
        <v>3740</v>
      </c>
      <c r="O1739" t="s">
        <v>3741</v>
      </c>
      <c r="P1739" t="s">
        <v>3853</v>
      </c>
      <c r="Q1739" t="s">
        <v>3854</v>
      </c>
      <c r="R1739" t="s">
        <v>7611</v>
      </c>
    </row>
    <row r="1740" spans="1:18" x14ac:dyDescent="0.2">
      <c r="A1740">
        <v>2683194</v>
      </c>
      <c r="B1740" t="s">
        <v>7612</v>
      </c>
      <c r="C1740">
        <v>0</v>
      </c>
      <c r="D1740">
        <v>0</v>
      </c>
      <c r="E1740">
        <v>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 t="s">
        <v>3284</v>
      </c>
      <c r="M1740" t="s">
        <v>3327</v>
      </c>
      <c r="N1740" t="s">
        <v>3328</v>
      </c>
      <c r="O1740" t="s">
        <v>3329</v>
      </c>
      <c r="P1740" t="s">
        <v>3330</v>
      </c>
      <c r="Q1740" t="s">
        <v>7599</v>
      </c>
      <c r="R1740" t="s">
        <v>7613</v>
      </c>
    </row>
    <row r="1741" spans="1:18" x14ac:dyDescent="0.2">
      <c r="A1741">
        <v>2682976</v>
      </c>
      <c r="B1741" t="s">
        <v>7614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1</v>
      </c>
      <c r="K1741">
        <v>0</v>
      </c>
      <c r="L1741" t="s">
        <v>3284</v>
      </c>
      <c r="M1741" t="s">
        <v>3391</v>
      </c>
      <c r="N1741" t="s">
        <v>3740</v>
      </c>
      <c r="O1741" t="s">
        <v>3741</v>
      </c>
      <c r="P1741" t="s">
        <v>4993</v>
      </c>
      <c r="Q1741" t="s">
        <v>4994</v>
      </c>
      <c r="R1741" t="s">
        <v>7615</v>
      </c>
    </row>
    <row r="1742" spans="1:18" x14ac:dyDescent="0.2">
      <c r="A1742">
        <v>2682840</v>
      </c>
      <c r="B1742" t="s">
        <v>7616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1</v>
      </c>
      <c r="I1742">
        <v>0</v>
      </c>
      <c r="J1742">
        <v>0</v>
      </c>
      <c r="K1742">
        <v>0</v>
      </c>
      <c r="L1742" t="s">
        <v>3284</v>
      </c>
      <c r="M1742" t="s">
        <v>3296</v>
      </c>
      <c r="N1742" t="s">
        <v>3343</v>
      </c>
      <c r="O1742" t="s">
        <v>7617</v>
      </c>
      <c r="P1742" t="s">
        <v>7618</v>
      </c>
      <c r="Q1742" t="s">
        <v>7619</v>
      </c>
      <c r="R1742" t="s">
        <v>7620</v>
      </c>
    </row>
    <row r="1743" spans="1:18" x14ac:dyDescent="0.2">
      <c r="A1743">
        <v>2682494</v>
      </c>
      <c r="B1743" t="s">
        <v>7621</v>
      </c>
      <c r="C1743">
        <v>0</v>
      </c>
      <c r="D1743">
        <v>0</v>
      </c>
      <c r="E1743">
        <v>0</v>
      </c>
      <c r="F1743">
        <v>1</v>
      </c>
      <c r="G1743">
        <v>0</v>
      </c>
      <c r="H1743">
        <v>0</v>
      </c>
      <c r="I1743">
        <v>0</v>
      </c>
      <c r="J1743">
        <v>0</v>
      </c>
      <c r="K1743">
        <v>0</v>
      </c>
      <c r="L1743" t="s">
        <v>3284</v>
      </c>
      <c r="M1743" t="s">
        <v>3296</v>
      </c>
      <c r="N1743" t="s">
        <v>3343</v>
      </c>
      <c r="O1743" t="s">
        <v>3349</v>
      </c>
      <c r="P1743" t="s">
        <v>3350</v>
      </c>
      <c r="Q1743" t="s">
        <v>3351</v>
      </c>
      <c r="R1743" t="s">
        <v>7622</v>
      </c>
    </row>
    <row r="1744" spans="1:18" x14ac:dyDescent="0.2">
      <c r="A1744">
        <v>2682493</v>
      </c>
      <c r="B1744" t="s">
        <v>7623</v>
      </c>
      <c r="C1744">
        <v>0</v>
      </c>
      <c r="D1744">
        <v>0</v>
      </c>
      <c r="E1744">
        <v>0</v>
      </c>
      <c r="F1744">
        <v>0</v>
      </c>
      <c r="G1744">
        <v>1</v>
      </c>
      <c r="H1744">
        <v>0</v>
      </c>
      <c r="I1744">
        <v>0</v>
      </c>
      <c r="J1744">
        <v>0</v>
      </c>
      <c r="K1744">
        <v>0</v>
      </c>
      <c r="L1744" t="s">
        <v>3284</v>
      </c>
      <c r="M1744" t="s">
        <v>3391</v>
      </c>
      <c r="N1744" t="s">
        <v>3411</v>
      </c>
      <c r="O1744" t="s">
        <v>3412</v>
      </c>
      <c r="P1744" t="s">
        <v>3413</v>
      </c>
      <c r="Q1744" t="s">
        <v>7624</v>
      </c>
      <c r="R1744" t="s">
        <v>7625</v>
      </c>
    </row>
    <row r="1745" spans="1:18" x14ac:dyDescent="0.2">
      <c r="A1745">
        <v>2682474</v>
      </c>
      <c r="B1745" t="s">
        <v>7626</v>
      </c>
      <c r="C1745">
        <v>0</v>
      </c>
      <c r="D1745">
        <v>0</v>
      </c>
      <c r="E1745">
        <v>0</v>
      </c>
      <c r="F1745">
        <v>4</v>
      </c>
      <c r="G1745">
        <v>1</v>
      </c>
      <c r="H1745">
        <v>0</v>
      </c>
      <c r="I1745">
        <v>0</v>
      </c>
      <c r="J1745">
        <v>0</v>
      </c>
      <c r="K1745">
        <v>0</v>
      </c>
      <c r="L1745" t="s">
        <v>3284</v>
      </c>
      <c r="M1745" t="s">
        <v>3296</v>
      </c>
      <c r="N1745" t="s">
        <v>3343</v>
      </c>
      <c r="O1745" t="s">
        <v>3349</v>
      </c>
      <c r="P1745" t="s">
        <v>3350</v>
      </c>
      <c r="Q1745" t="s">
        <v>3351</v>
      </c>
      <c r="R1745" t="s">
        <v>7627</v>
      </c>
    </row>
    <row r="1746" spans="1:18" x14ac:dyDescent="0.2">
      <c r="A1746">
        <v>2682092</v>
      </c>
      <c r="B1746" t="s">
        <v>7628</v>
      </c>
      <c r="C1746">
        <v>0</v>
      </c>
      <c r="D1746">
        <v>0</v>
      </c>
      <c r="E1746">
        <v>0</v>
      </c>
      <c r="F1746">
        <v>0</v>
      </c>
      <c r="G1746">
        <v>1</v>
      </c>
      <c r="H1746">
        <v>0</v>
      </c>
      <c r="I1746">
        <v>0</v>
      </c>
      <c r="J1746">
        <v>0</v>
      </c>
      <c r="K1746">
        <v>0</v>
      </c>
      <c r="L1746" t="s">
        <v>3284</v>
      </c>
      <c r="M1746" t="s">
        <v>3391</v>
      </c>
      <c r="N1746" t="s">
        <v>3740</v>
      </c>
      <c r="O1746" t="s">
        <v>3741</v>
      </c>
      <c r="P1746" t="s">
        <v>4241</v>
      </c>
      <c r="Q1746" t="s">
        <v>4242</v>
      </c>
      <c r="R1746" t="s">
        <v>7629</v>
      </c>
    </row>
    <row r="1747" spans="1:18" x14ac:dyDescent="0.2">
      <c r="A1747">
        <v>2682091</v>
      </c>
      <c r="B1747" t="s">
        <v>7630</v>
      </c>
      <c r="C1747">
        <v>0</v>
      </c>
      <c r="D1747">
        <v>0</v>
      </c>
      <c r="E1747">
        <v>0</v>
      </c>
      <c r="F1747">
        <v>1</v>
      </c>
      <c r="G1747">
        <v>0</v>
      </c>
      <c r="H1747">
        <v>0</v>
      </c>
      <c r="I1747">
        <v>0</v>
      </c>
      <c r="J1747">
        <v>0</v>
      </c>
      <c r="K1747">
        <v>0</v>
      </c>
      <c r="L1747" t="s">
        <v>3284</v>
      </c>
      <c r="M1747" t="s">
        <v>3391</v>
      </c>
      <c r="N1747" t="s">
        <v>3392</v>
      </c>
      <c r="O1747" t="s">
        <v>3393</v>
      </c>
      <c r="P1747" t="s">
        <v>3394</v>
      </c>
      <c r="Q1747" t="s">
        <v>4082</v>
      </c>
      <c r="R1747" t="s">
        <v>7631</v>
      </c>
    </row>
    <row r="1748" spans="1:18" x14ac:dyDescent="0.2">
      <c r="A1748">
        <v>2682090</v>
      </c>
      <c r="B1748" t="s">
        <v>7632</v>
      </c>
      <c r="C1748">
        <v>0</v>
      </c>
      <c r="D1748">
        <v>0</v>
      </c>
      <c r="E1748">
        <v>1</v>
      </c>
      <c r="F1748">
        <v>1</v>
      </c>
      <c r="G1748">
        <v>0</v>
      </c>
      <c r="H1748">
        <v>0</v>
      </c>
      <c r="I1748">
        <v>0</v>
      </c>
      <c r="J1748">
        <v>1</v>
      </c>
      <c r="K1748">
        <v>0</v>
      </c>
      <c r="L1748" t="s">
        <v>3284</v>
      </c>
      <c r="M1748" t="s">
        <v>3391</v>
      </c>
      <c r="N1748" t="s">
        <v>3392</v>
      </c>
      <c r="O1748" t="s">
        <v>3393</v>
      </c>
      <c r="P1748" t="s">
        <v>3394</v>
      </c>
      <c r="Q1748" t="s">
        <v>4082</v>
      </c>
      <c r="R1748" t="s">
        <v>7633</v>
      </c>
    </row>
    <row r="1749" spans="1:18" x14ac:dyDescent="0.2">
      <c r="A1749">
        <v>2681984</v>
      </c>
      <c r="B1749" t="s">
        <v>7634</v>
      </c>
      <c r="C1749">
        <v>0</v>
      </c>
      <c r="D1749">
        <v>0</v>
      </c>
      <c r="E1749">
        <v>0</v>
      </c>
      <c r="F1749">
        <v>1</v>
      </c>
      <c r="G1749">
        <v>0</v>
      </c>
      <c r="H1749">
        <v>0</v>
      </c>
      <c r="I1749">
        <v>0</v>
      </c>
      <c r="J1749">
        <v>0</v>
      </c>
      <c r="K1749">
        <v>0</v>
      </c>
      <c r="L1749" t="s">
        <v>3284</v>
      </c>
      <c r="M1749" t="s">
        <v>3296</v>
      </c>
      <c r="N1749" t="s">
        <v>3297</v>
      </c>
      <c r="O1749" t="s">
        <v>3298</v>
      </c>
      <c r="P1749" t="s">
        <v>3873</v>
      </c>
      <c r="Q1749" t="s">
        <v>4087</v>
      </c>
      <c r="R1749" t="s">
        <v>7635</v>
      </c>
    </row>
    <row r="1750" spans="1:18" x14ac:dyDescent="0.2">
      <c r="A1750">
        <v>2681549</v>
      </c>
      <c r="B1750" t="s">
        <v>7636</v>
      </c>
      <c r="C1750">
        <v>0</v>
      </c>
      <c r="D1750">
        <v>0</v>
      </c>
      <c r="E1750">
        <v>0</v>
      </c>
      <c r="F1750">
        <v>1</v>
      </c>
      <c r="G1750">
        <v>0</v>
      </c>
      <c r="H1750">
        <v>0</v>
      </c>
      <c r="I1750">
        <v>0</v>
      </c>
      <c r="J1750">
        <v>0</v>
      </c>
      <c r="K1750">
        <v>0</v>
      </c>
      <c r="L1750" t="s">
        <v>3284</v>
      </c>
      <c r="M1750" t="s">
        <v>3296</v>
      </c>
      <c r="N1750" t="s">
        <v>3343</v>
      </c>
      <c r="O1750" t="s">
        <v>3349</v>
      </c>
      <c r="P1750" t="s">
        <v>3350</v>
      </c>
      <c r="Q1750" t="s">
        <v>3580</v>
      </c>
      <c r="R1750" t="s">
        <v>7637</v>
      </c>
    </row>
    <row r="1751" spans="1:18" x14ac:dyDescent="0.2">
      <c r="A1751">
        <v>2681485</v>
      </c>
      <c r="B1751" t="s">
        <v>7638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1</v>
      </c>
      <c r="K1751">
        <v>0</v>
      </c>
      <c r="L1751" t="s">
        <v>3284</v>
      </c>
      <c r="M1751" t="s">
        <v>3296</v>
      </c>
      <c r="N1751" t="s">
        <v>3343</v>
      </c>
      <c r="O1751" t="s">
        <v>3344</v>
      </c>
      <c r="P1751" t="s">
        <v>3898</v>
      </c>
      <c r="Q1751" t="s">
        <v>7639</v>
      </c>
      <c r="R1751" t="s">
        <v>7640</v>
      </c>
    </row>
    <row r="1752" spans="1:18" x14ac:dyDescent="0.2">
      <c r="A1752">
        <v>2681411</v>
      </c>
      <c r="B1752" t="s">
        <v>7641</v>
      </c>
      <c r="C1752">
        <v>0</v>
      </c>
      <c r="D1752">
        <v>0</v>
      </c>
      <c r="E1752">
        <v>0</v>
      </c>
      <c r="F1752">
        <v>1</v>
      </c>
      <c r="G1752">
        <v>0</v>
      </c>
      <c r="H1752">
        <v>0</v>
      </c>
      <c r="I1752">
        <v>0</v>
      </c>
      <c r="J1752">
        <v>0</v>
      </c>
      <c r="K1752">
        <v>0</v>
      </c>
      <c r="L1752" t="s">
        <v>3284</v>
      </c>
      <c r="M1752" t="s">
        <v>3296</v>
      </c>
      <c r="N1752" t="s">
        <v>3343</v>
      </c>
      <c r="O1752" t="s">
        <v>3344</v>
      </c>
      <c r="P1752" t="s">
        <v>3355</v>
      </c>
      <c r="Q1752" t="s">
        <v>3356</v>
      </c>
      <c r="R1752" t="s">
        <v>7642</v>
      </c>
    </row>
    <row r="1753" spans="1:18" x14ac:dyDescent="0.2">
      <c r="A1753">
        <v>2681410</v>
      </c>
      <c r="B1753" t="s">
        <v>7643</v>
      </c>
      <c r="C1753">
        <v>0</v>
      </c>
      <c r="D1753">
        <v>0</v>
      </c>
      <c r="E1753">
        <v>0</v>
      </c>
      <c r="F1753">
        <v>1</v>
      </c>
      <c r="G1753">
        <v>0</v>
      </c>
      <c r="H1753">
        <v>0</v>
      </c>
      <c r="I1753">
        <v>0</v>
      </c>
      <c r="J1753">
        <v>0</v>
      </c>
      <c r="K1753">
        <v>0</v>
      </c>
      <c r="L1753" t="s">
        <v>3284</v>
      </c>
      <c r="M1753" t="s">
        <v>3307</v>
      </c>
      <c r="N1753" t="s">
        <v>3308</v>
      </c>
      <c r="O1753" t="s">
        <v>3359</v>
      </c>
      <c r="P1753" t="s">
        <v>3360</v>
      </c>
      <c r="Q1753" t="s">
        <v>3361</v>
      </c>
      <c r="R1753" t="s">
        <v>7644</v>
      </c>
    </row>
    <row r="1754" spans="1:18" x14ac:dyDescent="0.2">
      <c r="A1754">
        <v>2681403</v>
      </c>
      <c r="B1754" t="s">
        <v>7645</v>
      </c>
      <c r="C1754">
        <v>0</v>
      </c>
      <c r="D1754">
        <v>0</v>
      </c>
      <c r="E1754">
        <v>0</v>
      </c>
      <c r="F1754">
        <v>1</v>
      </c>
      <c r="G1754">
        <v>0</v>
      </c>
      <c r="H1754">
        <v>0</v>
      </c>
      <c r="I1754">
        <v>0</v>
      </c>
      <c r="J1754">
        <v>0</v>
      </c>
      <c r="K1754">
        <v>0</v>
      </c>
      <c r="L1754" t="s">
        <v>3284</v>
      </c>
      <c r="M1754" t="s">
        <v>3296</v>
      </c>
      <c r="N1754" t="s">
        <v>3343</v>
      </c>
      <c r="O1754" t="s">
        <v>3344</v>
      </c>
      <c r="P1754" t="s">
        <v>3355</v>
      </c>
      <c r="Q1754" t="s">
        <v>3356</v>
      </c>
      <c r="R1754" t="s">
        <v>7646</v>
      </c>
    </row>
    <row r="1755" spans="1:18" x14ac:dyDescent="0.2">
      <c r="A1755">
        <v>2681394</v>
      </c>
      <c r="B1755" t="s">
        <v>7647</v>
      </c>
      <c r="C1755">
        <v>0</v>
      </c>
      <c r="D1755">
        <v>1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 t="s">
        <v>3284</v>
      </c>
      <c r="M1755" t="s">
        <v>3327</v>
      </c>
      <c r="N1755" t="s">
        <v>3376</v>
      </c>
      <c r="O1755" t="s">
        <v>3718</v>
      </c>
      <c r="P1755" t="s">
        <v>6044</v>
      </c>
      <c r="Q1755" t="s">
        <v>6045</v>
      </c>
      <c r="R1755" t="s">
        <v>7648</v>
      </c>
    </row>
    <row r="1756" spans="1:18" x14ac:dyDescent="0.2">
      <c r="A1756">
        <v>2680009</v>
      </c>
      <c r="B1756" t="s">
        <v>7649</v>
      </c>
      <c r="C1756">
        <v>17</v>
      </c>
      <c r="D1756">
        <v>12</v>
      </c>
      <c r="E1756">
        <v>6</v>
      </c>
      <c r="F1756">
        <v>1</v>
      </c>
      <c r="G1756">
        <v>2</v>
      </c>
      <c r="H1756">
        <v>0</v>
      </c>
      <c r="I1756">
        <v>4</v>
      </c>
      <c r="J1756">
        <v>1</v>
      </c>
      <c r="K1756">
        <v>0</v>
      </c>
      <c r="L1756" t="s">
        <v>3284</v>
      </c>
      <c r="M1756" t="s">
        <v>3307</v>
      </c>
      <c r="N1756" t="s">
        <v>3308</v>
      </c>
      <c r="O1756" t="s">
        <v>3359</v>
      </c>
      <c r="P1756" t="s">
        <v>3360</v>
      </c>
      <c r="Q1756" t="s">
        <v>7469</v>
      </c>
      <c r="R1756" t="s">
        <v>7650</v>
      </c>
    </row>
    <row r="1757" spans="1:18" x14ac:dyDescent="0.2">
      <c r="A1757">
        <v>2679964</v>
      </c>
      <c r="B1757" t="s">
        <v>7651</v>
      </c>
      <c r="C1757">
        <v>1</v>
      </c>
      <c r="D1757">
        <v>0</v>
      </c>
      <c r="E1757">
        <v>0</v>
      </c>
      <c r="F1757">
        <v>0</v>
      </c>
      <c r="G1757">
        <v>1</v>
      </c>
      <c r="H1757">
        <v>0</v>
      </c>
      <c r="I1757">
        <v>1</v>
      </c>
      <c r="J1757">
        <v>1</v>
      </c>
      <c r="K1757">
        <v>0</v>
      </c>
      <c r="L1757" t="s">
        <v>3284</v>
      </c>
      <c r="M1757" t="s">
        <v>3391</v>
      </c>
      <c r="N1757" t="s">
        <v>3392</v>
      </c>
      <c r="O1757" t="s">
        <v>3393</v>
      </c>
      <c r="P1757" t="s">
        <v>3394</v>
      </c>
      <c r="Q1757" t="s">
        <v>3395</v>
      </c>
      <c r="R1757" t="s">
        <v>7652</v>
      </c>
    </row>
    <row r="1758" spans="1:18" x14ac:dyDescent="0.2">
      <c r="A1758">
        <v>2679963</v>
      </c>
      <c r="B1758" t="s">
        <v>7653</v>
      </c>
      <c r="C1758">
        <v>0</v>
      </c>
      <c r="D1758">
        <v>0</v>
      </c>
      <c r="E1758">
        <v>0</v>
      </c>
      <c r="F1758">
        <v>1</v>
      </c>
      <c r="G1758">
        <v>1</v>
      </c>
      <c r="H1758">
        <v>0</v>
      </c>
      <c r="I1758">
        <v>1</v>
      </c>
      <c r="J1758">
        <v>0</v>
      </c>
      <c r="K1758">
        <v>0</v>
      </c>
      <c r="L1758" t="s">
        <v>3284</v>
      </c>
      <c r="M1758" t="s">
        <v>3391</v>
      </c>
      <c r="N1758" t="s">
        <v>3392</v>
      </c>
      <c r="O1758" t="s">
        <v>3393</v>
      </c>
      <c r="P1758" t="s">
        <v>3394</v>
      </c>
      <c r="Q1758" t="s">
        <v>3395</v>
      </c>
      <c r="R1758" t="s">
        <v>7654</v>
      </c>
    </row>
    <row r="1759" spans="1:18" x14ac:dyDescent="0.2">
      <c r="A1759">
        <v>2678893</v>
      </c>
      <c r="B1759" t="s">
        <v>7655</v>
      </c>
      <c r="C1759">
        <v>0</v>
      </c>
      <c r="D1759">
        <v>1</v>
      </c>
      <c r="E1759">
        <v>0</v>
      </c>
      <c r="F1759">
        <v>1</v>
      </c>
      <c r="G1759">
        <v>0</v>
      </c>
      <c r="H1759">
        <v>0</v>
      </c>
      <c r="I1759">
        <v>0</v>
      </c>
      <c r="J1759">
        <v>0</v>
      </c>
      <c r="K1759">
        <v>1</v>
      </c>
      <c r="L1759" t="s">
        <v>3284</v>
      </c>
      <c r="M1759" t="s">
        <v>3296</v>
      </c>
      <c r="N1759" t="s">
        <v>3321</v>
      </c>
      <c r="O1759" t="s">
        <v>3322</v>
      </c>
      <c r="P1759" t="s">
        <v>3398</v>
      </c>
      <c r="Q1759" t="s">
        <v>7656</v>
      </c>
      <c r="R1759" t="s">
        <v>7657</v>
      </c>
    </row>
    <row r="1760" spans="1:18" x14ac:dyDescent="0.2">
      <c r="A1760">
        <v>2678685</v>
      </c>
      <c r="B1760" t="s">
        <v>7658</v>
      </c>
      <c r="C1760">
        <v>0</v>
      </c>
      <c r="D1760">
        <v>0</v>
      </c>
      <c r="E1760">
        <v>0</v>
      </c>
      <c r="F1760">
        <v>1</v>
      </c>
      <c r="G1760">
        <v>0</v>
      </c>
      <c r="H1760">
        <v>0</v>
      </c>
      <c r="I1760">
        <v>0</v>
      </c>
      <c r="J1760">
        <v>0</v>
      </c>
      <c r="K1760">
        <v>0</v>
      </c>
      <c r="L1760" t="s">
        <v>3284</v>
      </c>
      <c r="M1760" t="s">
        <v>3296</v>
      </c>
      <c r="N1760" t="s">
        <v>3343</v>
      </c>
      <c r="O1760" t="s">
        <v>3344</v>
      </c>
      <c r="P1760" t="s">
        <v>3898</v>
      </c>
      <c r="Q1760" t="s">
        <v>3899</v>
      </c>
      <c r="R1760" t="s">
        <v>7659</v>
      </c>
    </row>
    <row r="1761" spans="1:18" x14ac:dyDescent="0.2">
      <c r="A1761">
        <v>2676868</v>
      </c>
      <c r="B1761" t="s">
        <v>7660</v>
      </c>
      <c r="C1761">
        <v>2</v>
      </c>
      <c r="D1761">
        <v>1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 t="s">
        <v>3284</v>
      </c>
      <c r="M1761" t="s">
        <v>3391</v>
      </c>
      <c r="N1761" t="s">
        <v>4129</v>
      </c>
      <c r="O1761" t="s">
        <v>4130</v>
      </c>
      <c r="P1761" t="s">
        <v>4131</v>
      </c>
      <c r="Q1761" t="s">
        <v>7661</v>
      </c>
      <c r="R1761" t="s">
        <v>7662</v>
      </c>
    </row>
    <row r="1762" spans="1:18" x14ac:dyDescent="0.2">
      <c r="A1762">
        <v>2676787</v>
      </c>
      <c r="B1762" t="s">
        <v>7663</v>
      </c>
      <c r="C1762">
        <v>0</v>
      </c>
      <c r="D1762">
        <v>0</v>
      </c>
      <c r="E1762">
        <v>0</v>
      </c>
      <c r="F1762">
        <v>1</v>
      </c>
      <c r="G1762">
        <v>0</v>
      </c>
      <c r="H1762">
        <v>0</v>
      </c>
      <c r="I1762">
        <v>0</v>
      </c>
      <c r="J1762">
        <v>0</v>
      </c>
      <c r="K1762">
        <v>0</v>
      </c>
      <c r="L1762" t="s">
        <v>3284</v>
      </c>
      <c r="M1762" t="s">
        <v>3296</v>
      </c>
      <c r="N1762" t="s">
        <v>3343</v>
      </c>
      <c r="O1762" t="s">
        <v>3349</v>
      </c>
      <c r="P1762" t="s">
        <v>3350</v>
      </c>
      <c r="Q1762" t="s">
        <v>7664</v>
      </c>
      <c r="R1762" t="s">
        <v>7665</v>
      </c>
    </row>
    <row r="1763" spans="1:18" x14ac:dyDescent="0.2">
      <c r="A1763">
        <v>2676308</v>
      </c>
      <c r="B1763" t="s">
        <v>7666</v>
      </c>
      <c r="C1763">
        <v>0</v>
      </c>
      <c r="D1763">
        <v>0</v>
      </c>
      <c r="E1763">
        <v>0</v>
      </c>
      <c r="F1763">
        <v>1</v>
      </c>
      <c r="G1763">
        <v>1</v>
      </c>
      <c r="H1763">
        <v>0</v>
      </c>
      <c r="I1763">
        <v>0</v>
      </c>
      <c r="J1763">
        <v>0</v>
      </c>
      <c r="K1763">
        <v>0</v>
      </c>
      <c r="L1763" t="s">
        <v>3284</v>
      </c>
      <c r="M1763" t="s">
        <v>3391</v>
      </c>
      <c r="N1763" t="s">
        <v>3411</v>
      </c>
      <c r="O1763" t="s">
        <v>3412</v>
      </c>
      <c r="P1763" t="s">
        <v>3413</v>
      </c>
      <c r="Q1763" t="s">
        <v>3414</v>
      </c>
      <c r="R1763" t="s">
        <v>7667</v>
      </c>
    </row>
    <row r="1764" spans="1:18" x14ac:dyDescent="0.2">
      <c r="A1764">
        <v>2675876</v>
      </c>
      <c r="B1764" t="s">
        <v>7668</v>
      </c>
      <c r="C1764">
        <v>0</v>
      </c>
      <c r="D1764">
        <v>0</v>
      </c>
      <c r="E1764">
        <v>0</v>
      </c>
      <c r="F1764">
        <v>2</v>
      </c>
      <c r="G1764">
        <v>0</v>
      </c>
      <c r="H1764">
        <v>0</v>
      </c>
      <c r="I1764">
        <v>0</v>
      </c>
      <c r="J1764">
        <v>0</v>
      </c>
      <c r="K1764">
        <v>0</v>
      </c>
      <c r="L1764" t="s">
        <v>3284</v>
      </c>
      <c r="M1764" t="s">
        <v>3391</v>
      </c>
      <c r="N1764" t="s">
        <v>3411</v>
      </c>
      <c r="O1764" t="s">
        <v>3412</v>
      </c>
      <c r="P1764" t="s">
        <v>3413</v>
      </c>
      <c r="Q1764" t="s">
        <v>3414</v>
      </c>
      <c r="R1764" t="s">
        <v>7669</v>
      </c>
    </row>
    <row r="1765" spans="1:18" x14ac:dyDescent="0.2">
      <c r="A1765">
        <v>2675752</v>
      </c>
      <c r="B1765" t="s">
        <v>7670</v>
      </c>
      <c r="C1765">
        <v>0</v>
      </c>
      <c r="D1765">
        <v>0</v>
      </c>
      <c r="E1765">
        <v>0</v>
      </c>
      <c r="F1765">
        <v>1</v>
      </c>
      <c r="G1765">
        <v>0</v>
      </c>
      <c r="H1765">
        <v>0</v>
      </c>
      <c r="I1765">
        <v>0</v>
      </c>
      <c r="J1765">
        <v>0</v>
      </c>
      <c r="K1765">
        <v>0</v>
      </c>
      <c r="L1765" t="s">
        <v>3284</v>
      </c>
      <c r="M1765" t="s">
        <v>3296</v>
      </c>
      <c r="N1765" t="s">
        <v>3343</v>
      </c>
      <c r="O1765" t="s">
        <v>3371</v>
      </c>
      <c r="P1765" t="s">
        <v>3688</v>
      </c>
      <c r="Q1765" t="s">
        <v>4406</v>
      </c>
      <c r="R1765" t="s">
        <v>7671</v>
      </c>
    </row>
    <row r="1766" spans="1:18" x14ac:dyDescent="0.2">
      <c r="A1766">
        <v>2675524</v>
      </c>
      <c r="B1766" t="s">
        <v>7672</v>
      </c>
      <c r="C1766">
        <v>0</v>
      </c>
      <c r="D1766">
        <v>1</v>
      </c>
      <c r="E1766">
        <v>0</v>
      </c>
      <c r="F1766">
        <v>3</v>
      </c>
      <c r="G1766">
        <v>0</v>
      </c>
      <c r="H1766">
        <v>0</v>
      </c>
      <c r="I1766">
        <v>0</v>
      </c>
      <c r="J1766">
        <v>0</v>
      </c>
      <c r="K1766">
        <v>0</v>
      </c>
      <c r="L1766" t="s">
        <v>3284</v>
      </c>
      <c r="M1766" t="s">
        <v>3307</v>
      </c>
      <c r="N1766" t="s">
        <v>3308</v>
      </c>
      <c r="O1766" t="s">
        <v>3635</v>
      </c>
      <c r="P1766" t="s">
        <v>4011</v>
      </c>
      <c r="Q1766" t="s">
        <v>4012</v>
      </c>
      <c r="R1766" t="s">
        <v>7673</v>
      </c>
    </row>
    <row r="1767" spans="1:18" x14ac:dyDescent="0.2">
      <c r="A1767">
        <v>2675110</v>
      </c>
      <c r="B1767" t="s">
        <v>7674</v>
      </c>
      <c r="C1767">
        <v>0</v>
      </c>
      <c r="D1767">
        <v>0</v>
      </c>
      <c r="E1767">
        <v>1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 t="s">
        <v>3284</v>
      </c>
      <c r="M1767" t="s">
        <v>3296</v>
      </c>
      <c r="N1767" t="s">
        <v>3297</v>
      </c>
      <c r="O1767" t="s">
        <v>3298</v>
      </c>
      <c r="P1767" t="s">
        <v>3299</v>
      </c>
      <c r="Q1767" t="s">
        <v>3300</v>
      </c>
      <c r="R1767" t="s">
        <v>7675</v>
      </c>
    </row>
    <row r="1768" spans="1:18" x14ac:dyDescent="0.2">
      <c r="A1768">
        <v>2675058</v>
      </c>
      <c r="B1768" t="s">
        <v>7676</v>
      </c>
      <c r="C1768">
        <v>0</v>
      </c>
      <c r="D1768">
        <v>0</v>
      </c>
      <c r="E1768">
        <v>0</v>
      </c>
      <c r="F1768">
        <v>0</v>
      </c>
      <c r="G1768">
        <v>1</v>
      </c>
      <c r="H1768">
        <v>0</v>
      </c>
      <c r="I1768">
        <v>0</v>
      </c>
      <c r="J1768">
        <v>0</v>
      </c>
      <c r="K1768">
        <v>0</v>
      </c>
      <c r="L1768" t="s">
        <v>3284</v>
      </c>
      <c r="M1768" t="s">
        <v>3391</v>
      </c>
      <c r="N1768" t="s">
        <v>3411</v>
      </c>
      <c r="O1768" t="s">
        <v>3412</v>
      </c>
      <c r="P1768" t="s">
        <v>3564</v>
      </c>
      <c r="Q1768" t="s">
        <v>3803</v>
      </c>
      <c r="R1768" t="s">
        <v>7677</v>
      </c>
    </row>
    <row r="1769" spans="1:18" x14ac:dyDescent="0.2">
      <c r="A1769">
        <v>2675003</v>
      </c>
      <c r="B1769" t="s">
        <v>7678</v>
      </c>
      <c r="C1769">
        <v>0</v>
      </c>
      <c r="D1769">
        <v>0</v>
      </c>
      <c r="E1769">
        <v>0</v>
      </c>
      <c r="F1769">
        <v>0</v>
      </c>
      <c r="G1769">
        <v>1</v>
      </c>
      <c r="H1769">
        <v>0</v>
      </c>
      <c r="I1769">
        <v>0</v>
      </c>
      <c r="J1769">
        <v>0</v>
      </c>
      <c r="K1769">
        <v>0</v>
      </c>
      <c r="L1769" t="s">
        <v>3284</v>
      </c>
      <c r="M1769" t="s">
        <v>3391</v>
      </c>
      <c r="N1769" t="s">
        <v>3392</v>
      </c>
      <c r="O1769" t="s">
        <v>3393</v>
      </c>
      <c r="P1769" t="s">
        <v>3394</v>
      </c>
      <c r="Q1769" t="s">
        <v>4082</v>
      </c>
      <c r="R1769" t="s">
        <v>7679</v>
      </c>
    </row>
    <row r="1770" spans="1:18" x14ac:dyDescent="0.2">
      <c r="A1770">
        <v>2674991</v>
      </c>
      <c r="B1770" t="s">
        <v>7680</v>
      </c>
      <c r="C1770">
        <v>1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 t="s">
        <v>3284</v>
      </c>
      <c r="M1770" t="s">
        <v>3327</v>
      </c>
      <c r="N1770" t="s">
        <v>3376</v>
      </c>
      <c r="O1770" t="s">
        <v>3377</v>
      </c>
      <c r="P1770" t="s">
        <v>3604</v>
      </c>
      <c r="Q1770" t="s">
        <v>6110</v>
      </c>
      <c r="R1770" t="s">
        <v>7681</v>
      </c>
    </row>
    <row r="1771" spans="1:18" x14ac:dyDescent="0.2">
      <c r="A1771">
        <v>2672572</v>
      </c>
      <c r="B1771" t="s">
        <v>7682</v>
      </c>
      <c r="C1771">
        <v>0</v>
      </c>
      <c r="D1771">
        <v>0</v>
      </c>
      <c r="E1771">
        <v>0</v>
      </c>
      <c r="F1771">
        <v>1</v>
      </c>
      <c r="G1771">
        <v>0</v>
      </c>
      <c r="H1771">
        <v>0</v>
      </c>
      <c r="I1771">
        <v>0</v>
      </c>
      <c r="J1771">
        <v>0</v>
      </c>
      <c r="K1771">
        <v>0</v>
      </c>
      <c r="L1771" t="s">
        <v>3284</v>
      </c>
      <c r="M1771" t="s">
        <v>3307</v>
      </c>
      <c r="N1771" t="s">
        <v>3308</v>
      </c>
      <c r="O1771" t="s">
        <v>3359</v>
      </c>
      <c r="P1771" t="s">
        <v>5645</v>
      </c>
      <c r="Q1771" t="s">
        <v>5646</v>
      </c>
      <c r="R1771" t="s">
        <v>7683</v>
      </c>
    </row>
    <row r="1772" spans="1:18" x14ac:dyDescent="0.2">
      <c r="A1772">
        <v>2670345</v>
      </c>
      <c r="B1772" t="s">
        <v>7684</v>
      </c>
      <c r="C1772">
        <v>0</v>
      </c>
      <c r="D1772">
        <v>1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 t="s">
        <v>3284</v>
      </c>
      <c r="M1772" t="s">
        <v>3296</v>
      </c>
      <c r="N1772" t="s">
        <v>3343</v>
      </c>
      <c r="O1772" t="s">
        <v>3371</v>
      </c>
      <c r="P1772" t="s">
        <v>3688</v>
      </c>
      <c r="Q1772" t="s">
        <v>7444</v>
      </c>
      <c r="R1772" t="s">
        <v>7685</v>
      </c>
    </row>
    <row r="1773" spans="1:18" x14ac:dyDescent="0.2">
      <c r="A1773">
        <v>2670329</v>
      </c>
      <c r="B1773" t="s">
        <v>7686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1</v>
      </c>
      <c r="I1773">
        <v>0</v>
      </c>
      <c r="J1773">
        <v>0</v>
      </c>
      <c r="K1773">
        <v>0</v>
      </c>
      <c r="L1773" t="s">
        <v>3284</v>
      </c>
      <c r="M1773" t="s">
        <v>3296</v>
      </c>
      <c r="N1773" t="s">
        <v>3343</v>
      </c>
      <c r="O1773" t="s">
        <v>3344</v>
      </c>
      <c r="P1773" t="s">
        <v>3898</v>
      </c>
      <c r="Q1773" t="s">
        <v>7687</v>
      </c>
      <c r="R1773" t="s">
        <v>7688</v>
      </c>
    </row>
    <row r="1774" spans="1:18" x14ac:dyDescent="0.2">
      <c r="A1774">
        <v>2668039</v>
      </c>
      <c r="B1774" t="s">
        <v>7689</v>
      </c>
      <c r="C1774">
        <v>0</v>
      </c>
      <c r="D1774">
        <v>0</v>
      </c>
      <c r="E1774">
        <v>0</v>
      </c>
      <c r="F1774">
        <v>2</v>
      </c>
      <c r="G1774">
        <v>0</v>
      </c>
      <c r="H1774">
        <v>0</v>
      </c>
      <c r="I1774">
        <v>1</v>
      </c>
      <c r="J1774">
        <v>2</v>
      </c>
      <c r="K1774">
        <v>0</v>
      </c>
      <c r="L1774" t="s">
        <v>3284</v>
      </c>
      <c r="M1774" t="s">
        <v>3307</v>
      </c>
      <c r="N1774" t="s">
        <v>3308</v>
      </c>
      <c r="O1774" t="s">
        <v>3359</v>
      </c>
      <c r="P1774" t="s">
        <v>3360</v>
      </c>
      <c r="Q1774" t="s">
        <v>3934</v>
      </c>
      <c r="R1774" t="s">
        <v>7690</v>
      </c>
    </row>
    <row r="1775" spans="1:18" x14ac:dyDescent="0.2">
      <c r="A1775">
        <v>2666330</v>
      </c>
      <c r="B1775" t="s">
        <v>7691</v>
      </c>
      <c r="C1775">
        <v>0</v>
      </c>
      <c r="D1775">
        <v>0</v>
      </c>
      <c r="E1775">
        <v>0</v>
      </c>
      <c r="F1775">
        <v>1</v>
      </c>
      <c r="G1775">
        <v>0</v>
      </c>
      <c r="H1775">
        <v>0</v>
      </c>
      <c r="I1775">
        <v>0</v>
      </c>
      <c r="J1775">
        <v>0</v>
      </c>
      <c r="K1775">
        <v>0</v>
      </c>
      <c r="L1775" t="s">
        <v>3284</v>
      </c>
      <c r="M1775" t="s">
        <v>3391</v>
      </c>
      <c r="N1775" t="s">
        <v>3411</v>
      </c>
      <c r="O1775" t="s">
        <v>3412</v>
      </c>
      <c r="P1775" t="s">
        <v>3413</v>
      </c>
      <c r="Q1775" t="s">
        <v>3414</v>
      </c>
      <c r="R1775" t="s">
        <v>7692</v>
      </c>
    </row>
    <row r="1776" spans="1:18" x14ac:dyDescent="0.2">
      <c r="A1776">
        <v>2666183</v>
      </c>
      <c r="B1776" t="s">
        <v>7693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1</v>
      </c>
      <c r="I1776">
        <v>0</v>
      </c>
      <c r="J1776">
        <v>0</v>
      </c>
      <c r="K1776">
        <v>1</v>
      </c>
      <c r="L1776" t="s">
        <v>3284</v>
      </c>
      <c r="M1776" t="s">
        <v>3296</v>
      </c>
      <c r="N1776" t="s">
        <v>3297</v>
      </c>
      <c r="O1776" t="s">
        <v>3434</v>
      </c>
      <c r="P1776" t="s">
        <v>3435</v>
      </c>
      <c r="Q1776" t="s">
        <v>3436</v>
      </c>
      <c r="R1776" t="s">
        <v>7694</v>
      </c>
    </row>
    <row r="1777" spans="1:18" x14ac:dyDescent="0.2">
      <c r="A1777">
        <v>2666141</v>
      </c>
      <c r="B1777" t="s">
        <v>7695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1</v>
      </c>
      <c r="J1777">
        <v>0</v>
      </c>
      <c r="K1777">
        <v>0</v>
      </c>
      <c r="L1777" t="s">
        <v>3284</v>
      </c>
      <c r="M1777" t="s">
        <v>3307</v>
      </c>
      <c r="N1777" t="s">
        <v>3308</v>
      </c>
      <c r="O1777" t="s">
        <v>3359</v>
      </c>
      <c r="P1777" t="s">
        <v>3360</v>
      </c>
      <c r="Q1777" t="s">
        <v>3364</v>
      </c>
      <c r="R1777" t="s">
        <v>7696</v>
      </c>
    </row>
    <row r="1778" spans="1:18" x14ac:dyDescent="0.2">
      <c r="A1778">
        <v>2666136</v>
      </c>
      <c r="B1778" t="s">
        <v>7697</v>
      </c>
      <c r="C1778">
        <v>0</v>
      </c>
      <c r="D1778">
        <v>0</v>
      </c>
      <c r="E1778">
        <v>0</v>
      </c>
      <c r="F1778">
        <v>0</v>
      </c>
      <c r="G1778">
        <v>1</v>
      </c>
      <c r="H1778">
        <v>0</v>
      </c>
      <c r="I1778">
        <v>0</v>
      </c>
      <c r="J1778">
        <v>0</v>
      </c>
      <c r="K1778">
        <v>0</v>
      </c>
      <c r="L1778" t="s">
        <v>3284</v>
      </c>
      <c r="M1778" t="s">
        <v>3391</v>
      </c>
      <c r="N1778" t="s">
        <v>3392</v>
      </c>
      <c r="O1778" t="s">
        <v>3393</v>
      </c>
      <c r="P1778" t="s">
        <v>3394</v>
      </c>
      <c r="Q1778" t="s">
        <v>3395</v>
      </c>
      <c r="R1778" t="s">
        <v>7698</v>
      </c>
    </row>
    <row r="1779" spans="1:18" x14ac:dyDescent="0.2">
      <c r="A1779">
        <v>2666084</v>
      </c>
      <c r="B1779" t="s">
        <v>7699</v>
      </c>
      <c r="C1779">
        <v>0</v>
      </c>
      <c r="D1779">
        <v>0</v>
      </c>
      <c r="E1779">
        <v>0</v>
      </c>
      <c r="F1779">
        <v>4</v>
      </c>
      <c r="G1779">
        <v>0</v>
      </c>
      <c r="H1779">
        <v>0</v>
      </c>
      <c r="I1779">
        <v>0</v>
      </c>
      <c r="J1779">
        <v>0</v>
      </c>
      <c r="K1779">
        <v>0</v>
      </c>
      <c r="L1779" t="s">
        <v>3284</v>
      </c>
      <c r="M1779" t="s">
        <v>3296</v>
      </c>
      <c r="N1779" t="s">
        <v>3321</v>
      </c>
      <c r="O1779" t="s">
        <v>3322</v>
      </c>
      <c r="P1779" t="s">
        <v>3323</v>
      </c>
      <c r="Q1779" t="s">
        <v>5058</v>
      </c>
      <c r="R1779" t="s">
        <v>7700</v>
      </c>
    </row>
    <row r="1780" spans="1:18" x14ac:dyDescent="0.2">
      <c r="A1780">
        <v>2666083</v>
      </c>
      <c r="B1780" t="s">
        <v>7701</v>
      </c>
      <c r="C1780">
        <v>0</v>
      </c>
      <c r="D1780">
        <v>0</v>
      </c>
      <c r="E1780">
        <v>0</v>
      </c>
      <c r="F1780">
        <v>1</v>
      </c>
      <c r="G1780">
        <v>1</v>
      </c>
      <c r="H1780">
        <v>0</v>
      </c>
      <c r="I1780">
        <v>0</v>
      </c>
      <c r="J1780">
        <v>0</v>
      </c>
      <c r="K1780">
        <v>0</v>
      </c>
      <c r="L1780" t="s">
        <v>3284</v>
      </c>
      <c r="M1780" t="s">
        <v>3296</v>
      </c>
      <c r="N1780" t="s">
        <v>3321</v>
      </c>
      <c r="O1780" t="s">
        <v>3322</v>
      </c>
      <c r="P1780" t="s">
        <v>3323</v>
      </c>
      <c r="Q1780" t="s">
        <v>5058</v>
      </c>
      <c r="R1780" t="s">
        <v>7702</v>
      </c>
    </row>
    <row r="1781" spans="1:18" x14ac:dyDescent="0.2">
      <c r="A1781">
        <v>2666082</v>
      </c>
      <c r="B1781" t="s">
        <v>7703</v>
      </c>
      <c r="C1781">
        <v>0</v>
      </c>
      <c r="D1781">
        <v>0</v>
      </c>
      <c r="E1781">
        <v>0</v>
      </c>
      <c r="F1781">
        <v>0</v>
      </c>
      <c r="G1781">
        <v>1</v>
      </c>
      <c r="H1781">
        <v>0</v>
      </c>
      <c r="I1781">
        <v>0</v>
      </c>
      <c r="J1781">
        <v>0</v>
      </c>
      <c r="K1781">
        <v>1</v>
      </c>
      <c r="L1781" t="s">
        <v>3284</v>
      </c>
      <c r="M1781" t="s">
        <v>3296</v>
      </c>
      <c r="N1781" t="s">
        <v>3321</v>
      </c>
      <c r="O1781" t="s">
        <v>3322</v>
      </c>
      <c r="P1781" t="s">
        <v>3323</v>
      </c>
      <c r="Q1781" t="s">
        <v>5058</v>
      </c>
      <c r="R1781" t="s">
        <v>7704</v>
      </c>
    </row>
    <row r="1782" spans="1:18" x14ac:dyDescent="0.2">
      <c r="A1782">
        <v>2666081</v>
      </c>
      <c r="B1782" t="s">
        <v>7705</v>
      </c>
      <c r="C1782">
        <v>0</v>
      </c>
      <c r="D1782">
        <v>0</v>
      </c>
      <c r="E1782">
        <v>0</v>
      </c>
      <c r="F1782">
        <v>1</v>
      </c>
      <c r="G1782">
        <v>0</v>
      </c>
      <c r="H1782">
        <v>0</v>
      </c>
      <c r="I1782">
        <v>0</v>
      </c>
      <c r="J1782">
        <v>0</v>
      </c>
      <c r="K1782">
        <v>0</v>
      </c>
      <c r="L1782" t="s">
        <v>3284</v>
      </c>
      <c r="M1782" t="s">
        <v>3296</v>
      </c>
      <c r="N1782" t="s">
        <v>3321</v>
      </c>
      <c r="O1782" t="s">
        <v>3322</v>
      </c>
      <c r="P1782" t="s">
        <v>3323</v>
      </c>
      <c r="Q1782" t="s">
        <v>5058</v>
      </c>
      <c r="R1782" t="s">
        <v>7706</v>
      </c>
    </row>
    <row r="1783" spans="1:18" x14ac:dyDescent="0.2">
      <c r="A1783">
        <v>2665648</v>
      </c>
      <c r="B1783" t="s">
        <v>7707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1</v>
      </c>
      <c r="K1783">
        <v>0</v>
      </c>
      <c r="L1783" t="s">
        <v>3284</v>
      </c>
      <c r="M1783" t="s">
        <v>3296</v>
      </c>
      <c r="N1783" t="s">
        <v>3343</v>
      </c>
      <c r="O1783" t="s">
        <v>3371</v>
      </c>
      <c r="P1783" t="s">
        <v>3688</v>
      </c>
      <c r="Q1783" t="s">
        <v>4406</v>
      </c>
      <c r="R1783" t="s">
        <v>7708</v>
      </c>
    </row>
    <row r="1784" spans="1:18" x14ac:dyDescent="0.2">
      <c r="A1784">
        <v>2665645</v>
      </c>
      <c r="B1784" t="s">
        <v>7709</v>
      </c>
      <c r="C1784">
        <v>0</v>
      </c>
      <c r="D1784">
        <v>0</v>
      </c>
      <c r="E1784">
        <v>0</v>
      </c>
      <c r="F1784">
        <v>1</v>
      </c>
      <c r="G1784">
        <v>0</v>
      </c>
      <c r="H1784">
        <v>0</v>
      </c>
      <c r="I1784">
        <v>0</v>
      </c>
      <c r="J1784">
        <v>0</v>
      </c>
      <c r="K1784">
        <v>0</v>
      </c>
      <c r="L1784" t="s">
        <v>3284</v>
      </c>
      <c r="M1784" t="s">
        <v>3391</v>
      </c>
      <c r="N1784" t="s">
        <v>3411</v>
      </c>
      <c r="O1784" t="s">
        <v>3412</v>
      </c>
      <c r="P1784" t="s">
        <v>3413</v>
      </c>
      <c r="Q1784" t="s">
        <v>3414</v>
      </c>
      <c r="R1784" t="s">
        <v>7710</v>
      </c>
    </row>
    <row r="1785" spans="1:18" x14ac:dyDescent="0.2">
      <c r="A1785">
        <v>2665504</v>
      </c>
      <c r="B1785" t="s">
        <v>7711</v>
      </c>
      <c r="C1785">
        <v>0</v>
      </c>
      <c r="D1785">
        <v>0</v>
      </c>
      <c r="E1785">
        <v>1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 t="s">
        <v>3284</v>
      </c>
      <c r="M1785" t="s">
        <v>3327</v>
      </c>
      <c r="N1785" t="s">
        <v>3328</v>
      </c>
      <c r="O1785" t="s">
        <v>3329</v>
      </c>
      <c r="P1785" t="s">
        <v>3330</v>
      </c>
      <c r="Q1785" t="s">
        <v>3331</v>
      </c>
      <c r="R1785" t="s">
        <v>7712</v>
      </c>
    </row>
    <row r="1786" spans="1:18" x14ac:dyDescent="0.2">
      <c r="A1786">
        <v>2664454</v>
      </c>
      <c r="B1786" t="s">
        <v>7713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1</v>
      </c>
      <c r="J1786">
        <v>0</v>
      </c>
      <c r="K1786">
        <v>0</v>
      </c>
      <c r="L1786" t="s">
        <v>3284</v>
      </c>
      <c r="M1786" t="s">
        <v>3307</v>
      </c>
      <c r="N1786" t="s">
        <v>3308</v>
      </c>
      <c r="O1786" t="s">
        <v>3359</v>
      </c>
      <c r="P1786" t="s">
        <v>3360</v>
      </c>
      <c r="Q1786" t="s">
        <v>3361</v>
      </c>
      <c r="R1786" t="s">
        <v>7714</v>
      </c>
    </row>
    <row r="1787" spans="1:18" x14ac:dyDescent="0.2">
      <c r="A1787">
        <v>2664089</v>
      </c>
      <c r="B1787" t="s">
        <v>7715</v>
      </c>
      <c r="C1787">
        <v>0</v>
      </c>
      <c r="D1787">
        <v>0</v>
      </c>
      <c r="E1787">
        <v>0</v>
      </c>
      <c r="F1787">
        <v>1</v>
      </c>
      <c r="G1787">
        <v>0</v>
      </c>
      <c r="H1787">
        <v>0</v>
      </c>
      <c r="I1787">
        <v>0</v>
      </c>
      <c r="J1787">
        <v>0</v>
      </c>
      <c r="K1787">
        <v>0</v>
      </c>
      <c r="L1787" t="s">
        <v>3284</v>
      </c>
      <c r="M1787" t="s">
        <v>3391</v>
      </c>
      <c r="N1787" t="s">
        <v>4129</v>
      </c>
      <c r="O1787" t="s">
        <v>4130</v>
      </c>
      <c r="P1787" t="s">
        <v>4131</v>
      </c>
      <c r="Q1787" t="s">
        <v>7716</v>
      </c>
      <c r="R1787" t="s">
        <v>7717</v>
      </c>
    </row>
    <row r="1788" spans="1:18" x14ac:dyDescent="0.2">
      <c r="A1788">
        <v>2663870</v>
      </c>
      <c r="B1788" t="s">
        <v>7718</v>
      </c>
      <c r="C1788">
        <v>7</v>
      </c>
      <c r="D1788">
        <v>7</v>
      </c>
      <c r="E1788">
        <v>3</v>
      </c>
      <c r="F1788">
        <v>1</v>
      </c>
      <c r="G1788">
        <v>0</v>
      </c>
      <c r="H1788">
        <v>0</v>
      </c>
      <c r="I1788">
        <v>3</v>
      </c>
      <c r="J1788">
        <v>2</v>
      </c>
      <c r="K1788">
        <v>0</v>
      </c>
      <c r="L1788" t="s">
        <v>3284</v>
      </c>
      <c r="M1788" t="s">
        <v>3296</v>
      </c>
      <c r="N1788" t="s">
        <v>3343</v>
      </c>
      <c r="O1788" t="s">
        <v>3344</v>
      </c>
      <c r="P1788" t="s">
        <v>3367</v>
      </c>
      <c r="Q1788" t="s">
        <v>3368</v>
      </c>
      <c r="R1788" t="s">
        <v>7719</v>
      </c>
    </row>
    <row r="1789" spans="1:18" x14ac:dyDescent="0.2">
      <c r="A1789">
        <v>2663857</v>
      </c>
      <c r="B1789" t="s">
        <v>7720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1</v>
      </c>
      <c r="J1789">
        <v>0</v>
      </c>
      <c r="K1789">
        <v>0</v>
      </c>
      <c r="L1789" t="s">
        <v>3284</v>
      </c>
      <c r="M1789" t="s">
        <v>3307</v>
      </c>
      <c r="N1789" t="s">
        <v>3308</v>
      </c>
      <c r="O1789" t="s">
        <v>3309</v>
      </c>
      <c r="P1789" t="s">
        <v>3310</v>
      </c>
      <c r="Q1789" t="s">
        <v>3311</v>
      </c>
      <c r="R1789" t="s">
        <v>7721</v>
      </c>
    </row>
    <row r="1790" spans="1:18" x14ac:dyDescent="0.2">
      <c r="A1790">
        <v>2663796</v>
      </c>
      <c r="B1790" t="s">
        <v>7722</v>
      </c>
      <c r="C1790">
        <v>0</v>
      </c>
      <c r="D1790">
        <v>0</v>
      </c>
      <c r="E1790">
        <v>0</v>
      </c>
      <c r="F1790">
        <v>2</v>
      </c>
      <c r="G1790">
        <v>0</v>
      </c>
      <c r="H1790">
        <v>1</v>
      </c>
      <c r="I1790">
        <v>0</v>
      </c>
      <c r="J1790">
        <v>0</v>
      </c>
      <c r="K1790">
        <v>0</v>
      </c>
      <c r="L1790" t="s">
        <v>3284</v>
      </c>
      <c r="M1790" t="s">
        <v>3296</v>
      </c>
      <c r="N1790" t="s">
        <v>3343</v>
      </c>
      <c r="O1790" t="s">
        <v>3344</v>
      </c>
      <c r="P1790" t="s">
        <v>3355</v>
      </c>
      <c r="Q1790" t="s">
        <v>3356</v>
      </c>
      <c r="R1790" t="s">
        <v>7723</v>
      </c>
    </row>
    <row r="1791" spans="1:18" x14ac:dyDescent="0.2">
      <c r="A1791">
        <v>2663795</v>
      </c>
      <c r="B1791" t="s">
        <v>7724</v>
      </c>
      <c r="C1791">
        <v>0</v>
      </c>
      <c r="D1791">
        <v>0</v>
      </c>
      <c r="E1791">
        <v>0</v>
      </c>
      <c r="F1791">
        <v>1</v>
      </c>
      <c r="G1791">
        <v>0</v>
      </c>
      <c r="H1791">
        <v>1</v>
      </c>
      <c r="I1791">
        <v>0</v>
      </c>
      <c r="J1791">
        <v>0</v>
      </c>
      <c r="K1791">
        <v>0</v>
      </c>
      <c r="L1791" t="s">
        <v>3284</v>
      </c>
      <c r="M1791" t="s">
        <v>3296</v>
      </c>
      <c r="N1791" t="s">
        <v>3343</v>
      </c>
      <c r="O1791" t="s">
        <v>3402</v>
      </c>
      <c r="P1791" t="s">
        <v>3403</v>
      </c>
      <c r="Q1791" t="s">
        <v>3536</v>
      </c>
      <c r="R1791" t="s">
        <v>7725</v>
      </c>
    </row>
    <row r="1792" spans="1:18" x14ac:dyDescent="0.2">
      <c r="A1792">
        <v>2663533</v>
      </c>
      <c r="B1792" t="s">
        <v>7726</v>
      </c>
      <c r="C1792">
        <v>0</v>
      </c>
      <c r="D1792">
        <v>2</v>
      </c>
      <c r="E1792">
        <v>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 t="s">
        <v>3284</v>
      </c>
      <c r="M1792" t="s">
        <v>3327</v>
      </c>
      <c r="N1792" t="s">
        <v>3376</v>
      </c>
      <c r="O1792" t="s">
        <v>3377</v>
      </c>
      <c r="P1792" t="s">
        <v>3378</v>
      </c>
      <c r="Q1792" t="s">
        <v>7727</v>
      </c>
      <c r="R1792" t="s">
        <v>7728</v>
      </c>
    </row>
    <row r="1793" spans="1:18" x14ac:dyDescent="0.2">
      <c r="A1793">
        <v>2663532</v>
      </c>
      <c r="B1793" t="s">
        <v>7729</v>
      </c>
      <c r="C1793">
        <v>1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 t="s">
        <v>3284</v>
      </c>
      <c r="M1793" t="s">
        <v>3327</v>
      </c>
      <c r="N1793" t="s">
        <v>3376</v>
      </c>
      <c r="O1793" t="s">
        <v>3377</v>
      </c>
      <c r="P1793" t="s">
        <v>3378</v>
      </c>
      <c r="Q1793" t="s">
        <v>7730</v>
      </c>
      <c r="R1793" t="s">
        <v>7731</v>
      </c>
    </row>
    <row r="1794" spans="1:18" x14ac:dyDescent="0.2">
      <c r="A1794">
        <v>2663207</v>
      </c>
      <c r="B1794" t="s">
        <v>7732</v>
      </c>
      <c r="C1794">
        <v>0</v>
      </c>
      <c r="D1794">
        <v>1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 t="s">
        <v>3284</v>
      </c>
      <c r="M1794" t="s">
        <v>3307</v>
      </c>
      <c r="N1794" t="s">
        <v>3989</v>
      </c>
      <c r="O1794" t="s">
        <v>7733</v>
      </c>
      <c r="P1794" t="s">
        <v>7734</v>
      </c>
      <c r="Q1794" t="s">
        <v>7735</v>
      </c>
      <c r="R1794" t="s">
        <v>7736</v>
      </c>
    </row>
    <row r="1795" spans="1:18" x14ac:dyDescent="0.2">
      <c r="A1795">
        <v>2663029</v>
      </c>
      <c r="B1795" t="s">
        <v>7737</v>
      </c>
      <c r="C1795">
        <v>0</v>
      </c>
      <c r="D1795">
        <v>0</v>
      </c>
      <c r="E1795">
        <v>0</v>
      </c>
      <c r="F1795">
        <v>0</v>
      </c>
      <c r="G1795">
        <v>1</v>
      </c>
      <c r="H1795">
        <v>0</v>
      </c>
      <c r="I1795">
        <v>0</v>
      </c>
      <c r="J1795">
        <v>0</v>
      </c>
      <c r="K1795">
        <v>0</v>
      </c>
      <c r="L1795" t="s">
        <v>3284</v>
      </c>
      <c r="M1795" t="s">
        <v>3296</v>
      </c>
      <c r="N1795" t="s">
        <v>3343</v>
      </c>
      <c r="O1795" t="s">
        <v>3344</v>
      </c>
      <c r="P1795" t="s">
        <v>3355</v>
      </c>
      <c r="Q1795" t="s">
        <v>7738</v>
      </c>
      <c r="R1795" t="s">
        <v>7739</v>
      </c>
    </row>
    <row r="1796" spans="1:18" x14ac:dyDescent="0.2">
      <c r="A1796">
        <v>2662446</v>
      </c>
      <c r="B1796" t="s">
        <v>7740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3</v>
      </c>
      <c r="J1796">
        <v>0</v>
      </c>
      <c r="K1796">
        <v>0</v>
      </c>
      <c r="L1796" t="s">
        <v>3284</v>
      </c>
      <c r="M1796" t="s">
        <v>3307</v>
      </c>
      <c r="N1796" t="s">
        <v>3308</v>
      </c>
      <c r="O1796" t="s">
        <v>3359</v>
      </c>
      <c r="P1796" t="s">
        <v>3360</v>
      </c>
      <c r="Q1796" t="s">
        <v>3364</v>
      </c>
      <c r="R1796" t="s">
        <v>7741</v>
      </c>
    </row>
    <row r="1797" spans="1:18" x14ac:dyDescent="0.2">
      <c r="A1797">
        <v>2662126</v>
      </c>
      <c r="B1797" t="s">
        <v>7742</v>
      </c>
      <c r="C1797">
        <v>0</v>
      </c>
      <c r="D1797">
        <v>1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 t="s">
        <v>3284</v>
      </c>
      <c r="M1797" t="s">
        <v>3327</v>
      </c>
      <c r="N1797" t="s">
        <v>3328</v>
      </c>
      <c r="O1797" t="s">
        <v>3329</v>
      </c>
      <c r="P1797" t="s">
        <v>3271</v>
      </c>
      <c r="Q1797" t="s">
        <v>7743</v>
      </c>
      <c r="R1797" t="s">
        <v>7744</v>
      </c>
    </row>
    <row r="1798" spans="1:18" x14ac:dyDescent="0.2">
      <c r="A1798">
        <v>2662066</v>
      </c>
      <c r="B1798" t="s">
        <v>7745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1</v>
      </c>
      <c r="K1798">
        <v>0</v>
      </c>
      <c r="L1798" t="s">
        <v>3284</v>
      </c>
      <c r="M1798" t="s">
        <v>3794</v>
      </c>
      <c r="N1798" t="s">
        <v>3795</v>
      </c>
      <c r="O1798" t="s">
        <v>7746</v>
      </c>
      <c r="P1798" t="s">
        <v>7747</v>
      </c>
      <c r="Q1798" t="s">
        <v>7748</v>
      </c>
      <c r="R1798" t="s">
        <v>7749</v>
      </c>
    </row>
    <row r="1799" spans="1:18" x14ac:dyDescent="0.2">
      <c r="A1799">
        <v>2656921</v>
      </c>
      <c r="B1799" t="s">
        <v>7750</v>
      </c>
      <c r="C1799">
        <v>1</v>
      </c>
      <c r="D1799">
        <v>1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 t="s">
        <v>3284</v>
      </c>
      <c r="M1799" t="s">
        <v>3296</v>
      </c>
      <c r="N1799" t="s">
        <v>3343</v>
      </c>
      <c r="O1799" t="s">
        <v>3371</v>
      </c>
      <c r="P1799" t="s">
        <v>3688</v>
      </c>
      <c r="Q1799" t="s">
        <v>7751</v>
      </c>
      <c r="R1799" t="s">
        <v>7752</v>
      </c>
    </row>
    <row r="1800" spans="1:18" x14ac:dyDescent="0.2">
      <c r="A1800">
        <v>2656915</v>
      </c>
      <c r="B1800" t="s">
        <v>7753</v>
      </c>
      <c r="C1800">
        <v>0</v>
      </c>
      <c r="D1800">
        <v>0</v>
      </c>
      <c r="E1800">
        <v>0</v>
      </c>
      <c r="F1800">
        <v>1</v>
      </c>
      <c r="G1800">
        <v>0</v>
      </c>
      <c r="H1800">
        <v>0</v>
      </c>
      <c r="I1800">
        <v>0</v>
      </c>
      <c r="J1800">
        <v>0</v>
      </c>
      <c r="K1800">
        <v>0</v>
      </c>
      <c r="L1800" t="s">
        <v>3284</v>
      </c>
      <c r="M1800" t="s">
        <v>3391</v>
      </c>
      <c r="N1800" t="s">
        <v>4129</v>
      </c>
      <c r="O1800" t="s">
        <v>4130</v>
      </c>
      <c r="P1800" t="s">
        <v>4131</v>
      </c>
      <c r="Q1800" t="s">
        <v>7754</v>
      </c>
      <c r="R1800" t="s">
        <v>7755</v>
      </c>
    </row>
    <row r="1801" spans="1:18" x14ac:dyDescent="0.2">
      <c r="A1801">
        <v>2656746</v>
      </c>
      <c r="B1801" t="s">
        <v>7756</v>
      </c>
      <c r="C1801">
        <v>0</v>
      </c>
      <c r="D1801">
        <v>0</v>
      </c>
      <c r="E1801">
        <v>0</v>
      </c>
      <c r="F1801">
        <v>20</v>
      </c>
      <c r="G1801">
        <v>14</v>
      </c>
      <c r="H1801">
        <v>4</v>
      </c>
      <c r="I1801">
        <v>0</v>
      </c>
      <c r="J1801">
        <v>0</v>
      </c>
      <c r="K1801">
        <v>0</v>
      </c>
      <c r="L1801" t="s">
        <v>3284</v>
      </c>
      <c r="M1801" t="s">
        <v>3296</v>
      </c>
      <c r="N1801" t="s">
        <v>3297</v>
      </c>
      <c r="O1801" t="s">
        <v>3469</v>
      </c>
      <c r="P1801" t="s">
        <v>3470</v>
      </c>
      <c r="Q1801" t="s">
        <v>3471</v>
      </c>
      <c r="R1801" t="s">
        <v>7757</v>
      </c>
    </row>
    <row r="1802" spans="1:18" x14ac:dyDescent="0.2">
      <c r="A1802">
        <v>2654978</v>
      </c>
      <c r="B1802" t="s">
        <v>7758</v>
      </c>
      <c r="C1802">
        <v>0</v>
      </c>
      <c r="D1802">
        <v>0</v>
      </c>
      <c r="E1802">
        <v>0</v>
      </c>
      <c r="F1802">
        <v>1</v>
      </c>
      <c r="G1802">
        <v>0</v>
      </c>
      <c r="H1802">
        <v>0</v>
      </c>
      <c r="I1802">
        <v>0</v>
      </c>
      <c r="J1802">
        <v>0</v>
      </c>
      <c r="K1802">
        <v>0</v>
      </c>
      <c r="L1802" t="s">
        <v>3284</v>
      </c>
      <c r="M1802" t="s">
        <v>3327</v>
      </c>
      <c r="N1802" t="s">
        <v>3376</v>
      </c>
      <c r="O1802" t="s">
        <v>3377</v>
      </c>
      <c r="P1802" t="s">
        <v>3604</v>
      </c>
      <c r="Q1802" t="s">
        <v>3668</v>
      </c>
      <c r="R1802" t="s">
        <v>7759</v>
      </c>
    </row>
    <row r="1803" spans="1:18" x14ac:dyDescent="0.2">
      <c r="A1803">
        <v>2654975</v>
      </c>
      <c r="B1803" t="s">
        <v>7760</v>
      </c>
      <c r="C1803">
        <v>0</v>
      </c>
      <c r="D1803">
        <v>1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 t="s">
        <v>3284</v>
      </c>
      <c r="M1803" t="s">
        <v>3327</v>
      </c>
      <c r="N1803" t="s">
        <v>3376</v>
      </c>
      <c r="O1803" t="s">
        <v>3377</v>
      </c>
      <c r="P1803" t="s">
        <v>3604</v>
      </c>
      <c r="Q1803" t="s">
        <v>3668</v>
      </c>
      <c r="R1803" t="s">
        <v>7761</v>
      </c>
    </row>
    <row r="1804" spans="1:18" x14ac:dyDescent="0.2">
      <c r="A1804">
        <v>2654676</v>
      </c>
      <c r="B1804" t="s">
        <v>7762</v>
      </c>
      <c r="C1804">
        <v>1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 t="s">
        <v>3284</v>
      </c>
      <c r="M1804" t="s">
        <v>3391</v>
      </c>
      <c r="N1804" t="s">
        <v>3411</v>
      </c>
      <c r="O1804" t="s">
        <v>3412</v>
      </c>
      <c r="P1804" t="s">
        <v>3413</v>
      </c>
      <c r="Q1804" t="s">
        <v>7763</v>
      </c>
      <c r="R1804" t="s">
        <v>7764</v>
      </c>
    </row>
    <row r="1805" spans="1:18" x14ac:dyDescent="0.2">
      <c r="A1805">
        <v>2654323</v>
      </c>
      <c r="B1805" t="s">
        <v>7765</v>
      </c>
      <c r="C1805">
        <v>1</v>
      </c>
      <c r="D1805">
        <v>1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 t="s">
        <v>3284</v>
      </c>
      <c r="M1805" t="s">
        <v>3391</v>
      </c>
      <c r="N1805" t="s">
        <v>3392</v>
      </c>
      <c r="O1805" t="s">
        <v>3393</v>
      </c>
      <c r="P1805" t="s">
        <v>3394</v>
      </c>
      <c r="Q1805" t="s">
        <v>4351</v>
      </c>
      <c r="R1805" t="s">
        <v>7766</v>
      </c>
    </row>
    <row r="1806" spans="1:18" x14ac:dyDescent="0.2">
      <c r="A1806">
        <v>2654322</v>
      </c>
      <c r="B1806" t="s">
        <v>7767</v>
      </c>
      <c r="C1806">
        <v>0</v>
      </c>
      <c r="D1806">
        <v>0</v>
      </c>
      <c r="E1806">
        <v>1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 t="s">
        <v>3284</v>
      </c>
      <c r="M1806" t="s">
        <v>3391</v>
      </c>
      <c r="N1806" t="s">
        <v>3392</v>
      </c>
      <c r="O1806" t="s">
        <v>3393</v>
      </c>
      <c r="P1806" t="s">
        <v>3394</v>
      </c>
      <c r="Q1806" t="s">
        <v>4351</v>
      </c>
      <c r="R1806" t="s">
        <v>7768</v>
      </c>
    </row>
    <row r="1807" spans="1:18" x14ac:dyDescent="0.2">
      <c r="A1807">
        <v>2654282</v>
      </c>
      <c r="B1807" t="s">
        <v>7769</v>
      </c>
      <c r="C1807">
        <v>0</v>
      </c>
      <c r="D1807">
        <v>1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 t="s">
        <v>3284</v>
      </c>
      <c r="M1807" t="s">
        <v>3296</v>
      </c>
      <c r="N1807" t="s">
        <v>3343</v>
      </c>
      <c r="O1807" t="s">
        <v>3344</v>
      </c>
      <c r="P1807" t="s">
        <v>6791</v>
      </c>
      <c r="Q1807" t="s">
        <v>7770</v>
      </c>
      <c r="R1807" t="s">
        <v>7771</v>
      </c>
    </row>
    <row r="1808" spans="1:18" x14ac:dyDescent="0.2">
      <c r="A1808">
        <v>2654254</v>
      </c>
      <c r="B1808" t="s">
        <v>7772</v>
      </c>
      <c r="C1808">
        <v>0</v>
      </c>
      <c r="D1808">
        <v>0</v>
      </c>
      <c r="E1808">
        <v>0</v>
      </c>
      <c r="F1808">
        <v>1</v>
      </c>
      <c r="G1808">
        <v>0</v>
      </c>
      <c r="H1808">
        <v>0</v>
      </c>
      <c r="I1808">
        <v>0</v>
      </c>
      <c r="J1808">
        <v>0</v>
      </c>
      <c r="K1808">
        <v>0</v>
      </c>
      <c r="L1808" t="s">
        <v>3284</v>
      </c>
      <c r="M1808" t="s">
        <v>3296</v>
      </c>
      <c r="N1808" t="s">
        <v>3321</v>
      </c>
      <c r="O1808" t="s">
        <v>3322</v>
      </c>
      <c r="P1808" t="s">
        <v>3323</v>
      </c>
      <c r="Q1808" t="s">
        <v>3577</v>
      </c>
      <c r="R1808" t="s">
        <v>7773</v>
      </c>
    </row>
    <row r="1809" spans="1:18" x14ac:dyDescent="0.2">
      <c r="A1809">
        <v>2654248</v>
      </c>
      <c r="B1809" t="s">
        <v>7774</v>
      </c>
      <c r="C1809">
        <v>0</v>
      </c>
      <c r="D1809">
        <v>1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 t="s">
        <v>3284</v>
      </c>
      <c r="M1809" t="s">
        <v>3296</v>
      </c>
      <c r="N1809" t="s">
        <v>3343</v>
      </c>
      <c r="O1809" t="s">
        <v>3344</v>
      </c>
      <c r="P1809" t="s">
        <v>3898</v>
      </c>
      <c r="Q1809" t="s">
        <v>3899</v>
      </c>
      <c r="R1809" t="s">
        <v>7775</v>
      </c>
    </row>
    <row r="1810" spans="1:18" x14ac:dyDescent="0.2">
      <c r="A1810">
        <v>2654216</v>
      </c>
      <c r="B1810" t="s">
        <v>7776</v>
      </c>
      <c r="C1810">
        <v>0</v>
      </c>
      <c r="D1810">
        <v>0</v>
      </c>
      <c r="E1810">
        <v>1</v>
      </c>
      <c r="F1810">
        <v>1</v>
      </c>
      <c r="G1810">
        <v>0</v>
      </c>
      <c r="H1810">
        <v>0</v>
      </c>
      <c r="I1810">
        <v>0</v>
      </c>
      <c r="J1810">
        <v>0</v>
      </c>
      <c r="K1810">
        <v>0</v>
      </c>
      <c r="L1810" t="s">
        <v>3284</v>
      </c>
      <c r="M1810" t="s">
        <v>3296</v>
      </c>
      <c r="N1810" t="s">
        <v>3343</v>
      </c>
      <c r="O1810" t="s">
        <v>3344</v>
      </c>
      <c r="P1810" t="s">
        <v>3355</v>
      </c>
      <c r="Q1810" t="s">
        <v>3846</v>
      </c>
      <c r="R1810" t="s">
        <v>7777</v>
      </c>
    </row>
    <row r="1811" spans="1:18" x14ac:dyDescent="0.2">
      <c r="A1811">
        <v>2654188</v>
      </c>
      <c r="B1811" t="s">
        <v>7778</v>
      </c>
      <c r="C1811">
        <v>1</v>
      </c>
      <c r="D1811">
        <v>0</v>
      </c>
      <c r="E1811">
        <v>1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 t="s">
        <v>3284</v>
      </c>
      <c r="M1811" t="s">
        <v>3296</v>
      </c>
      <c r="N1811" t="s">
        <v>3297</v>
      </c>
      <c r="O1811" t="s">
        <v>3298</v>
      </c>
      <c r="P1811" t="s">
        <v>3873</v>
      </c>
      <c r="Q1811" t="s">
        <v>5063</v>
      </c>
      <c r="R1811" t="s">
        <v>7779</v>
      </c>
    </row>
    <row r="1812" spans="1:18" x14ac:dyDescent="0.2">
      <c r="A1812">
        <v>2654181</v>
      </c>
      <c r="B1812" t="s">
        <v>7780</v>
      </c>
      <c r="C1812">
        <v>1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 t="s">
        <v>3284</v>
      </c>
      <c r="M1812" t="s">
        <v>3391</v>
      </c>
      <c r="N1812" t="s">
        <v>3392</v>
      </c>
      <c r="O1812" t="s">
        <v>3393</v>
      </c>
      <c r="P1812" t="s">
        <v>3394</v>
      </c>
      <c r="Q1812" t="s">
        <v>4351</v>
      </c>
      <c r="R1812" t="s">
        <v>7781</v>
      </c>
    </row>
    <row r="1813" spans="1:18" x14ac:dyDescent="0.2">
      <c r="A1813">
        <v>2653893</v>
      </c>
      <c r="B1813" t="s">
        <v>7782</v>
      </c>
      <c r="C1813">
        <v>0</v>
      </c>
      <c r="D1813">
        <v>0</v>
      </c>
      <c r="E1813">
        <v>0</v>
      </c>
      <c r="F1813">
        <v>5</v>
      </c>
      <c r="G1813">
        <v>2</v>
      </c>
      <c r="H1813">
        <v>0</v>
      </c>
      <c r="I1813">
        <v>0</v>
      </c>
      <c r="J1813">
        <v>0</v>
      </c>
      <c r="K1813">
        <v>0</v>
      </c>
      <c r="L1813" t="s">
        <v>3284</v>
      </c>
      <c r="M1813" t="s">
        <v>3296</v>
      </c>
      <c r="N1813" t="s">
        <v>3321</v>
      </c>
      <c r="O1813" t="s">
        <v>3322</v>
      </c>
      <c r="P1813" t="s">
        <v>3271</v>
      </c>
      <c r="Q1813" t="s">
        <v>4474</v>
      </c>
      <c r="R1813" t="s">
        <v>7783</v>
      </c>
    </row>
    <row r="1814" spans="1:18" x14ac:dyDescent="0.2">
      <c r="A1814">
        <v>2653855</v>
      </c>
      <c r="B1814" t="s">
        <v>7784</v>
      </c>
      <c r="C1814">
        <v>1</v>
      </c>
      <c r="D1814">
        <v>0</v>
      </c>
      <c r="E1814">
        <v>0</v>
      </c>
      <c r="F1814">
        <v>1</v>
      </c>
      <c r="G1814">
        <v>0</v>
      </c>
      <c r="H1814">
        <v>0</v>
      </c>
      <c r="I1814">
        <v>0</v>
      </c>
      <c r="J1814">
        <v>0</v>
      </c>
      <c r="K1814">
        <v>0</v>
      </c>
      <c r="L1814" t="s">
        <v>3284</v>
      </c>
      <c r="M1814" t="s">
        <v>3794</v>
      </c>
      <c r="N1814" t="s">
        <v>3795</v>
      </c>
      <c r="O1814" t="s">
        <v>7421</v>
      </c>
      <c r="P1814" t="s">
        <v>7422</v>
      </c>
      <c r="Q1814" t="s">
        <v>7785</v>
      </c>
      <c r="R1814" t="s">
        <v>7786</v>
      </c>
    </row>
    <row r="1815" spans="1:18" x14ac:dyDescent="0.2">
      <c r="A1815">
        <v>2653853</v>
      </c>
      <c r="B1815" t="s">
        <v>7787</v>
      </c>
      <c r="C1815">
        <v>0</v>
      </c>
      <c r="D1815">
        <v>0</v>
      </c>
      <c r="E1815">
        <v>0</v>
      </c>
      <c r="F1815">
        <v>0</v>
      </c>
      <c r="G1815">
        <v>1</v>
      </c>
      <c r="H1815">
        <v>0</v>
      </c>
      <c r="I1815">
        <v>0</v>
      </c>
      <c r="J1815">
        <v>0</v>
      </c>
      <c r="K1815">
        <v>0</v>
      </c>
      <c r="L1815" t="s">
        <v>3284</v>
      </c>
      <c r="M1815" t="s">
        <v>3296</v>
      </c>
      <c r="N1815" t="s">
        <v>3297</v>
      </c>
      <c r="O1815" t="s">
        <v>3434</v>
      </c>
      <c r="P1815" t="s">
        <v>3435</v>
      </c>
      <c r="Q1815" t="s">
        <v>3436</v>
      </c>
      <c r="R1815" t="s">
        <v>7788</v>
      </c>
    </row>
    <row r="1816" spans="1:18" x14ac:dyDescent="0.2">
      <c r="A1816">
        <v>2653189</v>
      </c>
      <c r="B1816" t="s">
        <v>7789</v>
      </c>
      <c r="C1816">
        <v>0</v>
      </c>
      <c r="D1816">
        <v>0</v>
      </c>
      <c r="E1816">
        <v>0</v>
      </c>
      <c r="F1816">
        <v>0</v>
      </c>
      <c r="G1816">
        <v>1</v>
      </c>
      <c r="H1816">
        <v>0</v>
      </c>
      <c r="I1816">
        <v>0</v>
      </c>
      <c r="J1816">
        <v>0</v>
      </c>
      <c r="K1816">
        <v>0</v>
      </c>
      <c r="L1816" t="s">
        <v>3284</v>
      </c>
      <c r="M1816" t="s">
        <v>4022</v>
      </c>
      <c r="N1816" t="s">
        <v>4023</v>
      </c>
      <c r="O1816" t="s">
        <v>7790</v>
      </c>
      <c r="P1816" t="s">
        <v>7791</v>
      </c>
      <c r="Q1816" t="s">
        <v>7792</v>
      </c>
      <c r="R1816" t="s">
        <v>7793</v>
      </c>
    </row>
    <row r="1817" spans="1:18" x14ac:dyDescent="0.2">
      <c r="A1817">
        <v>2653168</v>
      </c>
      <c r="B1817" t="s">
        <v>7794</v>
      </c>
      <c r="C1817">
        <v>1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 t="s">
        <v>3284</v>
      </c>
      <c r="M1817" t="s">
        <v>3296</v>
      </c>
      <c r="N1817" t="s">
        <v>3297</v>
      </c>
      <c r="O1817" t="s">
        <v>3434</v>
      </c>
      <c r="P1817" t="s">
        <v>3435</v>
      </c>
      <c r="Q1817" t="s">
        <v>3436</v>
      </c>
      <c r="R1817" t="s">
        <v>7795</v>
      </c>
    </row>
    <row r="1818" spans="1:18" x14ac:dyDescent="0.2">
      <c r="A1818">
        <v>2653163</v>
      </c>
      <c r="B1818" t="s">
        <v>7796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1</v>
      </c>
      <c r="I1818">
        <v>0</v>
      </c>
      <c r="J1818">
        <v>0</v>
      </c>
      <c r="K1818">
        <v>0</v>
      </c>
      <c r="L1818" t="s">
        <v>3284</v>
      </c>
      <c r="M1818" t="s">
        <v>3296</v>
      </c>
      <c r="N1818" t="s">
        <v>3297</v>
      </c>
      <c r="O1818" t="s">
        <v>3434</v>
      </c>
      <c r="P1818" t="s">
        <v>3435</v>
      </c>
      <c r="Q1818" t="s">
        <v>3436</v>
      </c>
      <c r="R1818" t="s">
        <v>7797</v>
      </c>
    </row>
    <row r="1819" spans="1:18" x14ac:dyDescent="0.2">
      <c r="A1819">
        <v>2653158</v>
      </c>
      <c r="B1819" t="s">
        <v>7798</v>
      </c>
      <c r="C1819">
        <v>0</v>
      </c>
      <c r="D1819">
        <v>0</v>
      </c>
      <c r="E1819">
        <v>0</v>
      </c>
      <c r="F1819">
        <v>0</v>
      </c>
      <c r="G1819">
        <v>1</v>
      </c>
      <c r="H1819">
        <v>0</v>
      </c>
      <c r="I1819">
        <v>0</v>
      </c>
      <c r="J1819">
        <v>0</v>
      </c>
      <c r="K1819">
        <v>0</v>
      </c>
      <c r="L1819" t="s">
        <v>3284</v>
      </c>
      <c r="M1819" t="s">
        <v>3296</v>
      </c>
      <c r="N1819" t="s">
        <v>3343</v>
      </c>
      <c r="O1819" t="s">
        <v>3349</v>
      </c>
      <c r="P1819" t="s">
        <v>3350</v>
      </c>
      <c r="Q1819" t="s">
        <v>3351</v>
      </c>
      <c r="R1819" t="s">
        <v>7799</v>
      </c>
    </row>
    <row r="1820" spans="1:18" x14ac:dyDescent="0.2">
      <c r="A1820">
        <v>2653152</v>
      </c>
      <c r="B1820" t="s">
        <v>7800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1</v>
      </c>
      <c r="J1820">
        <v>1</v>
      </c>
      <c r="K1820">
        <v>0</v>
      </c>
      <c r="L1820" t="s">
        <v>3284</v>
      </c>
      <c r="M1820" t="s">
        <v>3296</v>
      </c>
      <c r="N1820" t="s">
        <v>3321</v>
      </c>
      <c r="O1820" t="s">
        <v>3322</v>
      </c>
      <c r="P1820" t="s">
        <v>3323</v>
      </c>
      <c r="Q1820" t="s">
        <v>3324</v>
      </c>
      <c r="R1820" t="s">
        <v>7801</v>
      </c>
    </row>
    <row r="1821" spans="1:18" x14ac:dyDescent="0.2">
      <c r="A1821">
        <v>2653126</v>
      </c>
      <c r="B1821" t="s">
        <v>7802</v>
      </c>
      <c r="C1821">
        <v>0</v>
      </c>
      <c r="D1821">
        <v>0</v>
      </c>
      <c r="E1821">
        <v>0</v>
      </c>
      <c r="F1821">
        <v>1</v>
      </c>
      <c r="G1821">
        <v>0</v>
      </c>
      <c r="H1821">
        <v>0</v>
      </c>
      <c r="I1821">
        <v>0</v>
      </c>
      <c r="J1821">
        <v>0</v>
      </c>
      <c r="K1821">
        <v>0</v>
      </c>
      <c r="L1821" t="s">
        <v>3284</v>
      </c>
      <c r="M1821" t="s">
        <v>3307</v>
      </c>
      <c r="N1821" t="s">
        <v>3308</v>
      </c>
      <c r="O1821" t="s">
        <v>3309</v>
      </c>
      <c r="P1821" t="s">
        <v>3310</v>
      </c>
      <c r="Q1821" t="s">
        <v>7210</v>
      </c>
      <c r="R1821" t="s">
        <v>7803</v>
      </c>
    </row>
    <row r="1822" spans="1:18" x14ac:dyDescent="0.2">
      <c r="A1822">
        <v>2652291</v>
      </c>
      <c r="B1822" t="s">
        <v>7804</v>
      </c>
      <c r="C1822">
        <v>5</v>
      </c>
      <c r="D1822">
        <v>8</v>
      </c>
      <c r="E1822">
        <v>3</v>
      </c>
      <c r="F1822">
        <v>0</v>
      </c>
      <c r="G1822">
        <v>0</v>
      </c>
      <c r="H1822">
        <v>0</v>
      </c>
      <c r="I1822">
        <v>1</v>
      </c>
      <c r="J1822">
        <v>0</v>
      </c>
      <c r="K1822">
        <v>0</v>
      </c>
      <c r="L1822" t="s">
        <v>3284</v>
      </c>
      <c r="M1822" t="s">
        <v>3327</v>
      </c>
      <c r="N1822" t="s">
        <v>3328</v>
      </c>
      <c r="O1822" t="s">
        <v>3329</v>
      </c>
      <c r="P1822" t="s">
        <v>3330</v>
      </c>
      <c r="Q1822" t="s">
        <v>7805</v>
      </c>
      <c r="R1822" t="s">
        <v>7806</v>
      </c>
    </row>
    <row r="1823" spans="1:18" x14ac:dyDescent="0.2">
      <c r="A1823">
        <v>2652247</v>
      </c>
      <c r="B1823" t="s">
        <v>7807</v>
      </c>
      <c r="C1823">
        <v>6</v>
      </c>
      <c r="D1823">
        <v>4</v>
      </c>
      <c r="E1823">
        <v>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 t="s">
        <v>3284</v>
      </c>
      <c r="M1823" t="s">
        <v>3296</v>
      </c>
      <c r="N1823" t="s">
        <v>3343</v>
      </c>
      <c r="O1823" t="s">
        <v>3371</v>
      </c>
      <c r="P1823" t="s">
        <v>3688</v>
      </c>
      <c r="Q1823" t="s">
        <v>4278</v>
      </c>
      <c r="R1823" t="s">
        <v>7808</v>
      </c>
    </row>
    <row r="1824" spans="1:18" x14ac:dyDescent="0.2">
      <c r="A1824">
        <v>2652177</v>
      </c>
      <c r="B1824" t="s">
        <v>7809</v>
      </c>
      <c r="C1824">
        <v>0</v>
      </c>
      <c r="D1824">
        <v>0</v>
      </c>
      <c r="E1824">
        <v>0</v>
      </c>
      <c r="F1824">
        <v>0</v>
      </c>
      <c r="G1824">
        <v>1</v>
      </c>
      <c r="H1824">
        <v>0</v>
      </c>
      <c r="I1824">
        <v>0</v>
      </c>
      <c r="J1824">
        <v>0</v>
      </c>
      <c r="K1824">
        <v>0</v>
      </c>
      <c r="L1824" t="s">
        <v>3284</v>
      </c>
      <c r="M1824" t="s">
        <v>3296</v>
      </c>
      <c r="N1824" t="s">
        <v>3321</v>
      </c>
      <c r="O1824" t="s">
        <v>3322</v>
      </c>
      <c r="P1824" t="s">
        <v>4143</v>
      </c>
      <c r="Q1824" t="s">
        <v>7810</v>
      </c>
      <c r="R1824" t="s">
        <v>7811</v>
      </c>
    </row>
    <row r="1825" spans="1:18" x14ac:dyDescent="0.2">
      <c r="A1825">
        <v>2651974</v>
      </c>
      <c r="B1825" t="s">
        <v>7812</v>
      </c>
      <c r="C1825">
        <v>2</v>
      </c>
      <c r="D1825">
        <v>3</v>
      </c>
      <c r="E1825">
        <v>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 t="s">
        <v>3284</v>
      </c>
      <c r="M1825" t="s">
        <v>3296</v>
      </c>
      <c r="N1825" t="s">
        <v>3321</v>
      </c>
      <c r="O1825" t="s">
        <v>3322</v>
      </c>
      <c r="P1825" t="s">
        <v>3398</v>
      </c>
      <c r="Q1825" t="s">
        <v>3841</v>
      </c>
      <c r="R1825" t="s">
        <v>7813</v>
      </c>
    </row>
    <row r="1826" spans="1:18" x14ac:dyDescent="0.2">
      <c r="A1826">
        <v>2650926</v>
      </c>
      <c r="B1826" t="s">
        <v>7814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161</v>
      </c>
      <c r="J1826">
        <v>78</v>
      </c>
      <c r="K1826">
        <v>17</v>
      </c>
      <c r="L1826" t="s">
        <v>3284</v>
      </c>
      <c r="M1826" t="s">
        <v>3296</v>
      </c>
      <c r="N1826" t="s">
        <v>3343</v>
      </c>
      <c r="O1826" t="s">
        <v>3344</v>
      </c>
      <c r="P1826" t="s">
        <v>7815</v>
      </c>
      <c r="Q1826" t="s">
        <v>7816</v>
      </c>
      <c r="R1826" t="s">
        <v>7817</v>
      </c>
    </row>
    <row r="1827" spans="1:18" x14ac:dyDescent="0.2">
      <c r="A1827">
        <v>2650924</v>
      </c>
      <c r="B1827" t="s">
        <v>7818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56</v>
      </c>
      <c r="J1827">
        <v>36</v>
      </c>
      <c r="K1827">
        <v>6</v>
      </c>
      <c r="L1827" t="s">
        <v>3284</v>
      </c>
      <c r="M1827" t="s">
        <v>3296</v>
      </c>
      <c r="N1827" t="s">
        <v>3343</v>
      </c>
      <c r="O1827" t="s">
        <v>3344</v>
      </c>
      <c r="P1827" t="s">
        <v>7815</v>
      </c>
      <c r="Q1827" t="s">
        <v>7816</v>
      </c>
      <c r="R1827" t="s">
        <v>7819</v>
      </c>
    </row>
    <row r="1828" spans="1:18" x14ac:dyDescent="0.2">
      <c r="A1828">
        <v>2650750</v>
      </c>
      <c r="B1828" t="s">
        <v>7820</v>
      </c>
      <c r="C1828">
        <v>0</v>
      </c>
      <c r="D1828">
        <v>1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 t="s">
        <v>3284</v>
      </c>
      <c r="M1828" t="s">
        <v>3307</v>
      </c>
      <c r="N1828" t="s">
        <v>3308</v>
      </c>
      <c r="O1828" t="s">
        <v>7388</v>
      </c>
      <c r="P1828" t="s">
        <v>7389</v>
      </c>
      <c r="Q1828" t="s">
        <v>7390</v>
      </c>
      <c r="R1828" t="s">
        <v>7821</v>
      </c>
    </row>
    <row r="1829" spans="1:18" x14ac:dyDescent="0.2">
      <c r="A1829">
        <v>2650661</v>
      </c>
      <c r="B1829" t="s">
        <v>7822</v>
      </c>
      <c r="C1829">
        <v>1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 t="s">
        <v>3284</v>
      </c>
      <c r="M1829" t="s">
        <v>3296</v>
      </c>
      <c r="N1829" t="s">
        <v>3343</v>
      </c>
      <c r="O1829" t="s">
        <v>3371</v>
      </c>
      <c r="P1829" t="s">
        <v>3372</v>
      </c>
      <c r="Q1829" t="s">
        <v>7823</v>
      </c>
      <c r="R1829" t="s">
        <v>7824</v>
      </c>
    </row>
    <row r="1830" spans="1:18" x14ac:dyDescent="0.2">
      <c r="A1830">
        <v>2615184</v>
      </c>
      <c r="B1830" t="s">
        <v>7825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1</v>
      </c>
      <c r="J1830">
        <v>0</v>
      </c>
      <c r="K1830">
        <v>0</v>
      </c>
      <c r="L1830" t="s">
        <v>3284</v>
      </c>
      <c r="M1830" t="s">
        <v>3307</v>
      </c>
      <c r="N1830" t="s">
        <v>3308</v>
      </c>
      <c r="O1830" t="s">
        <v>3359</v>
      </c>
      <c r="P1830" t="s">
        <v>3360</v>
      </c>
      <c r="Q1830" t="s">
        <v>3361</v>
      </c>
      <c r="R1830" t="s">
        <v>7826</v>
      </c>
    </row>
    <row r="1831" spans="1:18" x14ac:dyDescent="0.2">
      <c r="A1831">
        <v>2614693</v>
      </c>
      <c r="B1831" t="s">
        <v>7827</v>
      </c>
      <c r="C1831">
        <v>0</v>
      </c>
      <c r="D1831">
        <v>0</v>
      </c>
      <c r="E1831">
        <v>0</v>
      </c>
      <c r="F1831">
        <v>1</v>
      </c>
      <c r="G1831">
        <v>0</v>
      </c>
      <c r="H1831">
        <v>0</v>
      </c>
      <c r="I1831">
        <v>0</v>
      </c>
      <c r="J1831">
        <v>0</v>
      </c>
      <c r="K1831">
        <v>0</v>
      </c>
      <c r="L1831" t="s">
        <v>3284</v>
      </c>
      <c r="M1831" t="s">
        <v>3296</v>
      </c>
      <c r="N1831" t="s">
        <v>3297</v>
      </c>
      <c r="O1831" t="s">
        <v>4500</v>
      </c>
      <c r="P1831" t="s">
        <v>5719</v>
      </c>
      <c r="Q1831" t="s">
        <v>7828</v>
      </c>
      <c r="R1831" t="s">
        <v>7829</v>
      </c>
    </row>
    <row r="1832" spans="1:18" x14ac:dyDescent="0.2">
      <c r="A1832">
        <v>2614638</v>
      </c>
      <c r="B1832" t="s">
        <v>7830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2</v>
      </c>
      <c r="K1832">
        <v>0</v>
      </c>
      <c r="L1832" t="s">
        <v>3284</v>
      </c>
      <c r="M1832" t="s">
        <v>3307</v>
      </c>
      <c r="N1832" t="s">
        <v>3308</v>
      </c>
      <c r="O1832" t="s">
        <v>3359</v>
      </c>
      <c r="P1832" t="s">
        <v>3360</v>
      </c>
      <c r="Q1832" t="s">
        <v>3361</v>
      </c>
      <c r="R1832" t="s">
        <v>7831</v>
      </c>
    </row>
    <row r="1833" spans="1:18" x14ac:dyDescent="0.2">
      <c r="A1833">
        <v>2614441</v>
      </c>
      <c r="B1833" t="s">
        <v>7832</v>
      </c>
      <c r="C1833">
        <v>0</v>
      </c>
      <c r="D1833">
        <v>0</v>
      </c>
      <c r="E1833">
        <v>0</v>
      </c>
      <c r="F1833">
        <v>0</v>
      </c>
      <c r="G1833">
        <v>2</v>
      </c>
      <c r="H1833">
        <v>0</v>
      </c>
      <c r="I1833">
        <v>0</v>
      </c>
      <c r="J1833">
        <v>0</v>
      </c>
      <c r="K1833">
        <v>0</v>
      </c>
      <c r="L1833" t="s">
        <v>3284</v>
      </c>
      <c r="M1833" t="s">
        <v>3391</v>
      </c>
      <c r="N1833" t="s">
        <v>3411</v>
      </c>
      <c r="O1833" t="s">
        <v>3412</v>
      </c>
      <c r="P1833" t="s">
        <v>3413</v>
      </c>
      <c r="Q1833" t="s">
        <v>3414</v>
      </c>
      <c r="R1833" t="s">
        <v>7833</v>
      </c>
    </row>
    <row r="1834" spans="1:18" x14ac:dyDescent="0.2">
      <c r="A1834">
        <v>2613773</v>
      </c>
      <c r="B1834" t="s">
        <v>7834</v>
      </c>
      <c r="C1834">
        <v>0</v>
      </c>
      <c r="D1834">
        <v>0</v>
      </c>
      <c r="E1834">
        <v>0</v>
      </c>
      <c r="F1834">
        <v>2</v>
      </c>
      <c r="G1834">
        <v>0</v>
      </c>
      <c r="H1834">
        <v>0</v>
      </c>
      <c r="I1834">
        <v>0</v>
      </c>
      <c r="J1834">
        <v>0</v>
      </c>
      <c r="K1834">
        <v>0</v>
      </c>
      <c r="L1834" t="s">
        <v>3284</v>
      </c>
      <c r="M1834" t="s">
        <v>3296</v>
      </c>
      <c r="N1834" t="s">
        <v>3343</v>
      </c>
      <c r="O1834" t="s">
        <v>3344</v>
      </c>
      <c r="P1834" t="s">
        <v>3355</v>
      </c>
      <c r="Q1834" t="s">
        <v>7835</v>
      </c>
      <c r="R1834" t="s">
        <v>7836</v>
      </c>
    </row>
    <row r="1835" spans="1:18" x14ac:dyDescent="0.2">
      <c r="A1835">
        <v>2610898</v>
      </c>
      <c r="B1835" t="s">
        <v>7837</v>
      </c>
      <c r="C1835">
        <v>2</v>
      </c>
      <c r="D1835">
        <v>2</v>
      </c>
      <c r="E1835">
        <v>3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 t="s">
        <v>3284</v>
      </c>
      <c r="M1835" t="s">
        <v>3296</v>
      </c>
      <c r="N1835" t="s">
        <v>3321</v>
      </c>
      <c r="O1835" t="s">
        <v>3322</v>
      </c>
      <c r="P1835" t="s">
        <v>3398</v>
      </c>
      <c r="Q1835" t="s">
        <v>3841</v>
      </c>
      <c r="R1835" t="s">
        <v>7838</v>
      </c>
    </row>
    <row r="1836" spans="1:18" x14ac:dyDescent="0.2">
      <c r="A1836">
        <v>2610893</v>
      </c>
      <c r="B1836" t="s">
        <v>7839</v>
      </c>
      <c r="C1836">
        <v>0</v>
      </c>
      <c r="D1836">
        <v>1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 t="s">
        <v>3284</v>
      </c>
      <c r="M1836" t="s">
        <v>3296</v>
      </c>
      <c r="N1836" t="s">
        <v>3297</v>
      </c>
      <c r="O1836" t="s">
        <v>3434</v>
      </c>
      <c r="P1836" t="s">
        <v>3435</v>
      </c>
      <c r="Q1836" t="s">
        <v>3436</v>
      </c>
      <c r="R1836" t="s">
        <v>7840</v>
      </c>
    </row>
    <row r="1837" spans="1:18" x14ac:dyDescent="0.2">
      <c r="A1837">
        <v>2609961</v>
      </c>
      <c r="B1837" t="s">
        <v>7841</v>
      </c>
      <c r="C1837">
        <v>0</v>
      </c>
      <c r="D1837">
        <v>0</v>
      </c>
      <c r="E1837">
        <v>0</v>
      </c>
      <c r="F1837">
        <v>1</v>
      </c>
      <c r="G1837">
        <v>0</v>
      </c>
      <c r="H1837">
        <v>1</v>
      </c>
      <c r="I1837">
        <v>0</v>
      </c>
      <c r="J1837">
        <v>0</v>
      </c>
      <c r="K1837">
        <v>0</v>
      </c>
      <c r="L1837" t="s">
        <v>3284</v>
      </c>
      <c r="M1837" t="s">
        <v>3296</v>
      </c>
      <c r="N1837" t="s">
        <v>3297</v>
      </c>
      <c r="O1837" t="s">
        <v>3434</v>
      </c>
      <c r="P1837" t="s">
        <v>3435</v>
      </c>
      <c r="Q1837" t="s">
        <v>3436</v>
      </c>
      <c r="R1837" t="s">
        <v>7842</v>
      </c>
    </row>
    <row r="1838" spans="1:18" x14ac:dyDescent="0.2">
      <c r="A1838">
        <v>2609467</v>
      </c>
      <c r="B1838" t="s">
        <v>7843</v>
      </c>
      <c r="C1838">
        <v>1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 t="s">
        <v>3284</v>
      </c>
      <c r="M1838" t="s">
        <v>3296</v>
      </c>
      <c r="N1838" t="s">
        <v>3321</v>
      </c>
      <c r="O1838" t="s">
        <v>7844</v>
      </c>
      <c r="P1838" t="s">
        <v>7845</v>
      </c>
      <c r="Q1838" t="s">
        <v>7846</v>
      </c>
      <c r="R1838" t="s">
        <v>7847</v>
      </c>
    </row>
    <row r="1839" spans="1:18" x14ac:dyDescent="0.2">
      <c r="A1839">
        <v>2609253</v>
      </c>
      <c r="B1839" t="s">
        <v>7848</v>
      </c>
      <c r="C1839">
        <v>0</v>
      </c>
      <c r="D1839">
        <v>0</v>
      </c>
      <c r="E1839">
        <v>0</v>
      </c>
      <c r="F1839">
        <v>0</v>
      </c>
      <c r="G1839">
        <v>1</v>
      </c>
      <c r="H1839">
        <v>0</v>
      </c>
      <c r="I1839">
        <v>0</v>
      </c>
      <c r="J1839">
        <v>0</v>
      </c>
      <c r="K1839">
        <v>0</v>
      </c>
      <c r="L1839" t="s">
        <v>3284</v>
      </c>
      <c r="M1839" t="s">
        <v>3307</v>
      </c>
      <c r="N1839" t="s">
        <v>3308</v>
      </c>
      <c r="O1839" t="s">
        <v>3359</v>
      </c>
      <c r="P1839" t="s">
        <v>3360</v>
      </c>
      <c r="Q1839" t="s">
        <v>4062</v>
      </c>
      <c r="R1839" t="s">
        <v>7849</v>
      </c>
    </row>
    <row r="1840" spans="1:18" x14ac:dyDescent="0.2">
      <c r="A1840">
        <v>2609000</v>
      </c>
      <c r="B1840" t="s">
        <v>7850</v>
      </c>
      <c r="C1840">
        <v>0</v>
      </c>
      <c r="D1840">
        <v>0</v>
      </c>
      <c r="E1840">
        <v>0</v>
      </c>
      <c r="F1840">
        <v>1</v>
      </c>
      <c r="G1840">
        <v>0</v>
      </c>
      <c r="H1840">
        <v>0</v>
      </c>
      <c r="I1840">
        <v>0</v>
      </c>
      <c r="J1840">
        <v>0</v>
      </c>
      <c r="K1840">
        <v>0</v>
      </c>
      <c r="L1840" t="s">
        <v>3284</v>
      </c>
      <c r="M1840" t="s">
        <v>3296</v>
      </c>
      <c r="N1840" t="s">
        <v>3321</v>
      </c>
      <c r="O1840" t="s">
        <v>3322</v>
      </c>
      <c r="P1840" t="s">
        <v>3323</v>
      </c>
      <c r="Q1840" t="s">
        <v>3324</v>
      </c>
      <c r="R1840" t="s">
        <v>7851</v>
      </c>
    </row>
    <row r="1841" spans="1:18" x14ac:dyDescent="0.2">
      <c r="A1841">
        <v>2608987</v>
      </c>
      <c r="B1841" t="s">
        <v>7852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1</v>
      </c>
      <c r="K1841">
        <v>0</v>
      </c>
      <c r="L1841" t="s">
        <v>3284</v>
      </c>
      <c r="M1841" t="s">
        <v>3296</v>
      </c>
      <c r="N1841" t="s">
        <v>3343</v>
      </c>
      <c r="O1841" t="s">
        <v>3344</v>
      </c>
      <c r="P1841" t="s">
        <v>4532</v>
      </c>
      <c r="Q1841" t="s">
        <v>7853</v>
      </c>
      <c r="R1841" t="s">
        <v>7854</v>
      </c>
    </row>
    <row r="1842" spans="1:18" x14ac:dyDescent="0.2">
      <c r="A1842">
        <v>2608689</v>
      </c>
      <c r="B1842" t="s">
        <v>7855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1</v>
      </c>
      <c r="J1842">
        <v>0</v>
      </c>
      <c r="K1842">
        <v>0</v>
      </c>
      <c r="L1842" t="s">
        <v>3284</v>
      </c>
      <c r="M1842" t="s">
        <v>3327</v>
      </c>
      <c r="N1842" t="s">
        <v>3376</v>
      </c>
      <c r="O1842" t="s">
        <v>3377</v>
      </c>
      <c r="P1842" t="s">
        <v>3378</v>
      </c>
      <c r="Q1842" t="s">
        <v>3379</v>
      </c>
      <c r="R1842" t="s">
        <v>7856</v>
      </c>
    </row>
    <row r="1843" spans="1:18" x14ac:dyDescent="0.2">
      <c r="A1843">
        <v>2608341</v>
      </c>
      <c r="B1843" t="s">
        <v>7857</v>
      </c>
      <c r="C1843">
        <v>3</v>
      </c>
      <c r="D1843">
        <v>0</v>
      </c>
      <c r="E1843">
        <v>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 t="s">
        <v>3284</v>
      </c>
      <c r="M1843" t="s">
        <v>3296</v>
      </c>
      <c r="N1843" t="s">
        <v>3321</v>
      </c>
      <c r="O1843" t="s">
        <v>3322</v>
      </c>
      <c r="P1843" t="s">
        <v>3398</v>
      </c>
      <c r="Q1843" t="s">
        <v>3806</v>
      </c>
      <c r="R1843" t="s">
        <v>7858</v>
      </c>
    </row>
    <row r="1844" spans="1:18" x14ac:dyDescent="0.2">
      <c r="A1844">
        <v>2608001</v>
      </c>
      <c r="B1844" t="s">
        <v>7859</v>
      </c>
      <c r="C1844">
        <v>0</v>
      </c>
      <c r="D1844">
        <v>0</v>
      </c>
      <c r="E1844">
        <v>0</v>
      </c>
      <c r="F1844">
        <v>0</v>
      </c>
      <c r="G1844">
        <v>1</v>
      </c>
      <c r="H1844">
        <v>0</v>
      </c>
      <c r="I1844">
        <v>0</v>
      </c>
      <c r="J1844">
        <v>0</v>
      </c>
      <c r="K1844">
        <v>0</v>
      </c>
      <c r="L1844" t="s">
        <v>3284</v>
      </c>
      <c r="M1844" t="s">
        <v>3391</v>
      </c>
      <c r="N1844" t="s">
        <v>4129</v>
      </c>
      <c r="O1844" t="s">
        <v>4130</v>
      </c>
      <c r="P1844" t="s">
        <v>4131</v>
      </c>
      <c r="Q1844" t="s">
        <v>7860</v>
      </c>
      <c r="R1844" t="s">
        <v>7861</v>
      </c>
    </row>
    <row r="1845" spans="1:18" x14ac:dyDescent="0.2">
      <c r="A1845">
        <v>2607839</v>
      </c>
      <c r="B1845" t="s">
        <v>7862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1</v>
      </c>
      <c r="J1845">
        <v>0</v>
      </c>
      <c r="K1845">
        <v>0</v>
      </c>
      <c r="L1845" t="s">
        <v>3284</v>
      </c>
      <c r="M1845" t="s">
        <v>4022</v>
      </c>
      <c r="N1845" t="s">
        <v>4023</v>
      </c>
      <c r="O1845" t="s">
        <v>6292</v>
      </c>
      <c r="P1845" t="s">
        <v>7541</v>
      </c>
      <c r="Q1845" t="s">
        <v>7863</v>
      </c>
      <c r="R1845" t="s">
        <v>7864</v>
      </c>
    </row>
    <row r="1846" spans="1:18" x14ac:dyDescent="0.2">
      <c r="A1846">
        <v>2607831</v>
      </c>
      <c r="B1846" t="s">
        <v>7865</v>
      </c>
      <c r="C1846">
        <v>1</v>
      </c>
      <c r="D1846">
        <v>0</v>
      </c>
      <c r="E1846">
        <v>1</v>
      </c>
      <c r="F1846">
        <v>1</v>
      </c>
      <c r="G1846">
        <v>0</v>
      </c>
      <c r="H1846">
        <v>0</v>
      </c>
      <c r="I1846">
        <v>0</v>
      </c>
      <c r="J1846">
        <v>0</v>
      </c>
      <c r="K1846">
        <v>1</v>
      </c>
      <c r="L1846" t="s">
        <v>3284</v>
      </c>
      <c r="M1846" t="s">
        <v>4022</v>
      </c>
      <c r="N1846" t="s">
        <v>4023</v>
      </c>
      <c r="O1846" t="s">
        <v>6292</v>
      </c>
      <c r="P1846" t="s">
        <v>7541</v>
      </c>
      <c r="Q1846" t="s">
        <v>7863</v>
      </c>
      <c r="R1846" t="s">
        <v>7866</v>
      </c>
    </row>
    <row r="1847" spans="1:18" x14ac:dyDescent="0.2">
      <c r="A1847">
        <v>2607827</v>
      </c>
      <c r="B1847" t="s">
        <v>7867</v>
      </c>
      <c r="C1847">
        <v>1</v>
      </c>
      <c r="D1847">
        <v>2</v>
      </c>
      <c r="E1847">
        <v>1</v>
      </c>
      <c r="F1847">
        <v>0</v>
      </c>
      <c r="G1847">
        <v>0</v>
      </c>
      <c r="H1847">
        <v>0</v>
      </c>
      <c r="I1847">
        <v>2</v>
      </c>
      <c r="J1847">
        <v>1</v>
      </c>
      <c r="K1847">
        <v>1</v>
      </c>
      <c r="L1847" t="s">
        <v>3284</v>
      </c>
      <c r="M1847" t="s">
        <v>4022</v>
      </c>
      <c r="N1847" t="s">
        <v>4023</v>
      </c>
      <c r="O1847" t="s">
        <v>6292</v>
      </c>
      <c r="P1847" t="s">
        <v>7541</v>
      </c>
      <c r="Q1847" t="s">
        <v>7863</v>
      </c>
      <c r="R1847" t="s">
        <v>7868</v>
      </c>
    </row>
    <row r="1848" spans="1:18" x14ac:dyDescent="0.2">
      <c r="A1848">
        <v>2607817</v>
      </c>
      <c r="B1848" t="s">
        <v>7869</v>
      </c>
      <c r="C1848">
        <v>1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 t="s">
        <v>3284</v>
      </c>
      <c r="M1848" t="s">
        <v>4022</v>
      </c>
      <c r="N1848" t="s">
        <v>4023</v>
      </c>
      <c r="O1848" t="s">
        <v>6292</v>
      </c>
      <c r="P1848" t="s">
        <v>7541</v>
      </c>
      <c r="Q1848" t="s">
        <v>7863</v>
      </c>
      <c r="R1848" t="s">
        <v>7870</v>
      </c>
    </row>
    <row r="1849" spans="1:18" x14ac:dyDescent="0.2">
      <c r="A1849">
        <v>2607654</v>
      </c>
      <c r="B1849" t="s">
        <v>7871</v>
      </c>
      <c r="C1849">
        <v>0</v>
      </c>
      <c r="D1849">
        <v>0</v>
      </c>
      <c r="E1849">
        <v>0</v>
      </c>
      <c r="F1849">
        <v>1</v>
      </c>
      <c r="G1849">
        <v>0</v>
      </c>
      <c r="H1849">
        <v>0</v>
      </c>
      <c r="I1849">
        <v>0</v>
      </c>
      <c r="J1849">
        <v>0</v>
      </c>
      <c r="K1849">
        <v>0</v>
      </c>
      <c r="L1849" t="s">
        <v>3284</v>
      </c>
      <c r="M1849" t="s">
        <v>3391</v>
      </c>
      <c r="N1849" t="s">
        <v>3740</v>
      </c>
      <c r="O1849" t="s">
        <v>3741</v>
      </c>
      <c r="P1849" t="s">
        <v>3742</v>
      </c>
      <c r="Q1849" t="s">
        <v>7872</v>
      </c>
      <c r="R1849" t="s">
        <v>7873</v>
      </c>
    </row>
    <row r="1850" spans="1:18" x14ac:dyDescent="0.2">
      <c r="A1850">
        <v>2607653</v>
      </c>
      <c r="B1850" t="s">
        <v>7874</v>
      </c>
      <c r="C1850">
        <v>0</v>
      </c>
      <c r="D1850">
        <v>0</v>
      </c>
      <c r="E1850">
        <v>0</v>
      </c>
      <c r="F1850">
        <v>1</v>
      </c>
      <c r="G1850">
        <v>0</v>
      </c>
      <c r="H1850">
        <v>0</v>
      </c>
      <c r="I1850">
        <v>0</v>
      </c>
      <c r="J1850">
        <v>0</v>
      </c>
      <c r="K1850">
        <v>0</v>
      </c>
      <c r="L1850" t="s">
        <v>3284</v>
      </c>
      <c r="M1850" t="s">
        <v>3391</v>
      </c>
      <c r="N1850" t="s">
        <v>4129</v>
      </c>
      <c r="O1850" t="s">
        <v>4130</v>
      </c>
      <c r="P1850" t="s">
        <v>4131</v>
      </c>
      <c r="Q1850" t="s">
        <v>4132</v>
      </c>
      <c r="R1850" t="s">
        <v>7875</v>
      </c>
    </row>
    <row r="1851" spans="1:18" x14ac:dyDescent="0.2">
      <c r="A1851">
        <v>2607614</v>
      </c>
      <c r="B1851" t="s">
        <v>7876</v>
      </c>
      <c r="C1851">
        <v>0</v>
      </c>
      <c r="D1851">
        <v>1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 t="s">
        <v>3284</v>
      </c>
      <c r="M1851" t="s">
        <v>3327</v>
      </c>
      <c r="N1851" t="s">
        <v>4384</v>
      </c>
      <c r="O1851" t="s">
        <v>4605</v>
      </c>
      <c r="P1851" t="s">
        <v>4606</v>
      </c>
      <c r="Q1851" t="s">
        <v>4607</v>
      </c>
      <c r="R1851" t="s">
        <v>7877</v>
      </c>
    </row>
    <row r="1852" spans="1:18" x14ac:dyDescent="0.2">
      <c r="A1852">
        <v>2606717</v>
      </c>
      <c r="B1852" t="s">
        <v>7878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1</v>
      </c>
      <c r="K1852">
        <v>0</v>
      </c>
      <c r="L1852" t="s">
        <v>3284</v>
      </c>
      <c r="M1852" t="s">
        <v>3296</v>
      </c>
      <c r="N1852" t="s">
        <v>3343</v>
      </c>
      <c r="O1852" t="s">
        <v>3344</v>
      </c>
      <c r="P1852" t="s">
        <v>4347</v>
      </c>
      <c r="Q1852" t="s">
        <v>7879</v>
      </c>
      <c r="R1852" t="s">
        <v>7880</v>
      </c>
    </row>
    <row r="1853" spans="1:18" x14ac:dyDescent="0.2">
      <c r="A1853">
        <v>2606600</v>
      </c>
      <c r="B1853" t="s">
        <v>7881</v>
      </c>
      <c r="C1853">
        <v>0</v>
      </c>
      <c r="D1853">
        <v>0</v>
      </c>
      <c r="E1853">
        <v>0</v>
      </c>
      <c r="F1853">
        <v>9</v>
      </c>
      <c r="G1853">
        <v>14</v>
      </c>
      <c r="H1853">
        <v>1</v>
      </c>
      <c r="I1853">
        <v>0</v>
      </c>
      <c r="J1853">
        <v>0</v>
      </c>
      <c r="K1853">
        <v>0</v>
      </c>
      <c r="L1853" t="s">
        <v>3284</v>
      </c>
      <c r="M1853" t="s">
        <v>3391</v>
      </c>
      <c r="N1853" t="s">
        <v>3740</v>
      </c>
      <c r="O1853" t="s">
        <v>3741</v>
      </c>
      <c r="P1853" t="s">
        <v>3742</v>
      </c>
      <c r="Q1853" t="s">
        <v>4598</v>
      </c>
      <c r="R1853" t="s">
        <v>7882</v>
      </c>
    </row>
    <row r="1854" spans="1:18" x14ac:dyDescent="0.2">
      <c r="A1854">
        <v>2606431</v>
      </c>
      <c r="B1854" t="s">
        <v>7883</v>
      </c>
      <c r="C1854">
        <v>0</v>
      </c>
      <c r="D1854">
        <v>0</v>
      </c>
      <c r="E1854">
        <v>0</v>
      </c>
      <c r="F1854">
        <v>4</v>
      </c>
      <c r="G1854">
        <v>0</v>
      </c>
      <c r="H1854">
        <v>0</v>
      </c>
      <c r="I1854">
        <v>0</v>
      </c>
      <c r="J1854">
        <v>0</v>
      </c>
      <c r="K1854">
        <v>0</v>
      </c>
      <c r="L1854" t="s">
        <v>3284</v>
      </c>
      <c r="M1854" t="s">
        <v>3391</v>
      </c>
      <c r="N1854" t="s">
        <v>3411</v>
      </c>
      <c r="O1854" t="s">
        <v>3412</v>
      </c>
      <c r="P1854" t="s">
        <v>3564</v>
      </c>
      <c r="Q1854" t="s">
        <v>3803</v>
      </c>
      <c r="R1854" t="s">
        <v>7884</v>
      </c>
    </row>
    <row r="1855" spans="1:18" x14ac:dyDescent="0.2">
      <c r="A1855">
        <v>2606412</v>
      </c>
      <c r="B1855" t="s">
        <v>7885</v>
      </c>
      <c r="C1855">
        <v>0</v>
      </c>
      <c r="D1855">
        <v>0</v>
      </c>
      <c r="E1855">
        <v>0</v>
      </c>
      <c r="F1855">
        <v>1</v>
      </c>
      <c r="G1855">
        <v>1</v>
      </c>
      <c r="H1855">
        <v>0</v>
      </c>
      <c r="I1855">
        <v>0</v>
      </c>
      <c r="J1855">
        <v>0</v>
      </c>
      <c r="K1855">
        <v>0</v>
      </c>
      <c r="L1855" t="s">
        <v>3284</v>
      </c>
      <c r="M1855" t="s">
        <v>3296</v>
      </c>
      <c r="N1855" t="s">
        <v>3343</v>
      </c>
      <c r="O1855" t="s">
        <v>3349</v>
      </c>
      <c r="P1855" t="s">
        <v>3350</v>
      </c>
      <c r="Q1855" t="s">
        <v>3580</v>
      </c>
      <c r="R1855" t="s">
        <v>7886</v>
      </c>
    </row>
    <row r="1856" spans="1:18" x14ac:dyDescent="0.2">
      <c r="A1856">
        <v>2606214</v>
      </c>
      <c r="B1856" t="s">
        <v>7887</v>
      </c>
      <c r="C1856">
        <v>0</v>
      </c>
      <c r="D1856">
        <v>2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 t="s">
        <v>3284</v>
      </c>
      <c r="M1856" t="s">
        <v>3296</v>
      </c>
      <c r="N1856" t="s">
        <v>3321</v>
      </c>
      <c r="O1856" t="s">
        <v>3322</v>
      </c>
      <c r="P1856" t="s">
        <v>3398</v>
      </c>
      <c r="Q1856" t="s">
        <v>3806</v>
      </c>
      <c r="R1856" t="s">
        <v>7888</v>
      </c>
    </row>
    <row r="1857" spans="1:18" x14ac:dyDescent="0.2">
      <c r="A1857">
        <v>2605778</v>
      </c>
      <c r="B1857" t="s">
        <v>7889</v>
      </c>
      <c r="C1857">
        <v>0</v>
      </c>
      <c r="D1857">
        <v>0</v>
      </c>
      <c r="E1857">
        <v>1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 t="s">
        <v>3284</v>
      </c>
      <c r="M1857" t="s">
        <v>3327</v>
      </c>
      <c r="N1857" t="s">
        <v>3328</v>
      </c>
      <c r="O1857" t="s">
        <v>3329</v>
      </c>
      <c r="P1857" t="s">
        <v>3330</v>
      </c>
      <c r="Q1857" t="s">
        <v>3331</v>
      </c>
      <c r="R1857" t="s">
        <v>7890</v>
      </c>
    </row>
    <row r="1858" spans="1:18" x14ac:dyDescent="0.2">
      <c r="A1858">
        <v>2605777</v>
      </c>
      <c r="B1858" t="s">
        <v>7891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1</v>
      </c>
      <c r="J1858">
        <v>0</v>
      </c>
      <c r="K1858">
        <v>0</v>
      </c>
      <c r="L1858" t="s">
        <v>3284</v>
      </c>
      <c r="M1858" t="s">
        <v>3327</v>
      </c>
      <c r="N1858" t="s">
        <v>3328</v>
      </c>
      <c r="O1858" t="s">
        <v>3329</v>
      </c>
      <c r="P1858" t="s">
        <v>3330</v>
      </c>
      <c r="Q1858" t="s">
        <v>3331</v>
      </c>
      <c r="R1858" t="s">
        <v>7892</v>
      </c>
    </row>
    <row r="1859" spans="1:18" x14ac:dyDescent="0.2">
      <c r="A1859">
        <v>2605746</v>
      </c>
      <c r="B1859" t="s">
        <v>7893</v>
      </c>
      <c r="C1859">
        <v>1</v>
      </c>
      <c r="D1859">
        <v>0</v>
      </c>
      <c r="E1859">
        <v>1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 t="s">
        <v>3284</v>
      </c>
      <c r="M1859" t="s">
        <v>3296</v>
      </c>
      <c r="N1859" t="s">
        <v>3321</v>
      </c>
      <c r="O1859" t="s">
        <v>3322</v>
      </c>
      <c r="P1859" t="s">
        <v>3323</v>
      </c>
      <c r="Q1859" t="s">
        <v>3518</v>
      </c>
      <c r="R1859" t="s">
        <v>7894</v>
      </c>
    </row>
    <row r="1860" spans="1:18" x14ac:dyDescent="0.2">
      <c r="A1860">
        <v>2605745</v>
      </c>
      <c r="B1860" t="s">
        <v>7895</v>
      </c>
      <c r="C1860">
        <v>2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 t="s">
        <v>3284</v>
      </c>
      <c r="M1860" t="s">
        <v>3296</v>
      </c>
      <c r="N1860" t="s">
        <v>3321</v>
      </c>
      <c r="O1860" t="s">
        <v>3322</v>
      </c>
      <c r="P1860" t="s">
        <v>3398</v>
      </c>
      <c r="Q1860" t="s">
        <v>3806</v>
      </c>
      <c r="R1860" t="s">
        <v>7896</v>
      </c>
    </row>
    <row r="1861" spans="1:18" x14ac:dyDescent="0.2">
      <c r="A1861">
        <v>2604423</v>
      </c>
      <c r="B1861" t="s">
        <v>7897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1</v>
      </c>
      <c r="J1861">
        <v>0</v>
      </c>
      <c r="K1861">
        <v>0</v>
      </c>
      <c r="L1861" t="s">
        <v>3284</v>
      </c>
      <c r="M1861" t="s">
        <v>3307</v>
      </c>
      <c r="N1861" t="s">
        <v>3308</v>
      </c>
      <c r="O1861" t="s">
        <v>3359</v>
      </c>
      <c r="P1861" t="s">
        <v>3360</v>
      </c>
      <c r="Q1861" t="s">
        <v>3364</v>
      </c>
      <c r="R1861" t="s">
        <v>7898</v>
      </c>
    </row>
    <row r="1862" spans="1:18" x14ac:dyDescent="0.2">
      <c r="A1862">
        <v>2603900</v>
      </c>
      <c r="B1862" t="s">
        <v>7899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1</v>
      </c>
      <c r="J1862">
        <v>0</v>
      </c>
      <c r="K1862">
        <v>0</v>
      </c>
      <c r="L1862" t="s">
        <v>3284</v>
      </c>
      <c r="M1862" t="s">
        <v>3296</v>
      </c>
      <c r="N1862" t="s">
        <v>3343</v>
      </c>
      <c r="O1862" t="s">
        <v>3344</v>
      </c>
      <c r="P1862" t="s">
        <v>6089</v>
      </c>
      <c r="Q1862" t="s">
        <v>7900</v>
      </c>
      <c r="R1862" t="s">
        <v>7901</v>
      </c>
    </row>
    <row r="1863" spans="1:18" x14ac:dyDescent="0.2">
      <c r="A1863">
        <v>2603894</v>
      </c>
      <c r="B1863" t="s">
        <v>7902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1</v>
      </c>
      <c r="K1863">
        <v>0</v>
      </c>
      <c r="L1863" t="s">
        <v>3284</v>
      </c>
      <c r="M1863" t="s">
        <v>3296</v>
      </c>
      <c r="N1863" t="s">
        <v>3343</v>
      </c>
      <c r="O1863" t="s">
        <v>3344</v>
      </c>
      <c r="P1863" t="s">
        <v>6089</v>
      </c>
      <c r="Q1863" t="s">
        <v>7900</v>
      </c>
      <c r="R1863" t="s">
        <v>7903</v>
      </c>
    </row>
    <row r="1864" spans="1:18" x14ac:dyDescent="0.2">
      <c r="A1864">
        <v>2603856</v>
      </c>
      <c r="B1864" t="s">
        <v>7904</v>
      </c>
      <c r="C1864">
        <v>0</v>
      </c>
      <c r="D1864">
        <v>1</v>
      </c>
      <c r="E1864">
        <v>0</v>
      </c>
      <c r="F1864">
        <v>0</v>
      </c>
      <c r="G1864">
        <v>0</v>
      </c>
      <c r="H1864">
        <v>0</v>
      </c>
      <c r="I1864">
        <v>1</v>
      </c>
      <c r="J1864">
        <v>0</v>
      </c>
      <c r="K1864">
        <v>0</v>
      </c>
      <c r="L1864" t="s">
        <v>3284</v>
      </c>
      <c r="M1864" t="s">
        <v>3296</v>
      </c>
      <c r="N1864" t="s">
        <v>3321</v>
      </c>
      <c r="O1864" t="s">
        <v>3322</v>
      </c>
      <c r="P1864" t="s">
        <v>3323</v>
      </c>
      <c r="Q1864" t="s">
        <v>4694</v>
      </c>
      <c r="R1864" t="s">
        <v>7905</v>
      </c>
    </row>
    <row r="1865" spans="1:18" x14ac:dyDescent="0.2">
      <c r="A1865">
        <v>2603818</v>
      </c>
      <c r="B1865" t="s">
        <v>7906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1</v>
      </c>
      <c r="J1865">
        <v>0</v>
      </c>
      <c r="K1865">
        <v>0</v>
      </c>
      <c r="L1865" t="s">
        <v>3284</v>
      </c>
      <c r="M1865" t="s">
        <v>3296</v>
      </c>
      <c r="N1865" t="s">
        <v>3321</v>
      </c>
      <c r="O1865" t="s">
        <v>3322</v>
      </c>
      <c r="P1865" t="s">
        <v>3423</v>
      </c>
      <c r="Q1865" t="s">
        <v>4357</v>
      </c>
      <c r="R1865" t="s">
        <v>7907</v>
      </c>
    </row>
    <row r="1866" spans="1:18" x14ac:dyDescent="0.2">
      <c r="A1866">
        <v>2603598</v>
      </c>
      <c r="B1866" t="s">
        <v>7908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1</v>
      </c>
      <c r="K1866">
        <v>0</v>
      </c>
      <c r="L1866" t="s">
        <v>3284</v>
      </c>
      <c r="M1866" t="s">
        <v>3307</v>
      </c>
      <c r="N1866" t="s">
        <v>3308</v>
      </c>
      <c r="O1866" t="s">
        <v>3359</v>
      </c>
      <c r="P1866" t="s">
        <v>3360</v>
      </c>
      <c r="Q1866" t="s">
        <v>3361</v>
      </c>
      <c r="R1866" t="s">
        <v>7909</v>
      </c>
    </row>
    <row r="1867" spans="1:18" x14ac:dyDescent="0.2">
      <c r="A1867">
        <v>2603275</v>
      </c>
      <c r="B1867" t="s">
        <v>7910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2</v>
      </c>
      <c r="K1867">
        <v>0</v>
      </c>
      <c r="L1867" t="s">
        <v>3284</v>
      </c>
      <c r="M1867" t="s">
        <v>3307</v>
      </c>
      <c r="N1867" t="s">
        <v>3308</v>
      </c>
      <c r="O1867" t="s">
        <v>3359</v>
      </c>
      <c r="P1867" t="s">
        <v>3360</v>
      </c>
      <c r="Q1867" t="s">
        <v>5290</v>
      </c>
      <c r="R1867" t="s">
        <v>7911</v>
      </c>
    </row>
    <row r="1868" spans="1:18" x14ac:dyDescent="0.2">
      <c r="A1868">
        <v>2601247</v>
      </c>
      <c r="B1868" t="s">
        <v>7912</v>
      </c>
      <c r="C1868">
        <v>0</v>
      </c>
      <c r="D1868">
        <v>1</v>
      </c>
      <c r="E1868">
        <v>3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 t="s">
        <v>3284</v>
      </c>
      <c r="M1868" t="s">
        <v>3296</v>
      </c>
      <c r="N1868" t="s">
        <v>3321</v>
      </c>
      <c r="O1868" t="s">
        <v>3322</v>
      </c>
      <c r="P1868" t="s">
        <v>3398</v>
      </c>
      <c r="Q1868" t="s">
        <v>3806</v>
      </c>
      <c r="R1868" t="s">
        <v>7913</v>
      </c>
    </row>
    <row r="1869" spans="1:18" x14ac:dyDescent="0.2">
      <c r="A1869">
        <v>2601246</v>
      </c>
      <c r="B1869" t="s">
        <v>7914</v>
      </c>
      <c r="C1869">
        <v>1</v>
      </c>
      <c r="D1869">
        <v>0</v>
      </c>
      <c r="E1869">
        <v>1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 t="s">
        <v>3284</v>
      </c>
      <c r="M1869" t="s">
        <v>3296</v>
      </c>
      <c r="N1869" t="s">
        <v>3321</v>
      </c>
      <c r="O1869" t="s">
        <v>3322</v>
      </c>
      <c r="P1869" t="s">
        <v>3398</v>
      </c>
      <c r="Q1869" t="s">
        <v>3806</v>
      </c>
      <c r="R1869" t="s">
        <v>7915</v>
      </c>
    </row>
    <row r="1870" spans="1:18" x14ac:dyDescent="0.2">
      <c r="A1870">
        <v>2600577</v>
      </c>
      <c r="B1870" t="s">
        <v>7916</v>
      </c>
      <c r="C1870">
        <v>0</v>
      </c>
      <c r="D1870">
        <v>0</v>
      </c>
      <c r="E1870">
        <v>0</v>
      </c>
      <c r="F1870">
        <v>1</v>
      </c>
      <c r="G1870">
        <v>0</v>
      </c>
      <c r="H1870">
        <v>0</v>
      </c>
      <c r="I1870">
        <v>0</v>
      </c>
      <c r="J1870">
        <v>0</v>
      </c>
      <c r="K1870">
        <v>0</v>
      </c>
      <c r="L1870" t="s">
        <v>3284</v>
      </c>
      <c r="M1870" t="s">
        <v>3307</v>
      </c>
      <c r="N1870" t="s">
        <v>3308</v>
      </c>
      <c r="O1870" t="s">
        <v>3949</v>
      </c>
      <c r="P1870" t="s">
        <v>3950</v>
      </c>
      <c r="Q1870" t="s">
        <v>3951</v>
      </c>
      <c r="R1870" t="s">
        <v>7917</v>
      </c>
    </row>
    <row r="1871" spans="1:18" x14ac:dyDescent="0.2">
      <c r="A1871">
        <v>2600305</v>
      </c>
      <c r="B1871" t="s">
        <v>7918</v>
      </c>
      <c r="C1871">
        <v>0</v>
      </c>
      <c r="D1871">
        <v>0</v>
      </c>
      <c r="E1871">
        <v>0</v>
      </c>
      <c r="F1871">
        <v>1</v>
      </c>
      <c r="G1871">
        <v>0</v>
      </c>
      <c r="H1871">
        <v>0</v>
      </c>
      <c r="I1871">
        <v>0</v>
      </c>
      <c r="J1871">
        <v>0</v>
      </c>
      <c r="K1871">
        <v>0</v>
      </c>
      <c r="L1871" t="s">
        <v>3284</v>
      </c>
      <c r="M1871" t="s">
        <v>3307</v>
      </c>
      <c r="N1871" t="s">
        <v>3989</v>
      </c>
      <c r="O1871" t="s">
        <v>3990</v>
      </c>
      <c r="P1871" t="s">
        <v>5951</v>
      </c>
      <c r="Q1871" t="s">
        <v>7919</v>
      </c>
      <c r="R1871" t="s">
        <v>7920</v>
      </c>
    </row>
    <row r="1872" spans="1:18" x14ac:dyDescent="0.2">
      <c r="A1872">
        <v>2600065</v>
      </c>
      <c r="B1872" t="s">
        <v>7921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1</v>
      </c>
      <c r="K1872">
        <v>0</v>
      </c>
      <c r="L1872" t="s">
        <v>3284</v>
      </c>
      <c r="M1872" t="s">
        <v>3296</v>
      </c>
      <c r="N1872" t="s">
        <v>3297</v>
      </c>
      <c r="O1872" t="s">
        <v>3434</v>
      </c>
      <c r="P1872" t="s">
        <v>3435</v>
      </c>
      <c r="Q1872" t="s">
        <v>3436</v>
      </c>
      <c r="R1872" t="s">
        <v>7922</v>
      </c>
    </row>
    <row r="1873" spans="1:18" x14ac:dyDescent="0.2">
      <c r="A1873">
        <v>2599640</v>
      </c>
      <c r="B1873" t="s">
        <v>7923</v>
      </c>
      <c r="C1873">
        <v>0</v>
      </c>
      <c r="D1873">
        <v>0</v>
      </c>
      <c r="E1873">
        <v>0</v>
      </c>
      <c r="F1873">
        <v>0</v>
      </c>
      <c r="G1873">
        <v>1</v>
      </c>
      <c r="H1873">
        <v>0</v>
      </c>
      <c r="I1873">
        <v>0</v>
      </c>
      <c r="J1873">
        <v>1</v>
      </c>
      <c r="K1873">
        <v>1</v>
      </c>
      <c r="L1873" t="s">
        <v>3284</v>
      </c>
      <c r="M1873" t="s">
        <v>3296</v>
      </c>
      <c r="N1873" t="s">
        <v>3343</v>
      </c>
      <c r="O1873" t="s">
        <v>3344</v>
      </c>
      <c r="P1873" t="s">
        <v>3367</v>
      </c>
      <c r="Q1873" t="s">
        <v>3368</v>
      </c>
      <c r="R1873" t="s">
        <v>7924</v>
      </c>
    </row>
    <row r="1874" spans="1:18" x14ac:dyDescent="0.2">
      <c r="A1874">
        <v>2599617</v>
      </c>
      <c r="B1874" t="s">
        <v>7925</v>
      </c>
      <c r="C1874">
        <v>0</v>
      </c>
      <c r="D1874">
        <v>1</v>
      </c>
      <c r="E1874">
        <v>0</v>
      </c>
      <c r="F1874">
        <v>0</v>
      </c>
      <c r="G1874">
        <v>0</v>
      </c>
      <c r="H1874">
        <v>0</v>
      </c>
      <c r="I1874">
        <v>1</v>
      </c>
      <c r="J1874">
        <v>0</v>
      </c>
      <c r="K1874">
        <v>0</v>
      </c>
      <c r="L1874" t="s">
        <v>3284</v>
      </c>
      <c r="M1874" t="s">
        <v>3327</v>
      </c>
      <c r="N1874" t="s">
        <v>3376</v>
      </c>
      <c r="O1874" t="s">
        <v>3377</v>
      </c>
      <c r="P1874" t="s">
        <v>5514</v>
      </c>
      <c r="Q1874" t="s">
        <v>6812</v>
      </c>
      <c r="R1874" t="s">
        <v>7926</v>
      </c>
    </row>
    <row r="1875" spans="1:18" x14ac:dyDescent="0.2">
      <c r="A1875">
        <v>2599616</v>
      </c>
      <c r="B1875" t="s">
        <v>7927</v>
      </c>
      <c r="C1875">
        <v>0</v>
      </c>
      <c r="D1875">
        <v>0</v>
      </c>
      <c r="E1875">
        <v>0</v>
      </c>
      <c r="F1875">
        <v>1</v>
      </c>
      <c r="G1875">
        <v>0</v>
      </c>
      <c r="H1875">
        <v>0</v>
      </c>
      <c r="I1875">
        <v>0</v>
      </c>
      <c r="J1875">
        <v>0</v>
      </c>
      <c r="K1875">
        <v>0</v>
      </c>
      <c r="L1875" t="s">
        <v>3284</v>
      </c>
      <c r="M1875" t="s">
        <v>3296</v>
      </c>
      <c r="N1875" t="s">
        <v>3343</v>
      </c>
      <c r="O1875" t="s">
        <v>3344</v>
      </c>
      <c r="P1875" t="s">
        <v>6259</v>
      </c>
      <c r="Q1875" t="s">
        <v>6260</v>
      </c>
      <c r="R1875" t="s">
        <v>7928</v>
      </c>
    </row>
    <row r="1876" spans="1:18" x14ac:dyDescent="0.2">
      <c r="A1876">
        <v>2599412</v>
      </c>
      <c r="B1876" t="s">
        <v>7929</v>
      </c>
      <c r="C1876">
        <v>0</v>
      </c>
      <c r="D1876">
        <v>0</v>
      </c>
      <c r="E1876">
        <v>0</v>
      </c>
      <c r="F1876">
        <v>1</v>
      </c>
      <c r="G1876">
        <v>0</v>
      </c>
      <c r="H1876">
        <v>0</v>
      </c>
      <c r="I1876">
        <v>0</v>
      </c>
      <c r="J1876">
        <v>0</v>
      </c>
      <c r="K1876">
        <v>0</v>
      </c>
      <c r="L1876" t="s">
        <v>3284</v>
      </c>
      <c r="M1876" t="s">
        <v>3296</v>
      </c>
      <c r="N1876" t="s">
        <v>3343</v>
      </c>
      <c r="O1876" t="s">
        <v>3371</v>
      </c>
      <c r="P1876" t="s">
        <v>3688</v>
      </c>
      <c r="Q1876" t="s">
        <v>4406</v>
      </c>
      <c r="R1876" t="s">
        <v>7930</v>
      </c>
    </row>
    <row r="1877" spans="1:18" x14ac:dyDescent="0.2">
      <c r="A1877">
        <v>2599308</v>
      </c>
      <c r="B1877" t="s">
        <v>7931</v>
      </c>
      <c r="C1877">
        <v>1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1</v>
      </c>
      <c r="J1877">
        <v>0</v>
      </c>
      <c r="K1877">
        <v>0</v>
      </c>
      <c r="L1877" t="s">
        <v>3284</v>
      </c>
      <c r="M1877" t="s">
        <v>3327</v>
      </c>
      <c r="N1877" t="s">
        <v>3328</v>
      </c>
      <c r="O1877" t="s">
        <v>3329</v>
      </c>
      <c r="P1877" t="s">
        <v>3330</v>
      </c>
      <c r="Q1877" t="s">
        <v>6207</v>
      </c>
      <c r="R1877" t="s">
        <v>7932</v>
      </c>
    </row>
    <row r="1878" spans="1:18" x14ac:dyDescent="0.2">
      <c r="A1878">
        <v>2599297</v>
      </c>
      <c r="B1878" t="s">
        <v>7933</v>
      </c>
      <c r="C1878">
        <v>1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 t="s">
        <v>3284</v>
      </c>
      <c r="M1878" t="s">
        <v>3296</v>
      </c>
      <c r="N1878" t="s">
        <v>3343</v>
      </c>
      <c r="O1878" t="s">
        <v>3349</v>
      </c>
      <c r="P1878" t="s">
        <v>3350</v>
      </c>
      <c r="Q1878" t="s">
        <v>3580</v>
      </c>
      <c r="R1878" t="s">
        <v>7934</v>
      </c>
    </row>
    <row r="1879" spans="1:18" x14ac:dyDescent="0.2">
      <c r="A1879">
        <v>2599295</v>
      </c>
      <c r="B1879" t="s">
        <v>7935</v>
      </c>
      <c r="C1879">
        <v>0</v>
      </c>
      <c r="D1879">
        <v>0</v>
      </c>
      <c r="E1879">
        <v>0</v>
      </c>
      <c r="F1879">
        <v>2</v>
      </c>
      <c r="G1879">
        <v>1</v>
      </c>
      <c r="H1879">
        <v>0</v>
      </c>
      <c r="I1879">
        <v>0</v>
      </c>
      <c r="J1879">
        <v>0</v>
      </c>
      <c r="K1879">
        <v>0</v>
      </c>
      <c r="L1879" t="s">
        <v>3284</v>
      </c>
      <c r="M1879" t="s">
        <v>3391</v>
      </c>
      <c r="N1879" t="s">
        <v>3392</v>
      </c>
      <c r="O1879" t="s">
        <v>3393</v>
      </c>
      <c r="P1879" t="s">
        <v>3394</v>
      </c>
      <c r="Q1879" t="s">
        <v>4082</v>
      </c>
      <c r="R1879" t="s">
        <v>7936</v>
      </c>
    </row>
    <row r="1880" spans="1:18" x14ac:dyDescent="0.2">
      <c r="A1880">
        <v>2599293</v>
      </c>
      <c r="B1880" t="s">
        <v>7937</v>
      </c>
      <c r="C1880">
        <v>0</v>
      </c>
      <c r="D1880">
        <v>0</v>
      </c>
      <c r="E1880">
        <v>0</v>
      </c>
      <c r="F1880">
        <v>0</v>
      </c>
      <c r="G1880">
        <v>1</v>
      </c>
      <c r="H1880">
        <v>0</v>
      </c>
      <c r="I1880">
        <v>2</v>
      </c>
      <c r="J1880">
        <v>0</v>
      </c>
      <c r="K1880">
        <v>0</v>
      </c>
      <c r="L1880" t="s">
        <v>3284</v>
      </c>
      <c r="M1880" t="s">
        <v>3307</v>
      </c>
      <c r="N1880" t="s">
        <v>3308</v>
      </c>
      <c r="O1880" t="s">
        <v>3359</v>
      </c>
      <c r="P1880" t="s">
        <v>3360</v>
      </c>
      <c r="Q1880" t="s">
        <v>5788</v>
      </c>
      <c r="R1880" t="s">
        <v>7938</v>
      </c>
    </row>
    <row r="1881" spans="1:18" x14ac:dyDescent="0.2">
      <c r="A1881">
        <v>2597671</v>
      </c>
      <c r="B1881" t="s">
        <v>7939</v>
      </c>
      <c r="C1881">
        <v>0</v>
      </c>
      <c r="D1881">
        <v>1</v>
      </c>
      <c r="E1881">
        <v>0</v>
      </c>
      <c r="F1881">
        <v>0</v>
      </c>
      <c r="G1881">
        <v>1</v>
      </c>
      <c r="H1881">
        <v>0</v>
      </c>
      <c r="I1881">
        <v>0</v>
      </c>
      <c r="J1881">
        <v>0</v>
      </c>
      <c r="K1881">
        <v>0</v>
      </c>
      <c r="L1881" t="s">
        <v>3284</v>
      </c>
      <c r="M1881" t="s">
        <v>3391</v>
      </c>
      <c r="N1881" t="s">
        <v>3411</v>
      </c>
      <c r="O1881" t="s">
        <v>3412</v>
      </c>
      <c r="P1881" t="s">
        <v>7008</v>
      </c>
      <c r="Q1881" t="s">
        <v>7940</v>
      </c>
      <c r="R1881" t="s">
        <v>7941</v>
      </c>
    </row>
    <row r="1882" spans="1:18" x14ac:dyDescent="0.2">
      <c r="A1882">
        <v>2597670</v>
      </c>
      <c r="B1882" t="s">
        <v>7942</v>
      </c>
      <c r="C1882">
        <v>0</v>
      </c>
      <c r="D1882">
        <v>0</v>
      </c>
      <c r="E1882">
        <v>0</v>
      </c>
      <c r="F1882">
        <v>3</v>
      </c>
      <c r="G1882">
        <v>1</v>
      </c>
      <c r="H1882">
        <v>0</v>
      </c>
      <c r="I1882">
        <v>0</v>
      </c>
      <c r="J1882">
        <v>0</v>
      </c>
      <c r="K1882">
        <v>0</v>
      </c>
      <c r="L1882" t="s">
        <v>3284</v>
      </c>
      <c r="M1882" t="s">
        <v>3391</v>
      </c>
      <c r="N1882" t="s">
        <v>3392</v>
      </c>
      <c r="O1882" t="s">
        <v>3393</v>
      </c>
      <c r="P1882" t="s">
        <v>3394</v>
      </c>
      <c r="Q1882" t="s">
        <v>4082</v>
      </c>
      <c r="R1882" t="s">
        <v>7943</v>
      </c>
    </row>
    <row r="1883" spans="1:18" x14ac:dyDescent="0.2">
      <c r="A1883">
        <v>2597518</v>
      </c>
      <c r="B1883" t="s">
        <v>7944</v>
      </c>
      <c r="C1883">
        <v>0</v>
      </c>
      <c r="D1883">
        <v>0</v>
      </c>
      <c r="E1883">
        <v>0</v>
      </c>
      <c r="F1883">
        <v>1</v>
      </c>
      <c r="G1883">
        <v>0</v>
      </c>
      <c r="H1883">
        <v>0</v>
      </c>
      <c r="I1883">
        <v>0</v>
      </c>
      <c r="J1883">
        <v>0</v>
      </c>
      <c r="K1883">
        <v>0</v>
      </c>
      <c r="L1883" t="s">
        <v>3284</v>
      </c>
      <c r="M1883" t="s">
        <v>3296</v>
      </c>
      <c r="N1883" t="s">
        <v>3297</v>
      </c>
      <c r="O1883" t="s">
        <v>4500</v>
      </c>
      <c r="P1883" t="s">
        <v>5719</v>
      </c>
      <c r="Q1883" t="s">
        <v>7945</v>
      </c>
      <c r="R1883" t="s">
        <v>7946</v>
      </c>
    </row>
    <row r="1884" spans="1:18" x14ac:dyDescent="0.2">
      <c r="A1884">
        <v>2597358</v>
      </c>
      <c r="B1884" t="s">
        <v>7947</v>
      </c>
      <c r="C1884">
        <v>0</v>
      </c>
      <c r="D1884">
        <v>0</v>
      </c>
      <c r="E1884">
        <v>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 t="s">
        <v>3284</v>
      </c>
      <c r="M1884" t="s">
        <v>3327</v>
      </c>
      <c r="N1884" t="s">
        <v>3376</v>
      </c>
      <c r="O1884" t="s">
        <v>3377</v>
      </c>
      <c r="P1884" t="s">
        <v>5514</v>
      </c>
      <c r="Q1884" t="s">
        <v>7948</v>
      </c>
      <c r="R1884" t="s">
        <v>7949</v>
      </c>
    </row>
    <row r="1885" spans="1:18" x14ac:dyDescent="0.2">
      <c r="A1885">
        <v>2596921</v>
      </c>
      <c r="B1885" t="s">
        <v>7950</v>
      </c>
      <c r="C1885">
        <v>1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 t="s">
        <v>3284</v>
      </c>
      <c r="M1885" t="s">
        <v>3296</v>
      </c>
      <c r="N1885" t="s">
        <v>3321</v>
      </c>
      <c r="O1885" t="s">
        <v>3322</v>
      </c>
      <c r="P1885" t="s">
        <v>3398</v>
      </c>
      <c r="Q1885" t="s">
        <v>7951</v>
      </c>
      <c r="R1885" t="s">
        <v>7952</v>
      </c>
    </row>
    <row r="1886" spans="1:18" x14ac:dyDescent="0.2">
      <c r="A1886">
        <v>2596912</v>
      </c>
      <c r="B1886" t="s">
        <v>7953</v>
      </c>
      <c r="C1886">
        <v>0</v>
      </c>
      <c r="D1886">
        <v>0</v>
      </c>
      <c r="E1886">
        <v>0</v>
      </c>
      <c r="F1886">
        <v>1</v>
      </c>
      <c r="G1886">
        <v>0</v>
      </c>
      <c r="H1886">
        <v>0</v>
      </c>
      <c r="I1886">
        <v>0</v>
      </c>
      <c r="J1886">
        <v>0</v>
      </c>
      <c r="K1886">
        <v>0</v>
      </c>
      <c r="L1886" t="s">
        <v>3284</v>
      </c>
      <c r="M1886" t="s">
        <v>3307</v>
      </c>
      <c r="N1886" t="s">
        <v>3308</v>
      </c>
      <c r="O1886" t="s">
        <v>3359</v>
      </c>
      <c r="P1886" t="s">
        <v>3360</v>
      </c>
      <c r="Q1886" t="s">
        <v>3934</v>
      </c>
      <c r="R1886" t="s">
        <v>7954</v>
      </c>
    </row>
    <row r="1887" spans="1:18" x14ac:dyDescent="0.2">
      <c r="A1887">
        <v>2596828</v>
      </c>
      <c r="B1887" t="s">
        <v>7955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1</v>
      </c>
      <c r="I1887">
        <v>0</v>
      </c>
      <c r="J1887">
        <v>0</v>
      </c>
      <c r="K1887">
        <v>0</v>
      </c>
      <c r="L1887" t="s">
        <v>3284</v>
      </c>
      <c r="M1887" t="s">
        <v>3307</v>
      </c>
      <c r="N1887" t="s">
        <v>3308</v>
      </c>
      <c r="O1887" t="s">
        <v>3309</v>
      </c>
      <c r="P1887" t="s">
        <v>6036</v>
      </c>
      <c r="Q1887" t="s">
        <v>7956</v>
      </c>
      <c r="R1887" t="s">
        <v>7957</v>
      </c>
    </row>
    <row r="1888" spans="1:18" x14ac:dyDescent="0.2">
      <c r="A1888">
        <v>2595053</v>
      </c>
      <c r="B1888" t="s">
        <v>7958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2</v>
      </c>
      <c r="J1888">
        <v>1</v>
      </c>
      <c r="K1888">
        <v>0</v>
      </c>
      <c r="L1888" t="s">
        <v>3284</v>
      </c>
      <c r="M1888" t="s">
        <v>3296</v>
      </c>
      <c r="N1888" t="s">
        <v>3343</v>
      </c>
      <c r="O1888" t="s">
        <v>3429</v>
      </c>
      <c r="P1888" t="s">
        <v>3430</v>
      </c>
      <c r="Q1888" t="s">
        <v>5942</v>
      </c>
      <c r="R1888" t="s">
        <v>7959</v>
      </c>
    </row>
    <row r="1889" spans="1:18" x14ac:dyDescent="0.2">
      <c r="A1889">
        <v>2595004</v>
      </c>
      <c r="B1889" t="s">
        <v>7960</v>
      </c>
      <c r="C1889">
        <v>0</v>
      </c>
      <c r="D1889">
        <v>2</v>
      </c>
      <c r="E1889">
        <v>1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 t="s">
        <v>3284</v>
      </c>
      <c r="M1889" t="s">
        <v>3296</v>
      </c>
      <c r="N1889" t="s">
        <v>3343</v>
      </c>
      <c r="O1889" t="s">
        <v>3371</v>
      </c>
      <c r="P1889" t="s">
        <v>3688</v>
      </c>
      <c r="Q1889" t="s">
        <v>4278</v>
      </c>
      <c r="R1889" t="s">
        <v>7961</v>
      </c>
    </row>
    <row r="1890" spans="1:18" x14ac:dyDescent="0.2">
      <c r="A1890">
        <v>2594432</v>
      </c>
      <c r="B1890" t="s">
        <v>7962</v>
      </c>
      <c r="C1890">
        <v>0</v>
      </c>
      <c r="D1890">
        <v>0</v>
      </c>
      <c r="E1890">
        <v>0</v>
      </c>
      <c r="F1890">
        <v>0</v>
      </c>
      <c r="G1890">
        <v>1</v>
      </c>
      <c r="H1890">
        <v>0</v>
      </c>
      <c r="I1890">
        <v>0</v>
      </c>
      <c r="J1890">
        <v>0</v>
      </c>
      <c r="K1890">
        <v>0</v>
      </c>
      <c r="L1890" t="s">
        <v>3284</v>
      </c>
      <c r="M1890" t="s">
        <v>3391</v>
      </c>
      <c r="N1890" t="s">
        <v>3411</v>
      </c>
      <c r="O1890" t="s">
        <v>3412</v>
      </c>
      <c r="P1890" t="s">
        <v>3413</v>
      </c>
      <c r="Q1890" t="s">
        <v>3414</v>
      </c>
      <c r="R1890" t="s">
        <v>7963</v>
      </c>
    </row>
    <row r="1891" spans="1:18" x14ac:dyDescent="0.2">
      <c r="A1891">
        <v>2593654</v>
      </c>
      <c r="B1891" t="s">
        <v>7964</v>
      </c>
      <c r="C1891">
        <v>0</v>
      </c>
      <c r="D1891">
        <v>0</v>
      </c>
      <c r="E1891">
        <v>0</v>
      </c>
      <c r="F1891">
        <v>1</v>
      </c>
      <c r="G1891">
        <v>0</v>
      </c>
      <c r="H1891">
        <v>0</v>
      </c>
      <c r="I1891">
        <v>0</v>
      </c>
      <c r="J1891">
        <v>0</v>
      </c>
      <c r="K1891">
        <v>0</v>
      </c>
      <c r="L1891" t="s">
        <v>3284</v>
      </c>
      <c r="M1891" t="s">
        <v>3296</v>
      </c>
      <c r="N1891" t="s">
        <v>3297</v>
      </c>
      <c r="O1891" t="s">
        <v>3434</v>
      </c>
      <c r="P1891" t="s">
        <v>3435</v>
      </c>
      <c r="Q1891" t="s">
        <v>3436</v>
      </c>
      <c r="R1891" t="s">
        <v>7965</v>
      </c>
    </row>
    <row r="1892" spans="1:18" x14ac:dyDescent="0.2">
      <c r="A1892">
        <v>2593652</v>
      </c>
      <c r="B1892" t="s">
        <v>7966</v>
      </c>
      <c r="C1892">
        <v>1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 t="s">
        <v>3284</v>
      </c>
      <c r="M1892" t="s">
        <v>3327</v>
      </c>
      <c r="N1892" t="s">
        <v>3376</v>
      </c>
      <c r="O1892" t="s">
        <v>3377</v>
      </c>
      <c r="P1892" t="s">
        <v>3378</v>
      </c>
      <c r="Q1892" t="s">
        <v>7967</v>
      </c>
      <c r="R1892" t="s">
        <v>7968</v>
      </c>
    </row>
    <row r="1893" spans="1:18" x14ac:dyDescent="0.2">
      <c r="A1893">
        <v>2593302</v>
      </c>
      <c r="B1893" t="s">
        <v>7969</v>
      </c>
      <c r="C1893">
        <v>0</v>
      </c>
      <c r="D1893">
        <v>0</v>
      </c>
      <c r="E1893">
        <v>0</v>
      </c>
      <c r="F1893">
        <v>1</v>
      </c>
      <c r="G1893">
        <v>1</v>
      </c>
      <c r="H1893">
        <v>0</v>
      </c>
      <c r="I1893">
        <v>0</v>
      </c>
      <c r="J1893">
        <v>0</v>
      </c>
      <c r="K1893">
        <v>0</v>
      </c>
      <c r="L1893" t="s">
        <v>3284</v>
      </c>
      <c r="M1893" t="s">
        <v>3391</v>
      </c>
      <c r="N1893" t="s">
        <v>3411</v>
      </c>
      <c r="O1893" t="s">
        <v>3412</v>
      </c>
      <c r="P1893" t="s">
        <v>3413</v>
      </c>
      <c r="Q1893" t="s">
        <v>3414</v>
      </c>
      <c r="R1893" t="s">
        <v>7970</v>
      </c>
    </row>
    <row r="1894" spans="1:18" x14ac:dyDescent="0.2">
      <c r="A1894">
        <v>2593070</v>
      </c>
      <c r="B1894" t="s">
        <v>7971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1</v>
      </c>
      <c r="I1894">
        <v>0</v>
      </c>
      <c r="J1894">
        <v>0</v>
      </c>
      <c r="K1894">
        <v>0</v>
      </c>
      <c r="L1894" t="s">
        <v>3284</v>
      </c>
      <c r="M1894" t="s">
        <v>3307</v>
      </c>
      <c r="N1894" t="s">
        <v>3308</v>
      </c>
      <c r="O1894" t="s">
        <v>3531</v>
      </c>
      <c r="P1894" t="s">
        <v>3532</v>
      </c>
      <c r="Q1894" t="s">
        <v>3533</v>
      </c>
      <c r="R1894" t="s">
        <v>7972</v>
      </c>
    </row>
    <row r="1895" spans="1:18" x14ac:dyDescent="0.2">
      <c r="A1895">
        <v>2592817</v>
      </c>
      <c r="B1895" t="s">
        <v>7973</v>
      </c>
      <c r="C1895">
        <v>1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 t="s">
        <v>3284</v>
      </c>
      <c r="M1895" t="s">
        <v>3296</v>
      </c>
      <c r="N1895" t="s">
        <v>3343</v>
      </c>
      <c r="O1895" t="s">
        <v>3344</v>
      </c>
      <c r="P1895" t="s">
        <v>3937</v>
      </c>
      <c r="Q1895" t="s">
        <v>7974</v>
      </c>
      <c r="R1895" t="s">
        <v>7975</v>
      </c>
    </row>
    <row r="1896" spans="1:18" x14ac:dyDescent="0.2">
      <c r="A1896">
        <v>2592656</v>
      </c>
      <c r="B1896" t="s">
        <v>7976</v>
      </c>
      <c r="C1896">
        <v>2</v>
      </c>
      <c r="D1896">
        <v>1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 t="s">
        <v>3284</v>
      </c>
      <c r="M1896" t="s">
        <v>3296</v>
      </c>
      <c r="N1896" t="s">
        <v>3321</v>
      </c>
      <c r="O1896" t="s">
        <v>5306</v>
      </c>
      <c r="P1896" t="s">
        <v>5307</v>
      </c>
      <c r="Q1896" t="s">
        <v>5308</v>
      </c>
      <c r="R1896" t="s">
        <v>7977</v>
      </c>
    </row>
    <row r="1897" spans="1:18" x14ac:dyDescent="0.2">
      <c r="A1897">
        <v>2592654</v>
      </c>
      <c r="B1897" t="s">
        <v>7978</v>
      </c>
      <c r="C1897">
        <v>0</v>
      </c>
      <c r="D1897">
        <v>1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1</v>
      </c>
      <c r="K1897">
        <v>0</v>
      </c>
      <c r="L1897" t="s">
        <v>3284</v>
      </c>
      <c r="M1897" t="s">
        <v>3307</v>
      </c>
      <c r="N1897" t="s">
        <v>3308</v>
      </c>
      <c r="O1897" t="s">
        <v>3359</v>
      </c>
      <c r="P1897" t="s">
        <v>3360</v>
      </c>
      <c r="Q1897" t="s">
        <v>5425</v>
      </c>
      <c r="R1897" t="s">
        <v>7979</v>
      </c>
    </row>
    <row r="1898" spans="1:18" x14ac:dyDescent="0.2">
      <c r="A1898">
        <v>2592652</v>
      </c>
      <c r="B1898" t="s">
        <v>7980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1</v>
      </c>
      <c r="J1898">
        <v>0</v>
      </c>
      <c r="K1898">
        <v>0</v>
      </c>
      <c r="L1898" t="s">
        <v>3284</v>
      </c>
      <c r="M1898" t="s">
        <v>3307</v>
      </c>
      <c r="N1898" t="s">
        <v>3308</v>
      </c>
      <c r="O1898" t="s">
        <v>3359</v>
      </c>
      <c r="P1898" t="s">
        <v>3360</v>
      </c>
      <c r="Q1898" t="s">
        <v>3364</v>
      </c>
      <c r="R1898" t="s">
        <v>7981</v>
      </c>
    </row>
    <row r="1899" spans="1:18" x14ac:dyDescent="0.2">
      <c r="A1899">
        <v>2592621</v>
      </c>
      <c r="B1899" t="s">
        <v>7982</v>
      </c>
      <c r="C1899">
        <v>0</v>
      </c>
      <c r="D1899">
        <v>0</v>
      </c>
      <c r="E1899">
        <v>0</v>
      </c>
      <c r="F1899">
        <v>0</v>
      </c>
      <c r="G1899">
        <v>1</v>
      </c>
      <c r="H1899">
        <v>0</v>
      </c>
      <c r="I1899">
        <v>0</v>
      </c>
      <c r="J1899">
        <v>0</v>
      </c>
      <c r="K1899">
        <v>0</v>
      </c>
      <c r="L1899" t="s">
        <v>3284</v>
      </c>
      <c r="M1899" t="s">
        <v>3296</v>
      </c>
      <c r="N1899" t="s">
        <v>3343</v>
      </c>
      <c r="O1899" t="s">
        <v>3349</v>
      </c>
      <c r="P1899" t="s">
        <v>3350</v>
      </c>
      <c r="Q1899" t="s">
        <v>3351</v>
      </c>
      <c r="R1899" t="s">
        <v>7983</v>
      </c>
    </row>
    <row r="1900" spans="1:18" x14ac:dyDescent="0.2">
      <c r="A1900">
        <v>2592334</v>
      </c>
      <c r="B1900" t="s">
        <v>7984</v>
      </c>
      <c r="C1900">
        <v>1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 t="s">
        <v>3284</v>
      </c>
      <c r="M1900" t="s">
        <v>3307</v>
      </c>
      <c r="N1900" t="s">
        <v>3308</v>
      </c>
      <c r="O1900" t="s">
        <v>3309</v>
      </c>
      <c r="P1900" t="s">
        <v>3310</v>
      </c>
      <c r="Q1900" t="s">
        <v>3311</v>
      </c>
      <c r="R1900" t="s">
        <v>7985</v>
      </c>
    </row>
    <row r="1901" spans="1:18" x14ac:dyDescent="0.2">
      <c r="A1901">
        <v>2592069</v>
      </c>
      <c r="B1901" t="s">
        <v>7986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1</v>
      </c>
      <c r="K1901">
        <v>0</v>
      </c>
      <c r="L1901" t="s">
        <v>3284</v>
      </c>
      <c r="M1901" t="s">
        <v>3307</v>
      </c>
      <c r="N1901" t="s">
        <v>3308</v>
      </c>
      <c r="O1901" t="s">
        <v>3635</v>
      </c>
      <c r="P1901" t="s">
        <v>4011</v>
      </c>
      <c r="Q1901" t="s">
        <v>4471</v>
      </c>
      <c r="R1901" t="s">
        <v>7987</v>
      </c>
    </row>
    <row r="1902" spans="1:18" x14ac:dyDescent="0.2">
      <c r="A1902">
        <v>2591463</v>
      </c>
      <c r="B1902" t="s">
        <v>7988</v>
      </c>
      <c r="C1902">
        <v>0</v>
      </c>
      <c r="D1902">
        <v>0</v>
      </c>
      <c r="E1902">
        <v>0</v>
      </c>
      <c r="F1902">
        <v>1</v>
      </c>
      <c r="G1902">
        <v>1</v>
      </c>
      <c r="H1902">
        <v>0</v>
      </c>
      <c r="I1902">
        <v>0</v>
      </c>
      <c r="J1902">
        <v>0</v>
      </c>
      <c r="K1902">
        <v>0</v>
      </c>
      <c r="L1902" t="s">
        <v>3284</v>
      </c>
      <c r="M1902" t="s">
        <v>3296</v>
      </c>
      <c r="N1902" t="s">
        <v>3343</v>
      </c>
      <c r="O1902" t="s">
        <v>3402</v>
      </c>
      <c r="P1902" t="s">
        <v>3403</v>
      </c>
      <c r="Q1902" t="s">
        <v>3536</v>
      </c>
      <c r="R1902" t="s">
        <v>7989</v>
      </c>
    </row>
    <row r="1903" spans="1:18" x14ac:dyDescent="0.2">
      <c r="A1903">
        <v>2591384</v>
      </c>
      <c r="B1903" t="s">
        <v>7990</v>
      </c>
      <c r="C1903">
        <v>1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 t="s">
        <v>3284</v>
      </c>
      <c r="M1903" t="s">
        <v>3327</v>
      </c>
      <c r="N1903" t="s">
        <v>3328</v>
      </c>
      <c r="O1903" t="s">
        <v>3329</v>
      </c>
      <c r="P1903" t="s">
        <v>4620</v>
      </c>
      <c r="Q1903" t="s">
        <v>7991</v>
      </c>
      <c r="R1903" t="s">
        <v>7992</v>
      </c>
    </row>
    <row r="1904" spans="1:18" x14ac:dyDescent="0.2">
      <c r="A1904">
        <v>2591145</v>
      </c>
      <c r="B1904" t="s">
        <v>7993</v>
      </c>
      <c r="C1904">
        <v>0</v>
      </c>
      <c r="D1904">
        <v>0</v>
      </c>
      <c r="E1904">
        <v>0</v>
      </c>
      <c r="F1904">
        <v>1</v>
      </c>
      <c r="G1904">
        <v>0</v>
      </c>
      <c r="H1904">
        <v>0</v>
      </c>
      <c r="I1904">
        <v>0</v>
      </c>
      <c r="J1904">
        <v>0</v>
      </c>
      <c r="K1904">
        <v>0</v>
      </c>
      <c r="L1904" t="s">
        <v>3284</v>
      </c>
      <c r="M1904" t="s">
        <v>3307</v>
      </c>
      <c r="N1904" t="s">
        <v>3308</v>
      </c>
      <c r="O1904" t="s">
        <v>3359</v>
      </c>
      <c r="P1904" t="s">
        <v>3588</v>
      </c>
      <c r="Q1904" t="s">
        <v>4970</v>
      </c>
      <c r="R1904" t="s">
        <v>7994</v>
      </c>
    </row>
    <row r="1905" spans="1:18" x14ac:dyDescent="0.2">
      <c r="A1905">
        <v>2590999</v>
      </c>
      <c r="B1905" t="s">
        <v>7995</v>
      </c>
      <c r="C1905">
        <v>1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 t="s">
        <v>3284</v>
      </c>
      <c r="M1905" t="s">
        <v>3296</v>
      </c>
      <c r="N1905" t="s">
        <v>3321</v>
      </c>
      <c r="O1905" t="s">
        <v>3322</v>
      </c>
      <c r="P1905" t="s">
        <v>3323</v>
      </c>
      <c r="Q1905" t="s">
        <v>6595</v>
      </c>
      <c r="R1905" t="s">
        <v>7996</v>
      </c>
    </row>
    <row r="1906" spans="1:18" x14ac:dyDescent="0.2">
      <c r="A1906">
        <v>2590786</v>
      </c>
      <c r="B1906" t="s">
        <v>7997</v>
      </c>
      <c r="C1906">
        <v>1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 t="s">
        <v>3284</v>
      </c>
      <c r="M1906" t="s">
        <v>3296</v>
      </c>
      <c r="N1906" t="s">
        <v>3321</v>
      </c>
      <c r="O1906" t="s">
        <v>3322</v>
      </c>
      <c r="P1906" t="s">
        <v>3398</v>
      </c>
      <c r="Q1906" t="s">
        <v>5013</v>
      </c>
      <c r="R1906" t="s">
        <v>7998</v>
      </c>
    </row>
    <row r="1907" spans="1:18" x14ac:dyDescent="0.2">
      <c r="A1907">
        <v>2590780</v>
      </c>
      <c r="B1907" t="s">
        <v>7999</v>
      </c>
      <c r="C1907">
        <v>1</v>
      </c>
      <c r="D1907">
        <v>0</v>
      </c>
      <c r="E1907">
        <v>1</v>
      </c>
      <c r="F1907">
        <v>1</v>
      </c>
      <c r="G1907">
        <v>0</v>
      </c>
      <c r="H1907">
        <v>0</v>
      </c>
      <c r="I1907">
        <v>1</v>
      </c>
      <c r="J1907">
        <v>0</v>
      </c>
      <c r="K1907">
        <v>0</v>
      </c>
      <c r="L1907" t="s">
        <v>3284</v>
      </c>
      <c r="M1907" t="s">
        <v>3307</v>
      </c>
      <c r="N1907" t="s">
        <v>3308</v>
      </c>
      <c r="O1907" t="s">
        <v>3359</v>
      </c>
      <c r="P1907" t="s">
        <v>3360</v>
      </c>
      <c r="Q1907" t="s">
        <v>8000</v>
      </c>
      <c r="R1907" t="s">
        <v>8001</v>
      </c>
    </row>
    <row r="1908" spans="1:18" x14ac:dyDescent="0.2">
      <c r="A1908">
        <v>2590779</v>
      </c>
      <c r="B1908" t="s">
        <v>8002</v>
      </c>
      <c r="C1908">
        <v>0</v>
      </c>
      <c r="D1908">
        <v>0</v>
      </c>
      <c r="E1908">
        <v>0</v>
      </c>
      <c r="F1908">
        <v>0</v>
      </c>
      <c r="G1908">
        <v>2</v>
      </c>
      <c r="H1908">
        <v>0</v>
      </c>
      <c r="I1908">
        <v>0</v>
      </c>
      <c r="J1908">
        <v>0</v>
      </c>
      <c r="K1908">
        <v>0</v>
      </c>
      <c r="L1908" t="s">
        <v>3284</v>
      </c>
      <c r="M1908" t="s">
        <v>3307</v>
      </c>
      <c r="N1908" t="s">
        <v>3308</v>
      </c>
      <c r="O1908" t="s">
        <v>3359</v>
      </c>
      <c r="P1908" t="s">
        <v>3360</v>
      </c>
      <c r="Q1908" t="s">
        <v>8000</v>
      </c>
      <c r="R1908" t="s">
        <v>8003</v>
      </c>
    </row>
    <row r="1909" spans="1:18" x14ac:dyDescent="0.2">
      <c r="A1909">
        <v>2590452</v>
      </c>
      <c r="B1909" t="s">
        <v>8004</v>
      </c>
      <c r="C1909">
        <v>0</v>
      </c>
      <c r="D1909">
        <v>1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 t="s">
        <v>3284</v>
      </c>
      <c r="M1909" t="s">
        <v>3296</v>
      </c>
      <c r="N1909" t="s">
        <v>3343</v>
      </c>
      <c r="O1909" t="s">
        <v>3344</v>
      </c>
      <c r="P1909" t="s">
        <v>3355</v>
      </c>
      <c r="Q1909" t="s">
        <v>5273</v>
      </c>
      <c r="R1909" t="s">
        <v>8005</v>
      </c>
    </row>
    <row r="1910" spans="1:18" x14ac:dyDescent="0.2">
      <c r="A1910">
        <v>2590212</v>
      </c>
      <c r="B1910" t="s">
        <v>8006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1</v>
      </c>
      <c r="J1910">
        <v>0</v>
      </c>
      <c r="K1910">
        <v>0</v>
      </c>
      <c r="L1910" t="s">
        <v>3284</v>
      </c>
      <c r="M1910" t="s">
        <v>3296</v>
      </c>
      <c r="N1910" t="s">
        <v>3321</v>
      </c>
      <c r="O1910" t="s">
        <v>3322</v>
      </c>
      <c r="P1910" t="s">
        <v>3671</v>
      </c>
      <c r="Q1910" t="s">
        <v>8007</v>
      </c>
      <c r="R1910" t="s">
        <v>8008</v>
      </c>
    </row>
    <row r="1911" spans="1:18" x14ac:dyDescent="0.2">
      <c r="A1911">
        <v>2589940</v>
      </c>
      <c r="B1911" t="s">
        <v>8009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1</v>
      </c>
      <c r="K1911">
        <v>0</v>
      </c>
      <c r="L1911" t="s">
        <v>3284</v>
      </c>
      <c r="M1911" t="s">
        <v>3296</v>
      </c>
      <c r="N1911" t="s">
        <v>3343</v>
      </c>
      <c r="O1911" t="s">
        <v>3344</v>
      </c>
      <c r="P1911" t="s">
        <v>3898</v>
      </c>
      <c r="Q1911" t="s">
        <v>3899</v>
      </c>
      <c r="R1911" t="s">
        <v>8010</v>
      </c>
    </row>
    <row r="1912" spans="1:18" x14ac:dyDescent="0.2">
      <c r="A1912">
        <v>2589930</v>
      </c>
      <c r="B1912" t="s">
        <v>8011</v>
      </c>
      <c r="C1912">
        <v>0</v>
      </c>
      <c r="D1912">
        <v>0</v>
      </c>
      <c r="E1912">
        <v>0</v>
      </c>
      <c r="F1912">
        <v>0</v>
      </c>
      <c r="G1912">
        <v>1</v>
      </c>
      <c r="H1912">
        <v>0</v>
      </c>
      <c r="I1912">
        <v>0</v>
      </c>
      <c r="J1912">
        <v>0</v>
      </c>
      <c r="K1912">
        <v>0</v>
      </c>
      <c r="L1912" t="s">
        <v>3284</v>
      </c>
      <c r="M1912" t="s">
        <v>3296</v>
      </c>
      <c r="N1912" t="s">
        <v>3343</v>
      </c>
      <c r="O1912" t="s">
        <v>3344</v>
      </c>
      <c r="P1912" t="s">
        <v>3898</v>
      </c>
      <c r="Q1912" t="s">
        <v>3899</v>
      </c>
      <c r="R1912" t="s">
        <v>8012</v>
      </c>
    </row>
    <row r="1913" spans="1:18" x14ac:dyDescent="0.2">
      <c r="A1913">
        <v>2589817</v>
      </c>
      <c r="B1913" t="s">
        <v>8013</v>
      </c>
      <c r="C1913">
        <v>0</v>
      </c>
      <c r="D1913">
        <v>0</v>
      </c>
      <c r="E1913">
        <v>1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 t="s">
        <v>3284</v>
      </c>
      <c r="M1913" t="s">
        <v>3296</v>
      </c>
      <c r="N1913" t="s">
        <v>3297</v>
      </c>
      <c r="O1913" t="s">
        <v>4500</v>
      </c>
      <c r="P1913" t="s">
        <v>5719</v>
      </c>
      <c r="Q1913" t="s">
        <v>8014</v>
      </c>
      <c r="R1913" t="s">
        <v>8015</v>
      </c>
    </row>
    <row r="1914" spans="1:18" x14ac:dyDescent="0.2">
      <c r="A1914">
        <v>2589807</v>
      </c>
      <c r="B1914" t="s">
        <v>8016</v>
      </c>
      <c r="C1914">
        <v>1</v>
      </c>
      <c r="D1914">
        <v>1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 t="s">
        <v>3284</v>
      </c>
      <c r="M1914" t="s">
        <v>3296</v>
      </c>
      <c r="N1914" t="s">
        <v>3343</v>
      </c>
      <c r="O1914" t="s">
        <v>3344</v>
      </c>
      <c r="P1914" t="s">
        <v>3355</v>
      </c>
      <c r="Q1914" t="s">
        <v>3356</v>
      </c>
      <c r="R1914" t="s">
        <v>8017</v>
      </c>
    </row>
    <row r="1915" spans="1:18" x14ac:dyDescent="0.2">
      <c r="A1915">
        <v>2588942</v>
      </c>
      <c r="B1915" t="s">
        <v>8018</v>
      </c>
      <c r="C1915">
        <v>0</v>
      </c>
      <c r="D1915">
        <v>1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 t="s">
        <v>3284</v>
      </c>
      <c r="M1915" t="s">
        <v>3296</v>
      </c>
      <c r="N1915" t="s">
        <v>3321</v>
      </c>
      <c r="O1915" t="s">
        <v>3322</v>
      </c>
      <c r="P1915" t="s">
        <v>3271</v>
      </c>
      <c r="Q1915" t="s">
        <v>8019</v>
      </c>
      <c r="R1915" t="s">
        <v>8020</v>
      </c>
    </row>
    <row r="1916" spans="1:18" x14ac:dyDescent="0.2">
      <c r="A1916">
        <v>2587850</v>
      </c>
      <c r="B1916" t="s">
        <v>8021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1</v>
      </c>
      <c r="J1916">
        <v>0</v>
      </c>
      <c r="K1916">
        <v>0</v>
      </c>
      <c r="L1916" t="s">
        <v>3284</v>
      </c>
      <c r="M1916" t="s">
        <v>3296</v>
      </c>
      <c r="N1916" t="s">
        <v>3343</v>
      </c>
      <c r="O1916" t="s">
        <v>3371</v>
      </c>
      <c r="P1916" t="s">
        <v>3372</v>
      </c>
      <c r="Q1916" t="s">
        <v>3373</v>
      </c>
      <c r="R1916" t="s">
        <v>8022</v>
      </c>
    </row>
    <row r="1917" spans="1:18" x14ac:dyDescent="0.2">
      <c r="A1917">
        <v>2587160</v>
      </c>
      <c r="B1917" t="s">
        <v>8023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1</v>
      </c>
      <c r="K1917">
        <v>0</v>
      </c>
      <c r="L1917" t="s">
        <v>3284</v>
      </c>
      <c r="M1917" t="s">
        <v>3296</v>
      </c>
      <c r="N1917" t="s">
        <v>3343</v>
      </c>
      <c r="O1917" t="s">
        <v>3344</v>
      </c>
      <c r="P1917" t="s">
        <v>3367</v>
      </c>
      <c r="Q1917" t="s">
        <v>3368</v>
      </c>
      <c r="R1917" t="s">
        <v>8024</v>
      </c>
    </row>
    <row r="1918" spans="1:18" x14ac:dyDescent="0.2">
      <c r="A1918">
        <v>2587157</v>
      </c>
      <c r="B1918" t="s">
        <v>8025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1</v>
      </c>
      <c r="J1918">
        <v>0</v>
      </c>
      <c r="K1918">
        <v>0</v>
      </c>
      <c r="L1918" t="s">
        <v>3284</v>
      </c>
      <c r="M1918" t="s">
        <v>3327</v>
      </c>
      <c r="N1918" t="s">
        <v>3376</v>
      </c>
      <c r="O1918" t="s">
        <v>3377</v>
      </c>
      <c r="P1918" t="s">
        <v>3378</v>
      </c>
      <c r="Q1918" t="s">
        <v>3379</v>
      </c>
      <c r="R1918" t="s">
        <v>8026</v>
      </c>
    </row>
    <row r="1919" spans="1:18" x14ac:dyDescent="0.2">
      <c r="A1919">
        <v>2587145</v>
      </c>
      <c r="B1919" t="s">
        <v>8027</v>
      </c>
      <c r="C1919">
        <v>0</v>
      </c>
      <c r="D1919">
        <v>1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 t="s">
        <v>3284</v>
      </c>
      <c r="M1919" t="s">
        <v>3391</v>
      </c>
      <c r="N1919" t="s">
        <v>3392</v>
      </c>
      <c r="O1919" t="s">
        <v>3393</v>
      </c>
      <c r="P1919" t="s">
        <v>3394</v>
      </c>
      <c r="Q1919" t="s">
        <v>4351</v>
      </c>
      <c r="R1919" t="s">
        <v>8028</v>
      </c>
    </row>
    <row r="1920" spans="1:18" x14ac:dyDescent="0.2">
      <c r="A1920">
        <v>2587130</v>
      </c>
      <c r="B1920" t="s">
        <v>8029</v>
      </c>
      <c r="C1920">
        <v>0</v>
      </c>
      <c r="D1920">
        <v>0</v>
      </c>
      <c r="E1920">
        <v>0</v>
      </c>
      <c r="F1920">
        <v>0</v>
      </c>
      <c r="G1920">
        <v>1</v>
      </c>
      <c r="H1920">
        <v>0</v>
      </c>
      <c r="I1920">
        <v>0</v>
      </c>
      <c r="J1920">
        <v>0</v>
      </c>
      <c r="K1920">
        <v>0</v>
      </c>
      <c r="L1920" t="s">
        <v>3284</v>
      </c>
      <c r="M1920" t="s">
        <v>3296</v>
      </c>
      <c r="N1920" t="s">
        <v>3297</v>
      </c>
      <c r="O1920" t="s">
        <v>3469</v>
      </c>
      <c r="P1920" t="s">
        <v>5200</v>
      </c>
      <c r="Q1920" t="s">
        <v>8030</v>
      </c>
      <c r="R1920" t="s">
        <v>8031</v>
      </c>
    </row>
    <row r="1921" spans="1:18" x14ac:dyDescent="0.2">
      <c r="A1921">
        <v>2587117</v>
      </c>
      <c r="B1921" t="s">
        <v>8032</v>
      </c>
      <c r="C1921">
        <v>0</v>
      </c>
      <c r="D1921">
        <v>0</v>
      </c>
      <c r="E1921">
        <v>0</v>
      </c>
      <c r="F1921">
        <v>0</v>
      </c>
      <c r="G1921">
        <v>1</v>
      </c>
      <c r="H1921">
        <v>0</v>
      </c>
      <c r="I1921">
        <v>0</v>
      </c>
      <c r="J1921">
        <v>0</v>
      </c>
      <c r="K1921">
        <v>0</v>
      </c>
      <c r="L1921" t="s">
        <v>3284</v>
      </c>
      <c r="M1921" t="s">
        <v>3296</v>
      </c>
      <c r="N1921" t="s">
        <v>3321</v>
      </c>
      <c r="O1921" t="s">
        <v>3322</v>
      </c>
      <c r="P1921" t="s">
        <v>3398</v>
      </c>
      <c r="Q1921" t="s">
        <v>3399</v>
      </c>
      <c r="R1921" t="s">
        <v>8033</v>
      </c>
    </row>
    <row r="1922" spans="1:18" x14ac:dyDescent="0.2">
      <c r="A1922">
        <v>2587081</v>
      </c>
      <c r="B1922" t="s">
        <v>8034</v>
      </c>
      <c r="C1922">
        <v>0</v>
      </c>
      <c r="D1922">
        <v>0</v>
      </c>
      <c r="E1922">
        <v>0</v>
      </c>
      <c r="F1922">
        <v>1</v>
      </c>
      <c r="G1922">
        <v>0</v>
      </c>
      <c r="H1922">
        <v>0</v>
      </c>
      <c r="I1922">
        <v>0</v>
      </c>
      <c r="J1922">
        <v>0</v>
      </c>
      <c r="K1922">
        <v>0</v>
      </c>
      <c r="L1922" t="s">
        <v>3284</v>
      </c>
      <c r="M1922" t="s">
        <v>3296</v>
      </c>
      <c r="N1922" t="s">
        <v>3343</v>
      </c>
      <c r="O1922" t="s">
        <v>3344</v>
      </c>
      <c r="P1922" t="s">
        <v>3355</v>
      </c>
      <c r="Q1922" t="s">
        <v>3356</v>
      </c>
      <c r="R1922" t="s">
        <v>8035</v>
      </c>
    </row>
    <row r="1923" spans="1:18" x14ac:dyDescent="0.2">
      <c r="A1923">
        <v>2587052</v>
      </c>
      <c r="B1923" t="s">
        <v>8036</v>
      </c>
      <c r="C1923">
        <v>0</v>
      </c>
      <c r="D1923">
        <v>0</v>
      </c>
      <c r="E1923">
        <v>0</v>
      </c>
      <c r="F1923">
        <v>0</v>
      </c>
      <c r="G1923">
        <v>1</v>
      </c>
      <c r="H1923">
        <v>0</v>
      </c>
      <c r="I1923">
        <v>0</v>
      </c>
      <c r="J1923">
        <v>0</v>
      </c>
      <c r="K1923">
        <v>0</v>
      </c>
      <c r="L1923" t="s">
        <v>3284</v>
      </c>
      <c r="M1923" t="s">
        <v>3296</v>
      </c>
      <c r="N1923" t="s">
        <v>3321</v>
      </c>
      <c r="O1923" t="s">
        <v>3322</v>
      </c>
      <c r="P1923" t="s">
        <v>3323</v>
      </c>
      <c r="Q1923" t="s">
        <v>5058</v>
      </c>
      <c r="R1923" t="s">
        <v>8037</v>
      </c>
    </row>
    <row r="1924" spans="1:18" x14ac:dyDescent="0.2">
      <c r="A1924">
        <v>2587031</v>
      </c>
      <c r="B1924" t="s">
        <v>8038</v>
      </c>
      <c r="C1924">
        <v>0</v>
      </c>
      <c r="D1924">
        <v>1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 t="s">
        <v>3284</v>
      </c>
      <c r="M1924" t="s">
        <v>3296</v>
      </c>
      <c r="N1924" t="s">
        <v>3297</v>
      </c>
      <c r="O1924" t="s">
        <v>3469</v>
      </c>
      <c r="P1924" t="s">
        <v>5200</v>
      </c>
      <c r="Q1924" t="s">
        <v>8030</v>
      </c>
      <c r="R1924" t="s">
        <v>8039</v>
      </c>
    </row>
    <row r="1925" spans="1:18" x14ac:dyDescent="0.2">
      <c r="A1925">
        <v>2587027</v>
      </c>
      <c r="B1925" t="s">
        <v>8040</v>
      </c>
      <c r="C1925">
        <v>0</v>
      </c>
      <c r="D1925">
        <v>0</v>
      </c>
      <c r="E1925">
        <v>0</v>
      </c>
      <c r="F1925">
        <v>2</v>
      </c>
      <c r="G1925">
        <v>1</v>
      </c>
      <c r="H1925">
        <v>1</v>
      </c>
      <c r="I1925">
        <v>0</v>
      </c>
      <c r="J1925">
        <v>1</v>
      </c>
      <c r="K1925">
        <v>0</v>
      </c>
      <c r="L1925" t="s">
        <v>3284</v>
      </c>
      <c r="M1925" t="s">
        <v>3296</v>
      </c>
      <c r="N1925" t="s">
        <v>3321</v>
      </c>
      <c r="O1925" t="s">
        <v>3322</v>
      </c>
      <c r="P1925" t="s">
        <v>3398</v>
      </c>
      <c r="Q1925" t="s">
        <v>3399</v>
      </c>
      <c r="R1925" t="s">
        <v>8041</v>
      </c>
    </row>
    <row r="1926" spans="1:18" x14ac:dyDescent="0.2">
      <c r="A1926">
        <v>2587022</v>
      </c>
      <c r="B1926" t="s">
        <v>8042</v>
      </c>
      <c r="C1926">
        <v>0</v>
      </c>
      <c r="D1926">
        <v>0</v>
      </c>
      <c r="E1926">
        <v>0</v>
      </c>
      <c r="F1926">
        <v>0</v>
      </c>
      <c r="G1926">
        <v>1</v>
      </c>
      <c r="H1926">
        <v>0</v>
      </c>
      <c r="I1926">
        <v>0</v>
      </c>
      <c r="J1926">
        <v>0</v>
      </c>
      <c r="K1926">
        <v>0</v>
      </c>
      <c r="L1926" t="s">
        <v>3284</v>
      </c>
      <c r="M1926" t="s">
        <v>3391</v>
      </c>
      <c r="N1926" t="s">
        <v>3392</v>
      </c>
      <c r="O1926" t="s">
        <v>3393</v>
      </c>
      <c r="P1926" t="s">
        <v>3394</v>
      </c>
      <c r="Q1926" t="s">
        <v>4082</v>
      </c>
      <c r="R1926" t="s">
        <v>8043</v>
      </c>
    </row>
    <row r="1927" spans="1:18" x14ac:dyDescent="0.2">
      <c r="A1927">
        <v>2587016</v>
      </c>
      <c r="B1927" t="s">
        <v>8044</v>
      </c>
      <c r="C1927">
        <v>0</v>
      </c>
      <c r="D1927">
        <v>0</v>
      </c>
      <c r="E1927">
        <v>0</v>
      </c>
      <c r="F1927">
        <v>0</v>
      </c>
      <c r="G1927">
        <v>1</v>
      </c>
      <c r="H1927">
        <v>0</v>
      </c>
      <c r="I1927">
        <v>0</v>
      </c>
      <c r="J1927">
        <v>0</v>
      </c>
      <c r="K1927">
        <v>0</v>
      </c>
      <c r="L1927" t="s">
        <v>3284</v>
      </c>
      <c r="M1927" t="s">
        <v>3296</v>
      </c>
      <c r="N1927" t="s">
        <v>3321</v>
      </c>
      <c r="O1927" t="s">
        <v>3322</v>
      </c>
      <c r="P1927" t="s">
        <v>3323</v>
      </c>
      <c r="Q1927" t="s">
        <v>5058</v>
      </c>
      <c r="R1927" t="s">
        <v>8045</v>
      </c>
    </row>
    <row r="1928" spans="1:18" x14ac:dyDescent="0.2">
      <c r="A1928">
        <v>2587000</v>
      </c>
      <c r="B1928" t="s">
        <v>8046</v>
      </c>
      <c r="C1928">
        <v>0</v>
      </c>
      <c r="D1928">
        <v>0</v>
      </c>
      <c r="E1928">
        <v>0</v>
      </c>
      <c r="F1928">
        <v>2</v>
      </c>
      <c r="G1928">
        <v>1</v>
      </c>
      <c r="H1928">
        <v>0</v>
      </c>
      <c r="I1928">
        <v>0</v>
      </c>
      <c r="J1928">
        <v>0</v>
      </c>
      <c r="K1928">
        <v>0</v>
      </c>
      <c r="L1928" t="s">
        <v>3284</v>
      </c>
      <c r="M1928" t="s">
        <v>3296</v>
      </c>
      <c r="N1928" t="s">
        <v>3343</v>
      </c>
      <c r="O1928" t="s">
        <v>3349</v>
      </c>
      <c r="P1928" t="s">
        <v>3350</v>
      </c>
      <c r="Q1928" t="s">
        <v>3351</v>
      </c>
      <c r="R1928" t="s">
        <v>8047</v>
      </c>
    </row>
    <row r="1929" spans="1:18" x14ac:dyDescent="0.2">
      <c r="A1929">
        <v>2586996</v>
      </c>
      <c r="B1929" t="s">
        <v>8048</v>
      </c>
      <c r="C1929">
        <v>0</v>
      </c>
      <c r="D1929">
        <v>0</v>
      </c>
      <c r="E1929">
        <v>0</v>
      </c>
      <c r="F1929">
        <v>1</v>
      </c>
      <c r="G1929">
        <v>0</v>
      </c>
      <c r="H1929">
        <v>0</v>
      </c>
      <c r="I1929">
        <v>0</v>
      </c>
      <c r="J1929">
        <v>0</v>
      </c>
      <c r="K1929">
        <v>0</v>
      </c>
      <c r="L1929" t="s">
        <v>3284</v>
      </c>
      <c r="M1929" t="s">
        <v>3296</v>
      </c>
      <c r="N1929" t="s">
        <v>3343</v>
      </c>
      <c r="O1929" t="s">
        <v>3349</v>
      </c>
      <c r="P1929" t="s">
        <v>3350</v>
      </c>
      <c r="Q1929" t="s">
        <v>3351</v>
      </c>
      <c r="R1929" t="s">
        <v>8049</v>
      </c>
    </row>
    <row r="1930" spans="1:18" x14ac:dyDescent="0.2">
      <c r="A1930">
        <v>2586986</v>
      </c>
      <c r="B1930" t="s">
        <v>8050</v>
      </c>
      <c r="C1930">
        <v>0</v>
      </c>
      <c r="D1930">
        <v>0</v>
      </c>
      <c r="E1930">
        <v>0</v>
      </c>
      <c r="F1930">
        <v>0</v>
      </c>
      <c r="G1930">
        <v>2</v>
      </c>
      <c r="H1930">
        <v>0</v>
      </c>
      <c r="I1930">
        <v>0</v>
      </c>
      <c r="J1930">
        <v>1</v>
      </c>
      <c r="K1930">
        <v>0</v>
      </c>
      <c r="L1930" t="s">
        <v>3284</v>
      </c>
      <c r="M1930" t="s">
        <v>3296</v>
      </c>
      <c r="N1930" t="s">
        <v>3343</v>
      </c>
      <c r="O1930" t="s">
        <v>3344</v>
      </c>
      <c r="P1930" t="s">
        <v>3355</v>
      </c>
      <c r="Q1930" t="s">
        <v>3356</v>
      </c>
      <c r="R1930" t="s">
        <v>8051</v>
      </c>
    </row>
    <row r="1931" spans="1:18" x14ac:dyDescent="0.2">
      <c r="A1931">
        <v>2586983</v>
      </c>
      <c r="B1931" t="s">
        <v>8052</v>
      </c>
      <c r="C1931">
        <v>0</v>
      </c>
      <c r="D1931">
        <v>0</v>
      </c>
      <c r="E1931">
        <v>0</v>
      </c>
      <c r="F1931">
        <v>0</v>
      </c>
      <c r="G1931">
        <v>1</v>
      </c>
      <c r="H1931">
        <v>0</v>
      </c>
      <c r="I1931">
        <v>3</v>
      </c>
      <c r="J1931">
        <v>2</v>
      </c>
      <c r="K1931">
        <v>6</v>
      </c>
      <c r="L1931" t="s">
        <v>3284</v>
      </c>
      <c r="M1931" t="s">
        <v>3296</v>
      </c>
      <c r="N1931" t="s">
        <v>3343</v>
      </c>
      <c r="O1931" t="s">
        <v>3344</v>
      </c>
      <c r="P1931" t="s">
        <v>3355</v>
      </c>
      <c r="Q1931" t="s">
        <v>3356</v>
      </c>
      <c r="R1931" t="s">
        <v>8053</v>
      </c>
    </row>
    <row r="1932" spans="1:18" x14ac:dyDescent="0.2">
      <c r="A1932">
        <v>2586973</v>
      </c>
      <c r="B1932" t="s">
        <v>8054</v>
      </c>
      <c r="C1932">
        <v>0</v>
      </c>
      <c r="D1932">
        <v>0</v>
      </c>
      <c r="E1932">
        <v>0</v>
      </c>
      <c r="F1932">
        <v>1</v>
      </c>
      <c r="G1932">
        <v>0</v>
      </c>
      <c r="H1932">
        <v>0</v>
      </c>
      <c r="I1932">
        <v>0</v>
      </c>
      <c r="J1932">
        <v>0</v>
      </c>
      <c r="K1932">
        <v>0</v>
      </c>
      <c r="L1932" t="s">
        <v>3284</v>
      </c>
      <c r="M1932" t="s">
        <v>3296</v>
      </c>
      <c r="N1932" t="s">
        <v>3321</v>
      </c>
      <c r="O1932" t="s">
        <v>3322</v>
      </c>
      <c r="P1932" t="s">
        <v>3398</v>
      </c>
      <c r="Q1932" t="s">
        <v>3399</v>
      </c>
      <c r="R1932" t="s">
        <v>8055</v>
      </c>
    </row>
    <row r="1933" spans="1:18" x14ac:dyDescent="0.2">
      <c r="A1933">
        <v>2586908</v>
      </c>
      <c r="B1933" t="s">
        <v>8056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2</v>
      </c>
      <c r="J1933">
        <v>0</v>
      </c>
      <c r="K1933">
        <v>1</v>
      </c>
      <c r="L1933" t="s">
        <v>3284</v>
      </c>
      <c r="M1933" t="s">
        <v>3296</v>
      </c>
      <c r="N1933" t="s">
        <v>3343</v>
      </c>
      <c r="O1933" t="s">
        <v>3344</v>
      </c>
      <c r="P1933" t="s">
        <v>3271</v>
      </c>
      <c r="Q1933" t="s">
        <v>8057</v>
      </c>
      <c r="R1933" t="s">
        <v>8058</v>
      </c>
    </row>
    <row r="1934" spans="1:18" x14ac:dyDescent="0.2">
      <c r="A1934">
        <v>2585771</v>
      </c>
      <c r="B1934" t="s">
        <v>8059</v>
      </c>
      <c r="C1934">
        <v>1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 t="s">
        <v>3284</v>
      </c>
      <c r="M1934" t="s">
        <v>3391</v>
      </c>
      <c r="N1934" t="s">
        <v>3411</v>
      </c>
      <c r="O1934" t="s">
        <v>3412</v>
      </c>
      <c r="P1934" t="s">
        <v>3413</v>
      </c>
      <c r="Q1934" t="s">
        <v>5878</v>
      </c>
      <c r="R1934" t="s">
        <v>8060</v>
      </c>
    </row>
    <row r="1935" spans="1:18" x14ac:dyDescent="0.2">
      <c r="A1935">
        <v>2585717</v>
      </c>
      <c r="B1935" t="s">
        <v>8061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2</v>
      </c>
      <c r="J1935">
        <v>1</v>
      </c>
      <c r="K1935">
        <v>0</v>
      </c>
      <c r="L1935" t="s">
        <v>3284</v>
      </c>
      <c r="M1935" t="s">
        <v>3307</v>
      </c>
      <c r="N1935" t="s">
        <v>3308</v>
      </c>
      <c r="O1935" t="s">
        <v>3359</v>
      </c>
      <c r="P1935" t="s">
        <v>3360</v>
      </c>
      <c r="Q1935" t="s">
        <v>3364</v>
      </c>
      <c r="R1935" t="s">
        <v>8062</v>
      </c>
    </row>
    <row r="1936" spans="1:18" x14ac:dyDescent="0.2">
      <c r="A1936">
        <v>2585211</v>
      </c>
      <c r="B1936" t="s">
        <v>8063</v>
      </c>
      <c r="C1936">
        <v>1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 t="s">
        <v>3284</v>
      </c>
      <c r="M1936" t="s">
        <v>3307</v>
      </c>
      <c r="N1936" t="s">
        <v>3308</v>
      </c>
      <c r="O1936" t="s">
        <v>3309</v>
      </c>
      <c r="P1936" t="s">
        <v>3310</v>
      </c>
      <c r="Q1936" t="s">
        <v>8064</v>
      </c>
      <c r="R1936" t="s">
        <v>8065</v>
      </c>
    </row>
    <row r="1937" spans="1:18" x14ac:dyDescent="0.2">
      <c r="A1937">
        <v>2585029</v>
      </c>
      <c r="B1937" t="s">
        <v>8066</v>
      </c>
      <c r="C1937">
        <v>0</v>
      </c>
      <c r="D1937">
        <v>0</v>
      </c>
      <c r="E1937">
        <v>0</v>
      </c>
      <c r="F1937">
        <v>1</v>
      </c>
      <c r="G1937">
        <v>0</v>
      </c>
      <c r="H1937">
        <v>0</v>
      </c>
      <c r="I1937">
        <v>0</v>
      </c>
      <c r="J1937">
        <v>0</v>
      </c>
      <c r="K1937">
        <v>0</v>
      </c>
      <c r="L1937" t="s">
        <v>3284</v>
      </c>
      <c r="M1937" t="s">
        <v>3296</v>
      </c>
      <c r="N1937" t="s">
        <v>3297</v>
      </c>
      <c r="O1937" t="s">
        <v>8067</v>
      </c>
      <c r="P1937" t="s">
        <v>8068</v>
      </c>
      <c r="Q1937" t="s">
        <v>8069</v>
      </c>
      <c r="R1937" t="s">
        <v>8070</v>
      </c>
    </row>
    <row r="1938" spans="1:18" x14ac:dyDescent="0.2">
      <c r="A1938">
        <v>2583849</v>
      </c>
      <c r="B1938" t="s">
        <v>8071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1</v>
      </c>
      <c r="J1938">
        <v>0</v>
      </c>
      <c r="K1938">
        <v>0</v>
      </c>
      <c r="L1938" t="s">
        <v>3284</v>
      </c>
      <c r="M1938" t="s">
        <v>3307</v>
      </c>
      <c r="N1938" t="s">
        <v>3308</v>
      </c>
      <c r="O1938" t="s">
        <v>3359</v>
      </c>
      <c r="P1938" t="s">
        <v>3360</v>
      </c>
      <c r="Q1938" t="s">
        <v>3364</v>
      </c>
      <c r="R1938" t="s">
        <v>8072</v>
      </c>
    </row>
    <row r="1939" spans="1:18" x14ac:dyDescent="0.2">
      <c r="A1939">
        <v>2583822</v>
      </c>
      <c r="B1939" t="s">
        <v>8073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1</v>
      </c>
      <c r="K1939">
        <v>0</v>
      </c>
      <c r="L1939" t="s">
        <v>3284</v>
      </c>
      <c r="M1939" t="s">
        <v>3307</v>
      </c>
      <c r="N1939" t="s">
        <v>3308</v>
      </c>
      <c r="O1939" t="s">
        <v>3359</v>
      </c>
      <c r="P1939" t="s">
        <v>3360</v>
      </c>
      <c r="Q1939" t="s">
        <v>4893</v>
      </c>
      <c r="R1939" t="s">
        <v>8074</v>
      </c>
    </row>
    <row r="1940" spans="1:18" x14ac:dyDescent="0.2">
      <c r="A1940">
        <v>2583376</v>
      </c>
      <c r="B1940" t="s">
        <v>8075</v>
      </c>
      <c r="C1940">
        <v>25</v>
      </c>
      <c r="D1940">
        <v>23</v>
      </c>
      <c r="E1940">
        <v>6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 t="s">
        <v>3284</v>
      </c>
      <c r="M1940" t="s">
        <v>3327</v>
      </c>
      <c r="N1940" t="s">
        <v>3376</v>
      </c>
      <c r="O1940" t="s">
        <v>3377</v>
      </c>
      <c r="P1940" t="s">
        <v>3604</v>
      </c>
      <c r="Q1940" t="s">
        <v>3668</v>
      </c>
      <c r="R1940" t="s">
        <v>8076</v>
      </c>
    </row>
    <row r="1941" spans="1:18" x14ac:dyDescent="0.2">
      <c r="A1941">
        <v>2583234</v>
      </c>
      <c r="B1941" t="s">
        <v>8077</v>
      </c>
      <c r="C1941">
        <v>5</v>
      </c>
      <c r="D1941">
        <v>4</v>
      </c>
      <c r="E1941">
        <v>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 t="s">
        <v>3284</v>
      </c>
      <c r="M1941" t="s">
        <v>3296</v>
      </c>
      <c r="N1941" t="s">
        <v>3343</v>
      </c>
      <c r="O1941" t="s">
        <v>3371</v>
      </c>
      <c r="P1941" t="s">
        <v>3271</v>
      </c>
      <c r="Q1941" t="s">
        <v>5409</v>
      </c>
      <c r="R1941" t="s">
        <v>8078</v>
      </c>
    </row>
    <row r="1942" spans="1:18" x14ac:dyDescent="0.2">
      <c r="A1942">
        <v>2583233</v>
      </c>
      <c r="B1942" t="s">
        <v>8079</v>
      </c>
      <c r="C1942">
        <v>0</v>
      </c>
      <c r="D1942">
        <v>0</v>
      </c>
      <c r="E1942">
        <v>0</v>
      </c>
      <c r="F1942">
        <v>1</v>
      </c>
      <c r="G1942">
        <v>3</v>
      </c>
      <c r="H1942">
        <v>0</v>
      </c>
      <c r="I1942">
        <v>0</v>
      </c>
      <c r="J1942">
        <v>0</v>
      </c>
      <c r="K1942">
        <v>0</v>
      </c>
      <c r="L1942" t="s">
        <v>3284</v>
      </c>
      <c r="M1942" t="s">
        <v>3296</v>
      </c>
      <c r="N1942" t="s">
        <v>3343</v>
      </c>
      <c r="O1942" t="s">
        <v>3344</v>
      </c>
      <c r="P1942" t="s">
        <v>3355</v>
      </c>
      <c r="Q1942" t="s">
        <v>3356</v>
      </c>
      <c r="R1942" t="s">
        <v>8080</v>
      </c>
    </row>
    <row r="1943" spans="1:18" x14ac:dyDescent="0.2">
      <c r="A1943">
        <v>2583211</v>
      </c>
      <c r="B1943" t="s">
        <v>8081</v>
      </c>
      <c r="C1943">
        <v>1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 t="s">
        <v>3284</v>
      </c>
      <c r="M1943" t="s">
        <v>3391</v>
      </c>
      <c r="N1943" t="s">
        <v>3411</v>
      </c>
      <c r="O1943" t="s">
        <v>3412</v>
      </c>
      <c r="P1943" t="s">
        <v>3564</v>
      </c>
      <c r="Q1943" t="s">
        <v>3803</v>
      </c>
      <c r="R1943" t="s">
        <v>8082</v>
      </c>
    </row>
    <row r="1944" spans="1:18" x14ac:dyDescent="0.2">
      <c r="A1944">
        <v>2579977</v>
      </c>
      <c r="B1944" t="s">
        <v>8083</v>
      </c>
      <c r="C1944">
        <v>0</v>
      </c>
      <c r="D1944">
        <v>0</v>
      </c>
      <c r="E1944">
        <v>0</v>
      </c>
      <c r="F1944">
        <v>1</v>
      </c>
      <c r="G1944">
        <v>0</v>
      </c>
      <c r="H1944">
        <v>0</v>
      </c>
      <c r="I1944">
        <v>0</v>
      </c>
      <c r="J1944">
        <v>0</v>
      </c>
      <c r="K1944">
        <v>0</v>
      </c>
      <c r="L1944" t="s">
        <v>3284</v>
      </c>
      <c r="M1944" t="s">
        <v>3296</v>
      </c>
      <c r="N1944" t="s">
        <v>3343</v>
      </c>
      <c r="O1944" t="s">
        <v>3402</v>
      </c>
      <c r="P1944" t="s">
        <v>3403</v>
      </c>
      <c r="Q1944" t="s">
        <v>3536</v>
      </c>
      <c r="R1944" t="s">
        <v>8084</v>
      </c>
    </row>
    <row r="1945" spans="1:18" x14ac:dyDescent="0.2">
      <c r="A1945">
        <v>2579935</v>
      </c>
      <c r="B1945" t="s">
        <v>8085</v>
      </c>
      <c r="C1945">
        <v>0</v>
      </c>
      <c r="D1945">
        <v>0</v>
      </c>
      <c r="E1945">
        <v>0</v>
      </c>
      <c r="F1945">
        <v>0</v>
      </c>
      <c r="G1945">
        <v>2</v>
      </c>
      <c r="H1945">
        <v>0</v>
      </c>
      <c r="I1945">
        <v>0</v>
      </c>
      <c r="J1945">
        <v>0</v>
      </c>
      <c r="K1945">
        <v>0</v>
      </c>
      <c r="L1945" t="s">
        <v>3284</v>
      </c>
      <c r="M1945" t="s">
        <v>3296</v>
      </c>
      <c r="N1945" t="s">
        <v>3297</v>
      </c>
      <c r="O1945" t="s">
        <v>3298</v>
      </c>
      <c r="P1945" t="s">
        <v>3826</v>
      </c>
      <c r="Q1945" t="s">
        <v>8086</v>
      </c>
      <c r="R1945" t="s">
        <v>8087</v>
      </c>
    </row>
    <row r="1946" spans="1:18" x14ac:dyDescent="0.2">
      <c r="A1946">
        <v>2578106</v>
      </c>
      <c r="B1946" t="s">
        <v>8088</v>
      </c>
      <c r="C1946">
        <v>0</v>
      </c>
      <c r="D1946">
        <v>0</v>
      </c>
      <c r="E1946">
        <v>0</v>
      </c>
      <c r="F1946">
        <v>0</v>
      </c>
      <c r="G1946">
        <v>1</v>
      </c>
      <c r="H1946">
        <v>0</v>
      </c>
      <c r="I1946">
        <v>0</v>
      </c>
      <c r="J1946">
        <v>0</v>
      </c>
      <c r="K1946">
        <v>0</v>
      </c>
      <c r="L1946" t="s">
        <v>3284</v>
      </c>
      <c r="M1946" t="s">
        <v>3391</v>
      </c>
      <c r="N1946" t="s">
        <v>3392</v>
      </c>
      <c r="O1946" t="s">
        <v>3393</v>
      </c>
      <c r="P1946" t="s">
        <v>3394</v>
      </c>
      <c r="Q1946" t="s">
        <v>3395</v>
      </c>
      <c r="R1946" t="s">
        <v>8089</v>
      </c>
    </row>
    <row r="1947" spans="1:18" x14ac:dyDescent="0.2">
      <c r="A1947">
        <v>2576927</v>
      </c>
      <c r="B1947" t="s">
        <v>8090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6</v>
      </c>
      <c r="J1947">
        <v>3</v>
      </c>
      <c r="K1947">
        <v>0</v>
      </c>
      <c r="L1947" t="s">
        <v>3284</v>
      </c>
      <c r="M1947" t="s">
        <v>3296</v>
      </c>
      <c r="N1947" t="s">
        <v>3321</v>
      </c>
      <c r="O1947" t="s">
        <v>3322</v>
      </c>
      <c r="P1947" t="s">
        <v>3423</v>
      </c>
      <c r="Q1947" t="s">
        <v>4394</v>
      </c>
      <c r="R1947" t="s">
        <v>8091</v>
      </c>
    </row>
    <row r="1948" spans="1:18" x14ac:dyDescent="0.2">
      <c r="A1948">
        <v>2576921</v>
      </c>
      <c r="B1948" t="s">
        <v>8092</v>
      </c>
      <c r="C1948">
        <v>0</v>
      </c>
      <c r="D1948">
        <v>0</v>
      </c>
      <c r="E1948">
        <v>0</v>
      </c>
      <c r="F1948">
        <v>1</v>
      </c>
      <c r="G1948">
        <v>0</v>
      </c>
      <c r="H1948">
        <v>0</v>
      </c>
      <c r="I1948">
        <v>0</v>
      </c>
      <c r="J1948">
        <v>0</v>
      </c>
      <c r="K1948">
        <v>0</v>
      </c>
      <c r="L1948" t="s">
        <v>3284</v>
      </c>
      <c r="M1948" t="s">
        <v>3296</v>
      </c>
      <c r="N1948" t="s">
        <v>3321</v>
      </c>
      <c r="O1948" t="s">
        <v>3322</v>
      </c>
      <c r="P1948" t="s">
        <v>3423</v>
      </c>
      <c r="Q1948" t="s">
        <v>4394</v>
      </c>
      <c r="R1948" t="s">
        <v>8093</v>
      </c>
    </row>
    <row r="1949" spans="1:18" x14ac:dyDescent="0.2">
      <c r="A1949">
        <v>2576920</v>
      </c>
      <c r="B1949" t="s">
        <v>8094</v>
      </c>
      <c r="C1949">
        <v>0</v>
      </c>
      <c r="D1949">
        <v>1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 t="s">
        <v>3284</v>
      </c>
      <c r="M1949" t="s">
        <v>3296</v>
      </c>
      <c r="N1949" t="s">
        <v>3321</v>
      </c>
      <c r="O1949" t="s">
        <v>3322</v>
      </c>
      <c r="P1949" t="s">
        <v>3423</v>
      </c>
      <c r="Q1949" t="s">
        <v>4394</v>
      </c>
      <c r="R1949" t="s">
        <v>8095</v>
      </c>
    </row>
    <row r="1950" spans="1:18" x14ac:dyDescent="0.2">
      <c r="A1950">
        <v>2576919</v>
      </c>
      <c r="B1950" t="s">
        <v>8096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1</v>
      </c>
      <c r="J1950">
        <v>0</v>
      </c>
      <c r="K1950">
        <v>0</v>
      </c>
      <c r="L1950" t="s">
        <v>3284</v>
      </c>
      <c r="M1950" t="s">
        <v>3296</v>
      </c>
      <c r="N1950" t="s">
        <v>3321</v>
      </c>
      <c r="O1950" t="s">
        <v>3322</v>
      </c>
      <c r="P1950" t="s">
        <v>3423</v>
      </c>
      <c r="Q1950" t="s">
        <v>4394</v>
      </c>
      <c r="R1950" t="s">
        <v>8097</v>
      </c>
    </row>
    <row r="1951" spans="1:18" x14ac:dyDescent="0.2">
      <c r="A1951">
        <v>2576917</v>
      </c>
      <c r="B1951" t="s">
        <v>8098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1</v>
      </c>
      <c r="J1951">
        <v>1</v>
      </c>
      <c r="K1951">
        <v>0</v>
      </c>
      <c r="L1951" t="s">
        <v>3284</v>
      </c>
      <c r="M1951" t="s">
        <v>3296</v>
      </c>
      <c r="N1951" t="s">
        <v>3321</v>
      </c>
      <c r="O1951" t="s">
        <v>3322</v>
      </c>
      <c r="P1951" t="s">
        <v>3423</v>
      </c>
      <c r="Q1951" t="s">
        <v>4394</v>
      </c>
      <c r="R1951" t="s">
        <v>8099</v>
      </c>
    </row>
    <row r="1952" spans="1:18" x14ac:dyDescent="0.2">
      <c r="A1952">
        <v>2576891</v>
      </c>
      <c r="B1952" t="s">
        <v>8100</v>
      </c>
      <c r="C1952">
        <v>0</v>
      </c>
      <c r="D1952">
        <v>1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 t="s">
        <v>3284</v>
      </c>
      <c r="M1952" t="s">
        <v>3816</v>
      </c>
      <c r="N1952" t="s">
        <v>4987</v>
      </c>
      <c r="O1952" t="s">
        <v>4988</v>
      </c>
      <c r="P1952" t="s">
        <v>4989</v>
      </c>
      <c r="Q1952" t="s">
        <v>4990</v>
      </c>
      <c r="R1952" t="s">
        <v>8101</v>
      </c>
    </row>
    <row r="1953" spans="1:18" x14ac:dyDescent="0.2">
      <c r="A1953">
        <v>2576422</v>
      </c>
      <c r="B1953" t="s">
        <v>8102</v>
      </c>
      <c r="C1953">
        <v>0</v>
      </c>
      <c r="D1953">
        <v>0</v>
      </c>
      <c r="E1953">
        <v>2</v>
      </c>
      <c r="F1953">
        <v>0</v>
      </c>
      <c r="G1953">
        <v>0</v>
      </c>
      <c r="H1953">
        <v>1</v>
      </c>
      <c r="I1953">
        <v>0</v>
      </c>
      <c r="J1953">
        <v>0</v>
      </c>
      <c r="K1953">
        <v>1</v>
      </c>
      <c r="L1953" t="s">
        <v>3284</v>
      </c>
      <c r="M1953" t="s">
        <v>3296</v>
      </c>
      <c r="N1953" t="s">
        <v>3297</v>
      </c>
      <c r="O1953" t="s">
        <v>3298</v>
      </c>
      <c r="P1953" t="s">
        <v>3826</v>
      </c>
      <c r="Q1953" t="s">
        <v>3927</v>
      </c>
      <c r="R1953" t="s">
        <v>8103</v>
      </c>
    </row>
    <row r="1954" spans="1:18" x14ac:dyDescent="0.2">
      <c r="A1954">
        <v>2576305</v>
      </c>
      <c r="B1954" t="s">
        <v>8104</v>
      </c>
      <c r="C1954">
        <v>1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 t="s">
        <v>3284</v>
      </c>
      <c r="M1954" t="s">
        <v>3296</v>
      </c>
      <c r="N1954" t="s">
        <v>3321</v>
      </c>
      <c r="O1954" t="s">
        <v>3322</v>
      </c>
      <c r="P1954" t="s">
        <v>3398</v>
      </c>
      <c r="Q1954" t="s">
        <v>3788</v>
      </c>
      <c r="R1954" t="s">
        <v>8105</v>
      </c>
    </row>
    <row r="1955" spans="1:18" x14ac:dyDescent="0.2">
      <c r="A1955">
        <v>2576211</v>
      </c>
      <c r="B1955" t="s">
        <v>8106</v>
      </c>
      <c r="C1955">
        <v>1</v>
      </c>
      <c r="D1955">
        <v>0</v>
      </c>
      <c r="E1955">
        <v>0</v>
      </c>
      <c r="F1955">
        <v>33</v>
      </c>
      <c r="G1955">
        <v>19</v>
      </c>
      <c r="H1955">
        <v>1</v>
      </c>
      <c r="I1955">
        <v>0</v>
      </c>
      <c r="J1955">
        <v>0</v>
      </c>
      <c r="K1955">
        <v>0</v>
      </c>
      <c r="L1955" t="s">
        <v>3284</v>
      </c>
      <c r="M1955" t="s">
        <v>3391</v>
      </c>
      <c r="N1955" t="s">
        <v>3740</v>
      </c>
      <c r="O1955" t="s">
        <v>3741</v>
      </c>
      <c r="P1955" t="s">
        <v>3742</v>
      </c>
      <c r="Q1955" t="s">
        <v>4598</v>
      </c>
      <c r="R1955" t="s">
        <v>8107</v>
      </c>
    </row>
    <row r="1956" spans="1:18" x14ac:dyDescent="0.2">
      <c r="A1956">
        <v>2576071</v>
      </c>
      <c r="B1956" t="s">
        <v>8108</v>
      </c>
      <c r="C1956">
        <v>0</v>
      </c>
      <c r="D1956">
        <v>0</v>
      </c>
      <c r="E1956">
        <v>0</v>
      </c>
      <c r="F1956">
        <v>1</v>
      </c>
      <c r="G1956">
        <v>0</v>
      </c>
      <c r="H1956">
        <v>0</v>
      </c>
      <c r="I1956">
        <v>0</v>
      </c>
      <c r="J1956">
        <v>0</v>
      </c>
      <c r="K1956">
        <v>0</v>
      </c>
      <c r="L1956" t="s">
        <v>3284</v>
      </c>
      <c r="M1956" t="s">
        <v>3816</v>
      </c>
      <c r="N1956" t="s">
        <v>3817</v>
      </c>
      <c r="O1956" t="s">
        <v>3818</v>
      </c>
      <c r="P1956" t="s">
        <v>3819</v>
      </c>
      <c r="Q1956" t="s">
        <v>8109</v>
      </c>
      <c r="R1956" t="s">
        <v>8110</v>
      </c>
    </row>
    <row r="1957" spans="1:18" x14ac:dyDescent="0.2">
      <c r="A1957">
        <v>2576062</v>
      </c>
      <c r="B1957" t="s">
        <v>8111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1</v>
      </c>
      <c r="J1957">
        <v>0</v>
      </c>
      <c r="K1957">
        <v>0</v>
      </c>
      <c r="L1957" t="s">
        <v>3284</v>
      </c>
      <c r="M1957" t="s">
        <v>3296</v>
      </c>
      <c r="N1957" t="s">
        <v>3321</v>
      </c>
      <c r="O1957" t="s">
        <v>3322</v>
      </c>
      <c r="P1957" t="s">
        <v>3398</v>
      </c>
      <c r="Q1957" t="s">
        <v>3788</v>
      </c>
      <c r="R1957" t="s">
        <v>8112</v>
      </c>
    </row>
    <row r="1958" spans="1:18" x14ac:dyDescent="0.2">
      <c r="A1958">
        <v>2575739</v>
      </c>
      <c r="B1958" t="s">
        <v>8113</v>
      </c>
      <c r="C1958">
        <v>0</v>
      </c>
      <c r="D1958">
        <v>0</v>
      </c>
      <c r="E1958">
        <v>0</v>
      </c>
      <c r="F1958">
        <v>2</v>
      </c>
      <c r="G1958">
        <v>1</v>
      </c>
      <c r="H1958">
        <v>1</v>
      </c>
      <c r="I1958">
        <v>0</v>
      </c>
      <c r="J1958">
        <v>0</v>
      </c>
      <c r="K1958">
        <v>0</v>
      </c>
      <c r="L1958" t="s">
        <v>3284</v>
      </c>
      <c r="M1958" t="s">
        <v>3296</v>
      </c>
      <c r="N1958" t="s">
        <v>3343</v>
      </c>
      <c r="O1958" t="s">
        <v>3402</v>
      </c>
      <c r="P1958" t="s">
        <v>3403</v>
      </c>
      <c r="Q1958" t="s">
        <v>3404</v>
      </c>
      <c r="R1958" t="s">
        <v>8114</v>
      </c>
    </row>
    <row r="1959" spans="1:18" x14ac:dyDescent="0.2">
      <c r="A1959">
        <v>2575443</v>
      </c>
      <c r="B1959" t="s">
        <v>8115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1</v>
      </c>
      <c r="K1959">
        <v>0</v>
      </c>
      <c r="L1959" t="s">
        <v>3284</v>
      </c>
      <c r="M1959" t="s">
        <v>4022</v>
      </c>
      <c r="N1959" t="s">
        <v>4023</v>
      </c>
      <c r="O1959" t="s">
        <v>4289</v>
      </c>
      <c r="P1959" t="s">
        <v>4563</v>
      </c>
      <c r="Q1959" t="s">
        <v>4564</v>
      </c>
      <c r="R1959" t="s">
        <v>8116</v>
      </c>
    </row>
    <row r="1960" spans="1:18" x14ac:dyDescent="0.2">
      <c r="A1960">
        <v>2574798</v>
      </c>
      <c r="B1960" t="s">
        <v>8117</v>
      </c>
      <c r="C1960">
        <v>0</v>
      </c>
      <c r="D1960">
        <v>1</v>
      </c>
      <c r="E1960">
        <v>1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 t="s">
        <v>3284</v>
      </c>
      <c r="M1960" t="s">
        <v>3327</v>
      </c>
      <c r="N1960" t="s">
        <v>3376</v>
      </c>
      <c r="O1960" t="s">
        <v>3377</v>
      </c>
      <c r="P1960" t="s">
        <v>3378</v>
      </c>
      <c r="Q1960" t="s">
        <v>8118</v>
      </c>
      <c r="R1960" t="s">
        <v>8119</v>
      </c>
    </row>
    <row r="1961" spans="1:18" x14ac:dyDescent="0.2">
      <c r="A1961">
        <v>2574734</v>
      </c>
      <c r="B1961" t="s">
        <v>8120</v>
      </c>
      <c r="C1961">
        <v>0</v>
      </c>
      <c r="D1961">
        <v>0</v>
      </c>
      <c r="E1961">
        <v>1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 t="s">
        <v>3284</v>
      </c>
      <c r="M1961" t="s">
        <v>3327</v>
      </c>
      <c r="N1961" t="s">
        <v>3376</v>
      </c>
      <c r="O1961" t="s">
        <v>3377</v>
      </c>
      <c r="P1961" t="s">
        <v>3378</v>
      </c>
      <c r="Q1961" t="s">
        <v>8121</v>
      </c>
      <c r="R1961" t="s">
        <v>8122</v>
      </c>
    </row>
    <row r="1962" spans="1:18" x14ac:dyDescent="0.2">
      <c r="A1962">
        <v>2572684</v>
      </c>
      <c r="B1962" t="s">
        <v>8123</v>
      </c>
      <c r="C1962">
        <v>1</v>
      </c>
      <c r="D1962">
        <v>0</v>
      </c>
      <c r="E1962">
        <v>0</v>
      </c>
      <c r="F1962">
        <v>0</v>
      </c>
      <c r="G1962">
        <v>0</v>
      </c>
      <c r="H1962">
        <v>1</v>
      </c>
      <c r="I1962">
        <v>0</v>
      </c>
      <c r="J1962">
        <v>0</v>
      </c>
      <c r="K1962">
        <v>0</v>
      </c>
      <c r="L1962" t="s">
        <v>3284</v>
      </c>
      <c r="M1962" t="s">
        <v>3296</v>
      </c>
      <c r="N1962" t="s">
        <v>3297</v>
      </c>
      <c r="O1962" t="s">
        <v>3469</v>
      </c>
      <c r="P1962" t="s">
        <v>3470</v>
      </c>
      <c r="Q1962" t="s">
        <v>5633</v>
      </c>
      <c r="R1962" t="s">
        <v>8124</v>
      </c>
    </row>
    <row r="1963" spans="1:18" x14ac:dyDescent="0.2">
      <c r="A1963">
        <v>2572576</v>
      </c>
      <c r="B1963" t="s">
        <v>8125</v>
      </c>
      <c r="C1963">
        <v>0</v>
      </c>
      <c r="D1963">
        <v>0</v>
      </c>
      <c r="E1963">
        <v>0</v>
      </c>
      <c r="F1963">
        <v>0</v>
      </c>
      <c r="G1963">
        <v>1</v>
      </c>
      <c r="H1963">
        <v>0</v>
      </c>
      <c r="I1963">
        <v>0</v>
      </c>
      <c r="J1963">
        <v>0</v>
      </c>
      <c r="K1963">
        <v>0</v>
      </c>
      <c r="L1963" t="s">
        <v>3284</v>
      </c>
      <c r="M1963" t="s">
        <v>3296</v>
      </c>
      <c r="N1963" t="s">
        <v>3343</v>
      </c>
      <c r="O1963" t="s">
        <v>3349</v>
      </c>
      <c r="P1963" t="s">
        <v>3350</v>
      </c>
      <c r="Q1963" t="s">
        <v>3580</v>
      </c>
      <c r="R1963" t="s">
        <v>8126</v>
      </c>
    </row>
    <row r="1964" spans="1:18" x14ac:dyDescent="0.2">
      <c r="A1964">
        <v>2572203</v>
      </c>
      <c r="B1964" t="s">
        <v>8127</v>
      </c>
      <c r="C1964">
        <v>0</v>
      </c>
      <c r="D1964">
        <v>0</v>
      </c>
      <c r="E1964">
        <v>0</v>
      </c>
      <c r="F1964">
        <v>1</v>
      </c>
      <c r="G1964">
        <v>0</v>
      </c>
      <c r="H1964">
        <v>0</v>
      </c>
      <c r="I1964">
        <v>0</v>
      </c>
      <c r="J1964">
        <v>0</v>
      </c>
      <c r="K1964">
        <v>0</v>
      </c>
      <c r="L1964" t="s">
        <v>3284</v>
      </c>
      <c r="M1964" t="s">
        <v>3391</v>
      </c>
      <c r="N1964" t="s">
        <v>3740</v>
      </c>
      <c r="O1964" t="s">
        <v>3741</v>
      </c>
      <c r="P1964" t="s">
        <v>3742</v>
      </c>
      <c r="Q1964" t="s">
        <v>4598</v>
      </c>
      <c r="R1964" t="s">
        <v>8128</v>
      </c>
    </row>
    <row r="1965" spans="1:18" x14ac:dyDescent="0.2">
      <c r="A1965">
        <v>2571749</v>
      </c>
      <c r="B1965" t="s">
        <v>8129</v>
      </c>
      <c r="C1965">
        <v>0</v>
      </c>
      <c r="D1965">
        <v>0</v>
      </c>
      <c r="E1965">
        <v>0</v>
      </c>
      <c r="F1965">
        <v>1</v>
      </c>
      <c r="G1965">
        <v>0</v>
      </c>
      <c r="H1965">
        <v>0</v>
      </c>
      <c r="I1965">
        <v>0</v>
      </c>
      <c r="J1965">
        <v>0</v>
      </c>
      <c r="K1965">
        <v>0</v>
      </c>
      <c r="L1965" t="s">
        <v>3284</v>
      </c>
      <c r="M1965" t="s">
        <v>3296</v>
      </c>
      <c r="N1965" t="s">
        <v>3343</v>
      </c>
      <c r="O1965" t="s">
        <v>3349</v>
      </c>
      <c r="P1965" t="s">
        <v>3350</v>
      </c>
      <c r="Q1965" t="s">
        <v>3351</v>
      </c>
      <c r="R1965" t="s">
        <v>8130</v>
      </c>
    </row>
    <row r="1966" spans="1:18" x14ac:dyDescent="0.2">
      <c r="A1966">
        <v>2571273</v>
      </c>
      <c r="B1966" t="s">
        <v>8131</v>
      </c>
      <c r="C1966">
        <v>4</v>
      </c>
      <c r="D1966">
        <v>5</v>
      </c>
      <c r="E1966">
        <v>0</v>
      </c>
      <c r="F1966">
        <v>0</v>
      </c>
      <c r="G1966">
        <v>1</v>
      </c>
      <c r="H1966">
        <v>0</v>
      </c>
      <c r="I1966">
        <v>0</v>
      </c>
      <c r="J1966">
        <v>2</v>
      </c>
      <c r="K1966">
        <v>0</v>
      </c>
      <c r="L1966" t="s">
        <v>3284</v>
      </c>
      <c r="M1966" t="s">
        <v>3391</v>
      </c>
      <c r="N1966" t="s">
        <v>3392</v>
      </c>
      <c r="O1966" t="s">
        <v>3393</v>
      </c>
      <c r="P1966" t="s">
        <v>3394</v>
      </c>
      <c r="Q1966" t="s">
        <v>3395</v>
      </c>
      <c r="R1966" t="s">
        <v>8132</v>
      </c>
    </row>
    <row r="1967" spans="1:18" x14ac:dyDescent="0.2">
      <c r="A1967">
        <v>2571272</v>
      </c>
      <c r="B1967" t="s">
        <v>8133</v>
      </c>
      <c r="C1967">
        <v>0</v>
      </c>
      <c r="D1967">
        <v>0</v>
      </c>
      <c r="E1967">
        <v>1</v>
      </c>
      <c r="F1967">
        <v>0</v>
      </c>
      <c r="G1967">
        <v>0</v>
      </c>
      <c r="H1967">
        <v>0</v>
      </c>
      <c r="I1967">
        <v>1</v>
      </c>
      <c r="J1967">
        <v>0</v>
      </c>
      <c r="K1967">
        <v>0</v>
      </c>
      <c r="L1967" t="s">
        <v>3284</v>
      </c>
      <c r="M1967" t="s">
        <v>3391</v>
      </c>
      <c r="N1967" t="s">
        <v>3392</v>
      </c>
      <c r="O1967" t="s">
        <v>3393</v>
      </c>
      <c r="P1967" t="s">
        <v>3394</v>
      </c>
      <c r="Q1967" t="s">
        <v>3395</v>
      </c>
      <c r="R1967" t="s">
        <v>8134</v>
      </c>
    </row>
    <row r="1968" spans="1:18" x14ac:dyDescent="0.2">
      <c r="A1968">
        <v>2571271</v>
      </c>
      <c r="B1968" t="s">
        <v>8135</v>
      </c>
      <c r="C1968">
        <v>0</v>
      </c>
      <c r="D1968">
        <v>1</v>
      </c>
      <c r="E1968">
        <v>0</v>
      </c>
      <c r="F1968">
        <v>1</v>
      </c>
      <c r="G1968">
        <v>0</v>
      </c>
      <c r="H1968">
        <v>0</v>
      </c>
      <c r="I1968">
        <v>0</v>
      </c>
      <c r="J1968">
        <v>0</v>
      </c>
      <c r="K1968">
        <v>0</v>
      </c>
      <c r="L1968" t="s">
        <v>3284</v>
      </c>
      <c r="M1968" t="s">
        <v>3391</v>
      </c>
      <c r="N1968" t="s">
        <v>3392</v>
      </c>
      <c r="O1968" t="s">
        <v>3393</v>
      </c>
      <c r="P1968" t="s">
        <v>3394</v>
      </c>
      <c r="Q1968" t="s">
        <v>3395</v>
      </c>
      <c r="R1968" t="s">
        <v>8136</v>
      </c>
    </row>
    <row r="1969" spans="1:18" x14ac:dyDescent="0.2">
      <c r="A1969">
        <v>2571270</v>
      </c>
      <c r="B1969" t="s">
        <v>8137</v>
      </c>
      <c r="C1969">
        <v>131</v>
      </c>
      <c r="D1969">
        <v>114</v>
      </c>
      <c r="E1969">
        <v>6</v>
      </c>
      <c r="F1969">
        <v>2</v>
      </c>
      <c r="G1969">
        <v>0</v>
      </c>
      <c r="H1969">
        <v>0</v>
      </c>
      <c r="I1969">
        <v>7</v>
      </c>
      <c r="J1969">
        <v>0</v>
      </c>
      <c r="K1969">
        <v>0</v>
      </c>
      <c r="L1969" t="s">
        <v>3284</v>
      </c>
      <c r="M1969" t="s">
        <v>3391</v>
      </c>
      <c r="N1969" t="s">
        <v>3392</v>
      </c>
      <c r="O1969" t="s">
        <v>3393</v>
      </c>
      <c r="P1969" t="s">
        <v>3394</v>
      </c>
      <c r="Q1969" t="s">
        <v>3395</v>
      </c>
      <c r="R1969" t="s">
        <v>8138</v>
      </c>
    </row>
    <row r="1970" spans="1:18" x14ac:dyDescent="0.2">
      <c r="A1970">
        <v>2571128</v>
      </c>
      <c r="B1970" t="s">
        <v>8139</v>
      </c>
      <c r="C1970">
        <v>1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 t="s">
        <v>3284</v>
      </c>
      <c r="M1970" t="s">
        <v>3327</v>
      </c>
      <c r="N1970" t="s">
        <v>3328</v>
      </c>
      <c r="O1970" t="s">
        <v>3329</v>
      </c>
      <c r="P1970" t="s">
        <v>3330</v>
      </c>
      <c r="Q1970" t="s">
        <v>3331</v>
      </c>
      <c r="R1970" t="s">
        <v>8140</v>
      </c>
    </row>
    <row r="1971" spans="1:18" x14ac:dyDescent="0.2">
      <c r="A1971">
        <v>2571116</v>
      </c>
      <c r="B1971" t="s">
        <v>8141</v>
      </c>
      <c r="C1971">
        <v>1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 t="s">
        <v>3284</v>
      </c>
      <c r="M1971" t="s">
        <v>8142</v>
      </c>
      <c r="N1971" t="s">
        <v>8143</v>
      </c>
      <c r="O1971" t="s">
        <v>8144</v>
      </c>
      <c r="P1971" t="s">
        <v>8145</v>
      </c>
      <c r="Q1971" t="s">
        <v>8146</v>
      </c>
      <c r="R1971" t="s">
        <v>8147</v>
      </c>
    </row>
    <row r="1972" spans="1:18" x14ac:dyDescent="0.2">
      <c r="A1972">
        <v>2570323</v>
      </c>
      <c r="B1972" t="s">
        <v>8148</v>
      </c>
      <c r="C1972">
        <v>0</v>
      </c>
      <c r="D1972">
        <v>0</v>
      </c>
      <c r="E1972">
        <v>0</v>
      </c>
      <c r="F1972">
        <v>0</v>
      </c>
      <c r="G1972">
        <v>1</v>
      </c>
      <c r="H1972">
        <v>0</v>
      </c>
      <c r="I1972">
        <v>0</v>
      </c>
      <c r="J1972">
        <v>0</v>
      </c>
      <c r="K1972">
        <v>0</v>
      </c>
      <c r="L1972" t="s">
        <v>3284</v>
      </c>
      <c r="M1972" t="s">
        <v>3296</v>
      </c>
      <c r="N1972" t="s">
        <v>3321</v>
      </c>
      <c r="O1972" t="s">
        <v>3322</v>
      </c>
      <c r="P1972" t="s">
        <v>3671</v>
      </c>
      <c r="Q1972" t="s">
        <v>8149</v>
      </c>
      <c r="R1972" t="s">
        <v>8150</v>
      </c>
    </row>
    <row r="1973" spans="1:18" x14ac:dyDescent="0.2">
      <c r="A1973">
        <v>2569543</v>
      </c>
      <c r="B1973" t="s">
        <v>8151</v>
      </c>
      <c r="C1973">
        <v>0</v>
      </c>
      <c r="D1973">
        <v>0</v>
      </c>
      <c r="E1973">
        <v>0</v>
      </c>
      <c r="F1973">
        <v>1</v>
      </c>
      <c r="G1973">
        <v>0</v>
      </c>
      <c r="H1973">
        <v>0</v>
      </c>
      <c r="I1973">
        <v>0</v>
      </c>
      <c r="J1973">
        <v>0</v>
      </c>
      <c r="K1973">
        <v>0</v>
      </c>
      <c r="L1973" t="s">
        <v>3284</v>
      </c>
      <c r="M1973" t="s">
        <v>6718</v>
      </c>
      <c r="N1973" t="s">
        <v>6916</v>
      </c>
      <c r="O1973" t="s">
        <v>6917</v>
      </c>
      <c r="P1973" t="s">
        <v>8152</v>
      </c>
      <c r="Q1973" t="s">
        <v>8153</v>
      </c>
      <c r="R1973" t="s">
        <v>8154</v>
      </c>
    </row>
    <row r="1974" spans="1:18" x14ac:dyDescent="0.2">
      <c r="A1974">
        <v>2569541</v>
      </c>
      <c r="B1974" t="s">
        <v>8155</v>
      </c>
      <c r="C1974">
        <v>1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 t="s">
        <v>3284</v>
      </c>
      <c r="M1974" t="s">
        <v>6718</v>
      </c>
      <c r="N1974" t="s">
        <v>6916</v>
      </c>
      <c r="O1974" t="s">
        <v>6917</v>
      </c>
      <c r="P1974" t="s">
        <v>8152</v>
      </c>
      <c r="Q1974" t="s">
        <v>8156</v>
      </c>
      <c r="R1974" t="s">
        <v>8157</v>
      </c>
    </row>
    <row r="1975" spans="1:18" x14ac:dyDescent="0.2">
      <c r="A1975">
        <v>2567941</v>
      </c>
      <c r="B1975" t="s">
        <v>8158</v>
      </c>
      <c r="C1975">
        <v>1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 t="s">
        <v>3284</v>
      </c>
      <c r="M1975" t="s">
        <v>3327</v>
      </c>
      <c r="N1975" t="s">
        <v>3376</v>
      </c>
      <c r="O1975" t="s">
        <v>3377</v>
      </c>
      <c r="P1975" t="s">
        <v>3378</v>
      </c>
      <c r="Q1975" t="s">
        <v>6184</v>
      </c>
      <c r="R1975" t="s">
        <v>8159</v>
      </c>
    </row>
    <row r="1976" spans="1:18" x14ac:dyDescent="0.2">
      <c r="A1976">
        <v>2567937</v>
      </c>
      <c r="B1976" t="s">
        <v>8160</v>
      </c>
      <c r="C1976">
        <v>0</v>
      </c>
      <c r="D1976">
        <v>0</v>
      </c>
      <c r="E1976">
        <v>0</v>
      </c>
      <c r="F1976">
        <v>2</v>
      </c>
      <c r="G1976">
        <v>0</v>
      </c>
      <c r="H1976">
        <v>0</v>
      </c>
      <c r="I1976">
        <v>0</v>
      </c>
      <c r="J1976">
        <v>0</v>
      </c>
      <c r="K1976">
        <v>0</v>
      </c>
      <c r="L1976" t="s">
        <v>3284</v>
      </c>
      <c r="M1976" t="s">
        <v>3391</v>
      </c>
      <c r="N1976" t="s">
        <v>3392</v>
      </c>
      <c r="O1976" t="s">
        <v>3393</v>
      </c>
      <c r="P1976" t="s">
        <v>3394</v>
      </c>
      <c r="Q1976" t="s">
        <v>3395</v>
      </c>
      <c r="R1976" t="s">
        <v>8161</v>
      </c>
    </row>
    <row r="1977" spans="1:18" x14ac:dyDescent="0.2">
      <c r="A1977">
        <v>2567934</v>
      </c>
      <c r="B1977" t="s">
        <v>8162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1</v>
      </c>
      <c r="J1977">
        <v>0</v>
      </c>
      <c r="K1977">
        <v>0</v>
      </c>
      <c r="L1977" t="s">
        <v>3284</v>
      </c>
      <c r="M1977" t="s">
        <v>3307</v>
      </c>
      <c r="N1977" t="s">
        <v>3308</v>
      </c>
      <c r="O1977" t="s">
        <v>3359</v>
      </c>
      <c r="P1977" t="s">
        <v>3360</v>
      </c>
      <c r="Q1977" t="s">
        <v>3361</v>
      </c>
      <c r="R1977" t="s">
        <v>8163</v>
      </c>
    </row>
    <row r="1978" spans="1:18" x14ac:dyDescent="0.2">
      <c r="A1978">
        <v>2567894</v>
      </c>
      <c r="B1978" t="s">
        <v>8164</v>
      </c>
      <c r="C1978">
        <v>0</v>
      </c>
      <c r="D1978">
        <v>0</v>
      </c>
      <c r="E1978">
        <v>0</v>
      </c>
      <c r="F1978">
        <v>1</v>
      </c>
      <c r="G1978">
        <v>0</v>
      </c>
      <c r="H1978">
        <v>0</v>
      </c>
      <c r="I1978">
        <v>0</v>
      </c>
      <c r="J1978">
        <v>0</v>
      </c>
      <c r="K1978">
        <v>0</v>
      </c>
      <c r="L1978" t="s">
        <v>3284</v>
      </c>
      <c r="M1978" t="s">
        <v>3296</v>
      </c>
      <c r="N1978" t="s">
        <v>3297</v>
      </c>
      <c r="O1978" t="s">
        <v>3434</v>
      </c>
      <c r="P1978" t="s">
        <v>3435</v>
      </c>
      <c r="Q1978" t="s">
        <v>3436</v>
      </c>
      <c r="R1978" t="s">
        <v>8165</v>
      </c>
    </row>
    <row r="1979" spans="1:18" x14ac:dyDescent="0.2">
      <c r="A1979">
        <v>2567892</v>
      </c>
      <c r="B1979" t="s">
        <v>8166</v>
      </c>
      <c r="C1979">
        <v>0</v>
      </c>
      <c r="D1979">
        <v>0</v>
      </c>
      <c r="E1979">
        <v>0</v>
      </c>
      <c r="F1979">
        <v>1</v>
      </c>
      <c r="G1979">
        <v>0</v>
      </c>
      <c r="H1979">
        <v>0</v>
      </c>
      <c r="I1979">
        <v>0</v>
      </c>
      <c r="J1979">
        <v>0</v>
      </c>
      <c r="K1979">
        <v>0</v>
      </c>
      <c r="L1979" t="s">
        <v>3284</v>
      </c>
      <c r="M1979" t="s">
        <v>3296</v>
      </c>
      <c r="N1979" t="s">
        <v>3297</v>
      </c>
      <c r="O1979" t="s">
        <v>3434</v>
      </c>
      <c r="P1979" t="s">
        <v>3435</v>
      </c>
      <c r="Q1979" t="s">
        <v>3436</v>
      </c>
      <c r="R1979" t="s">
        <v>8167</v>
      </c>
    </row>
    <row r="1980" spans="1:18" x14ac:dyDescent="0.2">
      <c r="A1980">
        <v>2567890</v>
      </c>
      <c r="B1980" t="s">
        <v>8168</v>
      </c>
      <c r="C1980">
        <v>0</v>
      </c>
      <c r="D1980">
        <v>0</v>
      </c>
      <c r="E1980">
        <v>0</v>
      </c>
      <c r="F1980">
        <v>0</v>
      </c>
      <c r="G1980">
        <v>1</v>
      </c>
      <c r="H1980">
        <v>0</v>
      </c>
      <c r="I1980">
        <v>0</v>
      </c>
      <c r="J1980">
        <v>0</v>
      </c>
      <c r="K1980">
        <v>0</v>
      </c>
      <c r="L1980" t="s">
        <v>3284</v>
      </c>
      <c r="M1980" t="s">
        <v>3296</v>
      </c>
      <c r="N1980" t="s">
        <v>3297</v>
      </c>
      <c r="O1980" t="s">
        <v>3434</v>
      </c>
      <c r="P1980" t="s">
        <v>3435</v>
      </c>
      <c r="Q1980" t="s">
        <v>3436</v>
      </c>
      <c r="R1980" t="s">
        <v>8169</v>
      </c>
    </row>
    <row r="1981" spans="1:18" x14ac:dyDescent="0.2">
      <c r="A1981">
        <v>2567881</v>
      </c>
      <c r="B1981" t="s">
        <v>8170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1</v>
      </c>
      <c r="J1981">
        <v>0</v>
      </c>
      <c r="K1981">
        <v>0</v>
      </c>
      <c r="L1981" t="s">
        <v>3284</v>
      </c>
      <c r="M1981" t="s">
        <v>3307</v>
      </c>
      <c r="N1981" t="s">
        <v>3308</v>
      </c>
      <c r="O1981" t="s">
        <v>3359</v>
      </c>
      <c r="P1981" t="s">
        <v>3407</v>
      </c>
      <c r="Q1981" t="s">
        <v>8171</v>
      </c>
      <c r="R1981" t="s">
        <v>8172</v>
      </c>
    </row>
    <row r="1982" spans="1:18" x14ac:dyDescent="0.2">
      <c r="A1982">
        <v>2565934</v>
      </c>
      <c r="B1982" t="s">
        <v>8173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1</v>
      </c>
      <c r="J1982">
        <v>0</v>
      </c>
      <c r="K1982">
        <v>1</v>
      </c>
      <c r="L1982" t="s">
        <v>3284</v>
      </c>
      <c r="M1982" t="s">
        <v>3307</v>
      </c>
      <c r="N1982" t="s">
        <v>3308</v>
      </c>
      <c r="O1982" t="s">
        <v>3359</v>
      </c>
      <c r="P1982" t="s">
        <v>3360</v>
      </c>
      <c r="Q1982" t="s">
        <v>8174</v>
      </c>
      <c r="R1982" t="s">
        <v>8175</v>
      </c>
    </row>
    <row r="1983" spans="1:18" x14ac:dyDescent="0.2">
      <c r="A1983">
        <v>2565933</v>
      </c>
      <c r="B1983" t="s">
        <v>8176</v>
      </c>
      <c r="C1983">
        <v>0</v>
      </c>
      <c r="D1983">
        <v>0</v>
      </c>
      <c r="E1983">
        <v>0</v>
      </c>
      <c r="F1983">
        <v>3</v>
      </c>
      <c r="G1983">
        <v>2</v>
      </c>
      <c r="H1983">
        <v>0</v>
      </c>
      <c r="I1983">
        <v>1</v>
      </c>
      <c r="J1983">
        <v>0</v>
      </c>
      <c r="K1983">
        <v>1</v>
      </c>
      <c r="L1983" t="s">
        <v>3284</v>
      </c>
      <c r="M1983" t="s">
        <v>3307</v>
      </c>
      <c r="N1983" t="s">
        <v>3308</v>
      </c>
      <c r="O1983" t="s">
        <v>3359</v>
      </c>
      <c r="P1983" t="s">
        <v>3360</v>
      </c>
      <c r="Q1983" t="s">
        <v>6517</v>
      </c>
      <c r="R1983" t="s">
        <v>8177</v>
      </c>
    </row>
    <row r="1984" spans="1:18" x14ac:dyDescent="0.2">
      <c r="A1984">
        <v>2565924</v>
      </c>
      <c r="B1984" t="s">
        <v>8178</v>
      </c>
      <c r="C1984">
        <v>3</v>
      </c>
      <c r="D1984">
        <v>1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 t="s">
        <v>3284</v>
      </c>
      <c r="M1984" t="s">
        <v>3391</v>
      </c>
      <c r="N1984" t="s">
        <v>3411</v>
      </c>
      <c r="O1984" t="s">
        <v>3412</v>
      </c>
      <c r="P1984" t="s">
        <v>3413</v>
      </c>
      <c r="Q1984" t="s">
        <v>3414</v>
      </c>
      <c r="R1984" t="s">
        <v>8179</v>
      </c>
    </row>
    <row r="1985" spans="1:18" x14ac:dyDescent="0.2">
      <c r="A1985">
        <v>2565558</v>
      </c>
      <c r="B1985" t="s">
        <v>8180</v>
      </c>
      <c r="C1985">
        <v>4</v>
      </c>
      <c r="D1985">
        <v>3</v>
      </c>
      <c r="E1985">
        <v>0</v>
      </c>
      <c r="F1985">
        <v>0</v>
      </c>
      <c r="G1985">
        <v>0</v>
      </c>
      <c r="H1985">
        <v>1</v>
      </c>
      <c r="I1985">
        <v>0</v>
      </c>
      <c r="J1985">
        <v>0</v>
      </c>
      <c r="K1985">
        <v>0</v>
      </c>
      <c r="L1985" t="s">
        <v>3284</v>
      </c>
      <c r="M1985" t="s">
        <v>3296</v>
      </c>
      <c r="N1985" t="s">
        <v>3321</v>
      </c>
      <c r="O1985" t="s">
        <v>3322</v>
      </c>
      <c r="P1985" t="s">
        <v>3398</v>
      </c>
      <c r="Q1985" t="s">
        <v>3841</v>
      </c>
      <c r="R1985" t="s">
        <v>8181</v>
      </c>
    </row>
    <row r="1986" spans="1:18" x14ac:dyDescent="0.2">
      <c r="A1986">
        <v>2565365</v>
      </c>
      <c r="B1986" t="s">
        <v>8182</v>
      </c>
      <c r="C1986">
        <v>0</v>
      </c>
      <c r="D1986">
        <v>0</v>
      </c>
      <c r="E1986">
        <v>0</v>
      </c>
      <c r="F1986">
        <v>0</v>
      </c>
      <c r="G1986">
        <v>2</v>
      </c>
      <c r="H1986">
        <v>0</v>
      </c>
      <c r="I1986">
        <v>0</v>
      </c>
      <c r="J1986">
        <v>0</v>
      </c>
      <c r="K1986">
        <v>0</v>
      </c>
      <c r="L1986" t="s">
        <v>3284</v>
      </c>
      <c r="M1986" t="s">
        <v>3296</v>
      </c>
      <c r="N1986" t="s">
        <v>3343</v>
      </c>
      <c r="O1986" t="s">
        <v>3402</v>
      </c>
      <c r="P1986" t="s">
        <v>3403</v>
      </c>
      <c r="Q1986" t="s">
        <v>4884</v>
      </c>
      <c r="R1986" t="s">
        <v>8183</v>
      </c>
    </row>
    <row r="1987" spans="1:18" x14ac:dyDescent="0.2">
      <c r="A1987">
        <v>2563444</v>
      </c>
      <c r="B1987" t="s">
        <v>8184</v>
      </c>
      <c r="C1987">
        <v>0</v>
      </c>
      <c r="D1987">
        <v>3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 t="s">
        <v>3284</v>
      </c>
      <c r="M1987" t="s">
        <v>3391</v>
      </c>
      <c r="N1987" t="s">
        <v>3392</v>
      </c>
      <c r="O1987" t="s">
        <v>3393</v>
      </c>
      <c r="P1987" t="s">
        <v>3394</v>
      </c>
      <c r="Q1987" t="s">
        <v>3395</v>
      </c>
      <c r="R1987" t="s">
        <v>8185</v>
      </c>
    </row>
    <row r="1988" spans="1:18" x14ac:dyDescent="0.2">
      <c r="A1988">
        <v>2562683</v>
      </c>
      <c r="B1988" t="s">
        <v>8186</v>
      </c>
      <c r="C1988">
        <v>0</v>
      </c>
      <c r="D1988">
        <v>0</v>
      </c>
      <c r="E1988">
        <v>0</v>
      </c>
      <c r="F1988">
        <v>0</v>
      </c>
      <c r="G1988">
        <v>1</v>
      </c>
      <c r="H1988">
        <v>0</v>
      </c>
      <c r="I1988">
        <v>0</v>
      </c>
      <c r="J1988">
        <v>0</v>
      </c>
      <c r="K1988">
        <v>0</v>
      </c>
      <c r="L1988" t="s">
        <v>3284</v>
      </c>
      <c r="M1988" t="s">
        <v>3391</v>
      </c>
      <c r="N1988" t="s">
        <v>3411</v>
      </c>
      <c r="O1988" t="s">
        <v>3412</v>
      </c>
      <c r="P1988" t="s">
        <v>3413</v>
      </c>
      <c r="Q1988" t="s">
        <v>3414</v>
      </c>
      <c r="R1988" t="s">
        <v>8187</v>
      </c>
    </row>
    <row r="1989" spans="1:18" x14ac:dyDescent="0.2">
      <c r="A1989">
        <v>2562317</v>
      </c>
      <c r="B1989" t="s">
        <v>8188</v>
      </c>
      <c r="C1989">
        <v>1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 t="s">
        <v>3284</v>
      </c>
      <c r="M1989" t="s">
        <v>3296</v>
      </c>
      <c r="N1989" t="s">
        <v>3343</v>
      </c>
      <c r="O1989" t="s">
        <v>3371</v>
      </c>
      <c r="P1989" t="s">
        <v>3271</v>
      </c>
      <c r="Q1989" t="s">
        <v>5409</v>
      </c>
      <c r="R1989" t="s">
        <v>8189</v>
      </c>
    </row>
    <row r="1990" spans="1:18" x14ac:dyDescent="0.2">
      <c r="A1990">
        <v>2562313</v>
      </c>
      <c r="B1990" t="s">
        <v>8190</v>
      </c>
      <c r="C1990">
        <v>1</v>
      </c>
      <c r="D1990">
        <v>2</v>
      </c>
      <c r="E1990">
        <v>0</v>
      </c>
      <c r="F1990">
        <v>0</v>
      </c>
      <c r="G1990">
        <v>0</v>
      </c>
      <c r="H1990">
        <v>0</v>
      </c>
      <c r="I1990">
        <v>4</v>
      </c>
      <c r="J1990">
        <v>1</v>
      </c>
      <c r="K1990">
        <v>1</v>
      </c>
      <c r="L1990" t="s">
        <v>3284</v>
      </c>
      <c r="M1990" t="s">
        <v>3296</v>
      </c>
      <c r="N1990" t="s">
        <v>3343</v>
      </c>
      <c r="O1990" t="s">
        <v>3429</v>
      </c>
      <c r="P1990" t="s">
        <v>3430</v>
      </c>
      <c r="Q1990" t="s">
        <v>3651</v>
      </c>
      <c r="R1990" t="s">
        <v>8191</v>
      </c>
    </row>
    <row r="1991" spans="1:18" x14ac:dyDescent="0.2">
      <c r="A1991">
        <v>2562311</v>
      </c>
      <c r="B1991" t="s">
        <v>8192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1</v>
      </c>
      <c r="J1991">
        <v>1</v>
      </c>
      <c r="K1991">
        <v>0</v>
      </c>
      <c r="L1991" t="s">
        <v>3284</v>
      </c>
      <c r="M1991" t="s">
        <v>3296</v>
      </c>
      <c r="N1991" t="s">
        <v>3343</v>
      </c>
      <c r="O1991" t="s">
        <v>3429</v>
      </c>
      <c r="P1991" t="s">
        <v>3430</v>
      </c>
      <c r="Q1991" t="s">
        <v>3651</v>
      </c>
      <c r="R1991" t="s">
        <v>8193</v>
      </c>
    </row>
    <row r="1992" spans="1:18" x14ac:dyDescent="0.2">
      <c r="A1992">
        <v>2562309</v>
      </c>
      <c r="B1992" t="s">
        <v>8194</v>
      </c>
      <c r="C1992">
        <v>0</v>
      </c>
      <c r="D1992">
        <v>0</v>
      </c>
      <c r="E1992">
        <v>0</v>
      </c>
      <c r="F1992">
        <v>1</v>
      </c>
      <c r="G1992">
        <v>0</v>
      </c>
      <c r="H1992">
        <v>0</v>
      </c>
      <c r="I1992">
        <v>0</v>
      </c>
      <c r="J1992">
        <v>0</v>
      </c>
      <c r="K1992">
        <v>0</v>
      </c>
      <c r="L1992" t="s">
        <v>3284</v>
      </c>
      <c r="M1992" t="s">
        <v>3296</v>
      </c>
      <c r="N1992" t="s">
        <v>3343</v>
      </c>
      <c r="O1992" t="s">
        <v>3344</v>
      </c>
      <c r="P1992" t="s">
        <v>3355</v>
      </c>
      <c r="Q1992" t="s">
        <v>3356</v>
      </c>
      <c r="R1992" t="s">
        <v>8195</v>
      </c>
    </row>
    <row r="1993" spans="1:18" x14ac:dyDescent="0.2">
      <c r="A1993">
        <v>2562307</v>
      </c>
      <c r="B1993" t="s">
        <v>8196</v>
      </c>
      <c r="C1993">
        <v>0</v>
      </c>
      <c r="D1993">
        <v>0</v>
      </c>
      <c r="E1993">
        <v>0</v>
      </c>
      <c r="F1993">
        <v>1</v>
      </c>
      <c r="G1993">
        <v>0</v>
      </c>
      <c r="H1993">
        <v>0</v>
      </c>
      <c r="I1993">
        <v>0</v>
      </c>
      <c r="J1993">
        <v>0</v>
      </c>
      <c r="K1993">
        <v>0</v>
      </c>
      <c r="L1993" t="s">
        <v>3284</v>
      </c>
      <c r="M1993" t="s">
        <v>3296</v>
      </c>
      <c r="N1993" t="s">
        <v>3343</v>
      </c>
      <c r="O1993" t="s">
        <v>3344</v>
      </c>
      <c r="P1993" t="s">
        <v>3355</v>
      </c>
      <c r="Q1993" t="s">
        <v>3356</v>
      </c>
      <c r="R1993" t="s">
        <v>8197</v>
      </c>
    </row>
    <row r="1994" spans="1:18" x14ac:dyDescent="0.2">
      <c r="A1994">
        <v>2562294</v>
      </c>
      <c r="B1994" t="s">
        <v>8198</v>
      </c>
      <c r="C1994">
        <v>0</v>
      </c>
      <c r="D1994">
        <v>1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 t="s">
        <v>3284</v>
      </c>
      <c r="M1994" t="s">
        <v>3327</v>
      </c>
      <c r="N1994" t="s">
        <v>4384</v>
      </c>
      <c r="O1994" t="s">
        <v>4605</v>
      </c>
      <c r="P1994" t="s">
        <v>4606</v>
      </c>
      <c r="Q1994" t="s">
        <v>8199</v>
      </c>
      <c r="R1994" t="s">
        <v>8200</v>
      </c>
    </row>
    <row r="1995" spans="1:18" x14ac:dyDescent="0.2">
      <c r="A1995">
        <v>2561932</v>
      </c>
      <c r="B1995" t="s">
        <v>8201</v>
      </c>
      <c r="C1995">
        <v>0</v>
      </c>
      <c r="D1995">
        <v>0</v>
      </c>
      <c r="E1995">
        <v>0</v>
      </c>
      <c r="F1995">
        <v>0</v>
      </c>
      <c r="G1995">
        <v>1</v>
      </c>
      <c r="H1995">
        <v>0</v>
      </c>
      <c r="I1995">
        <v>0</v>
      </c>
      <c r="J1995">
        <v>0</v>
      </c>
      <c r="K1995">
        <v>0</v>
      </c>
      <c r="L1995" t="s">
        <v>3284</v>
      </c>
      <c r="M1995" t="s">
        <v>3296</v>
      </c>
      <c r="N1995" t="s">
        <v>3321</v>
      </c>
      <c r="O1995" t="s">
        <v>3322</v>
      </c>
      <c r="P1995" t="s">
        <v>3323</v>
      </c>
      <c r="Q1995" t="s">
        <v>5058</v>
      </c>
      <c r="R1995" t="s">
        <v>8202</v>
      </c>
    </row>
    <row r="1996" spans="1:18" x14ac:dyDescent="0.2">
      <c r="A1996">
        <v>2561926</v>
      </c>
      <c r="B1996" t="s">
        <v>8203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1</v>
      </c>
      <c r="K1996">
        <v>0</v>
      </c>
      <c r="L1996" t="s">
        <v>3284</v>
      </c>
      <c r="M1996" t="s">
        <v>3296</v>
      </c>
      <c r="N1996" t="s">
        <v>3343</v>
      </c>
      <c r="O1996" t="s">
        <v>3344</v>
      </c>
      <c r="P1996" t="s">
        <v>3898</v>
      </c>
      <c r="Q1996" t="s">
        <v>8204</v>
      </c>
      <c r="R1996" t="s">
        <v>8205</v>
      </c>
    </row>
    <row r="1997" spans="1:18" x14ac:dyDescent="0.2">
      <c r="A1997">
        <v>2560054</v>
      </c>
      <c r="B1997" t="s">
        <v>8206</v>
      </c>
      <c r="C1997">
        <v>1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 t="s">
        <v>3284</v>
      </c>
      <c r="M1997" t="s">
        <v>3296</v>
      </c>
      <c r="N1997" t="s">
        <v>3343</v>
      </c>
      <c r="O1997" t="s">
        <v>3344</v>
      </c>
      <c r="P1997" t="s">
        <v>3937</v>
      </c>
      <c r="Q1997" t="s">
        <v>3938</v>
      </c>
      <c r="R1997" t="s">
        <v>8207</v>
      </c>
    </row>
    <row r="1998" spans="1:18" x14ac:dyDescent="0.2">
      <c r="A1998">
        <v>2560029</v>
      </c>
      <c r="B1998" t="s">
        <v>8208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1</v>
      </c>
      <c r="J1998">
        <v>1</v>
      </c>
      <c r="K1998">
        <v>0</v>
      </c>
      <c r="L1998" t="s">
        <v>3284</v>
      </c>
      <c r="M1998" t="s">
        <v>3296</v>
      </c>
      <c r="N1998" t="s">
        <v>3297</v>
      </c>
      <c r="O1998" t="s">
        <v>4112</v>
      </c>
      <c r="P1998" t="s">
        <v>4113</v>
      </c>
      <c r="Q1998" t="s">
        <v>4114</v>
      </c>
      <c r="R1998" t="s">
        <v>8209</v>
      </c>
    </row>
    <row r="1999" spans="1:18" x14ac:dyDescent="0.2">
      <c r="A1999">
        <v>2560028</v>
      </c>
      <c r="B1999" t="s">
        <v>8210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1</v>
      </c>
      <c r="J1999">
        <v>1</v>
      </c>
      <c r="K1999">
        <v>0</v>
      </c>
      <c r="L1999" t="s">
        <v>3284</v>
      </c>
      <c r="M1999" t="s">
        <v>3296</v>
      </c>
      <c r="N1999" t="s">
        <v>3297</v>
      </c>
      <c r="O1999" t="s">
        <v>4112</v>
      </c>
      <c r="P1999" t="s">
        <v>4113</v>
      </c>
      <c r="Q1999" t="s">
        <v>4114</v>
      </c>
      <c r="R1999" t="s">
        <v>8211</v>
      </c>
    </row>
    <row r="2000" spans="1:18" x14ac:dyDescent="0.2">
      <c r="A2000">
        <v>2560027</v>
      </c>
      <c r="B2000" t="s">
        <v>8212</v>
      </c>
      <c r="C2000">
        <v>0</v>
      </c>
      <c r="D2000">
        <v>2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 t="s">
        <v>3284</v>
      </c>
      <c r="M2000" t="s">
        <v>3327</v>
      </c>
      <c r="N2000" t="s">
        <v>3328</v>
      </c>
      <c r="O2000" t="s">
        <v>3329</v>
      </c>
      <c r="P2000" t="s">
        <v>4329</v>
      </c>
      <c r="Q2000" t="s">
        <v>4330</v>
      </c>
      <c r="R2000" t="s">
        <v>8213</v>
      </c>
    </row>
    <row r="2001" spans="1:18" x14ac:dyDescent="0.2">
      <c r="A2001">
        <v>2560021</v>
      </c>
      <c r="B2001" t="s">
        <v>8214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1</v>
      </c>
      <c r="J2001">
        <v>0</v>
      </c>
      <c r="K2001">
        <v>0</v>
      </c>
      <c r="L2001" t="s">
        <v>3284</v>
      </c>
      <c r="M2001" t="s">
        <v>3307</v>
      </c>
      <c r="N2001" t="s">
        <v>3308</v>
      </c>
      <c r="O2001" t="s">
        <v>3359</v>
      </c>
      <c r="P2001" t="s">
        <v>3360</v>
      </c>
      <c r="Q2001" t="s">
        <v>3361</v>
      </c>
      <c r="R2001" t="s">
        <v>8215</v>
      </c>
    </row>
    <row r="2002" spans="1:18" x14ac:dyDescent="0.2">
      <c r="A2002">
        <v>2559597</v>
      </c>
      <c r="B2002" t="s">
        <v>8216</v>
      </c>
      <c r="C2002">
        <v>0</v>
      </c>
      <c r="D2002">
        <v>0</v>
      </c>
      <c r="E2002">
        <v>0</v>
      </c>
      <c r="F2002">
        <v>0</v>
      </c>
      <c r="G2002">
        <v>1</v>
      </c>
      <c r="H2002">
        <v>0</v>
      </c>
      <c r="I2002">
        <v>0</v>
      </c>
      <c r="J2002">
        <v>0</v>
      </c>
      <c r="K2002">
        <v>0</v>
      </c>
      <c r="L2002" t="s">
        <v>3284</v>
      </c>
      <c r="M2002" t="s">
        <v>3296</v>
      </c>
      <c r="N2002" t="s">
        <v>3321</v>
      </c>
      <c r="O2002" t="s">
        <v>5469</v>
      </c>
      <c r="P2002" t="s">
        <v>6027</v>
      </c>
      <c r="Q2002" t="s">
        <v>6028</v>
      </c>
      <c r="R2002" t="s">
        <v>8217</v>
      </c>
    </row>
    <row r="2003" spans="1:18" x14ac:dyDescent="0.2">
      <c r="A2003">
        <v>2558931</v>
      </c>
      <c r="B2003" t="s">
        <v>8218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1</v>
      </c>
      <c r="L2003" t="s">
        <v>3284</v>
      </c>
      <c r="M2003" t="s">
        <v>8219</v>
      </c>
      <c r="N2003" t="s">
        <v>8220</v>
      </c>
      <c r="O2003" t="s">
        <v>8221</v>
      </c>
      <c r="P2003" t="s">
        <v>8222</v>
      </c>
      <c r="Q2003" t="s">
        <v>8223</v>
      </c>
      <c r="R2003" t="s">
        <v>8224</v>
      </c>
    </row>
    <row r="2004" spans="1:18" x14ac:dyDescent="0.2">
      <c r="A2004">
        <v>2558918</v>
      </c>
      <c r="B2004" t="s">
        <v>8225</v>
      </c>
      <c r="C2004">
        <v>0</v>
      </c>
      <c r="D2004">
        <v>0</v>
      </c>
      <c r="E2004">
        <v>0</v>
      </c>
      <c r="F2004">
        <v>1</v>
      </c>
      <c r="G2004">
        <v>0</v>
      </c>
      <c r="H2004">
        <v>0</v>
      </c>
      <c r="I2004">
        <v>0</v>
      </c>
      <c r="J2004">
        <v>0</v>
      </c>
      <c r="K2004">
        <v>0</v>
      </c>
      <c r="L2004" t="s">
        <v>3284</v>
      </c>
      <c r="M2004" t="s">
        <v>3307</v>
      </c>
      <c r="N2004" t="s">
        <v>3308</v>
      </c>
      <c r="O2004" t="s">
        <v>3309</v>
      </c>
      <c r="P2004" t="s">
        <v>3310</v>
      </c>
      <c r="Q2004" t="s">
        <v>3311</v>
      </c>
      <c r="R2004" t="s">
        <v>8226</v>
      </c>
    </row>
    <row r="2005" spans="1:18" x14ac:dyDescent="0.2">
      <c r="A2005">
        <v>2558362</v>
      </c>
      <c r="B2005" t="s">
        <v>8227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1</v>
      </c>
      <c r="J2005">
        <v>0</v>
      </c>
      <c r="K2005">
        <v>0</v>
      </c>
      <c r="L2005" t="s">
        <v>3284</v>
      </c>
      <c r="M2005" t="s">
        <v>3296</v>
      </c>
      <c r="N2005" t="s">
        <v>3343</v>
      </c>
      <c r="O2005" t="s">
        <v>3344</v>
      </c>
      <c r="P2005" t="s">
        <v>4347</v>
      </c>
      <c r="Q2005" t="s">
        <v>5813</v>
      </c>
      <c r="R2005" t="s">
        <v>8228</v>
      </c>
    </row>
    <row r="2006" spans="1:18" x14ac:dyDescent="0.2">
      <c r="A2006">
        <v>2547961</v>
      </c>
      <c r="B2006" t="s">
        <v>8229</v>
      </c>
      <c r="C2006">
        <v>0</v>
      </c>
      <c r="D2006">
        <v>0</v>
      </c>
      <c r="E2006">
        <v>0</v>
      </c>
      <c r="F2006">
        <v>0</v>
      </c>
      <c r="G2006">
        <v>2</v>
      </c>
      <c r="H2006">
        <v>0</v>
      </c>
      <c r="I2006">
        <v>1</v>
      </c>
      <c r="J2006">
        <v>0</v>
      </c>
      <c r="K2006">
        <v>0</v>
      </c>
      <c r="L2006" t="s">
        <v>3284</v>
      </c>
      <c r="M2006" t="s">
        <v>3296</v>
      </c>
      <c r="N2006" t="s">
        <v>3343</v>
      </c>
      <c r="O2006" t="s">
        <v>3344</v>
      </c>
      <c r="P2006" t="s">
        <v>3355</v>
      </c>
      <c r="Q2006" t="s">
        <v>3356</v>
      </c>
      <c r="R2006" t="s">
        <v>8230</v>
      </c>
    </row>
    <row r="2007" spans="1:18" x14ac:dyDescent="0.2">
      <c r="A2007">
        <v>2547833</v>
      </c>
      <c r="B2007" t="s">
        <v>8231</v>
      </c>
      <c r="C2007">
        <v>0</v>
      </c>
      <c r="D2007">
        <v>0</v>
      </c>
      <c r="E2007">
        <v>0</v>
      </c>
      <c r="F2007">
        <v>1</v>
      </c>
      <c r="G2007">
        <v>0</v>
      </c>
      <c r="H2007">
        <v>0</v>
      </c>
      <c r="I2007">
        <v>0</v>
      </c>
      <c r="J2007">
        <v>0</v>
      </c>
      <c r="K2007">
        <v>0</v>
      </c>
      <c r="L2007" t="s">
        <v>3284</v>
      </c>
      <c r="M2007" t="s">
        <v>3296</v>
      </c>
      <c r="N2007" t="s">
        <v>3343</v>
      </c>
      <c r="O2007" t="s">
        <v>3371</v>
      </c>
      <c r="P2007" t="s">
        <v>3372</v>
      </c>
      <c r="Q2007" t="s">
        <v>8232</v>
      </c>
      <c r="R2007" t="s">
        <v>8233</v>
      </c>
    </row>
    <row r="2008" spans="1:18" x14ac:dyDescent="0.2">
      <c r="A2008">
        <v>2545983</v>
      </c>
      <c r="B2008" t="s">
        <v>8234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1</v>
      </c>
      <c r="J2008">
        <v>0</v>
      </c>
      <c r="K2008">
        <v>0</v>
      </c>
      <c r="L2008" t="s">
        <v>3284</v>
      </c>
      <c r="M2008" t="s">
        <v>3296</v>
      </c>
      <c r="N2008" t="s">
        <v>3343</v>
      </c>
      <c r="O2008" t="s">
        <v>3429</v>
      </c>
      <c r="P2008" t="s">
        <v>4336</v>
      </c>
      <c r="Q2008" t="s">
        <v>8235</v>
      </c>
      <c r="R2008" t="s">
        <v>8236</v>
      </c>
    </row>
    <row r="2009" spans="1:18" x14ac:dyDescent="0.2">
      <c r="A2009">
        <v>2545762</v>
      </c>
      <c r="B2009" t="s">
        <v>8237</v>
      </c>
      <c r="C2009">
        <v>0</v>
      </c>
      <c r="D2009">
        <v>0</v>
      </c>
      <c r="E2009">
        <v>0</v>
      </c>
      <c r="F2009">
        <v>7</v>
      </c>
      <c r="G2009">
        <v>6</v>
      </c>
      <c r="H2009">
        <v>0</v>
      </c>
      <c r="I2009">
        <v>0</v>
      </c>
      <c r="J2009">
        <v>0</v>
      </c>
      <c r="K2009">
        <v>0</v>
      </c>
      <c r="L2009" t="s">
        <v>3284</v>
      </c>
      <c r="M2009" t="s">
        <v>3296</v>
      </c>
      <c r="N2009" t="s">
        <v>3343</v>
      </c>
      <c r="O2009" t="s">
        <v>3402</v>
      </c>
      <c r="P2009" t="s">
        <v>3403</v>
      </c>
      <c r="Q2009" t="s">
        <v>3404</v>
      </c>
      <c r="R2009" t="s">
        <v>8238</v>
      </c>
    </row>
    <row r="2010" spans="1:18" x14ac:dyDescent="0.2">
      <c r="A2010">
        <v>2545753</v>
      </c>
      <c r="B2010" t="s">
        <v>8239</v>
      </c>
      <c r="C2010">
        <v>9</v>
      </c>
      <c r="D2010">
        <v>7</v>
      </c>
      <c r="E2010">
        <v>1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 t="s">
        <v>3284</v>
      </c>
      <c r="M2010" t="s">
        <v>3327</v>
      </c>
      <c r="N2010" t="s">
        <v>3376</v>
      </c>
      <c r="O2010" t="s">
        <v>3377</v>
      </c>
      <c r="P2010" t="s">
        <v>3604</v>
      </c>
      <c r="Q2010" t="s">
        <v>3668</v>
      </c>
      <c r="R2010" t="s">
        <v>8240</v>
      </c>
    </row>
    <row r="2011" spans="1:18" x14ac:dyDescent="0.2">
      <c r="A2011">
        <v>2545719</v>
      </c>
      <c r="B2011" t="s">
        <v>8241</v>
      </c>
      <c r="C2011">
        <v>0</v>
      </c>
      <c r="D2011">
        <v>0</v>
      </c>
      <c r="E2011">
        <v>0</v>
      </c>
      <c r="F2011">
        <v>1</v>
      </c>
      <c r="G2011">
        <v>0</v>
      </c>
      <c r="H2011">
        <v>0</v>
      </c>
      <c r="I2011">
        <v>0</v>
      </c>
      <c r="J2011">
        <v>0</v>
      </c>
      <c r="K2011">
        <v>0</v>
      </c>
      <c r="L2011" t="s">
        <v>3284</v>
      </c>
      <c r="M2011" t="s">
        <v>3296</v>
      </c>
      <c r="N2011" t="s">
        <v>3297</v>
      </c>
      <c r="O2011" t="s">
        <v>3469</v>
      </c>
      <c r="P2011" t="s">
        <v>3470</v>
      </c>
      <c r="Q2011" t="s">
        <v>4417</v>
      </c>
      <c r="R2011" t="s">
        <v>8242</v>
      </c>
    </row>
    <row r="2012" spans="1:18" x14ac:dyDescent="0.2">
      <c r="A2012">
        <v>2541725</v>
      </c>
      <c r="B2012" t="s">
        <v>8243</v>
      </c>
      <c r="C2012">
        <v>0</v>
      </c>
      <c r="D2012">
        <v>0</v>
      </c>
      <c r="E2012">
        <v>0</v>
      </c>
      <c r="F2012">
        <v>0</v>
      </c>
      <c r="G2012">
        <v>1</v>
      </c>
      <c r="H2012">
        <v>0</v>
      </c>
      <c r="I2012">
        <v>0</v>
      </c>
      <c r="J2012">
        <v>0</v>
      </c>
      <c r="K2012">
        <v>0</v>
      </c>
      <c r="L2012" t="s">
        <v>3284</v>
      </c>
      <c r="M2012" t="s">
        <v>3391</v>
      </c>
      <c r="N2012" t="s">
        <v>3411</v>
      </c>
      <c r="O2012" t="s">
        <v>3412</v>
      </c>
      <c r="P2012" t="s">
        <v>3413</v>
      </c>
      <c r="Q2012" t="s">
        <v>3414</v>
      </c>
      <c r="R2012" t="s">
        <v>8244</v>
      </c>
    </row>
    <row r="2013" spans="1:18" x14ac:dyDescent="0.2">
      <c r="A2013">
        <v>2541721</v>
      </c>
      <c r="B2013" t="s">
        <v>8245</v>
      </c>
      <c r="C2013">
        <v>0</v>
      </c>
      <c r="D2013">
        <v>0</v>
      </c>
      <c r="E2013">
        <v>0</v>
      </c>
      <c r="F2013">
        <v>1</v>
      </c>
      <c r="G2013">
        <v>0</v>
      </c>
      <c r="H2013">
        <v>0</v>
      </c>
      <c r="I2013">
        <v>0</v>
      </c>
      <c r="J2013">
        <v>0</v>
      </c>
      <c r="K2013">
        <v>0</v>
      </c>
      <c r="L2013" t="s">
        <v>3284</v>
      </c>
      <c r="M2013" t="s">
        <v>3391</v>
      </c>
      <c r="N2013" t="s">
        <v>3740</v>
      </c>
      <c r="O2013" t="s">
        <v>3741</v>
      </c>
      <c r="P2013" t="s">
        <v>3742</v>
      </c>
      <c r="Q2013" t="s">
        <v>4598</v>
      </c>
      <c r="R2013" t="s">
        <v>8246</v>
      </c>
    </row>
    <row r="2014" spans="1:18" x14ac:dyDescent="0.2">
      <c r="A2014">
        <v>2530456</v>
      </c>
      <c r="B2014" t="s">
        <v>8247</v>
      </c>
      <c r="C2014">
        <v>0</v>
      </c>
      <c r="D2014">
        <v>0</v>
      </c>
      <c r="E2014">
        <v>0</v>
      </c>
      <c r="F2014">
        <v>3</v>
      </c>
      <c r="G2014">
        <v>1</v>
      </c>
      <c r="H2014">
        <v>0</v>
      </c>
      <c r="I2014">
        <v>2</v>
      </c>
      <c r="J2014">
        <v>0</v>
      </c>
      <c r="K2014">
        <v>0</v>
      </c>
      <c r="L2014" t="s">
        <v>3284</v>
      </c>
      <c r="M2014" t="s">
        <v>3391</v>
      </c>
      <c r="N2014" t="s">
        <v>3392</v>
      </c>
      <c r="O2014" t="s">
        <v>3393</v>
      </c>
      <c r="P2014" t="s">
        <v>3394</v>
      </c>
      <c r="Q2014" t="s">
        <v>3395</v>
      </c>
      <c r="R2014" t="s">
        <v>8248</v>
      </c>
    </row>
    <row r="2015" spans="1:18" x14ac:dyDescent="0.2">
      <c r="A2015">
        <v>2530455</v>
      </c>
      <c r="B2015" t="s">
        <v>8249</v>
      </c>
      <c r="C2015">
        <v>0</v>
      </c>
      <c r="D2015">
        <v>0</v>
      </c>
      <c r="E2015">
        <v>0</v>
      </c>
      <c r="F2015">
        <v>14</v>
      </c>
      <c r="G2015">
        <v>14</v>
      </c>
      <c r="H2015">
        <v>0</v>
      </c>
      <c r="I2015">
        <v>0</v>
      </c>
      <c r="J2015">
        <v>0</v>
      </c>
      <c r="K2015">
        <v>0</v>
      </c>
      <c r="L2015" t="s">
        <v>3284</v>
      </c>
      <c r="M2015" t="s">
        <v>3391</v>
      </c>
      <c r="N2015" t="s">
        <v>3392</v>
      </c>
      <c r="O2015" t="s">
        <v>3393</v>
      </c>
      <c r="P2015" t="s">
        <v>3394</v>
      </c>
      <c r="Q2015" t="s">
        <v>3395</v>
      </c>
      <c r="R2015" t="s">
        <v>8250</v>
      </c>
    </row>
    <row r="2016" spans="1:18" x14ac:dyDescent="0.2">
      <c r="A2016">
        <v>2530453</v>
      </c>
      <c r="B2016" t="s">
        <v>8251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1</v>
      </c>
      <c r="K2016">
        <v>0</v>
      </c>
      <c r="L2016" t="s">
        <v>3284</v>
      </c>
      <c r="M2016" t="s">
        <v>3391</v>
      </c>
      <c r="N2016" t="s">
        <v>3392</v>
      </c>
      <c r="O2016" t="s">
        <v>3393</v>
      </c>
      <c r="P2016" t="s">
        <v>3394</v>
      </c>
      <c r="Q2016" t="s">
        <v>3395</v>
      </c>
      <c r="R2016" t="s">
        <v>8252</v>
      </c>
    </row>
    <row r="2017" spans="1:18" x14ac:dyDescent="0.2">
      <c r="A2017">
        <v>2530452</v>
      </c>
      <c r="B2017" t="s">
        <v>8253</v>
      </c>
      <c r="C2017">
        <v>9</v>
      </c>
      <c r="D2017">
        <v>7</v>
      </c>
      <c r="E2017">
        <v>1</v>
      </c>
      <c r="F2017">
        <v>5</v>
      </c>
      <c r="G2017">
        <v>0</v>
      </c>
      <c r="H2017">
        <v>0</v>
      </c>
      <c r="I2017">
        <v>1</v>
      </c>
      <c r="J2017">
        <v>3</v>
      </c>
      <c r="K2017">
        <v>1</v>
      </c>
      <c r="L2017" t="s">
        <v>3284</v>
      </c>
      <c r="M2017" t="s">
        <v>3391</v>
      </c>
      <c r="N2017" t="s">
        <v>3392</v>
      </c>
      <c r="O2017" t="s">
        <v>3393</v>
      </c>
      <c r="P2017" t="s">
        <v>3394</v>
      </c>
      <c r="Q2017" t="s">
        <v>3395</v>
      </c>
      <c r="R2017" t="s">
        <v>8254</v>
      </c>
    </row>
    <row r="2018" spans="1:18" x14ac:dyDescent="0.2">
      <c r="A2018">
        <v>2530451</v>
      </c>
      <c r="B2018" t="s">
        <v>8255</v>
      </c>
      <c r="C2018">
        <v>1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1</v>
      </c>
      <c r="K2018">
        <v>0</v>
      </c>
      <c r="L2018" t="s">
        <v>3284</v>
      </c>
      <c r="M2018" t="s">
        <v>3296</v>
      </c>
      <c r="N2018" t="s">
        <v>3321</v>
      </c>
      <c r="O2018" t="s">
        <v>3322</v>
      </c>
      <c r="P2018" t="s">
        <v>3398</v>
      </c>
      <c r="Q2018" t="s">
        <v>3696</v>
      </c>
      <c r="R2018" t="s">
        <v>8256</v>
      </c>
    </row>
    <row r="2019" spans="1:18" x14ac:dyDescent="0.2">
      <c r="A2019">
        <v>2530201</v>
      </c>
      <c r="B2019" t="s">
        <v>8257</v>
      </c>
      <c r="C2019">
        <v>0</v>
      </c>
      <c r="D2019">
        <v>0</v>
      </c>
      <c r="E2019">
        <v>1</v>
      </c>
      <c r="F2019">
        <v>0</v>
      </c>
      <c r="G2019">
        <v>0</v>
      </c>
      <c r="H2019">
        <v>1</v>
      </c>
      <c r="I2019">
        <v>0</v>
      </c>
      <c r="J2019">
        <v>0</v>
      </c>
      <c r="K2019">
        <v>0</v>
      </c>
      <c r="L2019" t="s">
        <v>3284</v>
      </c>
      <c r="M2019" t="s">
        <v>3296</v>
      </c>
      <c r="N2019" t="s">
        <v>3297</v>
      </c>
      <c r="O2019" t="s">
        <v>4500</v>
      </c>
      <c r="P2019" t="s">
        <v>5719</v>
      </c>
      <c r="Q2019" t="s">
        <v>8258</v>
      </c>
      <c r="R2019" t="s">
        <v>8259</v>
      </c>
    </row>
    <row r="2020" spans="1:18" x14ac:dyDescent="0.2">
      <c r="A2020">
        <v>2530049</v>
      </c>
      <c r="B2020" t="s">
        <v>8260</v>
      </c>
      <c r="C2020">
        <v>0</v>
      </c>
      <c r="D2020">
        <v>1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 t="s">
        <v>3284</v>
      </c>
      <c r="M2020" t="s">
        <v>3296</v>
      </c>
      <c r="N2020" t="s">
        <v>3343</v>
      </c>
      <c r="O2020" t="s">
        <v>3371</v>
      </c>
      <c r="P2020" t="s">
        <v>3688</v>
      </c>
      <c r="Q2020" t="s">
        <v>8261</v>
      </c>
      <c r="R2020" t="s">
        <v>8262</v>
      </c>
    </row>
    <row r="2021" spans="1:18" x14ac:dyDescent="0.2">
      <c r="A2021">
        <v>2529859</v>
      </c>
      <c r="B2021" t="s">
        <v>8263</v>
      </c>
      <c r="C2021">
        <v>0</v>
      </c>
      <c r="D2021">
        <v>1</v>
      </c>
      <c r="E2021">
        <v>0</v>
      </c>
      <c r="F2021">
        <v>1</v>
      </c>
      <c r="G2021">
        <v>0</v>
      </c>
      <c r="H2021">
        <v>0</v>
      </c>
      <c r="I2021">
        <v>0</v>
      </c>
      <c r="J2021">
        <v>0</v>
      </c>
      <c r="K2021">
        <v>0</v>
      </c>
      <c r="L2021" t="s">
        <v>3284</v>
      </c>
      <c r="M2021" t="s">
        <v>3307</v>
      </c>
      <c r="N2021" t="s">
        <v>3308</v>
      </c>
      <c r="O2021" t="s">
        <v>3359</v>
      </c>
      <c r="P2021" t="s">
        <v>3360</v>
      </c>
      <c r="Q2021" t="s">
        <v>3364</v>
      </c>
      <c r="R2021" t="s">
        <v>8264</v>
      </c>
    </row>
    <row r="2022" spans="1:18" x14ac:dyDescent="0.2">
      <c r="A2022">
        <v>2529389</v>
      </c>
      <c r="B2022" t="s">
        <v>8265</v>
      </c>
      <c r="C2022">
        <v>0</v>
      </c>
      <c r="D2022">
        <v>0</v>
      </c>
      <c r="E2022">
        <v>0</v>
      </c>
      <c r="F2022">
        <v>3</v>
      </c>
      <c r="G2022">
        <v>0</v>
      </c>
      <c r="H2022">
        <v>0</v>
      </c>
      <c r="I2022">
        <v>0</v>
      </c>
      <c r="J2022">
        <v>0</v>
      </c>
      <c r="K2022">
        <v>0</v>
      </c>
      <c r="L2022" t="s">
        <v>3284</v>
      </c>
      <c r="M2022" t="s">
        <v>3296</v>
      </c>
      <c r="N2022" t="s">
        <v>3343</v>
      </c>
      <c r="O2022" t="s">
        <v>3349</v>
      </c>
      <c r="P2022" t="s">
        <v>3350</v>
      </c>
      <c r="Q2022" t="s">
        <v>3580</v>
      </c>
      <c r="R2022" t="s">
        <v>8266</v>
      </c>
    </row>
    <row r="2023" spans="1:18" x14ac:dyDescent="0.2">
      <c r="A2023">
        <v>2529387</v>
      </c>
      <c r="B2023" t="s">
        <v>8267</v>
      </c>
      <c r="C2023">
        <v>1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 t="s">
        <v>3284</v>
      </c>
      <c r="M2023" t="s">
        <v>3327</v>
      </c>
      <c r="N2023" t="s">
        <v>3328</v>
      </c>
      <c r="O2023" t="s">
        <v>4184</v>
      </c>
      <c r="P2023" t="s">
        <v>4185</v>
      </c>
      <c r="Q2023" t="s">
        <v>4186</v>
      </c>
      <c r="R2023" t="s">
        <v>8268</v>
      </c>
    </row>
    <row r="2024" spans="1:18" x14ac:dyDescent="0.2">
      <c r="A2024">
        <v>2529384</v>
      </c>
      <c r="B2024" t="s">
        <v>8269</v>
      </c>
      <c r="C2024">
        <v>0</v>
      </c>
      <c r="D2024">
        <v>0</v>
      </c>
      <c r="E2024">
        <v>0</v>
      </c>
      <c r="F2024">
        <v>1</v>
      </c>
      <c r="G2024">
        <v>0</v>
      </c>
      <c r="H2024">
        <v>0</v>
      </c>
      <c r="I2024">
        <v>0</v>
      </c>
      <c r="J2024">
        <v>0</v>
      </c>
      <c r="K2024">
        <v>0</v>
      </c>
      <c r="L2024" t="s">
        <v>3284</v>
      </c>
      <c r="M2024" t="s">
        <v>3296</v>
      </c>
      <c r="N2024" t="s">
        <v>3343</v>
      </c>
      <c r="O2024" t="s">
        <v>3344</v>
      </c>
      <c r="P2024" t="s">
        <v>4785</v>
      </c>
      <c r="Q2024" t="s">
        <v>4786</v>
      </c>
      <c r="R2024" t="s">
        <v>8270</v>
      </c>
    </row>
    <row r="2025" spans="1:18" x14ac:dyDescent="0.2">
      <c r="A2025">
        <v>2528964</v>
      </c>
      <c r="B2025" t="s">
        <v>8271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2</v>
      </c>
      <c r="L2025" t="s">
        <v>3284</v>
      </c>
      <c r="M2025" t="s">
        <v>3296</v>
      </c>
      <c r="N2025" t="s">
        <v>3343</v>
      </c>
      <c r="O2025" t="s">
        <v>3344</v>
      </c>
      <c r="P2025" t="s">
        <v>3661</v>
      </c>
      <c r="Q2025" t="s">
        <v>3895</v>
      </c>
      <c r="R2025" t="s">
        <v>8272</v>
      </c>
    </row>
    <row r="2026" spans="1:18" x14ac:dyDescent="0.2">
      <c r="A2026">
        <v>2528712</v>
      </c>
      <c r="B2026" t="s">
        <v>8273</v>
      </c>
      <c r="C2026">
        <v>0</v>
      </c>
      <c r="D2026">
        <v>0</v>
      </c>
      <c r="E2026">
        <v>0</v>
      </c>
      <c r="F2026">
        <v>1</v>
      </c>
      <c r="G2026">
        <v>0</v>
      </c>
      <c r="H2026">
        <v>0</v>
      </c>
      <c r="I2026">
        <v>0</v>
      </c>
      <c r="J2026">
        <v>0</v>
      </c>
      <c r="K2026">
        <v>0</v>
      </c>
      <c r="L2026" t="s">
        <v>3284</v>
      </c>
      <c r="M2026" t="s">
        <v>3307</v>
      </c>
      <c r="N2026" t="s">
        <v>3308</v>
      </c>
      <c r="O2026" t="s">
        <v>3359</v>
      </c>
      <c r="P2026" t="s">
        <v>3360</v>
      </c>
      <c r="Q2026" t="s">
        <v>8274</v>
      </c>
      <c r="R2026" t="s">
        <v>8275</v>
      </c>
    </row>
    <row r="2027" spans="1:18" x14ac:dyDescent="0.2">
      <c r="A2027">
        <v>2528630</v>
      </c>
      <c r="B2027" t="s">
        <v>8276</v>
      </c>
      <c r="C2027">
        <v>4</v>
      </c>
      <c r="D2027">
        <v>6</v>
      </c>
      <c r="E2027">
        <v>0</v>
      </c>
      <c r="F2027">
        <v>0</v>
      </c>
      <c r="G2027">
        <v>0</v>
      </c>
      <c r="H2027">
        <v>0</v>
      </c>
      <c r="I2027">
        <v>2</v>
      </c>
      <c r="J2027">
        <v>0</v>
      </c>
      <c r="K2027">
        <v>0</v>
      </c>
      <c r="L2027" t="s">
        <v>3284</v>
      </c>
      <c r="M2027" t="s">
        <v>3296</v>
      </c>
      <c r="N2027" t="s">
        <v>3321</v>
      </c>
      <c r="O2027" t="s">
        <v>3322</v>
      </c>
      <c r="P2027" t="s">
        <v>3271</v>
      </c>
      <c r="Q2027" t="s">
        <v>4214</v>
      </c>
      <c r="R2027" t="s">
        <v>8277</v>
      </c>
    </row>
    <row r="2028" spans="1:18" x14ac:dyDescent="0.2">
      <c r="A2028">
        <v>2528593</v>
      </c>
      <c r="B2028" t="s">
        <v>8278</v>
      </c>
      <c r="C2028">
        <v>1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 t="s">
        <v>3284</v>
      </c>
      <c r="M2028" t="s">
        <v>3327</v>
      </c>
      <c r="N2028" t="s">
        <v>3328</v>
      </c>
      <c r="O2028" t="s">
        <v>8279</v>
      </c>
      <c r="P2028" t="s">
        <v>8280</v>
      </c>
      <c r="Q2028" t="s">
        <v>8281</v>
      </c>
      <c r="R2028" t="s">
        <v>8282</v>
      </c>
    </row>
    <row r="2029" spans="1:18" x14ac:dyDescent="0.2">
      <c r="A2029">
        <v>2528245</v>
      </c>
      <c r="B2029" t="s">
        <v>8283</v>
      </c>
      <c r="C2029">
        <v>0</v>
      </c>
      <c r="D2029">
        <v>0</v>
      </c>
      <c r="E2029">
        <v>0</v>
      </c>
      <c r="F2029">
        <v>1</v>
      </c>
      <c r="G2029">
        <v>1</v>
      </c>
      <c r="H2029">
        <v>0</v>
      </c>
      <c r="I2029">
        <v>0</v>
      </c>
      <c r="J2029">
        <v>0</v>
      </c>
      <c r="K2029">
        <v>0</v>
      </c>
      <c r="L2029" t="s">
        <v>3284</v>
      </c>
      <c r="M2029" t="s">
        <v>3296</v>
      </c>
      <c r="N2029" t="s">
        <v>3343</v>
      </c>
      <c r="O2029" t="s">
        <v>3344</v>
      </c>
      <c r="P2029" t="s">
        <v>8284</v>
      </c>
      <c r="Q2029" t="s">
        <v>8285</v>
      </c>
      <c r="R2029" t="s">
        <v>8286</v>
      </c>
    </row>
    <row r="2030" spans="1:18" x14ac:dyDescent="0.2">
      <c r="A2030">
        <v>2528239</v>
      </c>
      <c r="B2030" t="s">
        <v>8287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2</v>
      </c>
      <c r="J2030">
        <v>1</v>
      </c>
      <c r="K2030">
        <v>0</v>
      </c>
      <c r="L2030" t="s">
        <v>3284</v>
      </c>
      <c r="M2030" t="s">
        <v>3296</v>
      </c>
      <c r="N2030" t="s">
        <v>3343</v>
      </c>
      <c r="O2030" t="s">
        <v>3344</v>
      </c>
      <c r="P2030" t="s">
        <v>3355</v>
      </c>
      <c r="Q2030" t="s">
        <v>3546</v>
      </c>
      <c r="R2030" t="s">
        <v>8288</v>
      </c>
    </row>
    <row r="2031" spans="1:18" x14ac:dyDescent="0.2">
      <c r="A2031">
        <v>2528010</v>
      </c>
      <c r="B2031" t="s">
        <v>8289</v>
      </c>
      <c r="C2031">
        <v>0</v>
      </c>
      <c r="D2031">
        <v>0</v>
      </c>
      <c r="E2031">
        <v>0</v>
      </c>
      <c r="F2031">
        <v>0</v>
      </c>
      <c r="G2031">
        <v>1</v>
      </c>
      <c r="H2031">
        <v>0</v>
      </c>
      <c r="I2031">
        <v>0</v>
      </c>
      <c r="J2031">
        <v>0</v>
      </c>
      <c r="K2031">
        <v>0</v>
      </c>
      <c r="L2031" t="s">
        <v>3284</v>
      </c>
      <c r="M2031" t="s">
        <v>3794</v>
      </c>
      <c r="N2031" t="s">
        <v>3795</v>
      </c>
      <c r="O2031" t="s">
        <v>7746</v>
      </c>
      <c r="P2031" t="s">
        <v>7747</v>
      </c>
      <c r="Q2031" t="s">
        <v>8290</v>
      </c>
      <c r="R2031" t="s">
        <v>8291</v>
      </c>
    </row>
    <row r="2032" spans="1:18" x14ac:dyDescent="0.2">
      <c r="A2032">
        <v>2528003</v>
      </c>
      <c r="B2032" t="s">
        <v>8292</v>
      </c>
      <c r="C2032">
        <v>0</v>
      </c>
      <c r="D2032">
        <v>1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 t="s">
        <v>3284</v>
      </c>
      <c r="M2032" t="s">
        <v>3794</v>
      </c>
      <c r="N2032" t="s">
        <v>3795</v>
      </c>
      <c r="O2032" t="s">
        <v>7746</v>
      </c>
      <c r="P2032" t="s">
        <v>8293</v>
      </c>
      <c r="Q2032" t="s">
        <v>8294</v>
      </c>
      <c r="R2032" t="s">
        <v>8295</v>
      </c>
    </row>
    <row r="2033" spans="1:18" x14ac:dyDescent="0.2">
      <c r="A2033">
        <v>2527991</v>
      </c>
      <c r="B2033" t="s">
        <v>8296</v>
      </c>
      <c r="C2033">
        <v>0</v>
      </c>
      <c r="D2033">
        <v>0</v>
      </c>
      <c r="E2033">
        <v>0</v>
      </c>
      <c r="F2033">
        <v>1</v>
      </c>
      <c r="G2033">
        <v>0</v>
      </c>
      <c r="H2033">
        <v>0</v>
      </c>
      <c r="I2033">
        <v>0</v>
      </c>
      <c r="J2033">
        <v>0</v>
      </c>
      <c r="K2033">
        <v>0</v>
      </c>
      <c r="L2033" t="s">
        <v>3284</v>
      </c>
      <c r="M2033" t="s">
        <v>3794</v>
      </c>
      <c r="N2033" t="s">
        <v>3795</v>
      </c>
      <c r="O2033" t="s">
        <v>7746</v>
      </c>
      <c r="P2033" t="s">
        <v>8293</v>
      </c>
      <c r="Q2033" t="s">
        <v>8297</v>
      </c>
      <c r="R2033" t="s">
        <v>8298</v>
      </c>
    </row>
    <row r="2034" spans="1:18" x14ac:dyDescent="0.2">
      <c r="A2034">
        <v>2527979</v>
      </c>
      <c r="B2034" t="s">
        <v>8299</v>
      </c>
      <c r="C2034">
        <v>0</v>
      </c>
      <c r="D2034">
        <v>3</v>
      </c>
      <c r="E2034">
        <v>0</v>
      </c>
      <c r="F2034">
        <v>0</v>
      </c>
      <c r="G2034">
        <v>3</v>
      </c>
      <c r="H2034">
        <v>1</v>
      </c>
      <c r="I2034">
        <v>0</v>
      </c>
      <c r="J2034">
        <v>1</v>
      </c>
      <c r="K2034">
        <v>0</v>
      </c>
      <c r="L2034" t="s">
        <v>3284</v>
      </c>
      <c r="M2034" t="s">
        <v>3794</v>
      </c>
      <c r="N2034" t="s">
        <v>3795</v>
      </c>
      <c r="O2034" t="s">
        <v>7746</v>
      </c>
      <c r="P2034" t="s">
        <v>7747</v>
      </c>
      <c r="Q2034" t="s">
        <v>8300</v>
      </c>
      <c r="R2034" t="s">
        <v>8301</v>
      </c>
    </row>
    <row r="2035" spans="1:18" x14ac:dyDescent="0.2">
      <c r="A2035">
        <v>2527972</v>
      </c>
      <c r="B2035" t="s">
        <v>8302</v>
      </c>
      <c r="C2035">
        <v>1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 t="s">
        <v>3284</v>
      </c>
      <c r="M2035" t="s">
        <v>3794</v>
      </c>
      <c r="N2035" t="s">
        <v>3795</v>
      </c>
      <c r="O2035" t="s">
        <v>7746</v>
      </c>
      <c r="P2035" t="s">
        <v>8293</v>
      </c>
      <c r="Q2035" t="s">
        <v>8303</v>
      </c>
      <c r="R2035" t="s">
        <v>8304</v>
      </c>
    </row>
    <row r="2036" spans="1:18" x14ac:dyDescent="0.2">
      <c r="A2036">
        <v>2527868</v>
      </c>
      <c r="B2036" t="s">
        <v>8305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2</v>
      </c>
      <c r="J2036">
        <v>2</v>
      </c>
      <c r="K2036">
        <v>0</v>
      </c>
      <c r="L2036" t="s">
        <v>3284</v>
      </c>
      <c r="M2036" t="s">
        <v>3296</v>
      </c>
      <c r="N2036" t="s">
        <v>3343</v>
      </c>
      <c r="O2036" t="s">
        <v>3429</v>
      </c>
      <c r="P2036" t="s">
        <v>3430</v>
      </c>
      <c r="Q2036" t="s">
        <v>6052</v>
      </c>
      <c r="R2036" t="s">
        <v>8306</v>
      </c>
    </row>
    <row r="2037" spans="1:18" x14ac:dyDescent="0.2">
      <c r="A2037">
        <v>2527691</v>
      </c>
      <c r="B2037" t="s">
        <v>8307</v>
      </c>
      <c r="C2037">
        <v>1</v>
      </c>
      <c r="D2037">
        <v>1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 t="s">
        <v>3284</v>
      </c>
      <c r="M2037" t="s">
        <v>3296</v>
      </c>
      <c r="N2037" t="s">
        <v>3321</v>
      </c>
      <c r="O2037" t="s">
        <v>3322</v>
      </c>
      <c r="P2037" t="s">
        <v>3398</v>
      </c>
      <c r="Q2037" t="s">
        <v>3788</v>
      </c>
      <c r="R2037" t="s">
        <v>8308</v>
      </c>
    </row>
    <row r="2038" spans="1:18" x14ac:dyDescent="0.2">
      <c r="A2038">
        <v>2527671</v>
      </c>
      <c r="B2038" t="s">
        <v>8309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1</v>
      </c>
      <c r="K2038">
        <v>0</v>
      </c>
      <c r="L2038" t="s">
        <v>3284</v>
      </c>
      <c r="M2038" t="s">
        <v>3296</v>
      </c>
      <c r="N2038" t="s">
        <v>3343</v>
      </c>
      <c r="O2038" t="s">
        <v>3344</v>
      </c>
      <c r="P2038" t="s">
        <v>3355</v>
      </c>
      <c r="Q2038" t="s">
        <v>3846</v>
      </c>
      <c r="R2038" t="s">
        <v>8310</v>
      </c>
    </row>
    <row r="2039" spans="1:18" x14ac:dyDescent="0.2">
      <c r="A2039">
        <v>2520506</v>
      </c>
      <c r="B2039" t="s">
        <v>8311</v>
      </c>
      <c r="C2039">
        <v>0</v>
      </c>
      <c r="D2039">
        <v>0</v>
      </c>
      <c r="E2039">
        <v>0</v>
      </c>
      <c r="F2039">
        <v>2</v>
      </c>
      <c r="G2039">
        <v>1</v>
      </c>
      <c r="H2039">
        <v>0</v>
      </c>
      <c r="I2039">
        <v>0</v>
      </c>
      <c r="J2039">
        <v>0</v>
      </c>
      <c r="K2039">
        <v>0</v>
      </c>
      <c r="L2039" t="s">
        <v>3284</v>
      </c>
      <c r="M2039" t="s">
        <v>3391</v>
      </c>
      <c r="N2039" t="s">
        <v>3740</v>
      </c>
      <c r="O2039" t="s">
        <v>3741</v>
      </c>
      <c r="P2039" t="s">
        <v>4241</v>
      </c>
      <c r="Q2039" t="s">
        <v>4242</v>
      </c>
      <c r="R2039" t="s">
        <v>8312</v>
      </c>
    </row>
    <row r="2040" spans="1:18" x14ac:dyDescent="0.2">
      <c r="A2040">
        <v>2518343</v>
      </c>
      <c r="B2040" t="s">
        <v>8313</v>
      </c>
      <c r="C2040">
        <v>0</v>
      </c>
      <c r="D2040">
        <v>2</v>
      </c>
      <c r="E2040">
        <v>1</v>
      </c>
      <c r="F2040">
        <v>0</v>
      </c>
      <c r="G2040">
        <v>0</v>
      </c>
      <c r="H2040">
        <v>0</v>
      </c>
      <c r="I2040">
        <v>1</v>
      </c>
      <c r="J2040">
        <v>1</v>
      </c>
      <c r="K2040">
        <v>0</v>
      </c>
      <c r="L2040" t="s">
        <v>3284</v>
      </c>
      <c r="M2040" t="s">
        <v>3296</v>
      </c>
      <c r="N2040" t="s">
        <v>3321</v>
      </c>
      <c r="O2040" t="s">
        <v>3322</v>
      </c>
      <c r="P2040" t="s">
        <v>3398</v>
      </c>
      <c r="Q2040" t="s">
        <v>3556</v>
      </c>
      <c r="R2040" t="s">
        <v>8314</v>
      </c>
    </row>
    <row r="2041" spans="1:18" x14ac:dyDescent="0.2">
      <c r="A2041">
        <v>2512237</v>
      </c>
      <c r="B2041" t="s">
        <v>8315</v>
      </c>
      <c r="C2041">
        <v>0</v>
      </c>
      <c r="D2041">
        <v>0</v>
      </c>
      <c r="E2041">
        <v>0</v>
      </c>
      <c r="F2041">
        <v>2</v>
      </c>
      <c r="G2041">
        <v>5</v>
      </c>
      <c r="H2041">
        <v>0</v>
      </c>
      <c r="I2041">
        <v>0</v>
      </c>
      <c r="J2041">
        <v>0</v>
      </c>
      <c r="K2041">
        <v>0</v>
      </c>
      <c r="L2041" t="s">
        <v>3284</v>
      </c>
      <c r="M2041" t="s">
        <v>3307</v>
      </c>
      <c r="N2041" t="s">
        <v>3308</v>
      </c>
      <c r="O2041" t="s">
        <v>3635</v>
      </c>
      <c r="P2041" t="s">
        <v>4011</v>
      </c>
      <c r="Q2041" t="s">
        <v>4471</v>
      </c>
      <c r="R2041" t="s">
        <v>8316</v>
      </c>
    </row>
    <row r="2042" spans="1:18" x14ac:dyDescent="0.2">
      <c r="A2042">
        <v>2512215</v>
      </c>
      <c r="B2042" t="s">
        <v>8317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1</v>
      </c>
      <c r="J2042">
        <v>0</v>
      </c>
      <c r="K2042">
        <v>0</v>
      </c>
      <c r="L2042" t="s">
        <v>3284</v>
      </c>
      <c r="M2042" t="s">
        <v>3307</v>
      </c>
      <c r="N2042" t="s">
        <v>3308</v>
      </c>
      <c r="O2042" t="s">
        <v>3309</v>
      </c>
      <c r="P2042" t="s">
        <v>8318</v>
      </c>
      <c r="Q2042" t="s">
        <v>8319</v>
      </c>
      <c r="R2042" t="s">
        <v>8320</v>
      </c>
    </row>
    <row r="2043" spans="1:18" x14ac:dyDescent="0.2">
      <c r="A2043">
        <v>2512212</v>
      </c>
      <c r="B2043" t="s">
        <v>8321</v>
      </c>
      <c r="C2043">
        <v>0</v>
      </c>
      <c r="D2043">
        <v>0</v>
      </c>
      <c r="E2043">
        <v>0</v>
      </c>
      <c r="F2043">
        <v>1</v>
      </c>
      <c r="G2043">
        <v>0</v>
      </c>
      <c r="H2043">
        <v>0</v>
      </c>
      <c r="I2043">
        <v>0</v>
      </c>
      <c r="J2043">
        <v>0</v>
      </c>
      <c r="K2043">
        <v>0</v>
      </c>
      <c r="L2043" t="s">
        <v>3284</v>
      </c>
      <c r="M2043" t="s">
        <v>3307</v>
      </c>
      <c r="N2043" t="s">
        <v>3308</v>
      </c>
      <c r="O2043" t="s">
        <v>3309</v>
      </c>
      <c r="P2043" t="s">
        <v>8318</v>
      </c>
      <c r="Q2043" t="s">
        <v>8319</v>
      </c>
      <c r="R2043" t="s">
        <v>8322</v>
      </c>
    </row>
    <row r="2044" spans="1:18" x14ac:dyDescent="0.2">
      <c r="A2044">
        <v>2512180</v>
      </c>
      <c r="B2044" t="s">
        <v>8323</v>
      </c>
      <c r="C2044">
        <v>0</v>
      </c>
      <c r="D2044">
        <v>0</v>
      </c>
      <c r="E2044">
        <v>0</v>
      </c>
      <c r="F2044">
        <v>1</v>
      </c>
      <c r="G2044">
        <v>0</v>
      </c>
      <c r="H2044">
        <v>0</v>
      </c>
      <c r="I2044">
        <v>0</v>
      </c>
      <c r="J2044">
        <v>0</v>
      </c>
      <c r="K2044">
        <v>0</v>
      </c>
      <c r="L2044" t="s">
        <v>3284</v>
      </c>
      <c r="M2044" t="s">
        <v>3296</v>
      </c>
      <c r="N2044" t="s">
        <v>3343</v>
      </c>
      <c r="O2044" t="s">
        <v>3344</v>
      </c>
      <c r="P2044" t="s">
        <v>3367</v>
      </c>
      <c r="Q2044" t="s">
        <v>3368</v>
      </c>
      <c r="R2044" t="s">
        <v>8324</v>
      </c>
    </row>
    <row r="2045" spans="1:18" x14ac:dyDescent="0.2">
      <c r="A2045">
        <v>2512149</v>
      </c>
      <c r="B2045" t="s">
        <v>8325</v>
      </c>
      <c r="C2045">
        <v>0</v>
      </c>
      <c r="D2045">
        <v>0</v>
      </c>
      <c r="E2045">
        <v>0</v>
      </c>
      <c r="F2045">
        <v>0</v>
      </c>
      <c r="G2045">
        <v>1</v>
      </c>
      <c r="H2045">
        <v>0</v>
      </c>
      <c r="I2045">
        <v>0</v>
      </c>
      <c r="J2045">
        <v>0</v>
      </c>
      <c r="K2045">
        <v>0</v>
      </c>
      <c r="L2045" t="s">
        <v>3284</v>
      </c>
      <c r="M2045" t="s">
        <v>3296</v>
      </c>
      <c r="N2045" t="s">
        <v>3343</v>
      </c>
      <c r="O2045" t="s">
        <v>3344</v>
      </c>
      <c r="P2045" t="s">
        <v>3355</v>
      </c>
      <c r="Q2045" t="s">
        <v>3356</v>
      </c>
      <c r="R2045" t="s">
        <v>8326</v>
      </c>
    </row>
    <row r="2046" spans="1:18" x14ac:dyDescent="0.2">
      <c r="A2046">
        <v>2512133</v>
      </c>
      <c r="B2046" t="s">
        <v>8327</v>
      </c>
      <c r="C2046">
        <v>1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 t="s">
        <v>3284</v>
      </c>
      <c r="M2046" t="s">
        <v>3327</v>
      </c>
      <c r="N2046" t="s">
        <v>3376</v>
      </c>
      <c r="O2046" t="s">
        <v>3377</v>
      </c>
      <c r="P2046" t="s">
        <v>3604</v>
      </c>
      <c r="Q2046" t="s">
        <v>3668</v>
      </c>
      <c r="R2046" t="s">
        <v>8328</v>
      </c>
    </row>
    <row r="2047" spans="1:18" x14ac:dyDescent="0.2">
      <c r="A2047">
        <v>2512125</v>
      </c>
      <c r="B2047" t="s">
        <v>8329</v>
      </c>
      <c r="C2047">
        <v>0</v>
      </c>
      <c r="D2047">
        <v>0</v>
      </c>
      <c r="E2047">
        <v>0</v>
      </c>
      <c r="F2047">
        <v>0</v>
      </c>
      <c r="G2047">
        <v>1</v>
      </c>
      <c r="H2047">
        <v>0</v>
      </c>
      <c r="I2047">
        <v>0</v>
      </c>
      <c r="J2047">
        <v>0</v>
      </c>
      <c r="K2047">
        <v>0</v>
      </c>
      <c r="L2047" t="s">
        <v>3284</v>
      </c>
      <c r="M2047" t="s">
        <v>3296</v>
      </c>
      <c r="N2047" t="s">
        <v>3343</v>
      </c>
      <c r="O2047" t="s">
        <v>3344</v>
      </c>
      <c r="P2047" t="s">
        <v>3355</v>
      </c>
      <c r="Q2047" t="s">
        <v>3356</v>
      </c>
      <c r="R2047" t="s">
        <v>8330</v>
      </c>
    </row>
    <row r="2048" spans="1:18" x14ac:dyDescent="0.2">
      <c r="A2048">
        <v>2512118</v>
      </c>
      <c r="B2048" t="s">
        <v>8331</v>
      </c>
      <c r="C2048">
        <v>0</v>
      </c>
      <c r="D2048">
        <v>0</v>
      </c>
      <c r="E2048">
        <v>0</v>
      </c>
      <c r="F2048">
        <v>1</v>
      </c>
      <c r="G2048">
        <v>0</v>
      </c>
      <c r="H2048">
        <v>0</v>
      </c>
      <c r="I2048">
        <v>0</v>
      </c>
      <c r="J2048">
        <v>0</v>
      </c>
      <c r="K2048">
        <v>0</v>
      </c>
      <c r="L2048" t="s">
        <v>3284</v>
      </c>
      <c r="M2048" t="s">
        <v>3307</v>
      </c>
      <c r="N2048" t="s">
        <v>3308</v>
      </c>
      <c r="O2048" t="s">
        <v>3359</v>
      </c>
      <c r="P2048" t="s">
        <v>3360</v>
      </c>
      <c r="Q2048" t="s">
        <v>3361</v>
      </c>
      <c r="R2048" t="s">
        <v>8332</v>
      </c>
    </row>
    <row r="2049" spans="1:18" x14ac:dyDescent="0.2">
      <c r="A2049">
        <v>2512117</v>
      </c>
      <c r="B2049" t="s">
        <v>8333</v>
      </c>
      <c r="C2049">
        <v>1</v>
      </c>
      <c r="D2049">
        <v>0</v>
      </c>
      <c r="E2049">
        <v>0</v>
      </c>
      <c r="F2049">
        <v>3</v>
      </c>
      <c r="G2049">
        <v>1</v>
      </c>
      <c r="H2049">
        <v>0</v>
      </c>
      <c r="I2049">
        <v>2</v>
      </c>
      <c r="J2049">
        <v>0</v>
      </c>
      <c r="K2049">
        <v>2</v>
      </c>
      <c r="L2049" t="s">
        <v>3284</v>
      </c>
      <c r="M2049" t="s">
        <v>3296</v>
      </c>
      <c r="N2049" t="s">
        <v>3343</v>
      </c>
      <c r="O2049" t="s">
        <v>3402</v>
      </c>
      <c r="P2049" t="s">
        <v>3403</v>
      </c>
      <c r="Q2049" t="s">
        <v>3404</v>
      </c>
      <c r="R2049" t="s">
        <v>8334</v>
      </c>
    </row>
    <row r="2050" spans="1:18" x14ac:dyDescent="0.2">
      <c r="A2050">
        <v>2512115</v>
      </c>
      <c r="B2050" t="s">
        <v>8335</v>
      </c>
      <c r="C2050">
        <v>0</v>
      </c>
      <c r="D2050">
        <v>0</v>
      </c>
      <c r="E2050">
        <v>0</v>
      </c>
      <c r="F2050">
        <v>2</v>
      </c>
      <c r="G2050">
        <v>0</v>
      </c>
      <c r="H2050">
        <v>0</v>
      </c>
      <c r="I2050">
        <v>0</v>
      </c>
      <c r="J2050">
        <v>0</v>
      </c>
      <c r="K2050">
        <v>0</v>
      </c>
      <c r="L2050" t="s">
        <v>3284</v>
      </c>
      <c r="M2050" t="s">
        <v>3391</v>
      </c>
      <c r="N2050" t="s">
        <v>3411</v>
      </c>
      <c r="O2050" t="s">
        <v>3412</v>
      </c>
      <c r="P2050" t="s">
        <v>3413</v>
      </c>
      <c r="Q2050" t="s">
        <v>3414</v>
      </c>
      <c r="R2050" t="s">
        <v>8336</v>
      </c>
    </row>
    <row r="2051" spans="1:18" x14ac:dyDescent="0.2">
      <c r="A2051">
        <v>2512113</v>
      </c>
      <c r="B2051" t="s">
        <v>8337</v>
      </c>
      <c r="C2051">
        <v>1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 t="s">
        <v>3284</v>
      </c>
      <c r="M2051" t="s">
        <v>3391</v>
      </c>
      <c r="N2051" t="s">
        <v>3411</v>
      </c>
      <c r="O2051" t="s">
        <v>3412</v>
      </c>
      <c r="P2051" t="s">
        <v>3413</v>
      </c>
      <c r="Q2051" t="s">
        <v>3414</v>
      </c>
      <c r="R2051" t="s">
        <v>8338</v>
      </c>
    </row>
    <row r="2052" spans="1:18" x14ac:dyDescent="0.2">
      <c r="A2052">
        <v>2511984</v>
      </c>
      <c r="B2052" t="s">
        <v>8339</v>
      </c>
      <c r="C2052">
        <v>0</v>
      </c>
      <c r="D2052">
        <v>1</v>
      </c>
      <c r="E2052">
        <v>10</v>
      </c>
      <c r="F2052">
        <v>0</v>
      </c>
      <c r="G2052">
        <v>1</v>
      </c>
      <c r="H2052">
        <v>2</v>
      </c>
      <c r="I2052">
        <v>0</v>
      </c>
      <c r="J2052">
        <v>0</v>
      </c>
      <c r="K2052">
        <v>9</v>
      </c>
      <c r="L2052" t="s">
        <v>3284</v>
      </c>
      <c r="M2052" t="s">
        <v>3296</v>
      </c>
      <c r="N2052" t="s">
        <v>3297</v>
      </c>
      <c r="O2052" t="s">
        <v>3298</v>
      </c>
      <c r="P2052" t="s">
        <v>3826</v>
      </c>
      <c r="Q2052" t="s">
        <v>6074</v>
      </c>
      <c r="R2052" t="s">
        <v>8340</v>
      </c>
    </row>
    <row r="2053" spans="1:18" x14ac:dyDescent="0.2">
      <c r="A2053">
        <v>2511204</v>
      </c>
      <c r="B2053" t="s">
        <v>8341</v>
      </c>
      <c r="C2053">
        <v>0</v>
      </c>
      <c r="D2053">
        <v>0</v>
      </c>
      <c r="E2053">
        <v>0</v>
      </c>
      <c r="F2053">
        <v>0</v>
      </c>
      <c r="G2053">
        <v>2</v>
      </c>
      <c r="H2053">
        <v>0</v>
      </c>
      <c r="I2053">
        <v>4</v>
      </c>
      <c r="J2053">
        <v>2</v>
      </c>
      <c r="K2053">
        <v>0</v>
      </c>
      <c r="L2053" t="s">
        <v>3284</v>
      </c>
      <c r="M2053" t="s">
        <v>3296</v>
      </c>
      <c r="N2053" t="s">
        <v>3321</v>
      </c>
      <c r="O2053" t="s">
        <v>3322</v>
      </c>
      <c r="P2053" t="s">
        <v>4143</v>
      </c>
      <c r="Q2053" t="s">
        <v>4539</v>
      </c>
      <c r="R2053" t="s">
        <v>8342</v>
      </c>
    </row>
    <row r="2054" spans="1:18" x14ac:dyDescent="0.2">
      <c r="A2054">
        <v>2511025</v>
      </c>
      <c r="B2054" t="s">
        <v>8343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1</v>
      </c>
      <c r="J2054">
        <v>0</v>
      </c>
      <c r="K2054">
        <v>0</v>
      </c>
      <c r="L2054" t="s">
        <v>3284</v>
      </c>
      <c r="M2054" t="s">
        <v>3296</v>
      </c>
      <c r="N2054" t="s">
        <v>3343</v>
      </c>
      <c r="O2054" t="s">
        <v>3349</v>
      </c>
      <c r="P2054" t="s">
        <v>5827</v>
      </c>
      <c r="Q2054" t="s">
        <v>8344</v>
      </c>
      <c r="R2054" t="s">
        <v>8345</v>
      </c>
    </row>
    <row r="2055" spans="1:18" x14ac:dyDescent="0.2">
      <c r="A2055">
        <v>2510950</v>
      </c>
      <c r="B2055" t="s">
        <v>8346</v>
      </c>
      <c r="C2055">
        <v>0</v>
      </c>
      <c r="D2055">
        <v>1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 t="s">
        <v>3284</v>
      </c>
      <c r="M2055" t="s">
        <v>3327</v>
      </c>
      <c r="N2055" t="s">
        <v>3376</v>
      </c>
      <c r="O2055" t="s">
        <v>3377</v>
      </c>
      <c r="P2055" t="s">
        <v>3271</v>
      </c>
      <c r="Q2055" t="s">
        <v>3648</v>
      </c>
      <c r="R2055" t="s">
        <v>8347</v>
      </c>
    </row>
    <row r="2056" spans="1:18" x14ac:dyDescent="0.2">
      <c r="A2056">
        <v>2509718</v>
      </c>
      <c r="B2056" t="s">
        <v>8348</v>
      </c>
      <c r="C2056">
        <v>0</v>
      </c>
      <c r="D2056">
        <v>0</v>
      </c>
      <c r="E2056">
        <v>1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 t="s">
        <v>3284</v>
      </c>
      <c r="M2056" t="s">
        <v>3296</v>
      </c>
      <c r="N2056" t="s">
        <v>3343</v>
      </c>
      <c r="O2056" t="s">
        <v>3349</v>
      </c>
      <c r="P2056" t="s">
        <v>3350</v>
      </c>
      <c r="Q2056" t="s">
        <v>8349</v>
      </c>
      <c r="R2056" t="s">
        <v>8350</v>
      </c>
    </row>
    <row r="2057" spans="1:18" x14ac:dyDescent="0.2">
      <c r="A2057">
        <v>2509457</v>
      </c>
      <c r="B2057" t="s">
        <v>8351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1</v>
      </c>
      <c r="K2057">
        <v>0</v>
      </c>
      <c r="L2057" t="s">
        <v>3284</v>
      </c>
      <c r="M2057" t="s">
        <v>3307</v>
      </c>
      <c r="N2057" t="s">
        <v>3308</v>
      </c>
      <c r="O2057" t="s">
        <v>3359</v>
      </c>
      <c r="P2057" t="s">
        <v>5645</v>
      </c>
      <c r="Q2057" t="s">
        <v>8352</v>
      </c>
      <c r="R2057" t="s">
        <v>8353</v>
      </c>
    </row>
    <row r="2058" spans="1:18" x14ac:dyDescent="0.2">
      <c r="A2058">
        <v>2508543</v>
      </c>
      <c r="B2058" t="s">
        <v>8354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1</v>
      </c>
      <c r="J2058">
        <v>0</v>
      </c>
      <c r="K2058">
        <v>0</v>
      </c>
      <c r="L2058" t="s">
        <v>3284</v>
      </c>
      <c r="M2058" t="s">
        <v>3296</v>
      </c>
      <c r="N2058" t="s">
        <v>3343</v>
      </c>
      <c r="O2058" t="s">
        <v>3371</v>
      </c>
      <c r="P2058" t="s">
        <v>3688</v>
      </c>
      <c r="Q2058" t="s">
        <v>4406</v>
      </c>
      <c r="R2058" t="s">
        <v>8355</v>
      </c>
    </row>
    <row r="2059" spans="1:18" x14ac:dyDescent="0.2">
      <c r="A2059">
        <v>2508540</v>
      </c>
      <c r="B2059" t="s">
        <v>8356</v>
      </c>
      <c r="C2059">
        <v>1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 t="s">
        <v>3284</v>
      </c>
      <c r="M2059" t="s">
        <v>3391</v>
      </c>
      <c r="N2059" t="s">
        <v>3411</v>
      </c>
      <c r="O2059" t="s">
        <v>3412</v>
      </c>
      <c r="P2059" t="s">
        <v>3413</v>
      </c>
      <c r="Q2059" t="s">
        <v>8357</v>
      </c>
      <c r="R2059" t="s">
        <v>8358</v>
      </c>
    </row>
    <row r="2060" spans="1:18" x14ac:dyDescent="0.2">
      <c r="A2060">
        <v>2508327</v>
      </c>
      <c r="B2060" t="s">
        <v>8359</v>
      </c>
      <c r="C2060">
        <v>0</v>
      </c>
      <c r="D2060">
        <v>0</v>
      </c>
      <c r="E2060">
        <v>0</v>
      </c>
      <c r="F2060">
        <v>0</v>
      </c>
      <c r="G2060">
        <v>1</v>
      </c>
      <c r="H2060">
        <v>0</v>
      </c>
      <c r="I2060">
        <v>0</v>
      </c>
      <c r="J2060">
        <v>0</v>
      </c>
      <c r="K2060">
        <v>0</v>
      </c>
      <c r="L2060" t="s">
        <v>3284</v>
      </c>
      <c r="M2060" t="s">
        <v>3307</v>
      </c>
      <c r="N2060" t="s">
        <v>3308</v>
      </c>
      <c r="O2060" t="s">
        <v>3309</v>
      </c>
      <c r="P2060" t="s">
        <v>3310</v>
      </c>
      <c r="Q2060" t="s">
        <v>3311</v>
      </c>
      <c r="R2060" t="s">
        <v>8360</v>
      </c>
    </row>
    <row r="2061" spans="1:18" x14ac:dyDescent="0.2">
      <c r="A2061">
        <v>2507566</v>
      </c>
      <c r="B2061" t="s">
        <v>8361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1</v>
      </c>
      <c r="J2061">
        <v>0</v>
      </c>
      <c r="K2061">
        <v>0</v>
      </c>
      <c r="L2061" t="s">
        <v>3284</v>
      </c>
      <c r="M2061" t="s">
        <v>3327</v>
      </c>
      <c r="N2061" t="s">
        <v>3376</v>
      </c>
      <c r="O2061" t="s">
        <v>3377</v>
      </c>
      <c r="P2061" t="s">
        <v>3604</v>
      </c>
      <c r="Q2061" t="s">
        <v>8362</v>
      </c>
      <c r="R2061" t="s">
        <v>8363</v>
      </c>
    </row>
    <row r="2062" spans="1:18" x14ac:dyDescent="0.2">
      <c r="A2062">
        <v>2507159</v>
      </c>
      <c r="B2062" t="s">
        <v>8364</v>
      </c>
      <c r="C2062">
        <v>4</v>
      </c>
      <c r="D2062">
        <v>5</v>
      </c>
      <c r="E2062">
        <v>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 t="s">
        <v>3284</v>
      </c>
      <c r="M2062" t="s">
        <v>3327</v>
      </c>
      <c r="N2062" t="s">
        <v>3328</v>
      </c>
      <c r="O2062" t="s">
        <v>3329</v>
      </c>
      <c r="P2062" t="s">
        <v>3330</v>
      </c>
      <c r="Q2062" t="s">
        <v>3331</v>
      </c>
      <c r="R2062" t="s">
        <v>8365</v>
      </c>
    </row>
    <row r="2063" spans="1:18" x14ac:dyDescent="0.2">
      <c r="A2063">
        <v>2503024</v>
      </c>
      <c r="B2063" t="s">
        <v>8366</v>
      </c>
      <c r="C2063">
        <v>0</v>
      </c>
      <c r="D2063">
        <v>0</v>
      </c>
      <c r="E2063">
        <v>0</v>
      </c>
      <c r="F2063">
        <v>1</v>
      </c>
      <c r="G2063">
        <v>0</v>
      </c>
      <c r="H2063">
        <v>0</v>
      </c>
      <c r="I2063">
        <v>0</v>
      </c>
      <c r="J2063">
        <v>0</v>
      </c>
      <c r="K2063">
        <v>0</v>
      </c>
      <c r="L2063" t="s">
        <v>3284</v>
      </c>
      <c r="M2063" t="s">
        <v>3296</v>
      </c>
      <c r="N2063" t="s">
        <v>3343</v>
      </c>
      <c r="O2063" t="s">
        <v>3344</v>
      </c>
      <c r="P2063" t="s">
        <v>3355</v>
      </c>
      <c r="Q2063" t="s">
        <v>4238</v>
      </c>
      <c r="R2063" t="s">
        <v>8367</v>
      </c>
    </row>
    <row r="2064" spans="1:18" x14ac:dyDescent="0.2">
      <c r="A2064">
        <v>2502979</v>
      </c>
      <c r="B2064" t="s">
        <v>8368</v>
      </c>
      <c r="C2064">
        <v>0</v>
      </c>
      <c r="D2064">
        <v>1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 t="s">
        <v>3284</v>
      </c>
      <c r="M2064" t="s">
        <v>3296</v>
      </c>
      <c r="N2064" t="s">
        <v>3297</v>
      </c>
      <c r="O2064" t="s">
        <v>3434</v>
      </c>
      <c r="P2064" t="s">
        <v>3435</v>
      </c>
      <c r="Q2064" t="s">
        <v>8369</v>
      </c>
      <c r="R2064" t="s">
        <v>8370</v>
      </c>
    </row>
    <row r="2065" spans="1:18" x14ac:dyDescent="0.2">
      <c r="A2065">
        <v>2502784</v>
      </c>
      <c r="B2065" t="s">
        <v>8371</v>
      </c>
      <c r="C2065">
        <v>0</v>
      </c>
      <c r="D2065">
        <v>1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 t="s">
        <v>3284</v>
      </c>
      <c r="M2065" t="s">
        <v>3391</v>
      </c>
      <c r="N2065" t="s">
        <v>3411</v>
      </c>
      <c r="O2065" t="s">
        <v>3412</v>
      </c>
      <c r="P2065" t="s">
        <v>3413</v>
      </c>
      <c r="Q2065" t="s">
        <v>3414</v>
      </c>
      <c r="R2065" t="s">
        <v>8372</v>
      </c>
    </row>
    <row r="2066" spans="1:18" x14ac:dyDescent="0.2">
      <c r="A2066">
        <v>2502783</v>
      </c>
      <c r="B2066" t="s">
        <v>8373</v>
      </c>
      <c r="C2066">
        <v>0</v>
      </c>
      <c r="D2066">
        <v>0</v>
      </c>
      <c r="E2066">
        <v>0</v>
      </c>
      <c r="F2066">
        <v>1</v>
      </c>
      <c r="G2066">
        <v>0</v>
      </c>
      <c r="H2066">
        <v>0</v>
      </c>
      <c r="I2066">
        <v>0</v>
      </c>
      <c r="J2066">
        <v>0</v>
      </c>
      <c r="K2066">
        <v>0</v>
      </c>
      <c r="L2066" t="s">
        <v>3284</v>
      </c>
      <c r="M2066" t="s">
        <v>3307</v>
      </c>
      <c r="N2066" t="s">
        <v>3308</v>
      </c>
      <c r="O2066" t="s">
        <v>3359</v>
      </c>
      <c r="P2066" t="s">
        <v>3965</v>
      </c>
      <c r="Q2066" t="s">
        <v>8374</v>
      </c>
      <c r="R2066" t="s">
        <v>8375</v>
      </c>
    </row>
    <row r="2067" spans="1:18" x14ac:dyDescent="0.2">
      <c r="A2067">
        <v>2502780</v>
      </c>
      <c r="B2067" t="s">
        <v>8376</v>
      </c>
      <c r="C2067">
        <v>0</v>
      </c>
      <c r="D2067">
        <v>0</v>
      </c>
      <c r="E2067">
        <v>0</v>
      </c>
      <c r="F2067">
        <v>1</v>
      </c>
      <c r="G2067">
        <v>0</v>
      </c>
      <c r="H2067">
        <v>0</v>
      </c>
      <c r="I2067">
        <v>0</v>
      </c>
      <c r="J2067">
        <v>0</v>
      </c>
      <c r="K2067">
        <v>0</v>
      </c>
      <c r="L2067" t="s">
        <v>3284</v>
      </c>
      <c r="M2067" t="s">
        <v>3391</v>
      </c>
      <c r="N2067" t="s">
        <v>4129</v>
      </c>
      <c r="O2067" t="s">
        <v>4130</v>
      </c>
      <c r="P2067" t="s">
        <v>4131</v>
      </c>
      <c r="Q2067" t="s">
        <v>8377</v>
      </c>
      <c r="R2067" t="s">
        <v>8378</v>
      </c>
    </row>
    <row r="2068" spans="1:18" x14ac:dyDescent="0.2">
      <c r="A2068">
        <v>2502779</v>
      </c>
      <c r="B2068" t="s">
        <v>8379</v>
      </c>
      <c r="C2068">
        <v>0</v>
      </c>
      <c r="D2068">
        <v>0</v>
      </c>
      <c r="E2068">
        <v>0</v>
      </c>
      <c r="F2068">
        <v>1</v>
      </c>
      <c r="G2068">
        <v>0</v>
      </c>
      <c r="H2068">
        <v>0</v>
      </c>
      <c r="I2068">
        <v>0</v>
      </c>
      <c r="J2068">
        <v>0</v>
      </c>
      <c r="K2068">
        <v>0</v>
      </c>
      <c r="L2068" t="s">
        <v>3284</v>
      </c>
      <c r="M2068" t="s">
        <v>3391</v>
      </c>
      <c r="N2068" t="s">
        <v>4129</v>
      </c>
      <c r="O2068" t="s">
        <v>4130</v>
      </c>
      <c r="P2068" t="s">
        <v>4131</v>
      </c>
      <c r="Q2068" t="s">
        <v>8380</v>
      </c>
      <c r="R2068" t="s">
        <v>8381</v>
      </c>
    </row>
    <row r="2069" spans="1:18" x14ac:dyDescent="0.2">
      <c r="A2069">
        <v>2502252</v>
      </c>
      <c r="B2069" t="s">
        <v>8382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2</v>
      </c>
      <c r="J2069">
        <v>0</v>
      </c>
      <c r="K2069">
        <v>0</v>
      </c>
      <c r="L2069" t="s">
        <v>3284</v>
      </c>
      <c r="M2069" t="s">
        <v>3307</v>
      </c>
      <c r="N2069" t="s">
        <v>3308</v>
      </c>
      <c r="O2069" t="s">
        <v>3635</v>
      </c>
      <c r="P2069" t="s">
        <v>3636</v>
      </c>
      <c r="Q2069" t="s">
        <v>3637</v>
      </c>
      <c r="R2069" t="s">
        <v>8383</v>
      </c>
    </row>
    <row r="2070" spans="1:18" x14ac:dyDescent="0.2">
      <c r="A2070">
        <v>2502239</v>
      </c>
      <c r="B2070" t="s">
        <v>8384</v>
      </c>
      <c r="C2070">
        <v>0</v>
      </c>
      <c r="D2070">
        <v>1</v>
      </c>
      <c r="E2070">
        <v>1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 t="s">
        <v>3284</v>
      </c>
      <c r="M2070" t="s">
        <v>3327</v>
      </c>
      <c r="N2070" t="s">
        <v>3376</v>
      </c>
      <c r="O2070" t="s">
        <v>3377</v>
      </c>
      <c r="P2070" t="s">
        <v>3378</v>
      </c>
      <c r="Q2070" t="s">
        <v>3379</v>
      </c>
      <c r="R2070" t="s">
        <v>8385</v>
      </c>
    </row>
    <row r="2071" spans="1:18" x14ac:dyDescent="0.2">
      <c r="A2071">
        <v>2502238</v>
      </c>
      <c r="B2071" t="s">
        <v>8386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1</v>
      </c>
      <c r="I2071">
        <v>0</v>
      </c>
      <c r="J2071">
        <v>0</v>
      </c>
      <c r="K2071">
        <v>0</v>
      </c>
      <c r="L2071" t="s">
        <v>3284</v>
      </c>
      <c r="M2071" t="s">
        <v>3296</v>
      </c>
      <c r="N2071" t="s">
        <v>3297</v>
      </c>
      <c r="O2071" t="s">
        <v>3434</v>
      </c>
      <c r="P2071" t="s">
        <v>3435</v>
      </c>
      <c r="Q2071" t="s">
        <v>3436</v>
      </c>
      <c r="R2071" t="s">
        <v>8387</v>
      </c>
    </row>
    <row r="2072" spans="1:18" x14ac:dyDescent="0.2">
      <c r="A2072">
        <v>2502193</v>
      </c>
      <c r="B2072" t="s">
        <v>8388</v>
      </c>
      <c r="C2072">
        <v>0</v>
      </c>
      <c r="D2072">
        <v>1</v>
      </c>
      <c r="E2072">
        <v>0</v>
      </c>
      <c r="F2072">
        <v>0</v>
      </c>
      <c r="G2072">
        <v>0</v>
      </c>
      <c r="H2072">
        <v>0</v>
      </c>
      <c r="I2072">
        <v>1</v>
      </c>
      <c r="J2072">
        <v>0</v>
      </c>
      <c r="K2072">
        <v>0</v>
      </c>
      <c r="L2072" t="s">
        <v>3284</v>
      </c>
      <c r="M2072" t="s">
        <v>3307</v>
      </c>
      <c r="N2072" t="s">
        <v>3308</v>
      </c>
      <c r="O2072" t="s">
        <v>3359</v>
      </c>
      <c r="P2072" t="s">
        <v>3360</v>
      </c>
      <c r="Q2072" t="s">
        <v>3361</v>
      </c>
      <c r="R2072" t="s">
        <v>8389</v>
      </c>
    </row>
    <row r="2073" spans="1:18" x14ac:dyDescent="0.2">
      <c r="A2073">
        <v>2502191</v>
      </c>
      <c r="B2073" t="s">
        <v>8390</v>
      </c>
      <c r="C2073">
        <v>0</v>
      </c>
      <c r="D2073">
        <v>0</v>
      </c>
      <c r="E2073">
        <v>0</v>
      </c>
      <c r="F2073">
        <v>3</v>
      </c>
      <c r="G2073">
        <v>0</v>
      </c>
      <c r="H2073">
        <v>0</v>
      </c>
      <c r="I2073">
        <v>0</v>
      </c>
      <c r="J2073">
        <v>0</v>
      </c>
      <c r="K2073">
        <v>0</v>
      </c>
      <c r="L2073" t="s">
        <v>3284</v>
      </c>
      <c r="M2073" t="s">
        <v>3296</v>
      </c>
      <c r="N2073" t="s">
        <v>3297</v>
      </c>
      <c r="O2073" t="s">
        <v>3434</v>
      </c>
      <c r="P2073" t="s">
        <v>3435</v>
      </c>
      <c r="Q2073" t="s">
        <v>3436</v>
      </c>
      <c r="R2073" t="s">
        <v>8391</v>
      </c>
    </row>
    <row r="2074" spans="1:18" x14ac:dyDescent="0.2">
      <c r="A2074">
        <v>2502188</v>
      </c>
      <c r="B2074" t="s">
        <v>8392</v>
      </c>
      <c r="C2074">
        <v>1</v>
      </c>
      <c r="D2074">
        <v>5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 t="s">
        <v>3284</v>
      </c>
      <c r="M2074" t="s">
        <v>3296</v>
      </c>
      <c r="N2074" t="s">
        <v>3321</v>
      </c>
      <c r="O2074" t="s">
        <v>3322</v>
      </c>
      <c r="P2074" t="s">
        <v>3398</v>
      </c>
      <c r="Q2074" t="s">
        <v>3696</v>
      </c>
      <c r="R2074" t="s">
        <v>8393</v>
      </c>
    </row>
    <row r="2075" spans="1:18" x14ac:dyDescent="0.2">
      <c r="A2075">
        <v>2502187</v>
      </c>
      <c r="B2075" t="s">
        <v>8394</v>
      </c>
      <c r="C2075">
        <v>3</v>
      </c>
      <c r="D2075">
        <v>3</v>
      </c>
      <c r="E2075">
        <v>0</v>
      </c>
      <c r="F2075">
        <v>1</v>
      </c>
      <c r="G2075">
        <v>1</v>
      </c>
      <c r="H2075">
        <v>0</v>
      </c>
      <c r="I2075">
        <v>1</v>
      </c>
      <c r="J2075">
        <v>0</v>
      </c>
      <c r="K2075">
        <v>0</v>
      </c>
      <c r="L2075" t="s">
        <v>3284</v>
      </c>
      <c r="M2075" t="s">
        <v>3296</v>
      </c>
      <c r="N2075" t="s">
        <v>3321</v>
      </c>
      <c r="O2075" t="s">
        <v>3322</v>
      </c>
      <c r="P2075" t="s">
        <v>3398</v>
      </c>
      <c r="Q2075" t="s">
        <v>3841</v>
      </c>
      <c r="R2075" t="s">
        <v>8395</v>
      </c>
    </row>
    <row r="2076" spans="1:18" x14ac:dyDescent="0.2">
      <c r="A2076">
        <v>2502183</v>
      </c>
      <c r="B2076" t="s">
        <v>8396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1</v>
      </c>
      <c r="J2076">
        <v>0</v>
      </c>
      <c r="K2076">
        <v>0</v>
      </c>
      <c r="L2076" t="s">
        <v>3284</v>
      </c>
      <c r="M2076" t="s">
        <v>3296</v>
      </c>
      <c r="N2076" t="s">
        <v>3343</v>
      </c>
      <c r="O2076" t="s">
        <v>3861</v>
      </c>
      <c r="P2076" t="s">
        <v>7264</v>
      </c>
      <c r="Q2076" t="s">
        <v>8397</v>
      </c>
      <c r="R2076" t="s">
        <v>8398</v>
      </c>
    </row>
    <row r="2077" spans="1:18" x14ac:dyDescent="0.2">
      <c r="A2077">
        <v>2499688</v>
      </c>
      <c r="B2077" t="s">
        <v>8399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5</v>
      </c>
      <c r="J2077">
        <v>2</v>
      </c>
      <c r="K2077">
        <v>2</v>
      </c>
      <c r="L2077" t="s">
        <v>3284</v>
      </c>
      <c r="M2077" t="s">
        <v>3327</v>
      </c>
      <c r="N2077" t="s">
        <v>3376</v>
      </c>
      <c r="O2077" t="s">
        <v>3377</v>
      </c>
      <c r="P2077" t="s">
        <v>3378</v>
      </c>
      <c r="Q2077" t="s">
        <v>5638</v>
      </c>
      <c r="R2077" t="s">
        <v>8400</v>
      </c>
    </row>
    <row r="2078" spans="1:18" x14ac:dyDescent="0.2">
      <c r="A2078">
        <v>2499626</v>
      </c>
      <c r="B2078" t="s">
        <v>8401</v>
      </c>
      <c r="C2078">
        <v>1</v>
      </c>
      <c r="D2078">
        <v>1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 t="s">
        <v>3284</v>
      </c>
      <c r="M2078" t="s">
        <v>3296</v>
      </c>
      <c r="N2078" t="s">
        <v>3297</v>
      </c>
      <c r="O2078" t="s">
        <v>4124</v>
      </c>
      <c r="P2078" t="s">
        <v>4125</v>
      </c>
      <c r="Q2078" t="s">
        <v>5083</v>
      </c>
      <c r="R2078" t="s">
        <v>8402</v>
      </c>
    </row>
    <row r="2079" spans="1:18" x14ac:dyDescent="0.2">
      <c r="A2079">
        <v>2499213</v>
      </c>
      <c r="B2079" t="s">
        <v>8403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5</v>
      </c>
      <c r="J2079">
        <v>1</v>
      </c>
      <c r="K2079">
        <v>7</v>
      </c>
      <c r="L2079" t="s">
        <v>3284</v>
      </c>
      <c r="M2079" t="s">
        <v>3327</v>
      </c>
      <c r="N2079" t="s">
        <v>3376</v>
      </c>
      <c r="O2079" t="s">
        <v>3377</v>
      </c>
      <c r="P2079" t="s">
        <v>3378</v>
      </c>
      <c r="Q2079" t="s">
        <v>3379</v>
      </c>
      <c r="R2079" t="s">
        <v>8404</v>
      </c>
    </row>
    <row r="2080" spans="1:18" x14ac:dyDescent="0.2">
      <c r="A2080">
        <v>2499159</v>
      </c>
      <c r="B2080" t="s">
        <v>8405</v>
      </c>
      <c r="C2080">
        <v>0</v>
      </c>
      <c r="D2080">
        <v>0</v>
      </c>
      <c r="E2080">
        <v>0</v>
      </c>
      <c r="F2080">
        <v>1</v>
      </c>
      <c r="G2080">
        <v>0</v>
      </c>
      <c r="H2080">
        <v>0</v>
      </c>
      <c r="I2080">
        <v>0</v>
      </c>
      <c r="J2080">
        <v>0</v>
      </c>
      <c r="K2080">
        <v>0</v>
      </c>
      <c r="L2080" t="s">
        <v>3284</v>
      </c>
      <c r="M2080" t="s">
        <v>3285</v>
      </c>
      <c r="N2080" t="s">
        <v>8406</v>
      </c>
      <c r="O2080" t="s">
        <v>8407</v>
      </c>
      <c r="P2080" t="s">
        <v>8408</v>
      </c>
      <c r="Q2080" t="s">
        <v>8409</v>
      </c>
      <c r="R2080" t="s">
        <v>8410</v>
      </c>
    </row>
    <row r="2081" spans="1:18" x14ac:dyDescent="0.2">
      <c r="A2081">
        <v>2499157</v>
      </c>
      <c r="B2081" t="s">
        <v>8411</v>
      </c>
      <c r="C2081">
        <v>13</v>
      </c>
      <c r="D2081">
        <v>8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 t="s">
        <v>3284</v>
      </c>
      <c r="M2081" t="s">
        <v>3307</v>
      </c>
      <c r="N2081" t="s">
        <v>3308</v>
      </c>
      <c r="O2081" t="s">
        <v>3359</v>
      </c>
      <c r="P2081" t="s">
        <v>3360</v>
      </c>
      <c r="Q2081" t="s">
        <v>5441</v>
      </c>
      <c r="R2081" t="s">
        <v>8412</v>
      </c>
    </row>
    <row r="2082" spans="1:18" x14ac:dyDescent="0.2">
      <c r="A2082">
        <v>2498849</v>
      </c>
      <c r="B2082" t="s">
        <v>8413</v>
      </c>
      <c r="C2082">
        <v>0</v>
      </c>
      <c r="D2082">
        <v>0</v>
      </c>
      <c r="E2082">
        <v>0</v>
      </c>
      <c r="F2082">
        <v>0</v>
      </c>
      <c r="G2082">
        <v>1</v>
      </c>
      <c r="H2082">
        <v>0</v>
      </c>
      <c r="I2082">
        <v>0</v>
      </c>
      <c r="J2082">
        <v>0</v>
      </c>
      <c r="K2082">
        <v>0</v>
      </c>
      <c r="L2082" t="s">
        <v>3284</v>
      </c>
      <c r="M2082" t="s">
        <v>3307</v>
      </c>
      <c r="N2082" t="s">
        <v>3308</v>
      </c>
      <c r="O2082" t="s">
        <v>3359</v>
      </c>
      <c r="P2082" t="s">
        <v>3360</v>
      </c>
      <c r="Q2082" t="s">
        <v>8414</v>
      </c>
      <c r="R2082" t="s">
        <v>8415</v>
      </c>
    </row>
    <row r="2083" spans="1:18" x14ac:dyDescent="0.2">
      <c r="A2083">
        <v>2498704</v>
      </c>
      <c r="B2083" t="s">
        <v>8416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1</v>
      </c>
      <c r="J2083">
        <v>1</v>
      </c>
      <c r="K2083">
        <v>0</v>
      </c>
      <c r="L2083" t="s">
        <v>3284</v>
      </c>
      <c r="M2083" t="s">
        <v>3307</v>
      </c>
      <c r="N2083" t="s">
        <v>3308</v>
      </c>
      <c r="O2083" t="s">
        <v>3359</v>
      </c>
      <c r="P2083" t="s">
        <v>3360</v>
      </c>
      <c r="Q2083" t="s">
        <v>3364</v>
      </c>
      <c r="R2083" t="s">
        <v>8417</v>
      </c>
    </row>
    <row r="2084" spans="1:18" x14ac:dyDescent="0.2">
      <c r="A2084">
        <v>2498453</v>
      </c>
      <c r="B2084" t="s">
        <v>8418</v>
      </c>
      <c r="C2084">
        <v>0</v>
      </c>
      <c r="D2084">
        <v>1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 t="s">
        <v>3284</v>
      </c>
      <c r="M2084" t="s">
        <v>3296</v>
      </c>
      <c r="N2084" t="s">
        <v>3343</v>
      </c>
      <c r="O2084" t="s">
        <v>8419</v>
      </c>
      <c r="P2084" t="s">
        <v>8420</v>
      </c>
      <c r="Q2084" t="s">
        <v>8421</v>
      </c>
      <c r="R2084" t="s">
        <v>8422</v>
      </c>
    </row>
    <row r="2085" spans="1:18" x14ac:dyDescent="0.2">
      <c r="A2085">
        <v>2498451</v>
      </c>
      <c r="B2085" t="s">
        <v>8423</v>
      </c>
      <c r="C2085">
        <v>1</v>
      </c>
      <c r="D2085">
        <v>2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 t="s">
        <v>3284</v>
      </c>
      <c r="M2085" t="s">
        <v>3296</v>
      </c>
      <c r="N2085" t="s">
        <v>3297</v>
      </c>
      <c r="O2085" t="s">
        <v>4124</v>
      </c>
      <c r="P2085" t="s">
        <v>4125</v>
      </c>
      <c r="Q2085" t="s">
        <v>5083</v>
      </c>
      <c r="R2085" t="s">
        <v>8424</v>
      </c>
    </row>
    <row r="2086" spans="1:18" x14ac:dyDescent="0.2">
      <c r="A2086">
        <v>2497686</v>
      </c>
      <c r="B2086" t="s">
        <v>8425</v>
      </c>
      <c r="C2086">
        <v>0</v>
      </c>
      <c r="D2086">
        <v>0</v>
      </c>
      <c r="E2086">
        <v>0</v>
      </c>
      <c r="F2086">
        <v>1</v>
      </c>
      <c r="G2086">
        <v>0</v>
      </c>
      <c r="H2086">
        <v>0</v>
      </c>
      <c r="I2086">
        <v>0</v>
      </c>
      <c r="J2086">
        <v>0</v>
      </c>
      <c r="K2086">
        <v>0</v>
      </c>
      <c r="L2086" t="s">
        <v>3284</v>
      </c>
      <c r="M2086" t="s">
        <v>3296</v>
      </c>
      <c r="N2086" t="s">
        <v>3321</v>
      </c>
      <c r="O2086" t="s">
        <v>3322</v>
      </c>
      <c r="P2086" t="s">
        <v>4143</v>
      </c>
      <c r="Q2086" t="s">
        <v>8426</v>
      </c>
      <c r="R2086" t="s">
        <v>8427</v>
      </c>
    </row>
    <row r="2087" spans="1:18" x14ac:dyDescent="0.2">
      <c r="A2087">
        <v>2497594</v>
      </c>
      <c r="B2087" t="s">
        <v>8428</v>
      </c>
      <c r="C2087">
        <v>0</v>
      </c>
      <c r="D2087">
        <v>0</v>
      </c>
      <c r="E2087">
        <v>0</v>
      </c>
      <c r="F2087">
        <v>1</v>
      </c>
      <c r="G2087">
        <v>2</v>
      </c>
      <c r="H2087">
        <v>0</v>
      </c>
      <c r="I2087">
        <v>0</v>
      </c>
      <c r="J2087">
        <v>0</v>
      </c>
      <c r="K2087">
        <v>0</v>
      </c>
      <c r="L2087" t="s">
        <v>3284</v>
      </c>
      <c r="M2087" t="s">
        <v>3391</v>
      </c>
      <c r="N2087" t="s">
        <v>3411</v>
      </c>
      <c r="O2087" t="s">
        <v>3412</v>
      </c>
      <c r="P2087" t="s">
        <v>7008</v>
      </c>
      <c r="Q2087" t="s">
        <v>8429</v>
      </c>
      <c r="R2087" t="s">
        <v>8430</v>
      </c>
    </row>
    <row r="2088" spans="1:18" x14ac:dyDescent="0.2">
      <c r="A2088">
        <v>2497473</v>
      </c>
      <c r="B2088" t="s">
        <v>8431</v>
      </c>
      <c r="C2088">
        <v>0</v>
      </c>
      <c r="D2088">
        <v>0</v>
      </c>
      <c r="E2088">
        <v>0</v>
      </c>
      <c r="F2088">
        <v>17</v>
      </c>
      <c r="G2088">
        <v>7</v>
      </c>
      <c r="H2088">
        <v>0</v>
      </c>
      <c r="I2088">
        <v>0</v>
      </c>
      <c r="J2088">
        <v>0</v>
      </c>
      <c r="K2088">
        <v>0</v>
      </c>
      <c r="L2088" t="s">
        <v>3284</v>
      </c>
      <c r="M2088" t="s">
        <v>3296</v>
      </c>
      <c r="N2088" t="s">
        <v>3321</v>
      </c>
      <c r="O2088" t="s">
        <v>5306</v>
      </c>
      <c r="P2088" t="s">
        <v>5385</v>
      </c>
      <c r="Q2088" t="s">
        <v>8432</v>
      </c>
      <c r="R2088" t="s">
        <v>8433</v>
      </c>
    </row>
    <row r="2089" spans="1:18" x14ac:dyDescent="0.2">
      <c r="A2089">
        <v>2497235</v>
      </c>
      <c r="B2089" t="s">
        <v>8434</v>
      </c>
      <c r="C2089">
        <v>0</v>
      </c>
      <c r="D2089">
        <v>0</v>
      </c>
      <c r="E2089">
        <v>0</v>
      </c>
      <c r="F2089">
        <v>1</v>
      </c>
      <c r="G2089">
        <v>0</v>
      </c>
      <c r="H2089">
        <v>0</v>
      </c>
      <c r="I2089">
        <v>0</v>
      </c>
      <c r="J2089">
        <v>0</v>
      </c>
      <c r="K2089">
        <v>0</v>
      </c>
      <c r="L2089" t="s">
        <v>3284</v>
      </c>
      <c r="M2089" t="s">
        <v>3296</v>
      </c>
      <c r="N2089" t="s">
        <v>3297</v>
      </c>
      <c r="O2089" t="s">
        <v>3434</v>
      </c>
      <c r="P2089" t="s">
        <v>3435</v>
      </c>
      <c r="Q2089" t="s">
        <v>3436</v>
      </c>
      <c r="R2089" t="s">
        <v>8435</v>
      </c>
    </row>
    <row r="2090" spans="1:18" x14ac:dyDescent="0.2">
      <c r="A2090">
        <v>2496871</v>
      </c>
      <c r="B2090" t="s">
        <v>8436</v>
      </c>
      <c r="C2090">
        <v>2</v>
      </c>
      <c r="D2090">
        <v>2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 t="s">
        <v>3284</v>
      </c>
      <c r="M2090" t="s">
        <v>3296</v>
      </c>
      <c r="N2090" t="s">
        <v>3321</v>
      </c>
      <c r="O2090" t="s">
        <v>3322</v>
      </c>
      <c r="P2090" t="s">
        <v>3671</v>
      </c>
      <c r="Q2090" t="s">
        <v>4930</v>
      </c>
      <c r="R2090" t="s">
        <v>8437</v>
      </c>
    </row>
    <row r="2091" spans="1:18" x14ac:dyDescent="0.2">
      <c r="A2091">
        <v>2496866</v>
      </c>
      <c r="B2091" t="s">
        <v>8438</v>
      </c>
      <c r="C2091">
        <v>1</v>
      </c>
      <c r="D2091">
        <v>0</v>
      </c>
      <c r="E2091">
        <v>7</v>
      </c>
      <c r="F2091">
        <v>2</v>
      </c>
      <c r="G2091">
        <v>0</v>
      </c>
      <c r="H2091">
        <v>5</v>
      </c>
      <c r="I2091">
        <v>4</v>
      </c>
      <c r="J2091">
        <v>4</v>
      </c>
      <c r="K2091">
        <v>28</v>
      </c>
      <c r="L2091" t="s">
        <v>3284</v>
      </c>
      <c r="M2091" t="s">
        <v>3391</v>
      </c>
      <c r="N2091" t="s">
        <v>3411</v>
      </c>
      <c r="O2091" t="s">
        <v>3412</v>
      </c>
      <c r="P2091" t="s">
        <v>3413</v>
      </c>
      <c r="Q2091" t="s">
        <v>8439</v>
      </c>
      <c r="R2091" t="s">
        <v>8440</v>
      </c>
    </row>
    <row r="2092" spans="1:18" x14ac:dyDescent="0.2">
      <c r="A2092">
        <v>2496847</v>
      </c>
      <c r="B2092" t="s">
        <v>8441</v>
      </c>
      <c r="C2092">
        <v>0</v>
      </c>
      <c r="D2092">
        <v>1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 t="s">
        <v>3284</v>
      </c>
      <c r="M2092" t="s">
        <v>3296</v>
      </c>
      <c r="N2092" t="s">
        <v>3321</v>
      </c>
      <c r="O2092" t="s">
        <v>5469</v>
      </c>
      <c r="P2092" t="s">
        <v>5470</v>
      </c>
      <c r="Q2092" t="s">
        <v>8442</v>
      </c>
      <c r="R2092" t="s">
        <v>8443</v>
      </c>
    </row>
    <row r="2093" spans="1:18" x14ac:dyDescent="0.2">
      <c r="A2093">
        <v>2496837</v>
      </c>
      <c r="B2093" t="s">
        <v>8444</v>
      </c>
      <c r="C2093">
        <v>0</v>
      </c>
      <c r="D2093">
        <v>1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 t="s">
        <v>3284</v>
      </c>
      <c r="M2093" t="s">
        <v>3327</v>
      </c>
      <c r="N2093" t="s">
        <v>3376</v>
      </c>
      <c r="O2093" t="s">
        <v>3377</v>
      </c>
      <c r="P2093" t="s">
        <v>3604</v>
      </c>
      <c r="Q2093" t="s">
        <v>3605</v>
      </c>
      <c r="R2093" t="s">
        <v>8445</v>
      </c>
    </row>
    <row r="2094" spans="1:18" x14ac:dyDescent="0.2">
      <c r="A2094">
        <v>2496788</v>
      </c>
      <c r="B2094" t="s">
        <v>8446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1</v>
      </c>
      <c r="J2094">
        <v>1</v>
      </c>
      <c r="K2094">
        <v>1</v>
      </c>
      <c r="L2094" t="s">
        <v>3284</v>
      </c>
      <c r="M2094" t="s">
        <v>3296</v>
      </c>
      <c r="N2094" t="s">
        <v>3343</v>
      </c>
      <c r="O2094" t="s">
        <v>3344</v>
      </c>
      <c r="P2094" t="s">
        <v>3898</v>
      </c>
      <c r="Q2094" t="s">
        <v>3899</v>
      </c>
      <c r="R2094" t="s">
        <v>8447</v>
      </c>
    </row>
    <row r="2095" spans="1:18" x14ac:dyDescent="0.2">
      <c r="A2095">
        <v>2496651</v>
      </c>
      <c r="B2095" t="s">
        <v>8448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1</v>
      </c>
      <c r="I2095">
        <v>0</v>
      </c>
      <c r="J2095">
        <v>0</v>
      </c>
      <c r="K2095">
        <v>1</v>
      </c>
      <c r="L2095" t="s">
        <v>3284</v>
      </c>
      <c r="M2095" t="s">
        <v>3296</v>
      </c>
      <c r="N2095" t="s">
        <v>3343</v>
      </c>
      <c r="O2095" t="s">
        <v>3344</v>
      </c>
      <c r="P2095" t="s">
        <v>3898</v>
      </c>
      <c r="Q2095" t="s">
        <v>3899</v>
      </c>
      <c r="R2095" t="s">
        <v>8449</v>
      </c>
    </row>
    <row r="2096" spans="1:18" x14ac:dyDescent="0.2">
      <c r="A2096">
        <v>2496640</v>
      </c>
      <c r="B2096" t="s">
        <v>8450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1</v>
      </c>
      <c r="J2096">
        <v>1</v>
      </c>
      <c r="K2096">
        <v>1</v>
      </c>
      <c r="L2096" t="s">
        <v>3284</v>
      </c>
      <c r="M2096" t="s">
        <v>3296</v>
      </c>
      <c r="N2096" t="s">
        <v>3343</v>
      </c>
      <c r="O2096" t="s">
        <v>3429</v>
      </c>
      <c r="P2096" t="s">
        <v>3430</v>
      </c>
      <c r="Q2096" t="s">
        <v>3431</v>
      </c>
      <c r="R2096" t="s">
        <v>8451</v>
      </c>
    </row>
    <row r="2097" spans="1:18" x14ac:dyDescent="0.2">
      <c r="A2097">
        <v>2496273</v>
      </c>
      <c r="B2097" t="s">
        <v>8452</v>
      </c>
      <c r="C2097">
        <v>0</v>
      </c>
      <c r="D2097">
        <v>1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 t="s">
        <v>3284</v>
      </c>
      <c r="M2097" t="s">
        <v>3327</v>
      </c>
      <c r="N2097" t="s">
        <v>3328</v>
      </c>
      <c r="O2097" t="s">
        <v>8453</v>
      </c>
      <c r="P2097" t="s">
        <v>8454</v>
      </c>
      <c r="Q2097" t="s">
        <v>8455</v>
      </c>
      <c r="R2097" t="s">
        <v>8456</v>
      </c>
    </row>
    <row r="2098" spans="1:18" x14ac:dyDescent="0.2">
      <c r="A2098">
        <v>2496270</v>
      </c>
      <c r="B2098" t="s">
        <v>8457</v>
      </c>
      <c r="C2098">
        <v>0</v>
      </c>
      <c r="D2098">
        <v>1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 t="s">
        <v>3284</v>
      </c>
      <c r="M2098" t="s">
        <v>3391</v>
      </c>
      <c r="N2098" t="s">
        <v>3765</v>
      </c>
      <c r="O2098" t="s">
        <v>3766</v>
      </c>
      <c r="P2098" t="s">
        <v>6832</v>
      </c>
      <c r="Q2098" t="s">
        <v>8458</v>
      </c>
      <c r="R2098" t="s">
        <v>8459</v>
      </c>
    </row>
    <row r="2099" spans="1:18" x14ac:dyDescent="0.2">
      <c r="A2099">
        <v>2496267</v>
      </c>
      <c r="B2099" t="s">
        <v>8460</v>
      </c>
      <c r="C2099">
        <v>1</v>
      </c>
      <c r="D2099">
        <v>1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 t="s">
        <v>3284</v>
      </c>
      <c r="M2099" t="s">
        <v>3327</v>
      </c>
      <c r="N2099" t="s">
        <v>3376</v>
      </c>
      <c r="O2099" t="s">
        <v>3377</v>
      </c>
      <c r="P2099" t="s">
        <v>3604</v>
      </c>
      <c r="Q2099" t="s">
        <v>3668</v>
      </c>
      <c r="R2099" t="s">
        <v>8461</v>
      </c>
    </row>
    <row r="2100" spans="1:18" x14ac:dyDescent="0.2">
      <c r="A2100">
        <v>2496117</v>
      </c>
      <c r="B2100" t="s">
        <v>8462</v>
      </c>
      <c r="C2100">
        <v>0</v>
      </c>
      <c r="D2100">
        <v>0</v>
      </c>
      <c r="E2100">
        <v>0</v>
      </c>
      <c r="F2100">
        <v>1</v>
      </c>
      <c r="G2100">
        <v>0</v>
      </c>
      <c r="H2100">
        <v>0</v>
      </c>
      <c r="I2100">
        <v>0</v>
      </c>
      <c r="J2100">
        <v>0</v>
      </c>
      <c r="K2100">
        <v>0</v>
      </c>
      <c r="L2100" t="s">
        <v>3284</v>
      </c>
      <c r="M2100" t="s">
        <v>3296</v>
      </c>
      <c r="N2100" t="s">
        <v>3321</v>
      </c>
      <c r="O2100" t="s">
        <v>3322</v>
      </c>
      <c r="P2100" t="s">
        <v>3398</v>
      </c>
      <c r="Q2100" t="s">
        <v>3399</v>
      </c>
      <c r="R2100" t="s">
        <v>8463</v>
      </c>
    </row>
    <row r="2101" spans="1:18" x14ac:dyDescent="0.2">
      <c r="A2101">
        <v>2495593</v>
      </c>
      <c r="B2101" t="s">
        <v>8464</v>
      </c>
      <c r="C2101">
        <v>0</v>
      </c>
      <c r="D2101">
        <v>0</v>
      </c>
      <c r="E2101">
        <v>0</v>
      </c>
      <c r="F2101">
        <v>4</v>
      </c>
      <c r="G2101">
        <v>3</v>
      </c>
      <c r="H2101">
        <v>1</v>
      </c>
      <c r="I2101">
        <v>0</v>
      </c>
      <c r="J2101">
        <v>0</v>
      </c>
      <c r="K2101">
        <v>0</v>
      </c>
      <c r="L2101" t="s">
        <v>3284</v>
      </c>
      <c r="M2101" t="s">
        <v>3296</v>
      </c>
      <c r="N2101" t="s">
        <v>3321</v>
      </c>
      <c r="O2101" t="s">
        <v>3322</v>
      </c>
      <c r="P2101" t="s">
        <v>3398</v>
      </c>
      <c r="Q2101" t="s">
        <v>3399</v>
      </c>
      <c r="R2101" t="s">
        <v>8465</v>
      </c>
    </row>
    <row r="2102" spans="1:18" x14ac:dyDescent="0.2">
      <c r="A2102">
        <v>2495592</v>
      </c>
      <c r="B2102" t="s">
        <v>8466</v>
      </c>
      <c r="C2102">
        <v>0</v>
      </c>
      <c r="D2102">
        <v>0</v>
      </c>
      <c r="E2102">
        <v>0</v>
      </c>
      <c r="F2102">
        <v>0</v>
      </c>
      <c r="G2102">
        <v>2</v>
      </c>
      <c r="H2102">
        <v>0</v>
      </c>
      <c r="I2102">
        <v>0</v>
      </c>
      <c r="J2102">
        <v>0</v>
      </c>
      <c r="K2102">
        <v>0</v>
      </c>
      <c r="L2102" t="s">
        <v>3284</v>
      </c>
      <c r="M2102" t="s">
        <v>3296</v>
      </c>
      <c r="N2102" t="s">
        <v>3321</v>
      </c>
      <c r="O2102" t="s">
        <v>3322</v>
      </c>
      <c r="P2102" t="s">
        <v>3398</v>
      </c>
      <c r="Q2102" t="s">
        <v>3399</v>
      </c>
      <c r="R2102" t="s">
        <v>8467</v>
      </c>
    </row>
    <row r="2103" spans="1:18" x14ac:dyDescent="0.2">
      <c r="A2103">
        <v>2495582</v>
      </c>
      <c r="B2103" t="s">
        <v>8468</v>
      </c>
      <c r="C2103">
        <v>0</v>
      </c>
      <c r="D2103">
        <v>1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 t="s">
        <v>3284</v>
      </c>
      <c r="M2103" t="s">
        <v>3327</v>
      </c>
      <c r="N2103" t="s">
        <v>3376</v>
      </c>
      <c r="O2103" t="s">
        <v>3377</v>
      </c>
      <c r="P2103" t="s">
        <v>3604</v>
      </c>
      <c r="Q2103" t="s">
        <v>3668</v>
      </c>
      <c r="R2103" t="s">
        <v>8469</v>
      </c>
    </row>
    <row r="2104" spans="1:18" x14ac:dyDescent="0.2">
      <c r="A2104">
        <v>2495496</v>
      </c>
      <c r="B2104" t="s">
        <v>8470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1</v>
      </c>
      <c r="L2104" t="s">
        <v>3284</v>
      </c>
      <c r="M2104" t="s">
        <v>3296</v>
      </c>
      <c r="N2104" t="s">
        <v>3343</v>
      </c>
      <c r="O2104" t="s">
        <v>3344</v>
      </c>
      <c r="P2104" t="s">
        <v>4347</v>
      </c>
      <c r="Q2104" t="s">
        <v>6412</v>
      </c>
      <c r="R2104" t="s">
        <v>8471</v>
      </c>
    </row>
    <row r="2105" spans="1:18" x14ac:dyDescent="0.2">
      <c r="A2105">
        <v>2494374</v>
      </c>
      <c r="B2105" t="s">
        <v>8472</v>
      </c>
      <c r="C2105">
        <v>0</v>
      </c>
      <c r="D2105">
        <v>0</v>
      </c>
      <c r="E2105">
        <v>1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 t="s">
        <v>3284</v>
      </c>
      <c r="M2105" t="s">
        <v>3296</v>
      </c>
      <c r="N2105" t="s">
        <v>3343</v>
      </c>
      <c r="O2105" t="s">
        <v>3371</v>
      </c>
      <c r="P2105" t="s">
        <v>3688</v>
      </c>
      <c r="Q2105" t="s">
        <v>7444</v>
      </c>
      <c r="R2105" t="s">
        <v>8473</v>
      </c>
    </row>
    <row r="2106" spans="1:18" x14ac:dyDescent="0.2">
      <c r="A2106">
        <v>2493639</v>
      </c>
      <c r="B2106" t="s">
        <v>8474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1</v>
      </c>
      <c r="K2106">
        <v>0</v>
      </c>
      <c r="L2106" t="s">
        <v>3284</v>
      </c>
      <c r="M2106" t="s">
        <v>3285</v>
      </c>
      <c r="N2106" t="s">
        <v>8406</v>
      </c>
      <c r="O2106" t="s">
        <v>8407</v>
      </c>
      <c r="P2106" t="s">
        <v>8408</v>
      </c>
      <c r="Q2106" t="s">
        <v>8475</v>
      </c>
      <c r="R2106" t="s">
        <v>8476</v>
      </c>
    </row>
    <row r="2107" spans="1:18" x14ac:dyDescent="0.2">
      <c r="A2107">
        <v>2493631</v>
      </c>
      <c r="B2107" t="s">
        <v>8477</v>
      </c>
      <c r="C2107">
        <v>0</v>
      </c>
      <c r="D2107">
        <v>0</v>
      </c>
      <c r="E2107">
        <v>0</v>
      </c>
      <c r="F2107">
        <v>1</v>
      </c>
      <c r="G2107">
        <v>0</v>
      </c>
      <c r="H2107">
        <v>0</v>
      </c>
      <c r="I2107">
        <v>0</v>
      </c>
      <c r="J2107">
        <v>0</v>
      </c>
      <c r="K2107">
        <v>0</v>
      </c>
      <c r="L2107" t="s">
        <v>3284</v>
      </c>
      <c r="M2107" t="s">
        <v>3391</v>
      </c>
      <c r="N2107" t="s">
        <v>3411</v>
      </c>
      <c r="O2107" t="s">
        <v>3412</v>
      </c>
      <c r="P2107" t="s">
        <v>3413</v>
      </c>
      <c r="Q2107" t="s">
        <v>3414</v>
      </c>
      <c r="R2107" t="s">
        <v>8478</v>
      </c>
    </row>
    <row r="2108" spans="1:18" x14ac:dyDescent="0.2">
      <c r="A2108">
        <v>2493553</v>
      </c>
      <c r="B2108" t="s">
        <v>8479</v>
      </c>
      <c r="C2108">
        <v>0</v>
      </c>
      <c r="D2108">
        <v>1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 t="s">
        <v>3284</v>
      </c>
      <c r="M2108" t="s">
        <v>3307</v>
      </c>
      <c r="N2108" t="s">
        <v>3308</v>
      </c>
      <c r="O2108" t="s">
        <v>8480</v>
      </c>
      <c r="P2108" t="s">
        <v>8481</v>
      </c>
      <c r="Q2108" t="s">
        <v>8482</v>
      </c>
      <c r="R2108" t="s">
        <v>8483</v>
      </c>
    </row>
    <row r="2109" spans="1:18" x14ac:dyDescent="0.2">
      <c r="A2109">
        <v>2493092</v>
      </c>
      <c r="B2109" t="s">
        <v>8484</v>
      </c>
      <c r="C2109">
        <v>1</v>
      </c>
      <c r="D2109">
        <v>0</v>
      </c>
      <c r="E2109">
        <v>0</v>
      </c>
      <c r="F2109">
        <v>0</v>
      </c>
      <c r="G2109">
        <v>1</v>
      </c>
      <c r="H2109">
        <v>0</v>
      </c>
      <c r="I2109">
        <v>0</v>
      </c>
      <c r="J2109">
        <v>0</v>
      </c>
      <c r="K2109">
        <v>0</v>
      </c>
      <c r="L2109" t="s">
        <v>3284</v>
      </c>
      <c r="M2109" t="s">
        <v>3296</v>
      </c>
      <c r="N2109" t="s">
        <v>3321</v>
      </c>
      <c r="O2109" t="s">
        <v>3322</v>
      </c>
      <c r="P2109" t="s">
        <v>3271</v>
      </c>
      <c r="Q2109" t="s">
        <v>4214</v>
      </c>
      <c r="R2109" t="s">
        <v>8485</v>
      </c>
    </row>
    <row r="2110" spans="1:18" x14ac:dyDescent="0.2">
      <c r="A2110">
        <v>2493084</v>
      </c>
      <c r="B2110" t="s">
        <v>8486</v>
      </c>
      <c r="C2110">
        <v>1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 t="s">
        <v>3284</v>
      </c>
      <c r="M2110" t="s">
        <v>3307</v>
      </c>
      <c r="N2110" t="s">
        <v>3308</v>
      </c>
      <c r="O2110" t="s">
        <v>3359</v>
      </c>
      <c r="P2110" t="s">
        <v>3360</v>
      </c>
      <c r="Q2110" t="s">
        <v>3361</v>
      </c>
      <c r="R2110" t="s">
        <v>8487</v>
      </c>
    </row>
    <row r="2111" spans="1:18" x14ac:dyDescent="0.2">
      <c r="A2111">
        <v>2493082</v>
      </c>
      <c r="B2111" t="s">
        <v>8488</v>
      </c>
      <c r="C2111">
        <v>1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 t="s">
        <v>3284</v>
      </c>
      <c r="M2111" t="s">
        <v>3296</v>
      </c>
      <c r="N2111" t="s">
        <v>3343</v>
      </c>
      <c r="O2111" t="s">
        <v>3371</v>
      </c>
      <c r="P2111" t="s">
        <v>3688</v>
      </c>
      <c r="Q2111" t="s">
        <v>8489</v>
      </c>
      <c r="R2111" t="s">
        <v>8490</v>
      </c>
    </row>
    <row r="2112" spans="1:18" x14ac:dyDescent="0.2">
      <c r="A2112">
        <v>2492472</v>
      </c>
      <c r="B2112" t="s">
        <v>8491</v>
      </c>
      <c r="C2112">
        <v>0</v>
      </c>
      <c r="D2112">
        <v>0</v>
      </c>
      <c r="E2112">
        <v>0</v>
      </c>
      <c r="F2112">
        <v>6</v>
      </c>
      <c r="G2112">
        <v>4</v>
      </c>
      <c r="H2112">
        <v>1</v>
      </c>
      <c r="I2112">
        <v>0</v>
      </c>
      <c r="J2112">
        <v>0</v>
      </c>
      <c r="K2112">
        <v>0</v>
      </c>
      <c r="L2112" t="s">
        <v>3284</v>
      </c>
      <c r="M2112" t="s">
        <v>3296</v>
      </c>
      <c r="N2112" t="s">
        <v>3343</v>
      </c>
      <c r="O2112" t="s">
        <v>3402</v>
      </c>
      <c r="P2112" t="s">
        <v>3403</v>
      </c>
      <c r="Q2112" t="s">
        <v>3404</v>
      </c>
      <c r="R2112" t="s">
        <v>8492</v>
      </c>
    </row>
    <row r="2113" spans="1:18" x14ac:dyDescent="0.2">
      <c r="A2113">
        <v>2492395</v>
      </c>
      <c r="B2113" t="s">
        <v>8493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1</v>
      </c>
      <c r="J2113">
        <v>0</v>
      </c>
      <c r="K2113">
        <v>0</v>
      </c>
      <c r="L2113" t="s">
        <v>3284</v>
      </c>
      <c r="M2113" t="s">
        <v>3391</v>
      </c>
      <c r="N2113" t="s">
        <v>3392</v>
      </c>
      <c r="O2113" t="s">
        <v>3393</v>
      </c>
      <c r="P2113" t="s">
        <v>3394</v>
      </c>
      <c r="Q2113" t="s">
        <v>4082</v>
      </c>
      <c r="R2113" t="s">
        <v>8494</v>
      </c>
    </row>
    <row r="2114" spans="1:18" x14ac:dyDescent="0.2">
      <c r="A2114">
        <v>2492393</v>
      </c>
      <c r="B2114" t="s">
        <v>8495</v>
      </c>
      <c r="C2114">
        <v>0</v>
      </c>
      <c r="D2114">
        <v>0</v>
      </c>
      <c r="E2114">
        <v>0</v>
      </c>
      <c r="F2114">
        <v>0</v>
      </c>
      <c r="G2114">
        <v>1</v>
      </c>
      <c r="H2114">
        <v>0</v>
      </c>
      <c r="I2114">
        <v>0</v>
      </c>
      <c r="J2114">
        <v>0</v>
      </c>
      <c r="K2114">
        <v>0</v>
      </c>
      <c r="L2114" t="s">
        <v>3284</v>
      </c>
      <c r="M2114" t="s">
        <v>3391</v>
      </c>
      <c r="N2114" t="s">
        <v>3740</v>
      </c>
      <c r="O2114" t="s">
        <v>3741</v>
      </c>
      <c r="P2114" t="s">
        <v>3853</v>
      </c>
      <c r="Q2114" t="s">
        <v>3854</v>
      </c>
      <c r="R2114" t="s">
        <v>8496</v>
      </c>
    </row>
    <row r="2115" spans="1:18" x14ac:dyDescent="0.2">
      <c r="A2115">
        <v>2491114</v>
      </c>
      <c r="B2115" t="s">
        <v>8497</v>
      </c>
      <c r="C2115">
        <v>1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 t="s">
        <v>3284</v>
      </c>
      <c r="M2115" t="s">
        <v>3391</v>
      </c>
      <c r="N2115" t="s">
        <v>3411</v>
      </c>
      <c r="O2115" t="s">
        <v>3412</v>
      </c>
      <c r="P2115" t="s">
        <v>3564</v>
      </c>
      <c r="Q2115" t="s">
        <v>8498</v>
      </c>
      <c r="R2115" t="s">
        <v>8499</v>
      </c>
    </row>
    <row r="2116" spans="1:18" x14ac:dyDescent="0.2">
      <c r="A2116">
        <v>2491049</v>
      </c>
      <c r="B2116" t="s">
        <v>8500</v>
      </c>
      <c r="C2116">
        <v>0</v>
      </c>
      <c r="D2116">
        <v>0</v>
      </c>
      <c r="E2116">
        <v>0</v>
      </c>
      <c r="F2116">
        <v>1</v>
      </c>
      <c r="G2116">
        <v>0</v>
      </c>
      <c r="H2116">
        <v>0</v>
      </c>
      <c r="I2116">
        <v>0</v>
      </c>
      <c r="J2116">
        <v>0</v>
      </c>
      <c r="K2116">
        <v>0</v>
      </c>
      <c r="L2116" t="s">
        <v>3284</v>
      </c>
      <c r="M2116" t="s">
        <v>3307</v>
      </c>
      <c r="N2116" t="s">
        <v>3308</v>
      </c>
      <c r="O2116" t="s">
        <v>3359</v>
      </c>
      <c r="P2116" t="s">
        <v>3360</v>
      </c>
      <c r="Q2116" t="s">
        <v>5690</v>
      </c>
      <c r="R2116" t="s">
        <v>8501</v>
      </c>
    </row>
    <row r="2117" spans="1:18" x14ac:dyDescent="0.2">
      <c r="A2117">
        <v>2491048</v>
      </c>
      <c r="B2117" t="s">
        <v>8502</v>
      </c>
      <c r="C2117">
        <v>0</v>
      </c>
      <c r="D2117">
        <v>0</v>
      </c>
      <c r="E2117">
        <v>1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 t="s">
        <v>3284</v>
      </c>
      <c r="M2117" t="s">
        <v>4580</v>
      </c>
      <c r="N2117" t="s">
        <v>4581</v>
      </c>
      <c r="O2117" t="s">
        <v>4582</v>
      </c>
      <c r="P2117" t="s">
        <v>8503</v>
      </c>
      <c r="Q2117" t="s">
        <v>8504</v>
      </c>
      <c r="R2117" t="s">
        <v>8505</v>
      </c>
    </row>
    <row r="2118" spans="1:18" x14ac:dyDescent="0.2">
      <c r="A2118">
        <v>2490856</v>
      </c>
      <c r="B2118" t="s">
        <v>8506</v>
      </c>
      <c r="C2118">
        <v>1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 t="s">
        <v>3284</v>
      </c>
      <c r="M2118" t="s">
        <v>3327</v>
      </c>
      <c r="N2118" t="s">
        <v>3376</v>
      </c>
      <c r="O2118" t="s">
        <v>3377</v>
      </c>
      <c r="P2118" t="s">
        <v>3604</v>
      </c>
      <c r="Q2118" t="s">
        <v>3668</v>
      </c>
      <c r="R2118" t="s">
        <v>8507</v>
      </c>
    </row>
    <row r="2119" spans="1:18" x14ac:dyDescent="0.2">
      <c r="A2119">
        <v>2489010</v>
      </c>
      <c r="B2119" t="s">
        <v>8508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1</v>
      </c>
      <c r="I2119">
        <v>0</v>
      </c>
      <c r="J2119">
        <v>0</v>
      </c>
      <c r="K2119">
        <v>0</v>
      </c>
      <c r="L2119" t="s">
        <v>3284</v>
      </c>
      <c r="M2119" t="s">
        <v>3296</v>
      </c>
      <c r="N2119" t="s">
        <v>3297</v>
      </c>
      <c r="O2119" t="s">
        <v>3298</v>
      </c>
      <c r="P2119" t="s">
        <v>3826</v>
      </c>
      <c r="Q2119" t="s">
        <v>7086</v>
      </c>
      <c r="R2119" t="s">
        <v>8509</v>
      </c>
    </row>
    <row r="2120" spans="1:18" x14ac:dyDescent="0.2">
      <c r="A2120">
        <v>2488994</v>
      </c>
      <c r="B2120" t="s">
        <v>8510</v>
      </c>
      <c r="C2120">
        <v>1</v>
      </c>
      <c r="D2120">
        <v>0</v>
      </c>
      <c r="E2120">
        <v>0</v>
      </c>
      <c r="F2120">
        <v>4</v>
      </c>
      <c r="G2120">
        <v>1</v>
      </c>
      <c r="H2120">
        <v>0</v>
      </c>
      <c r="I2120">
        <v>0</v>
      </c>
      <c r="J2120">
        <v>0</v>
      </c>
      <c r="K2120">
        <v>0</v>
      </c>
      <c r="L2120" t="s">
        <v>3284</v>
      </c>
      <c r="M2120" t="s">
        <v>3391</v>
      </c>
      <c r="N2120" t="s">
        <v>3392</v>
      </c>
      <c r="O2120" t="s">
        <v>3393</v>
      </c>
      <c r="P2120" t="s">
        <v>3394</v>
      </c>
      <c r="Q2120" t="s">
        <v>3395</v>
      </c>
      <c r="R2120" t="s">
        <v>8511</v>
      </c>
    </row>
    <row r="2121" spans="1:18" x14ac:dyDescent="0.2">
      <c r="A2121">
        <v>2488993</v>
      </c>
      <c r="B2121" t="s">
        <v>8512</v>
      </c>
      <c r="C2121">
        <v>0</v>
      </c>
      <c r="D2121">
        <v>0</v>
      </c>
      <c r="E2121">
        <v>0</v>
      </c>
      <c r="F2121">
        <v>1</v>
      </c>
      <c r="G2121">
        <v>0</v>
      </c>
      <c r="H2121">
        <v>0</v>
      </c>
      <c r="I2121">
        <v>0</v>
      </c>
      <c r="J2121">
        <v>0</v>
      </c>
      <c r="K2121">
        <v>0</v>
      </c>
      <c r="L2121" t="s">
        <v>3284</v>
      </c>
      <c r="M2121" t="s">
        <v>3391</v>
      </c>
      <c r="N2121" t="s">
        <v>3411</v>
      </c>
      <c r="O2121" t="s">
        <v>3412</v>
      </c>
      <c r="P2121" t="s">
        <v>3413</v>
      </c>
      <c r="Q2121" t="s">
        <v>3414</v>
      </c>
      <c r="R2121" t="s">
        <v>8513</v>
      </c>
    </row>
    <row r="2122" spans="1:18" x14ac:dyDescent="0.2">
      <c r="A2122">
        <v>2488810</v>
      </c>
      <c r="B2122" t="s">
        <v>8514</v>
      </c>
      <c r="C2122">
        <v>1</v>
      </c>
      <c r="D2122">
        <v>1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 t="s">
        <v>3284</v>
      </c>
      <c r="M2122" t="s">
        <v>3327</v>
      </c>
      <c r="N2122" t="s">
        <v>3328</v>
      </c>
      <c r="O2122" t="s">
        <v>3329</v>
      </c>
      <c r="P2122" t="s">
        <v>4620</v>
      </c>
      <c r="Q2122" t="s">
        <v>8515</v>
      </c>
      <c r="R2122" t="s">
        <v>8516</v>
      </c>
    </row>
    <row r="2123" spans="1:18" x14ac:dyDescent="0.2">
      <c r="A2123">
        <v>2488791</v>
      </c>
      <c r="B2123" t="s">
        <v>8517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1</v>
      </c>
      <c r="K2123">
        <v>0</v>
      </c>
      <c r="L2123" t="s">
        <v>3284</v>
      </c>
      <c r="M2123" t="s">
        <v>3307</v>
      </c>
      <c r="N2123" t="s">
        <v>3308</v>
      </c>
      <c r="O2123" t="s">
        <v>3359</v>
      </c>
      <c r="P2123" t="s">
        <v>3360</v>
      </c>
      <c r="Q2123" t="s">
        <v>8518</v>
      </c>
      <c r="R2123" t="s">
        <v>8519</v>
      </c>
    </row>
    <row r="2124" spans="1:18" x14ac:dyDescent="0.2">
      <c r="A2124">
        <v>2488790</v>
      </c>
      <c r="B2124" t="s">
        <v>8520</v>
      </c>
      <c r="C2124">
        <v>0</v>
      </c>
      <c r="D2124">
        <v>0</v>
      </c>
      <c r="E2124">
        <v>0</v>
      </c>
      <c r="F2124">
        <v>1</v>
      </c>
      <c r="G2124">
        <v>2</v>
      </c>
      <c r="H2124">
        <v>0</v>
      </c>
      <c r="I2124">
        <v>0</v>
      </c>
      <c r="J2124">
        <v>0</v>
      </c>
      <c r="K2124">
        <v>0</v>
      </c>
      <c r="L2124" t="s">
        <v>3284</v>
      </c>
      <c r="M2124" t="s">
        <v>3391</v>
      </c>
      <c r="N2124" t="s">
        <v>3411</v>
      </c>
      <c r="O2124" t="s">
        <v>3412</v>
      </c>
      <c r="P2124" t="s">
        <v>3413</v>
      </c>
      <c r="Q2124" t="s">
        <v>3414</v>
      </c>
      <c r="R2124" t="s">
        <v>8521</v>
      </c>
    </row>
    <row r="2125" spans="1:18" x14ac:dyDescent="0.2">
      <c r="A2125">
        <v>2488730</v>
      </c>
      <c r="B2125" t="s">
        <v>8522</v>
      </c>
      <c r="C2125">
        <v>1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 t="s">
        <v>3284</v>
      </c>
      <c r="M2125" t="s">
        <v>3296</v>
      </c>
      <c r="N2125" t="s">
        <v>3343</v>
      </c>
      <c r="O2125" t="s">
        <v>3371</v>
      </c>
      <c r="P2125" t="s">
        <v>3688</v>
      </c>
      <c r="Q2125" t="s">
        <v>8523</v>
      </c>
      <c r="R2125" t="s">
        <v>8524</v>
      </c>
    </row>
    <row r="2126" spans="1:18" x14ac:dyDescent="0.2">
      <c r="A2126">
        <v>2488634</v>
      </c>
      <c r="B2126" t="s">
        <v>8525</v>
      </c>
      <c r="C2126">
        <v>0</v>
      </c>
      <c r="D2126">
        <v>0</v>
      </c>
      <c r="E2126">
        <v>0</v>
      </c>
      <c r="F2126">
        <v>0</v>
      </c>
      <c r="G2126">
        <v>1</v>
      </c>
      <c r="H2126">
        <v>0</v>
      </c>
      <c r="I2126">
        <v>0</v>
      </c>
      <c r="J2126">
        <v>0</v>
      </c>
      <c r="K2126">
        <v>0</v>
      </c>
      <c r="L2126" t="s">
        <v>3284</v>
      </c>
      <c r="M2126" t="s">
        <v>3391</v>
      </c>
      <c r="N2126" t="s">
        <v>4129</v>
      </c>
      <c r="O2126" t="s">
        <v>4130</v>
      </c>
      <c r="P2126" t="s">
        <v>4131</v>
      </c>
      <c r="Q2126" t="s">
        <v>4132</v>
      </c>
      <c r="R2126" t="s">
        <v>8526</v>
      </c>
    </row>
    <row r="2127" spans="1:18" x14ac:dyDescent="0.2">
      <c r="A2127">
        <v>2487335</v>
      </c>
      <c r="B2127" t="s">
        <v>8527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1</v>
      </c>
      <c r="K2127">
        <v>0</v>
      </c>
      <c r="L2127" t="s">
        <v>3284</v>
      </c>
      <c r="M2127" t="s">
        <v>3391</v>
      </c>
      <c r="N2127" t="s">
        <v>3740</v>
      </c>
      <c r="O2127" t="s">
        <v>3741</v>
      </c>
      <c r="P2127" t="s">
        <v>3853</v>
      </c>
      <c r="Q2127" t="s">
        <v>8528</v>
      </c>
      <c r="R2127" t="s">
        <v>8529</v>
      </c>
    </row>
    <row r="2128" spans="1:18" x14ac:dyDescent="0.2">
      <c r="A2128">
        <v>2487334</v>
      </c>
      <c r="B2128" t="s">
        <v>8530</v>
      </c>
      <c r="C2128">
        <v>0</v>
      </c>
      <c r="D2128">
        <v>0</v>
      </c>
      <c r="E2128">
        <v>0</v>
      </c>
      <c r="F2128">
        <v>0</v>
      </c>
      <c r="G2128">
        <v>1</v>
      </c>
      <c r="H2128">
        <v>0</v>
      </c>
      <c r="I2128">
        <v>0</v>
      </c>
      <c r="J2128">
        <v>0</v>
      </c>
      <c r="K2128">
        <v>0</v>
      </c>
      <c r="L2128" t="s">
        <v>3284</v>
      </c>
      <c r="M2128" t="s">
        <v>3391</v>
      </c>
      <c r="N2128" t="s">
        <v>4129</v>
      </c>
      <c r="O2128" t="s">
        <v>4130</v>
      </c>
      <c r="P2128" t="s">
        <v>4131</v>
      </c>
      <c r="Q2128" t="s">
        <v>6099</v>
      </c>
      <c r="R2128" t="s">
        <v>8531</v>
      </c>
    </row>
    <row r="2129" spans="1:18" x14ac:dyDescent="0.2">
      <c r="A2129">
        <v>2487332</v>
      </c>
      <c r="B2129" t="s">
        <v>8532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1</v>
      </c>
      <c r="J2129">
        <v>0</v>
      </c>
      <c r="K2129">
        <v>0</v>
      </c>
      <c r="L2129" t="s">
        <v>3284</v>
      </c>
      <c r="M2129" t="s">
        <v>3391</v>
      </c>
      <c r="N2129" t="s">
        <v>3740</v>
      </c>
      <c r="O2129" t="s">
        <v>3741</v>
      </c>
      <c r="P2129" t="s">
        <v>3853</v>
      </c>
      <c r="Q2129" t="s">
        <v>8528</v>
      </c>
      <c r="R2129" t="s">
        <v>8533</v>
      </c>
    </row>
    <row r="2130" spans="1:18" x14ac:dyDescent="0.2">
      <c r="A2130">
        <v>2487331</v>
      </c>
      <c r="B2130" t="s">
        <v>8534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1</v>
      </c>
      <c r="J2130">
        <v>0</v>
      </c>
      <c r="K2130">
        <v>0</v>
      </c>
      <c r="L2130" t="s">
        <v>3284</v>
      </c>
      <c r="M2130" t="s">
        <v>3391</v>
      </c>
      <c r="N2130" t="s">
        <v>3740</v>
      </c>
      <c r="O2130" t="s">
        <v>3741</v>
      </c>
      <c r="P2130" t="s">
        <v>3853</v>
      </c>
      <c r="Q2130" t="s">
        <v>8528</v>
      </c>
      <c r="R2130" t="s">
        <v>8535</v>
      </c>
    </row>
    <row r="2131" spans="1:18" x14ac:dyDescent="0.2">
      <c r="A2131">
        <v>2487273</v>
      </c>
      <c r="B2131" t="s">
        <v>8536</v>
      </c>
      <c r="C2131">
        <v>1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 t="s">
        <v>3284</v>
      </c>
      <c r="M2131" t="s">
        <v>3327</v>
      </c>
      <c r="N2131" t="s">
        <v>3328</v>
      </c>
      <c r="O2131" t="s">
        <v>3329</v>
      </c>
      <c r="P2131" t="s">
        <v>4620</v>
      </c>
      <c r="Q2131" t="s">
        <v>8537</v>
      </c>
      <c r="R2131" t="s">
        <v>8538</v>
      </c>
    </row>
    <row r="2132" spans="1:18" x14ac:dyDescent="0.2">
      <c r="A2132">
        <v>2487063</v>
      </c>
      <c r="B2132" t="s">
        <v>8539</v>
      </c>
      <c r="C2132">
        <v>1</v>
      </c>
      <c r="D2132">
        <v>1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 t="s">
        <v>3284</v>
      </c>
      <c r="M2132" t="s">
        <v>3391</v>
      </c>
      <c r="N2132" t="s">
        <v>3411</v>
      </c>
      <c r="O2132" t="s">
        <v>3412</v>
      </c>
      <c r="P2132" t="s">
        <v>3564</v>
      </c>
      <c r="Q2132" t="s">
        <v>3803</v>
      </c>
      <c r="R2132" t="s">
        <v>8540</v>
      </c>
    </row>
    <row r="2133" spans="1:18" x14ac:dyDescent="0.2">
      <c r="A2133">
        <v>2486854</v>
      </c>
      <c r="B2133" t="s">
        <v>8541</v>
      </c>
      <c r="C2133">
        <v>0</v>
      </c>
      <c r="D2133">
        <v>1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 t="s">
        <v>3284</v>
      </c>
      <c r="M2133" t="s">
        <v>3307</v>
      </c>
      <c r="N2133" t="s">
        <v>3308</v>
      </c>
      <c r="O2133" t="s">
        <v>3359</v>
      </c>
      <c r="P2133" t="s">
        <v>3360</v>
      </c>
      <c r="Q2133" t="s">
        <v>3361</v>
      </c>
      <c r="R2133" t="s">
        <v>8542</v>
      </c>
    </row>
    <row r="2134" spans="1:18" x14ac:dyDescent="0.2">
      <c r="A2134">
        <v>2486418</v>
      </c>
      <c r="B2134" t="s">
        <v>8543</v>
      </c>
      <c r="C2134">
        <v>2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 t="s">
        <v>3284</v>
      </c>
      <c r="M2134" t="s">
        <v>3296</v>
      </c>
      <c r="N2134" t="s">
        <v>3343</v>
      </c>
      <c r="O2134" t="s">
        <v>3371</v>
      </c>
      <c r="P2134" t="s">
        <v>3688</v>
      </c>
      <c r="Q2134" t="s">
        <v>4314</v>
      </c>
      <c r="R2134" t="s">
        <v>8544</v>
      </c>
    </row>
    <row r="2135" spans="1:18" x14ac:dyDescent="0.2">
      <c r="A2135">
        <v>2486272</v>
      </c>
      <c r="B2135" t="s">
        <v>8545</v>
      </c>
      <c r="C2135">
        <v>0</v>
      </c>
      <c r="D2135">
        <v>0</v>
      </c>
      <c r="E2135">
        <v>0</v>
      </c>
      <c r="F2135">
        <v>1</v>
      </c>
      <c r="G2135">
        <v>0</v>
      </c>
      <c r="H2135">
        <v>0</v>
      </c>
      <c r="I2135">
        <v>0</v>
      </c>
      <c r="J2135">
        <v>0</v>
      </c>
      <c r="K2135">
        <v>0</v>
      </c>
      <c r="L2135" t="s">
        <v>3284</v>
      </c>
      <c r="M2135" t="s">
        <v>3307</v>
      </c>
      <c r="N2135" t="s">
        <v>3308</v>
      </c>
      <c r="O2135" t="s">
        <v>3309</v>
      </c>
      <c r="P2135" t="s">
        <v>3310</v>
      </c>
      <c r="Q2135" t="s">
        <v>3311</v>
      </c>
      <c r="R2135" t="s">
        <v>8546</v>
      </c>
    </row>
    <row r="2136" spans="1:18" x14ac:dyDescent="0.2">
      <c r="A2136">
        <v>2485200</v>
      </c>
      <c r="B2136" t="s">
        <v>8547</v>
      </c>
      <c r="C2136">
        <v>0</v>
      </c>
      <c r="D2136">
        <v>0</v>
      </c>
      <c r="E2136">
        <v>0</v>
      </c>
      <c r="F2136">
        <v>14</v>
      </c>
      <c r="G2136">
        <v>5</v>
      </c>
      <c r="H2136">
        <v>1</v>
      </c>
      <c r="I2136">
        <v>0</v>
      </c>
      <c r="J2136">
        <v>0</v>
      </c>
      <c r="K2136">
        <v>0</v>
      </c>
      <c r="L2136" t="s">
        <v>3284</v>
      </c>
      <c r="M2136" t="s">
        <v>3307</v>
      </c>
      <c r="N2136" t="s">
        <v>3308</v>
      </c>
      <c r="O2136" t="s">
        <v>3359</v>
      </c>
      <c r="P2136" t="s">
        <v>3360</v>
      </c>
      <c r="Q2136" t="s">
        <v>8548</v>
      </c>
      <c r="R2136" t="s">
        <v>8549</v>
      </c>
    </row>
    <row r="2137" spans="1:18" x14ac:dyDescent="0.2">
      <c r="A2137">
        <v>2485192</v>
      </c>
      <c r="B2137" t="s">
        <v>8550</v>
      </c>
      <c r="C2137">
        <v>0</v>
      </c>
      <c r="D2137">
        <v>0</v>
      </c>
      <c r="E2137">
        <v>0</v>
      </c>
      <c r="F2137">
        <v>0</v>
      </c>
      <c r="G2137">
        <v>1</v>
      </c>
      <c r="H2137">
        <v>0</v>
      </c>
      <c r="I2137">
        <v>0</v>
      </c>
      <c r="J2137">
        <v>0</v>
      </c>
      <c r="K2137">
        <v>0</v>
      </c>
      <c r="L2137" t="s">
        <v>3284</v>
      </c>
      <c r="M2137" t="s">
        <v>3307</v>
      </c>
      <c r="N2137" t="s">
        <v>3308</v>
      </c>
      <c r="O2137" t="s">
        <v>3359</v>
      </c>
      <c r="P2137" t="s">
        <v>3360</v>
      </c>
      <c r="Q2137" t="s">
        <v>6760</v>
      </c>
      <c r="R2137" t="s">
        <v>8551</v>
      </c>
    </row>
    <row r="2138" spans="1:18" x14ac:dyDescent="0.2">
      <c r="A2138">
        <v>2485137</v>
      </c>
      <c r="B2138" t="s">
        <v>8552</v>
      </c>
      <c r="C2138">
        <v>0</v>
      </c>
      <c r="D2138">
        <v>0</v>
      </c>
      <c r="E2138">
        <v>0</v>
      </c>
      <c r="F2138">
        <v>0</v>
      </c>
      <c r="G2138">
        <v>1</v>
      </c>
      <c r="H2138">
        <v>1</v>
      </c>
      <c r="I2138">
        <v>0</v>
      </c>
      <c r="J2138">
        <v>0</v>
      </c>
      <c r="K2138">
        <v>0</v>
      </c>
      <c r="L2138" t="s">
        <v>3284</v>
      </c>
      <c r="M2138" t="s">
        <v>3296</v>
      </c>
      <c r="N2138" t="s">
        <v>3297</v>
      </c>
      <c r="O2138" t="s">
        <v>3434</v>
      </c>
      <c r="P2138" t="s">
        <v>3435</v>
      </c>
      <c r="Q2138" t="s">
        <v>3436</v>
      </c>
      <c r="R2138" t="s">
        <v>8553</v>
      </c>
    </row>
    <row r="2139" spans="1:18" x14ac:dyDescent="0.2">
      <c r="A2139">
        <v>2485130</v>
      </c>
      <c r="B2139" t="s">
        <v>8554</v>
      </c>
      <c r="C2139">
        <v>0</v>
      </c>
      <c r="D2139">
        <v>0</v>
      </c>
      <c r="E2139">
        <v>0</v>
      </c>
      <c r="F2139">
        <v>2</v>
      </c>
      <c r="G2139">
        <v>2</v>
      </c>
      <c r="H2139">
        <v>0</v>
      </c>
      <c r="I2139">
        <v>12</v>
      </c>
      <c r="J2139">
        <v>3</v>
      </c>
      <c r="K2139">
        <v>2</v>
      </c>
      <c r="L2139" t="s">
        <v>3284</v>
      </c>
      <c r="M2139" t="s">
        <v>3296</v>
      </c>
      <c r="N2139" t="s">
        <v>3321</v>
      </c>
      <c r="O2139" t="s">
        <v>3322</v>
      </c>
      <c r="P2139" t="s">
        <v>3398</v>
      </c>
      <c r="Q2139" t="s">
        <v>3806</v>
      </c>
      <c r="R2139" t="s">
        <v>8555</v>
      </c>
    </row>
    <row r="2140" spans="1:18" x14ac:dyDescent="0.2">
      <c r="A2140">
        <v>2485126</v>
      </c>
      <c r="B2140" t="s">
        <v>8556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1</v>
      </c>
      <c r="J2140">
        <v>0</v>
      </c>
      <c r="K2140">
        <v>0</v>
      </c>
      <c r="L2140" t="s">
        <v>3284</v>
      </c>
      <c r="M2140" t="s">
        <v>3296</v>
      </c>
      <c r="N2140" t="s">
        <v>3297</v>
      </c>
      <c r="O2140" t="s">
        <v>3298</v>
      </c>
      <c r="P2140" t="s">
        <v>3873</v>
      </c>
      <c r="Q2140" t="s">
        <v>4087</v>
      </c>
      <c r="R2140" t="s">
        <v>8557</v>
      </c>
    </row>
    <row r="2141" spans="1:18" x14ac:dyDescent="0.2">
      <c r="A2141">
        <v>2485114</v>
      </c>
      <c r="B2141" t="s">
        <v>8558</v>
      </c>
      <c r="C2141">
        <v>0</v>
      </c>
      <c r="D2141">
        <v>0</v>
      </c>
      <c r="E2141">
        <v>0</v>
      </c>
      <c r="F2141">
        <v>1</v>
      </c>
      <c r="G2141">
        <v>0</v>
      </c>
      <c r="H2141">
        <v>0</v>
      </c>
      <c r="I2141">
        <v>0</v>
      </c>
      <c r="J2141">
        <v>0</v>
      </c>
      <c r="K2141">
        <v>0</v>
      </c>
      <c r="L2141" t="s">
        <v>3284</v>
      </c>
      <c r="M2141" t="s">
        <v>3296</v>
      </c>
      <c r="N2141" t="s">
        <v>3321</v>
      </c>
      <c r="O2141" t="s">
        <v>3322</v>
      </c>
      <c r="P2141" t="s">
        <v>3398</v>
      </c>
      <c r="Q2141" t="s">
        <v>3806</v>
      </c>
      <c r="R2141" t="s">
        <v>8559</v>
      </c>
    </row>
    <row r="2142" spans="1:18" x14ac:dyDescent="0.2">
      <c r="A2142">
        <v>2485107</v>
      </c>
      <c r="B2142" t="s">
        <v>8560</v>
      </c>
      <c r="C2142">
        <v>0</v>
      </c>
      <c r="D2142">
        <v>0</v>
      </c>
      <c r="E2142">
        <v>0</v>
      </c>
      <c r="F2142">
        <v>1</v>
      </c>
      <c r="G2142">
        <v>0</v>
      </c>
      <c r="H2142">
        <v>0</v>
      </c>
      <c r="I2142">
        <v>0</v>
      </c>
      <c r="J2142">
        <v>0</v>
      </c>
      <c r="K2142">
        <v>0</v>
      </c>
      <c r="L2142" t="s">
        <v>3284</v>
      </c>
      <c r="M2142" t="s">
        <v>3296</v>
      </c>
      <c r="N2142" t="s">
        <v>3343</v>
      </c>
      <c r="O2142" t="s">
        <v>3349</v>
      </c>
      <c r="P2142" t="s">
        <v>3350</v>
      </c>
      <c r="Q2142" t="s">
        <v>3351</v>
      </c>
      <c r="R2142" t="s">
        <v>8561</v>
      </c>
    </row>
    <row r="2143" spans="1:18" x14ac:dyDescent="0.2">
      <c r="A2143">
        <v>2485106</v>
      </c>
      <c r="B2143" t="s">
        <v>8562</v>
      </c>
      <c r="C2143">
        <v>0</v>
      </c>
      <c r="D2143">
        <v>0</v>
      </c>
      <c r="E2143">
        <v>0</v>
      </c>
      <c r="F2143">
        <v>1</v>
      </c>
      <c r="G2143">
        <v>0</v>
      </c>
      <c r="H2143">
        <v>0</v>
      </c>
      <c r="I2143">
        <v>0</v>
      </c>
      <c r="J2143">
        <v>0</v>
      </c>
      <c r="K2143">
        <v>0</v>
      </c>
      <c r="L2143" t="s">
        <v>3284</v>
      </c>
      <c r="M2143" t="s">
        <v>3296</v>
      </c>
      <c r="N2143" t="s">
        <v>3343</v>
      </c>
      <c r="O2143" t="s">
        <v>3349</v>
      </c>
      <c r="P2143" t="s">
        <v>3350</v>
      </c>
      <c r="Q2143" t="s">
        <v>3351</v>
      </c>
      <c r="R2143" t="s">
        <v>8563</v>
      </c>
    </row>
    <row r="2144" spans="1:18" x14ac:dyDescent="0.2">
      <c r="A2144">
        <v>2485105</v>
      </c>
      <c r="B2144" t="s">
        <v>8564</v>
      </c>
      <c r="C2144">
        <v>0</v>
      </c>
      <c r="D2144">
        <v>0</v>
      </c>
      <c r="E2144">
        <v>0</v>
      </c>
      <c r="F2144">
        <v>2</v>
      </c>
      <c r="G2144">
        <v>2</v>
      </c>
      <c r="H2144">
        <v>1</v>
      </c>
      <c r="I2144">
        <v>0</v>
      </c>
      <c r="J2144">
        <v>0</v>
      </c>
      <c r="K2144">
        <v>0</v>
      </c>
      <c r="L2144" t="s">
        <v>3284</v>
      </c>
      <c r="M2144" t="s">
        <v>3296</v>
      </c>
      <c r="N2144" t="s">
        <v>3343</v>
      </c>
      <c r="O2144" t="s">
        <v>3349</v>
      </c>
      <c r="P2144" t="s">
        <v>3350</v>
      </c>
      <c r="Q2144" t="s">
        <v>3351</v>
      </c>
      <c r="R2144" t="s">
        <v>8565</v>
      </c>
    </row>
    <row r="2145" spans="1:18" x14ac:dyDescent="0.2">
      <c r="A2145">
        <v>2483812</v>
      </c>
      <c r="B2145" t="s">
        <v>8566</v>
      </c>
      <c r="C2145">
        <v>0</v>
      </c>
      <c r="D2145">
        <v>0</v>
      </c>
      <c r="E2145">
        <v>1</v>
      </c>
      <c r="F2145">
        <v>0</v>
      </c>
      <c r="G2145">
        <v>0</v>
      </c>
      <c r="H2145">
        <v>0</v>
      </c>
      <c r="I2145">
        <v>1</v>
      </c>
      <c r="J2145">
        <v>0</v>
      </c>
      <c r="K2145">
        <v>0</v>
      </c>
      <c r="L2145" t="s">
        <v>3284</v>
      </c>
      <c r="M2145" t="s">
        <v>3296</v>
      </c>
      <c r="N2145" t="s">
        <v>3343</v>
      </c>
      <c r="O2145" t="s">
        <v>3371</v>
      </c>
      <c r="P2145" t="s">
        <v>3688</v>
      </c>
      <c r="Q2145" t="s">
        <v>7223</v>
      </c>
      <c r="R2145" t="s">
        <v>8567</v>
      </c>
    </row>
    <row r="2146" spans="1:18" x14ac:dyDescent="0.2">
      <c r="A2146">
        <v>2483401</v>
      </c>
      <c r="B2146" t="s">
        <v>8568</v>
      </c>
      <c r="C2146">
        <v>1</v>
      </c>
      <c r="D2146">
        <v>1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 t="s">
        <v>3284</v>
      </c>
      <c r="M2146" t="s">
        <v>3307</v>
      </c>
      <c r="N2146" t="s">
        <v>3308</v>
      </c>
      <c r="O2146" t="s">
        <v>3359</v>
      </c>
      <c r="P2146" t="s">
        <v>3360</v>
      </c>
      <c r="Q2146" t="s">
        <v>3361</v>
      </c>
      <c r="R2146" t="s">
        <v>8569</v>
      </c>
    </row>
    <row r="2147" spans="1:18" x14ac:dyDescent="0.2">
      <c r="A2147">
        <v>2483110</v>
      </c>
      <c r="B2147" t="s">
        <v>8570</v>
      </c>
      <c r="C2147">
        <v>4</v>
      </c>
      <c r="D2147">
        <v>7</v>
      </c>
      <c r="E2147">
        <v>4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 t="s">
        <v>3284</v>
      </c>
      <c r="M2147" t="s">
        <v>3327</v>
      </c>
      <c r="N2147" t="s">
        <v>3328</v>
      </c>
      <c r="O2147" t="s">
        <v>3329</v>
      </c>
      <c r="P2147" t="s">
        <v>3330</v>
      </c>
      <c r="Q2147" t="s">
        <v>3331</v>
      </c>
      <c r="R2147" t="s">
        <v>8571</v>
      </c>
    </row>
    <row r="2148" spans="1:18" x14ac:dyDescent="0.2">
      <c r="A2148">
        <v>2482751</v>
      </c>
      <c r="B2148" t="s">
        <v>8572</v>
      </c>
      <c r="C2148">
        <v>1</v>
      </c>
      <c r="D2148">
        <v>0</v>
      </c>
      <c r="E2148">
        <v>0</v>
      </c>
      <c r="F2148">
        <v>1</v>
      </c>
      <c r="G2148">
        <v>0</v>
      </c>
      <c r="H2148">
        <v>0</v>
      </c>
      <c r="I2148">
        <v>0</v>
      </c>
      <c r="J2148">
        <v>0</v>
      </c>
      <c r="K2148">
        <v>0</v>
      </c>
      <c r="L2148" t="s">
        <v>3284</v>
      </c>
      <c r="M2148" t="s">
        <v>3296</v>
      </c>
      <c r="N2148" t="s">
        <v>3297</v>
      </c>
      <c r="O2148" t="s">
        <v>3434</v>
      </c>
      <c r="P2148" t="s">
        <v>3435</v>
      </c>
      <c r="Q2148" t="s">
        <v>5438</v>
      </c>
      <c r="R2148" t="s">
        <v>8573</v>
      </c>
    </row>
    <row r="2149" spans="1:18" x14ac:dyDescent="0.2">
      <c r="A2149">
        <v>2482728</v>
      </c>
      <c r="B2149" t="s">
        <v>8574</v>
      </c>
      <c r="C2149">
        <v>0</v>
      </c>
      <c r="D2149">
        <v>0</v>
      </c>
      <c r="E2149">
        <v>0</v>
      </c>
      <c r="F2149">
        <v>10</v>
      </c>
      <c r="G2149">
        <v>5</v>
      </c>
      <c r="H2149">
        <v>1</v>
      </c>
      <c r="I2149">
        <v>0</v>
      </c>
      <c r="J2149">
        <v>0</v>
      </c>
      <c r="K2149">
        <v>0</v>
      </c>
      <c r="L2149" t="s">
        <v>3284</v>
      </c>
      <c r="M2149" t="s">
        <v>3391</v>
      </c>
      <c r="N2149" t="s">
        <v>3392</v>
      </c>
      <c r="O2149" t="s">
        <v>3393</v>
      </c>
      <c r="P2149" t="s">
        <v>3394</v>
      </c>
      <c r="Q2149" t="s">
        <v>3395</v>
      </c>
      <c r="R2149" t="s">
        <v>8575</v>
      </c>
    </row>
    <row r="2150" spans="1:18" x14ac:dyDescent="0.2">
      <c r="A2150">
        <v>2482727</v>
      </c>
      <c r="B2150" t="s">
        <v>8576</v>
      </c>
      <c r="C2150">
        <v>0</v>
      </c>
      <c r="D2150">
        <v>0</v>
      </c>
      <c r="E2150">
        <v>0</v>
      </c>
      <c r="F2150">
        <v>1</v>
      </c>
      <c r="G2150">
        <v>1</v>
      </c>
      <c r="H2150">
        <v>0</v>
      </c>
      <c r="I2150">
        <v>0</v>
      </c>
      <c r="J2150">
        <v>0</v>
      </c>
      <c r="K2150">
        <v>0</v>
      </c>
      <c r="L2150" t="s">
        <v>3284</v>
      </c>
      <c r="M2150" t="s">
        <v>3391</v>
      </c>
      <c r="N2150" t="s">
        <v>3392</v>
      </c>
      <c r="O2150" t="s">
        <v>3393</v>
      </c>
      <c r="P2150" t="s">
        <v>3394</v>
      </c>
      <c r="Q2150" t="s">
        <v>4082</v>
      </c>
      <c r="R2150" t="s">
        <v>8577</v>
      </c>
    </row>
    <row r="2151" spans="1:18" x14ac:dyDescent="0.2">
      <c r="A2151">
        <v>2479851</v>
      </c>
      <c r="B2151" t="s">
        <v>8578</v>
      </c>
      <c r="C2151">
        <v>0</v>
      </c>
      <c r="D2151">
        <v>0</v>
      </c>
      <c r="E2151">
        <v>0</v>
      </c>
      <c r="F2151">
        <v>1</v>
      </c>
      <c r="G2151">
        <v>1</v>
      </c>
      <c r="H2151">
        <v>1</v>
      </c>
      <c r="I2151">
        <v>1</v>
      </c>
      <c r="J2151">
        <v>0</v>
      </c>
      <c r="K2151">
        <v>0</v>
      </c>
      <c r="L2151" t="s">
        <v>3284</v>
      </c>
      <c r="M2151" t="s">
        <v>3296</v>
      </c>
      <c r="N2151" t="s">
        <v>3297</v>
      </c>
      <c r="O2151" t="s">
        <v>3469</v>
      </c>
      <c r="P2151" t="s">
        <v>3470</v>
      </c>
      <c r="Q2151" t="s">
        <v>3471</v>
      </c>
      <c r="R2151" t="s">
        <v>8579</v>
      </c>
    </row>
    <row r="2152" spans="1:18" x14ac:dyDescent="0.2">
      <c r="A2152">
        <v>2479849</v>
      </c>
      <c r="B2152" t="s">
        <v>8580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1</v>
      </c>
      <c r="I2152">
        <v>0</v>
      </c>
      <c r="J2152">
        <v>0</v>
      </c>
      <c r="K2152">
        <v>0</v>
      </c>
      <c r="L2152" t="s">
        <v>3284</v>
      </c>
      <c r="M2152" t="s">
        <v>3296</v>
      </c>
      <c r="N2152" t="s">
        <v>3297</v>
      </c>
      <c r="O2152" t="s">
        <v>3434</v>
      </c>
      <c r="P2152" t="s">
        <v>3435</v>
      </c>
      <c r="Q2152" t="s">
        <v>3436</v>
      </c>
      <c r="R2152" t="s">
        <v>8581</v>
      </c>
    </row>
    <row r="2153" spans="1:18" x14ac:dyDescent="0.2">
      <c r="A2153">
        <v>2478662</v>
      </c>
      <c r="B2153" t="s">
        <v>8582</v>
      </c>
      <c r="C2153">
        <v>0</v>
      </c>
      <c r="D2153">
        <v>2</v>
      </c>
      <c r="E2153">
        <v>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 t="s">
        <v>3284</v>
      </c>
      <c r="M2153" t="s">
        <v>3296</v>
      </c>
      <c r="N2153" t="s">
        <v>3321</v>
      </c>
      <c r="O2153" t="s">
        <v>3322</v>
      </c>
      <c r="P2153" t="s">
        <v>3398</v>
      </c>
      <c r="Q2153" t="s">
        <v>3556</v>
      </c>
      <c r="R2153" t="s">
        <v>8583</v>
      </c>
    </row>
    <row r="2154" spans="1:18" x14ac:dyDescent="0.2">
      <c r="A2154">
        <v>2478470</v>
      </c>
      <c r="B2154" t="s">
        <v>8584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1</v>
      </c>
      <c r="J2154">
        <v>0</v>
      </c>
      <c r="K2154">
        <v>0</v>
      </c>
      <c r="L2154" t="s">
        <v>3284</v>
      </c>
      <c r="M2154" t="s">
        <v>3296</v>
      </c>
      <c r="N2154" t="s">
        <v>3343</v>
      </c>
      <c r="O2154" t="s">
        <v>3429</v>
      </c>
      <c r="P2154" t="s">
        <v>4336</v>
      </c>
      <c r="Q2154" t="s">
        <v>8235</v>
      </c>
      <c r="R2154" t="s">
        <v>8585</v>
      </c>
    </row>
    <row r="2155" spans="1:18" x14ac:dyDescent="0.2">
      <c r="A2155">
        <v>2478468</v>
      </c>
      <c r="B2155" t="s">
        <v>8586</v>
      </c>
      <c r="C2155">
        <v>0</v>
      </c>
      <c r="D2155">
        <v>0</v>
      </c>
      <c r="E2155">
        <v>0</v>
      </c>
      <c r="F2155">
        <v>7</v>
      </c>
      <c r="G2155">
        <v>3</v>
      </c>
      <c r="H2155">
        <v>0</v>
      </c>
      <c r="I2155">
        <v>0</v>
      </c>
      <c r="J2155">
        <v>0</v>
      </c>
      <c r="K2155">
        <v>0</v>
      </c>
      <c r="L2155" t="s">
        <v>3284</v>
      </c>
      <c r="M2155" t="s">
        <v>3296</v>
      </c>
      <c r="N2155" t="s">
        <v>3321</v>
      </c>
      <c r="O2155" t="s">
        <v>3322</v>
      </c>
      <c r="P2155" t="s">
        <v>4143</v>
      </c>
      <c r="Q2155" t="s">
        <v>8587</v>
      </c>
      <c r="R2155" t="s">
        <v>8588</v>
      </c>
    </row>
    <row r="2156" spans="1:18" x14ac:dyDescent="0.2">
      <c r="A2156">
        <v>2448483</v>
      </c>
      <c r="B2156" t="s">
        <v>8589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1</v>
      </c>
      <c r="K2156">
        <v>0</v>
      </c>
      <c r="L2156" t="s">
        <v>3284</v>
      </c>
      <c r="M2156" t="s">
        <v>3296</v>
      </c>
      <c r="N2156" t="s">
        <v>3297</v>
      </c>
      <c r="O2156" t="s">
        <v>3298</v>
      </c>
      <c r="P2156" t="s">
        <v>3299</v>
      </c>
      <c r="Q2156" t="s">
        <v>3300</v>
      </c>
      <c r="R2156" t="s">
        <v>8590</v>
      </c>
    </row>
    <row r="2157" spans="1:18" x14ac:dyDescent="0.2">
      <c r="A2157">
        <v>2448482</v>
      </c>
      <c r="B2157" t="s">
        <v>8591</v>
      </c>
      <c r="C2157">
        <v>0</v>
      </c>
      <c r="D2157">
        <v>0</v>
      </c>
      <c r="E2157">
        <v>0</v>
      </c>
      <c r="F2157">
        <v>1</v>
      </c>
      <c r="G2157">
        <v>0</v>
      </c>
      <c r="H2157">
        <v>0</v>
      </c>
      <c r="I2157">
        <v>0</v>
      </c>
      <c r="J2157">
        <v>0</v>
      </c>
      <c r="K2157">
        <v>0</v>
      </c>
      <c r="L2157" t="s">
        <v>3284</v>
      </c>
      <c r="M2157" t="s">
        <v>3296</v>
      </c>
      <c r="N2157" t="s">
        <v>3297</v>
      </c>
      <c r="O2157" t="s">
        <v>3434</v>
      </c>
      <c r="P2157" t="s">
        <v>3435</v>
      </c>
      <c r="Q2157" t="s">
        <v>3436</v>
      </c>
      <c r="R2157" t="s">
        <v>8592</v>
      </c>
    </row>
    <row r="2158" spans="1:18" x14ac:dyDescent="0.2">
      <c r="A2158">
        <v>2419778</v>
      </c>
      <c r="B2158" t="s">
        <v>8593</v>
      </c>
      <c r="C2158">
        <v>0</v>
      </c>
      <c r="D2158">
        <v>1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 t="s">
        <v>3284</v>
      </c>
      <c r="M2158" t="s">
        <v>3327</v>
      </c>
      <c r="N2158" t="s">
        <v>3376</v>
      </c>
      <c r="O2158" t="s">
        <v>3377</v>
      </c>
      <c r="P2158" t="s">
        <v>3604</v>
      </c>
      <c r="Q2158" t="s">
        <v>6110</v>
      </c>
      <c r="R2158" t="s">
        <v>8594</v>
      </c>
    </row>
    <row r="2159" spans="1:18" x14ac:dyDescent="0.2">
      <c r="A2159">
        <v>2419774</v>
      </c>
      <c r="B2159" t="s">
        <v>8595</v>
      </c>
      <c r="C2159">
        <v>2</v>
      </c>
      <c r="D2159">
        <v>1</v>
      </c>
      <c r="E2159">
        <v>0</v>
      </c>
      <c r="F2159">
        <v>0</v>
      </c>
      <c r="G2159">
        <v>0</v>
      </c>
      <c r="H2159">
        <v>1</v>
      </c>
      <c r="I2159">
        <v>0</v>
      </c>
      <c r="J2159">
        <v>0</v>
      </c>
      <c r="K2159">
        <v>0</v>
      </c>
      <c r="L2159" t="s">
        <v>3284</v>
      </c>
      <c r="M2159" t="s">
        <v>3307</v>
      </c>
      <c r="N2159" t="s">
        <v>3308</v>
      </c>
      <c r="O2159" t="s">
        <v>3359</v>
      </c>
      <c r="P2159" t="s">
        <v>3360</v>
      </c>
      <c r="Q2159" t="s">
        <v>5425</v>
      </c>
      <c r="R2159" t="s">
        <v>8596</v>
      </c>
    </row>
    <row r="2160" spans="1:18" x14ac:dyDescent="0.2">
      <c r="A2160">
        <v>2419771</v>
      </c>
      <c r="B2160" t="s">
        <v>8597</v>
      </c>
      <c r="C2160">
        <v>0</v>
      </c>
      <c r="D2160">
        <v>0</v>
      </c>
      <c r="E2160">
        <v>0</v>
      </c>
      <c r="F2160">
        <v>1</v>
      </c>
      <c r="G2160">
        <v>0</v>
      </c>
      <c r="H2160">
        <v>0</v>
      </c>
      <c r="I2160">
        <v>0</v>
      </c>
      <c r="J2160">
        <v>0</v>
      </c>
      <c r="K2160">
        <v>0</v>
      </c>
      <c r="L2160" t="s">
        <v>3284</v>
      </c>
      <c r="M2160" t="s">
        <v>3307</v>
      </c>
      <c r="N2160" t="s">
        <v>3308</v>
      </c>
      <c r="O2160" t="s">
        <v>3359</v>
      </c>
      <c r="P2160" t="s">
        <v>3360</v>
      </c>
      <c r="Q2160" t="s">
        <v>8598</v>
      </c>
      <c r="R2160" t="s">
        <v>8599</v>
      </c>
    </row>
    <row r="2161" spans="1:18" x14ac:dyDescent="0.2">
      <c r="A2161">
        <v>2358193</v>
      </c>
      <c r="B2161" t="s">
        <v>8600</v>
      </c>
      <c r="C2161">
        <v>0</v>
      </c>
      <c r="D2161">
        <v>0</v>
      </c>
      <c r="E2161">
        <v>0</v>
      </c>
      <c r="F2161">
        <v>0</v>
      </c>
      <c r="G2161">
        <v>1</v>
      </c>
      <c r="H2161">
        <v>0</v>
      </c>
      <c r="I2161">
        <v>0</v>
      </c>
      <c r="J2161">
        <v>0</v>
      </c>
      <c r="K2161">
        <v>0</v>
      </c>
      <c r="L2161" t="s">
        <v>3284</v>
      </c>
      <c r="M2161" t="s">
        <v>3307</v>
      </c>
      <c r="N2161" t="s">
        <v>3308</v>
      </c>
      <c r="O2161" t="s">
        <v>3635</v>
      </c>
      <c r="P2161" t="s">
        <v>4011</v>
      </c>
      <c r="Q2161" t="s">
        <v>4471</v>
      </c>
      <c r="R2161" t="s">
        <v>8601</v>
      </c>
    </row>
    <row r="2162" spans="1:18" x14ac:dyDescent="0.2">
      <c r="A2162">
        <v>2341117</v>
      </c>
      <c r="B2162" t="s">
        <v>8602</v>
      </c>
      <c r="C2162">
        <v>0</v>
      </c>
      <c r="D2162">
        <v>0</v>
      </c>
      <c r="E2162">
        <v>0</v>
      </c>
      <c r="F2162">
        <v>1</v>
      </c>
      <c r="G2162">
        <v>0</v>
      </c>
      <c r="H2162">
        <v>0</v>
      </c>
      <c r="I2162">
        <v>0</v>
      </c>
      <c r="J2162">
        <v>0</v>
      </c>
      <c r="K2162">
        <v>0</v>
      </c>
      <c r="L2162" t="s">
        <v>3284</v>
      </c>
      <c r="M2162" t="s">
        <v>3391</v>
      </c>
      <c r="N2162" t="s">
        <v>4129</v>
      </c>
      <c r="O2162" t="s">
        <v>4130</v>
      </c>
      <c r="P2162" t="s">
        <v>4131</v>
      </c>
      <c r="Q2162" t="s">
        <v>8603</v>
      </c>
      <c r="R2162" t="s">
        <v>8604</v>
      </c>
    </row>
    <row r="2163" spans="1:18" x14ac:dyDescent="0.2">
      <c r="A2163">
        <v>2341086</v>
      </c>
      <c r="B2163" t="s">
        <v>8605</v>
      </c>
      <c r="C2163">
        <v>0</v>
      </c>
      <c r="D2163">
        <v>0</v>
      </c>
      <c r="E2163">
        <v>0</v>
      </c>
      <c r="F2163">
        <v>1</v>
      </c>
      <c r="G2163">
        <v>0</v>
      </c>
      <c r="H2163">
        <v>0</v>
      </c>
      <c r="I2163">
        <v>0</v>
      </c>
      <c r="J2163">
        <v>0</v>
      </c>
      <c r="K2163">
        <v>0</v>
      </c>
      <c r="L2163" t="s">
        <v>3284</v>
      </c>
      <c r="M2163" t="s">
        <v>3307</v>
      </c>
      <c r="N2163" t="s">
        <v>3308</v>
      </c>
      <c r="O2163" t="s">
        <v>3635</v>
      </c>
      <c r="P2163" t="s">
        <v>4011</v>
      </c>
      <c r="Q2163" t="s">
        <v>4012</v>
      </c>
      <c r="R2163" t="s">
        <v>8606</v>
      </c>
    </row>
    <row r="2164" spans="1:18" x14ac:dyDescent="0.2">
      <c r="A2164">
        <v>2341083</v>
      </c>
      <c r="B2164" t="s">
        <v>8607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2</v>
      </c>
      <c r="K2164">
        <v>0</v>
      </c>
      <c r="L2164" t="s">
        <v>3284</v>
      </c>
      <c r="M2164" t="s">
        <v>3307</v>
      </c>
      <c r="N2164" t="s">
        <v>3308</v>
      </c>
      <c r="O2164" t="s">
        <v>3635</v>
      </c>
      <c r="P2164" t="s">
        <v>4011</v>
      </c>
      <c r="Q2164" t="s">
        <v>4012</v>
      </c>
      <c r="R2164" t="s">
        <v>8608</v>
      </c>
    </row>
    <row r="2165" spans="1:18" x14ac:dyDescent="0.2">
      <c r="A2165">
        <v>2339259</v>
      </c>
      <c r="B2165" t="s">
        <v>8609</v>
      </c>
      <c r="C2165">
        <v>0</v>
      </c>
      <c r="D2165">
        <v>0</v>
      </c>
      <c r="E2165">
        <v>1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 t="s">
        <v>3284</v>
      </c>
      <c r="M2165" t="s">
        <v>3296</v>
      </c>
      <c r="N2165" t="s">
        <v>3297</v>
      </c>
      <c r="O2165" t="s">
        <v>3298</v>
      </c>
      <c r="P2165" t="s">
        <v>3299</v>
      </c>
      <c r="Q2165" t="s">
        <v>4689</v>
      </c>
      <c r="R2165" t="s">
        <v>8610</v>
      </c>
    </row>
    <row r="2166" spans="1:18" x14ac:dyDescent="0.2">
      <c r="A2166">
        <v>2339232</v>
      </c>
      <c r="B2166" t="s">
        <v>8611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1</v>
      </c>
      <c r="J2166">
        <v>0</v>
      </c>
      <c r="K2166">
        <v>0</v>
      </c>
      <c r="L2166" t="s">
        <v>3284</v>
      </c>
      <c r="M2166" t="s">
        <v>3307</v>
      </c>
      <c r="N2166" t="s">
        <v>3308</v>
      </c>
      <c r="O2166" t="s">
        <v>7393</v>
      </c>
      <c r="P2166" t="s">
        <v>8612</v>
      </c>
      <c r="Q2166" t="s">
        <v>8613</v>
      </c>
      <c r="R2166" t="s">
        <v>8614</v>
      </c>
    </row>
    <row r="2167" spans="1:18" x14ac:dyDescent="0.2">
      <c r="A2167">
        <v>2338372</v>
      </c>
      <c r="B2167" t="s">
        <v>8615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1</v>
      </c>
      <c r="J2167">
        <v>1</v>
      </c>
      <c r="K2167">
        <v>1</v>
      </c>
      <c r="L2167" t="s">
        <v>3284</v>
      </c>
      <c r="M2167" t="s">
        <v>3327</v>
      </c>
      <c r="N2167" t="s">
        <v>3376</v>
      </c>
      <c r="O2167" t="s">
        <v>3377</v>
      </c>
      <c r="P2167" t="s">
        <v>3378</v>
      </c>
      <c r="Q2167" t="s">
        <v>3379</v>
      </c>
      <c r="R2167" t="s">
        <v>8616</v>
      </c>
    </row>
    <row r="2168" spans="1:18" x14ac:dyDescent="0.2">
      <c r="A2168">
        <v>2338327</v>
      </c>
      <c r="B2168" t="s">
        <v>8617</v>
      </c>
      <c r="C2168">
        <v>0</v>
      </c>
      <c r="D2168">
        <v>0</v>
      </c>
      <c r="E2168">
        <v>0</v>
      </c>
      <c r="F2168">
        <v>0</v>
      </c>
      <c r="G2168">
        <v>1</v>
      </c>
      <c r="H2168">
        <v>0</v>
      </c>
      <c r="I2168">
        <v>0</v>
      </c>
      <c r="J2168">
        <v>0</v>
      </c>
      <c r="K2168">
        <v>0</v>
      </c>
      <c r="L2168" t="s">
        <v>3284</v>
      </c>
      <c r="M2168" t="s">
        <v>3296</v>
      </c>
      <c r="N2168" t="s">
        <v>3343</v>
      </c>
      <c r="O2168" t="s">
        <v>3349</v>
      </c>
      <c r="P2168" t="s">
        <v>4285</v>
      </c>
      <c r="Q2168" t="s">
        <v>8618</v>
      </c>
      <c r="R2168" t="s">
        <v>8619</v>
      </c>
    </row>
    <row r="2169" spans="1:18" x14ac:dyDescent="0.2">
      <c r="A2169">
        <v>2321403</v>
      </c>
      <c r="B2169" t="s">
        <v>8620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2</v>
      </c>
      <c r="K2169">
        <v>0</v>
      </c>
      <c r="L2169" t="s">
        <v>3284</v>
      </c>
      <c r="M2169" t="s">
        <v>3391</v>
      </c>
      <c r="N2169" t="s">
        <v>3740</v>
      </c>
      <c r="O2169" t="s">
        <v>3741</v>
      </c>
      <c r="P2169" t="s">
        <v>8621</v>
      </c>
      <c r="Q2169" t="s">
        <v>8622</v>
      </c>
      <c r="R2169" t="s">
        <v>8623</v>
      </c>
    </row>
    <row r="2170" spans="1:18" x14ac:dyDescent="0.2">
      <c r="A2170">
        <v>2320868</v>
      </c>
      <c r="B2170" t="s">
        <v>8624</v>
      </c>
      <c r="C2170">
        <v>4</v>
      </c>
      <c r="D2170">
        <v>8</v>
      </c>
      <c r="E2170">
        <v>6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 t="s">
        <v>3284</v>
      </c>
      <c r="M2170" t="s">
        <v>3327</v>
      </c>
      <c r="N2170" t="s">
        <v>3328</v>
      </c>
      <c r="O2170" t="s">
        <v>3329</v>
      </c>
      <c r="P2170" t="s">
        <v>3330</v>
      </c>
      <c r="Q2170" t="s">
        <v>3331</v>
      </c>
      <c r="R2170" t="s">
        <v>8625</v>
      </c>
    </row>
    <row r="2171" spans="1:18" x14ac:dyDescent="0.2">
      <c r="A2171">
        <v>2320867</v>
      </c>
      <c r="B2171" t="s">
        <v>8626</v>
      </c>
      <c r="C2171">
        <v>0</v>
      </c>
      <c r="D2171">
        <v>0</v>
      </c>
      <c r="E2171">
        <v>0</v>
      </c>
      <c r="F2171">
        <v>0</v>
      </c>
      <c r="G2171">
        <v>1</v>
      </c>
      <c r="H2171">
        <v>0</v>
      </c>
      <c r="I2171">
        <v>0</v>
      </c>
      <c r="J2171">
        <v>0</v>
      </c>
      <c r="K2171">
        <v>0</v>
      </c>
      <c r="L2171" t="s">
        <v>3284</v>
      </c>
      <c r="M2171" t="s">
        <v>3296</v>
      </c>
      <c r="N2171" t="s">
        <v>3297</v>
      </c>
      <c r="O2171" t="s">
        <v>3434</v>
      </c>
      <c r="P2171" t="s">
        <v>3435</v>
      </c>
      <c r="Q2171" t="s">
        <v>3436</v>
      </c>
      <c r="R2171" t="s">
        <v>8627</v>
      </c>
    </row>
    <row r="2172" spans="1:18" x14ac:dyDescent="0.2">
      <c r="A2172">
        <v>2320866</v>
      </c>
      <c r="B2172" t="s">
        <v>8628</v>
      </c>
      <c r="C2172">
        <v>0</v>
      </c>
      <c r="D2172">
        <v>0</v>
      </c>
      <c r="E2172">
        <v>0</v>
      </c>
      <c r="F2172">
        <v>3</v>
      </c>
      <c r="G2172">
        <v>3</v>
      </c>
      <c r="H2172">
        <v>0</v>
      </c>
      <c r="I2172">
        <v>0</v>
      </c>
      <c r="J2172">
        <v>0</v>
      </c>
      <c r="K2172">
        <v>0</v>
      </c>
      <c r="L2172" t="s">
        <v>3284</v>
      </c>
      <c r="M2172" t="s">
        <v>3296</v>
      </c>
      <c r="N2172" t="s">
        <v>3297</v>
      </c>
      <c r="O2172" t="s">
        <v>3434</v>
      </c>
      <c r="P2172" t="s">
        <v>3435</v>
      </c>
      <c r="Q2172" t="s">
        <v>3436</v>
      </c>
      <c r="R2172" t="s">
        <v>8629</v>
      </c>
    </row>
    <row r="2173" spans="1:18" x14ac:dyDescent="0.2">
      <c r="A2173">
        <v>2320864</v>
      </c>
      <c r="B2173" t="s">
        <v>8630</v>
      </c>
      <c r="C2173">
        <v>0</v>
      </c>
      <c r="D2173">
        <v>0</v>
      </c>
      <c r="E2173">
        <v>0</v>
      </c>
      <c r="F2173">
        <v>2</v>
      </c>
      <c r="G2173">
        <v>0</v>
      </c>
      <c r="H2173">
        <v>0</v>
      </c>
      <c r="I2173">
        <v>0</v>
      </c>
      <c r="J2173">
        <v>0</v>
      </c>
      <c r="K2173">
        <v>0</v>
      </c>
      <c r="L2173" t="s">
        <v>3284</v>
      </c>
      <c r="M2173" t="s">
        <v>3296</v>
      </c>
      <c r="N2173" t="s">
        <v>3321</v>
      </c>
      <c r="O2173" t="s">
        <v>3322</v>
      </c>
      <c r="P2173" t="s">
        <v>3323</v>
      </c>
      <c r="Q2173" t="s">
        <v>3324</v>
      </c>
      <c r="R2173" t="s">
        <v>8631</v>
      </c>
    </row>
    <row r="2174" spans="1:18" x14ac:dyDescent="0.2">
      <c r="A2174">
        <v>2320861</v>
      </c>
      <c r="B2174" t="s">
        <v>8632</v>
      </c>
      <c r="C2174">
        <v>0</v>
      </c>
      <c r="D2174">
        <v>0</v>
      </c>
      <c r="E2174">
        <v>0</v>
      </c>
      <c r="F2174">
        <v>0</v>
      </c>
      <c r="G2174">
        <v>1</v>
      </c>
      <c r="H2174">
        <v>0</v>
      </c>
      <c r="I2174">
        <v>0</v>
      </c>
      <c r="J2174">
        <v>0</v>
      </c>
      <c r="K2174">
        <v>0</v>
      </c>
      <c r="L2174" t="s">
        <v>3284</v>
      </c>
      <c r="M2174" t="s">
        <v>3296</v>
      </c>
      <c r="N2174" t="s">
        <v>3343</v>
      </c>
      <c r="O2174" t="s">
        <v>3349</v>
      </c>
      <c r="P2174" t="s">
        <v>3350</v>
      </c>
      <c r="Q2174" t="s">
        <v>3580</v>
      </c>
      <c r="R2174" t="s">
        <v>8633</v>
      </c>
    </row>
    <row r="2175" spans="1:18" x14ac:dyDescent="0.2">
      <c r="A2175">
        <v>2320859</v>
      </c>
      <c r="B2175" t="s">
        <v>8634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2</v>
      </c>
      <c r="L2175" t="s">
        <v>3284</v>
      </c>
      <c r="M2175" t="s">
        <v>3296</v>
      </c>
      <c r="N2175" t="s">
        <v>3343</v>
      </c>
      <c r="O2175" t="s">
        <v>3429</v>
      </c>
      <c r="P2175" t="s">
        <v>4336</v>
      </c>
      <c r="Q2175" t="s">
        <v>8635</v>
      </c>
      <c r="R2175" t="s">
        <v>8636</v>
      </c>
    </row>
    <row r="2176" spans="1:18" x14ac:dyDescent="0.2">
      <c r="A2176">
        <v>2320850</v>
      </c>
      <c r="B2176" t="s">
        <v>8637</v>
      </c>
      <c r="C2176">
        <v>3</v>
      </c>
      <c r="D2176">
        <v>2</v>
      </c>
      <c r="E2176">
        <v>1</v>
      </c>
      <c r="F2176">
        <v>1</v>
      </c>
      <c r="G2176">
        <v>3</v>
      </c>
      <c r="H2176">
        <v>0</v>
      </c>
      <c r="I2176">
        <v>0</v>
      </c>
      <c r="J2176">
        <v>0</v>
      </c>
      <c r="K2176">
        <v>0</v>
      </c>
      <c r="L2176" t="s">
        <v>3284</v>
      </c>
      <c r="M2176" t="s">
        <v>3307</v>
      </c>
      <c r="N2176" t="s">
        <v>3308</v>
      </c>
      <c r="O2176" t="s">
        <v>3635</v>
      </c>
      <c r="P2176" t="s">
        <v>4011</v>
      </c>
      <c r="Q2176" t="s">
        <v>4471</v>
      </c>
      <c r="R2176" t="s">
        <v>8638</v>
      </c>
    </row>
    <row r="2177" spans="1:18" x14ac:dyDescent="0.2">
      <c r="A2177">
        <v>2320271</v>
      </c>
      <c r="B2177" t="s">
        <v>8639</v>
      </c>
      <c r="C2177">
        <v>0</v>
      </c>
      <c r="D2177">
        <v>0</v>
      </c>
      <c r="E2177">
        <v>0</v>
      </c>
      <c r="F2177">
        <v>1</v>
      </c>
      <c r="G2177">
        <v>0</v>
      </c>
      <c r="H2177">
        <v>0</v>
      </c>
      <c r="I2177">
        <v>0</v>
      </c>
      <c r="J2177">
        <v>0</v>
      </c>
      <c r="K2177">
        <v>0</v>
      </c>
      <c r="L2177" t="s">
        <v>3284</v>
      </c>
      <c r="M2177" t="s">
        <v>3296</v>
      </c>
      <c r="N2177" t="s">
        <v>3343</v>
      </c>
      <c r="O2177" t="s">
        <v>3344</v>
      </c>
      <c r="P2177" t="s">
        <v>4347</v>
      </c>
      <c r="Q2177" t="s">
        <v>6412</v>
      </c>
      <c r="R2177" t="s">
        <v>8640</v>
      </c>
    </row>
    <row r="2178" spans="1:18" x14ac:dyDescent="0.2">
      <c r="A2178">
        <v>2320100</v>
      </c>
      <c r="B2178" t="s">
        <v>8641</v>
      </c>
      <c r="C2178">
        <v>0</v>
      </c>
      <c r="D2178">
        <v>0</v>
      </c>
      <c r="E2178">
        <v>0</v>
      </c>
      <c r="F2178">
        <v>1</v>
      </c>
      <c r="G2178">
        <v>1</v>
      </c>
      <c r="H2178">
        <v>0</v>
      </c>
      <c r="I2178">
        <v>0</v>
      </c>
      <c r="J2178">
        <v>0</v>
      </c>
      <c r="K2178">
        <v>0</v>
      </c>
      <c r="L2178" t="s">
        <v>3284</v>
      </c>
      <c r="M2178" t="s">
        <v>3327</v>
      </c>
      <c r="N2178" t="s">
        <v>3328</v>
      </c>
      <c r="O2178" t="s">
        <v>4017</v>
      </c>
      <c r="P2178" t="s">
        <v>4018</v>
      </c>
      <c r="Q2178" t="s">
        <v>8642</v>
      </c>
      <c r="R2178" t="s">
        <v>8643</v>
      </c>
    </row>
    <row r="2179" spans="1:18" x14ac:dyDescent="0.2">
      <c r="A2179">
        <v>2316736</v>
      </c>
      <c r="B2179" t="s">
        <v>8644</v>
      </c>
      <c r="C2179">
        <v>0</v>
      </c>
      <c r="D2179">
        <v>0</v>
      </c>
      <c r="E2179">
        <v>0</v>
      </c>
      <c r="F2179">
        <v>1</v>
      </c>
      <c r="G2179">
        <v>0</v>
      </c>
      <c r="H2179">
        <v>0</v>
      </c>
      <c r="I2179">
        <v>0</v>
      </c>
      <c r="J2179">
        <v>0</v>
      </c>
      <c r="K2179">
        <v>0</v>
      </c>
      <c r="L2179" t="s">
        <v>3284</v>
      </c>
      <c r="M2179" t="s">
        <v>5163</v>
      </c>
      <c r="N2179" t="s">
        <v>5164</v>
      </c>
      <c r="O2179" t="s">
        <v>5165</v>
      </c>
      <c r="P2179" t="s">
        <v>5166</v>
      </c>
      <c r="Q2179" t="s">
        <v>8645</v>
      </c>
      <c r="R2179" t="s">
        <v>8646</v>
      </c>
    </row>
    <row r="2180" spans="1:18" x14ac:dyDescent="0.2">
      <c r="A2180">
        <v>2315841</v>
      </c>
      <c r="B2180" t="s">
        <v>8647</v>
      </c>
      <c r="C2180">
        <v>0</v>
      </c>
      <c r="D2180">
        <v>0</v>
      </c>
      <c r="E2180">
        <v>0</v>
      </c>
      <c r="F2180">
        <v>0</v>
      </c>
      <c r="G2180">
        <v>1</v>
      </c>
      <c r="H2180">
        <v>0</v>
      </c>
      <c r="I2180">
        <v>0</v>
      </c>
      <c r="J2180">
        <v>0</v>
      </c>
      <c r="K2180">
        <v>0</v>
      </c>
      <c r="L2180" t="s">
        <v>3284</v>
      </c>
      <c r="M2180" t="s">
        <v>3296</v>
      </c>
      <c r="N2180" t="s">
        <v>3321</v>
      </c>
      <c r="O2180" t="s">
        <v>3322</v>
      </c>
      <c r="P2180" t="s">
        <v>3671</v>
      </c>
      <c r="Q2180" t="s">
        <v>5595</v>
      </c>
      <c r="R2180" t="s">
        <v>8648</v>
      </c>
    </row>
    <row r="2181" spans="1:18" x14ac:dyDescent="0.2">
      <c r="A2181">
        <v>2315689</v>
      </c>
      <c r="B2181" t="s">
        <v>8649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1</v>
      </c>
      <c r="J2181">
        <v>0</v>
      </c>
      <c r="K2181">
        <v>0</v>
      </c>
      <c r="L2181" t="s">
        <v>3284</v>
      </c>
      <c r="M2181" t="s">
        <v>3296</v>
      </c>
      <c r="N2181" t="s">
        <v>3343</v>
      </c>
      <c r="O2181" t="s">
        <v>3349</v>
      </c>
      <c r="P2181" t="s">
        <v>3350</v>
      </c>
      <c r="Q2181" t="s">
        <v>3580</v>
      </c>
      <c r="R2181" t="s">
        <v>8650</v>
      </c>
    </row>
    <row r="2182" spans="1:18" x14ac:dyDescent="0.2">
      <c r="A2182">
        <v>2315688</v>
      </c>
      <c r="B2182" t="s">
        <v>8651</v>
      </c>
      <c r="C2182">
        <v>1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 t="s">
        <v>3284</v>
      </c>
      <c r="M2182" t="s">
        <v>3296</v>
      </c>
      <c r="N2182" t="s">
        <v>3321</v>
      </c>
      <c r="O2182" t="s">
        <v>3322</v>
      </c>
      <c r="P2182" t="s">
        <v>3398</v>
      </c>
      <c r="Q2182" t="s">
        <v>5801</v>
      </c>
      <c r="R2182" t="s">
        <v>8652</v>
      </c>
    </row>
    <row r="2183" spans="1:18" x14ac:dyDescent="0.2">
      <c r="A2183">
        <v>2315552</v>
      </c>
      <c r="B2183" t="s">
        <v>8653</v>
      </c>
      <c r="C2183">
        <v>3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 t="s">
        <v>3284</v>
      </c>
      <c r="M2183" t="s">
        <v>3327</v>
      </c>
      <c r="N2183" t="s">
        <v>3376</v>
      </c>
      <c r="O2183" t="s">
        <v>3377</v>
      </c>
      <c r="P2183" t="s">
        <v>3271</v>
      </c>
      <c r="Q2183" t="s">
        <v>3648</v>
      </c>
      <c r="R2183" t="s">
        <v>8654</v>
      </c>
    </row>
    <row r="2184" spans="1:18" x14ac:dyDescent="0.2">
      <c r="A2184">
        <v>2315236</v>
      </c>
      <c r="B2184" t="s">
        <v>8655</v>
      </c>
      <c r="C2184">
        <v>37</v>
      </c>
      <c r="D2184">
        <v>59</v>
      </c>
      <c r="E2184">
        <v>9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 t="s">
        <v>3284</v>
      </c>
      <c r="M2184" t="s">
        <v>3296</v>
      </c>
      <c r="N2184" t="s">
        <v>3321</v>
      </c>
      <c r="O2184" t="s">
        <v>3322</v>
      </c>
      <c r="P2184" t="s">
        <v>3671</v>
      </c>
      <c r="Q2184" t="s">
        <v>5316</v>
      </c>
      <c r="R2184" t="s">
        <v>8656</v>
      </c>
    </row>
    <row r="2185" spans="1:18" x14ac:dyDescent="0.2">
      <c r="A2185">
        <v>2307179</v>
      </c>
      <c r="B2185" t="s">
        <v>8657</v>
      </c>
      <c r="C2185">
        <v>1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 t="s">
        <v>3284</v>
      </c>
      <c r="M2185" t="s">
        <v>3296</v>
      </c>
      <c r="N2185" t="s">
        <v>3297</v>
      </c>
      <c r="O2185" t="s">
        <v>3271</v>
      </c>
      <c r="P2185" t="s">
        <v>8658</v>
      </c>
      <c r="Q2185" t="s">
        <v>8659</v>
      </c>
      <c r="R2185" t="s">
        <v>8660</v>
      </c>
    </row>
    <row r="2186" spans="1:18" x14ac:dyDescent="0.2">
      <c r="A2186">
        <v>2306993</v>
      </c>
      <c r="B2186" t="s">
        <v>8661</v>
      </c>
      <c r="C2186">
        <v>0</v>
      </c>
      <c r="D2186">
        <v>0</v>
      </c>
      <c r="E2186">
        <v>0</v>
      </c>
      <c r="F2186">
        <v>2</v>
      </c>
      <c r="G2186">
        <v>0</v>
      </c>
      <c r="H2186">
        <v>0</v>
      </c>
      <c r="I2186">
        <v>0</v>
      </c>
      <c r="J2186">
        <v>0</v>
      </c>
      <c r="K2186">
        <v>0</v>
      </c>
      <c r="L2186" t="s">
        <v>3284</v>
      </c>
      <c r="M2186" t="s">
        <v>3296</v>
      </c>
      <c r="N2186" t="s">
        <v>3343</v>
      </c>
      <c r="O2186" t="s">
        <v>3371</v>
      </c>
      <c r="P2186" t="s">
        <v>3271</v>
      </c>
      <c r="Q2186" t="s">
        <v>8662</v>
      </c>
      <c r="R2186" t="s">
        <v>8663</v>
      </c>
    </row>
    <row r="2187" spans="1:18" x14ac:dyDescent="0.2">
      <c r="A2187">
        <v>2306585</v>
      </c>
      <c r="B2187" t="s">
        <v>8664</v>
      </c>
      <c r="C2187">
        <v>0</v>
      </c>
      <c r="D2187">
        <v>0</v>
      </c>
      <c r="E2187">
        <v>0</v>
      </c>
      <c r="F2187">
        <v>6</v>
      </c>
      <c r="G2187">
        <v>7</v>
      </c>
      <c r="H2187">
        <v>0</v>
      </c>
      <c r="I2187">
        <v>0</v>
      </c>
      <c r="J2187">
        <v>0</v>
      </c>
      <c r="K2187">
        <v>1</v>
      </c>
      <c r="L2187" t="s">
        <v>3284</v>
      </c>
      <c r="M2187" t="s">
        <v>3307</v>
      </c>
      <c r="N2187" t="s">
        <v>3308</v>
      </c>
      <c r="O2187" t="s">
        <v>3359</v>
      </c>
      <c r="P2187" t="s">
        <v>3360</v>
      </c>
      <c r="Q2187" t="s">
        <v>4916</v>
      </c>
      <c r="R2187" t="s">
        <v>8665</v>
      </c>
    </row>
    <row r="2188" spans="1:18" x14ac:dyDescent="0.2">
      <c r="A2188">
        <v>2306583</v>
      </c>
      <c r="B2188" t="s">
        <v>8666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1</v>
      </c>
      <c r="J2188">
        <v>0</v>
      </c>
      <c r="K2188">
        <v>0</v>
      </c>
      <c r="L2188" t="s">
        <v>3284</v>
      </c>
      <c r="M2188" t="s">
        <v>3296</v>
      </c>
      <c r="N2188" t="s">
        <v>3297</v>
      </c>
      <c r="O2188" t="s">
        <v>4500</v>
      </c>
      <c r="P2188" t="s">
        <v>4501</v>
      </c>
      <c r="Q2188" t="s">
        <v>4822</v>
      </c>
      <c r="R2188" t="s">
        <v>8667</v>
      </c>
    </row>
    <row r="2189" spans="1:18" x14ac:dyDescent="0.2">
      <c r="A2189">
        <v>2306023</v>
      </c>
      <c r="B2189" t="s">
        <v>8668</v>
      </c>
      <c r="C2189">
        <v>1</v>
      </c>
      <c r="D2189">
        <v>1</v>
      </c>
      <c r="E2189">
        <v>1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 t="s">
        <v>3284</v>
      </c>
      <c r="M2189" t="s">
        <v>3296</v>
      </c>
      <c r="N2189" t="s">
        <v>3343</v>
      </c>
      <c r="O2189" t="s">
        <v>3371</v>
      </c>
      <c r="P2189" t="s">
        <v>3688</v>
      </c>
      <c r="Q2189" t="s">
        <v>4278</v>
      </c>
      <c r="R2189" t="s">
        <v>8669</v>
      </c>
    </row>
    <row r="2190" spans="1:18" x14ac:dyDescent="0.2">
      <c r="A2190">
        <v>2305909</v>
      </c>
      <c r="B2190" t="s">
        <v>8670</v>
      </c>
      <c r="C2190">
        <v>0</v>
      </c>
      <c r="D2190">
        <v>0</v>
      </c>
      <c r="E2190">
        <v>0</v>
      </c>
      <c r="F2190">
        <v>0</v>
      </c>
      <c r="G2190">
        <v>1</v>
      </c>
      <c r="H2190">
        <v>0</v>
      </c>
      <c r="I2190">
        <v>0</v>
      </c>
      <c r="J2190">
        <v>0</v>
      </c>
      <c r="K2190">
        <v>0</v>
      </c>
      <c r="L2190" t="s">
        <v>3284</v>
      </c>
      <c r="M2190" t="s">
        <v>3391</v>
      </c>
      <c r="N2190" t="s">
        <v>3392</v>
      </c>
      <c r="O2190" t="s">
        <v>3393</v>
      </c>
      <c r="P2190" t="s">
        <v>3394</v>
      </c>
      <c r="Q2190" t="s">
        <v>4082</v>
      </c>
      <c r="R2190" t="s">
        <v>8671</v>
      </c>
    </row>
    <row r="2191" spans="1:18" x14ac:dyDescent="0.2">
      <c r="A2191">
        <v>2305907</v>
      </c>
      <c r="B2191" t="s">
        <v>8672</v>
      </c>
      <c r="C2191">
        <v>0</v>
      </c>
      <c r="D2191">
        <v>0</v>
      </c>
      <c r="E2191">
        <v>0</v>
      </c>
      <c r="F2191">
        <v>1</v>
      </c>
      <c r="G2191">
        <v>0</v>
      </c>
      <c r="H2191">
        <v>0</v>
      </c>
      <c r="I2191">
        <v>0</v>
      </c>
      <c r="J2191">
        <v>0</v>
      </c>
      <c r="K2191">
        <v>0</v>
      </c>
      <c r="L2191" t="s">
        <v>3284</v>
      </c>
      <c r="M2191" t="s">
        <v>3296</v>
      </c>
      <c r="N2191" t="s">
        <v>3343</v>
      </c>
      <c r="O2191" t="s">
        <v>3349</v>
      </c>
      <c r="P2191" t="s">
        <v>3350</v>
      </c>
      <c r="Q2191" t="s">
        <v>3580</v>
      </c>
      <c r="R2191" t="s">
        <v>8673</v>
      </c>
    </row>
    <row r="2192" spans="1:18" x14ac:dyDescent="0.2">
      <c r="A2192">
        <v>2305446</v>
      </c>
      <c r="B2192" t="s">
        <v>8674</v>
      </c>
      <c r="C2192">
        <v>0</v>
      </c>
      <c r="D2192">
        <v>0</v>
      </c>
      <c r="E2192">
        <v>0</v>
      </c>
      <c r="F2192">
        <v>0</v>
      </c>
      <c r="G2192">
        <v>2</v>
      </c>
      <c r="H2192">
        <v>1</v>
      </c>
      <c r="I2192">
        <v>0</v>
      </c>
      <c r="J2192">
        <v>0</v>
      </c>
      <c r="K2192">
        <v>0</v>
      </c>
      <c r="L2192" t="s">
        <v>3284</v>
      </c>
      <c r="M2192" t="s">
        <v>3307</v>
      </c>
      <c r="N2192" t="s">
        <v>3308</v>
      </c>
      <c r="O2192" t="s">
        <v>3359</v>
      </c>
      <c r="P2192" t="s">
        <v>3360</v>
      </c>
      <c r="Q2192" t="s">
        <v>3361</v>
      </c>
      <c r="R2192" t="s">
        <v>8675</v>
      </c>
    </row>
    <row r="2193" spans="1:18" x14ac:dyDescent="0.2">
      <c r="A2193">
        <v>2305445</v>
      </c>
      <c r="B2193" t="s">
        <v>8676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1</v>
      </c>
      <c r="L2193" t="s">
        <v>3284</v>
      </c>
      <c r="M2193" t="s">
        <v>3307</v>
      </c>
      <c r="N2193" t="s">
        <v>3308</v>
      </c>
      <c r="O2193" t="s">
        <v>3359</v>
      </c>
      <c r="P2193" t="s">
        <v>3360</v>
      </c>
      <c r="Q2193" t="s">
        <v>3361</v>
      </c>
      <c r="R2193" t="s">
        <v>8677</v>
      </c>
    </row>
    <row r="2194" spans="1:18" x14ac:dyDescent="0.2">
      <c r="A2194">
        <v>2305252</v>
      </c>
      <c r="B2194" t="s">
        <v>8678</v>
      </c>
      <c r="C2194">
        <v>1</v>
      </c>
      <c r="D2194">
        <v>0</v>
      </c>
      <c r="E2194">
        <v>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 t="s">
        <v>3284</v>
      </c>
      <c r="M2194" t="s">
        <v>3296</v>
      </c>
      <c r="N2194" t="s">
        <v>3343</v>
      </c>
      <c r="O2194" t="s">
        <v>3371</v>
      </c>
      <c r="P2194" t="s">
        <v>3688</v>
      </c>
      <c r="Q2194" t="s">
        <v>4314</v>
      </c>
      <c r="R2194" t="s">
        <v>8679</v>
      </c>
    </row>
    <row r="2195" spans="1:18" x14ac:dyDescent="0.2">
      <c r="A2195">
        <v>2305228</v>
      </c>
      <c r="B2195" t="s">
        <v>8680</v>
      </c>
      <c r="C2195">
        <v>0</v>
      </c>
      <c r="D2195">
        <v>1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 t="s">
        <v>3284</v>
      </c>
      <c r="M2195" t="s">
        <v>3391</v>
      </c>
      <c r="N2195" t="s">
        <v>3411</v>
      </c>
      <c r="O2195" t="s">
        <v>3412</v>
      </c>
      <c r="P2195" t="s">
        <v>3564</v>
      </c>
      <c r="Q2195" t="s">
        <v>3803</v>
      </c>
      <c r="R2195" t="s">
        <v>8681</v>
      </c>
    </row>
    <row r="2196" spans="1:18" x14ac:dyDescent="0.2">
      <c r="A2196">
        <v>2304677</v>
      </c>
      <c r="B2196" t="s">
        <v>8682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1</v>
      </c>
      <c r="J2196">
        <v>0</v>
      </c>
      <c r="K2196">
        <v>0</v>
      </c>
      <c r="L2196" t="s">
        <v>3284</v>
      </c>
      <c r="M2196" t="s">
        <v>3307</v>
      </c>
      <c r="N2196" t="s">
        <v>3308</v>
      </c>
      <c r="O2196" t="s">
        <v>3359</v>
      </c>
      <c r="P2196" t="s">
        <v>3360</v>
      </c>
      <c r="Q2196" t="s">
        <v>5690</v>
      </c>
      <c r="R2196" t="s">
        <v>8683</v>
      </c>
    </row>
    <row r="2197" spans="1:18" x14ac:dyDescent="0.2">
      <c r="A2197">
        <v>2304196</v>
      </c>
      <c r="B2197" t="s">
        <v>8684</v>
      </c>
      <c r="C2197">
        <v>3</v>
      </c>
      <c r="D2197">
        <v>4</v>
      </c>
      <c r="E2197">
        <v>38</v>
      </c>
      <c r="F2197">
        <v>4</v>
      </c>
      <c r="G2197">
        <v>4</v>
      </c>
      <c r="H2197">
        <v>21</v>
      </c>
      <c r="I2197">
        <v>7</v>
      </c>
      <c r="J2197">
        <v>5</v>
      </c>
      <c r="K2197">
        <v>37</v>
      </c>
      <c r="L2197" t="s">
        <v>3284</v>
      </c>
      <c r="M2197" t="s">
        <v>4022</v>
      </c>
      <c r="N2197" t="s">
        <v>4023</v>
      </c>
      <c r="O2197" t="s">
        <v>4289</v>
      </c>
      <c r="P2197" t="s">
        <v>4290</v>
      </c>
      <c r="Q2197" t="s">
        <v>4291</v>
      </c>
      <c r="R2197" t="s">
        <v>8685</v>
      </c>
    </row>
    <row r="2198" spans="1:18" x14ac:dyDescent="0.2">
      <c r="A2198">
        <v>2303991</v>
      </c>
      <c r="B2198" t="s">
        <v>8686</v>
      </c>
      <c r="C2198">
        <v>1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 t="s">
        <v>3284</v>
      </c>
      <c r="M2198" t="s">
        <v>3327</v>
      </c>
      <c r="N2198" t="s">
        <v>3376</v>
      </c>
      <c r="O2198" t="s">
        <v>3377</v>
      </c>
      <c r="P2198" t="s">
        <v>3378</v>
      </c>
      <c r="Q2198" t="s">
        <v>3491</v>
      </c>
      <c r="R2198" t="s">
        <v>8687</v>
      </c>
    </row>
    <row r="2199" spans="1:18" x14ac:dyDescent="0.2">
      <c r="A2199">
        <v>2303749</v>
      </c>
      <c r="B2199" t="s">
        <v>8688</v>
      </c>
      <c r="C2199">
        <v>0</v>
      </c>
      <c r="D2199">
        <v>0</v>
      </c>
      <c r="E2199">
        <v>0</v>
      </c>
      <c r="F2199">
        <v>5</v>
      </c>
      <c r="G2199">
        <v>6</v>
      </c>
      <c r="H2199">
        <v>1</v>
      </c>
      <c r="I2199">
        <v>8</v>
      </c>
      <c r="J2199">
        <v>3</v>
      </c>
      <c r="K2199">
        <v>0</v>
      </c>
      <c r="L2199" t="s">
        <v>3284</v>
      </c>
      <c r="M2199" t="s">
        <v>3296</v>
      </c>
      <c r="N2199" t="s">
        <v>3343</v>
      </c>
      <c r="O2199" t="s">
        <v>3344</v>
      </c>
      <c r="P2199" t="s">
        <v>3355</v>
      </c>
      <c r="Q2199" t="s">
        <v>3846</v>
      </c>
      <c r="R2199" t="s">
        <v>8689</v>
      </c>
    </row>
    <row r="2200" spans="1:18" x14ac:dyDescent="0.2">
      <c r="A2200">
        <v>2303333</v>
      </c>
      <c r="B2200" t="s">
        <v>8690</v>
      </c>
      <c r="C2200">
        <v>0</v>
      </c>
      <c r="D2200">
        <v>0</v>
      </c>
      <c r="E2200">
        <v>0</v>
      </c>
      <c r="F2200">
        <v>0</v>
      </c>
      <c r="G2200">
        <v>3</v>
      </c>
      <c r="H2200">
        <v>0</v>
      </c>
      <c r="I2200">
        <v>0</v>
      </c>
      <c r="J2200">
        <v>0</v>
      </c>
      <c r="K2200">
        <v>0</v>
      </c>
      <c r="L2200" t="s">
        <v>3284</v>
      </c>
      <c r="M2200" t="s">
        <v>3391</v>
      </c>
      <c r="N2200" t="s">
        <v>3392</v>
      </c>
      <c r="O2200" t="s">
        <v>3393</v>
      </c>
      <c r="P2200" t="s">
        <v>3394</v>
      </c>
      <c r="Q2200" t="s">
        <v>4082</v>
      </c>
      <c r="R2200" t="s">
        <v>8691</v>
      </c>
    </row>
    <row r="2201" spans="1:18" x14ac:dyDescent="0.2">
      <c r="A2201">
        <v>2302957</v>
      </c>
      <c r="B2201" t="s">
        <v>8692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1</v>
      </c>
      <c r="J2201">
        <v>0</v>
      </c>
      <c r="K2201">
        <v>0</v>
      </c>
      <c r="L2201" t="s">
        <v>3284</v>
      </c>
      <c r="M2201" t="s">
        <v>3327</v>
      </c>
      <c r="N2201" t="s">
        <v>3328</v>
      </c>
      <c r="O2201" t="s">
        <v>3329</v>
      </c>
      <c r="P2201" t="s">
        <v>4620</v>
      </c>
      <c r="Q2201" t="s">
        <v>8693</v>
      </c>
      <c r="R2201" t="s">
        <v>8694</v>
      </c>
    </row>
    <row r="2202" spans="1:18" x14ac:dyDescent="0.2">
      <c r="A2202">
        <v>2293570</v>
      </c>
      <c r="B2202" t="s">
        <v>8695</v>
      </c>
      <c r="C2202">
        <v>0</v>
      </c>
      <c r="D2202">
        <v>0</v>
      </c>
      <c r="E2202">
        <v>0</v>
      </c>
      <c r="F2202">
        <v>3</v>
      </c>
      <c r="G2202">
        <v>4</v>
      </c>
      <c r="H2202">
        <v>0</v>
      </c>
      <c r="I2202">
        <v>0</v>
      </c>
      <c r="J2202">
        <v>0</v>
      </c>
      <c r="K2202">
        <v>0</v>
      </c>
      <c r="L2202" t="s">
        <v>3284</v>
      </c>
      <c r="M2202" t="s">
        <v>3307</v>
      </c>
      <c r="N2202" t="s">
        <v>3308</v>
      </c>
      <c r="O2202" t="s">
        <v>3359</v>
      </c>
      <c r="P2202" t="s">
        <v>3360</v>
      </c>
      <c r="Q2202" t="s">
        <v>3361</v>
      </c>
      <c r="R2202" t="s">
        <v>8696</v>
      </c>
    </row>
    <row r="2203" spans="1:18" x14ac:dyDescent="0.2">
      <c r="A2203">
        <v>2293329</v>
      </c>
      <c r="B2203" t="s">
        <v>8697</v>
      </c>
      <c r="C2203">
        <v>0</v>
      </c>
      <c r="D2203">
        <v>1</v>
      </c>
      <c r="E2203">
        <v>1</v>
      </c>
      <c r="F2203">
        <v>0</v>
      </c>
      <c r="G2203">
        <v>0</v>
      </c>
      <c r="H2203">
        <v>0</v>
      </c>
      <c r="I2203">
        <v>71</v>
      </c>
      <c r="J2203">
        <v>26</v>
      </c>
      <c r="K2203">
        <v>60</v>
      </c>
      <c r="L2203" t="s">
        <v>3284</v>
      </c>
      <c r="M2203" t="s">
        <v>3327</v>
      </c>
      <c r="N2203" t="s">
        <v>3376</v>
      </c>
      <c r="O2203" t="s">
        <v>3377</v>
      </c>
      <c r="P2203" t="s">
        <v>3378</v>
      </c>
      <c r="Q2203" t="s">
        <v>3379</v>
      </c>
      <c r="R2203" t="s">
        <v>8698</v>
      </c>
    </row>
    <row r="2204" spans="1:18" x14ac:dyDescent="0.2">
      <c r="A2204">
        <v>2293324</v>
      </c>
      <c r="B2204" t="s">
        <v>8699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21</v>
      </c>
      <c r="J2204">
        <v>2</v>
      </c>
      <c r="K2204">
        <v>12</v>
      </c>
      <c r="L2204" t="s">
        <v>3284</v>
      </c>
      <c r="M2204" t="s">
        <v>3327</v>
      </c>
      <c r="N2204" t="s">
        <v>3376</v>
      </c>
      <c r="O2204" t="s">
        <v>3377</v>
      </c>
      <c r="P2204" t="s">
        <v>3378</v>
      </c>
      <c r="Q2204" t="s">
        <v>3379</v>
      </c>
      <c r="R2204" t="s">
        <v>8700</v>
      </c>
    </row>
    <row r="2205" spans="1:18" x14ac:dyDescent="0.2">
      <c r="A2205">
        <v>2293321</v>
      </c>
      <c r="B2205" t="s">
        <v>8701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150</v>
      </c>
      <c r="J2205">
        <v>57</v>
      </c>
      <c r="K2205">
        <v>124</v>
      </c>
      <c r="L2205" t="s">
        <v>3284</v>
      </c>
      <c r="M2205" t="s">
        <v>3327</v>
      </c>
      <c r="N2205" t="s">
        <v>3376</v>
      </c>
      <c r="O2205" t="s">
        <v>3377</v>
      </c>
      <c r="P2205" t="s">
        <v>3378</v>
      </c>
      <c r="Q2205" t="s">
        <v>3379</v>
      </c>
      <c r="R2205" t="s">
        <v>8702</v>
      </c>
    </row>
    <row r="2206" spans="1:18" x14ac:dyDescent="0.2">
      <c r="A2206">
        <v>2293320</v>
      </c>
      <c r="B2206" t="s">
        <v>8703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114</v>
      </c>
      <c r="J2206">
        <v>52</v>
      </c>
      <c r="K2206">
        <v>105</v>
      </c>
      <c r="L2206" t="s">
        <v>3284</v>
      </c>
      <c r="M2206" t="s">
        <v>3327</v>
      </c>
      <c r="N2206" t="s">
        <v>3376</v>
      </c>
      <c r="O2206" t="s">
        <v>3377</v>
      </c>
      <c r="P2206" t="s">
        <v>3378</v>
      </c>
      <c r="Q2206" t="s">
        <v>3379</v>
      </c>
      <c r="R2206" t="s">
        <v>8704</v>
      </c>
    </row>
    <row r="2207" spans="1:18" x14ac:dyDescent="0.2">
      <c r="A2207">
        <v>2293254</v>
      </c>
      <c r="B2207" t="s">
        <v>8705</v>
      </c>
      <c r="C2207">
        <v>0</v>
      </c>
      <c r="D2207">
        <v>0</v>
      </c>
      <c r="E2207">
        <v>0</v>
      </c>
      <c r="F2207">
        <v>1</v>
      </c>
      <c r="G2207">
        <v>0</v>
      </c>
      <c r="H2207">
        <v>0</v>
      </c>
      <c r="I2207">
        <v>0</v>
      </c>
      <c r="J2207">
        <v>0</v>
      </c>
      <c r="K2207">
        <v>0</v>
      </c>
      <c r="L2207" t="s">
        <v>3284</v>
      </c>
      <c r="M2207" t="s">
        <v>3296</v>
      </c>
      <c r="N2207" t="s">
        <v>3297</v>
      </c>
      <c r="O2207" t="s">
        <v>3469</v>
      </c>
      <c r="P2207" t="s">
        <v>3470</v>
      </c>
      <c r="Q2207" t="s">
        <v>4417</v>
      </c>
      <c r="R2207" t="s">
        <v>8706</v>
      </c>
    </row>
    <row r="2208" spans="1:18" x14ac:dyDescent="0.2">
      <c r="A2208">
        <v>2293138</v>
      </c>
      <c r="B2208" t="s">
        <v>8707</v>
      </c>
      <c r="C2208">
        <v>0</v>
      </c>
      <c r="D2208">
        <v>1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 t="s">
        <v>3284</v>
      </c>
      <c r="M2208" t="s">
        <v>3327</v>
      </c>
      <c r="N2208" t="s">
        <v>3328</v>
      </c>
      <c r="O2208" t="s">
        <v>4017</v>
      </c>
      <c r="P2208" t="s">
        <v>4018</v>
      </c>
      <c r="Q2208" t="s">
        <v>8708</v>
      </c>
      <c r="R2208" t="s">
        <v>8709</v>
      </c>
    </row>
    <row r="2209" spans="1:18" x14ac:dyDescent="0.2">
      <c r="A2209">
        <v>2292705</v>
      </c>
      <c r="B2209" t="s">
        <v>8710</v>
      </c>
      <c r="C2209">
        <v>0</v>
      </c>
      <c r="D2209">
        <v>0</v>
      </c>
      <c r="E2209">
        <v>0</v>
      </c>
      <c r="F2209">
        <v>1</v>
      </c>
      <c r="G2209">
        <v>0</v>
      </c>
      <c r="H2209">
        <v>0</v>
      </c>
      <c r="I2209">
        <v>0</v>
      </c>
      <c r="J2209">
        <v>0</v>
      </c>
      <c r="K2209">
        <v>0</v>
      </c>
      <c r="L2209" t="s">
        <v>3284</v>
      </c>
      <c r="M2209" t="s">
        <v>3327</v>
      </c>
      <c r="N2209" t="s">
        <v>3376</v>
      </c>
      <c r="O2209" t="s">
        <v>3377</v>
      </c>
      <c r="P2209" t="s">
        <v>3604</v>
      </c>
      <c r="Q2209" t="s">
        <v>3668</v>
      </c>
      <c r="R2209" t="s">
        <v>8711</v>
      </c>
    </row>
    <row r="2210" spans="1:18" x14ac:dyDescent="0.2">
      <c r="A2210">
        <v>2292443</v>
      </c>
      <c r="B2210" t="s">
        <v>8712</v>
      </c>
      <c r="C2210">
        <v>0</v>
      </c>
      <c r="D2210">
        <v>0</v>
      </c>
      <c r="E2210">
        <v>0</v>
      </c>
      <c r="F2210">
        <v>0</v>
      </c>
      <c r="G2210">
        <v>1</v>
      </c>
      <c r="H2210">
        <v>0</v>
      </c>
      <c r="I2210">
        <v>0</v>
      </c>
      <c r="J2210">
        <v>0</v>
      </c>
      <c r="K2210">
        <v>0</v>
      </c>
      <c r="L2210" t="s">
        <v>3284</v>
      </c>
      <c r="M2210" t="s">
        <v>3296</v>
      </c>
      <c r="N2210" t="s">
        <v>3343</v>
      </c>
      <c r="O2210" t="s">
        <v>3344</v>
      </c>
      <c r="P2210" t="s">
        <v>3355</v>
      </c>
      <c r="Q2210" t="s">
        <v>3546</v>
      </c>
      <c r="R2210" t="s">
        <v>8713</v>
      </c>
    </row>
    <row r="2211" spans="1:18" x14ac:dyDescent="0.2">
      <c r="A2211">
        <v>2292355</v>
      </c>
      <c r="B2211" t="s">
        <v>8714</v>
      </c>
      <c r="C2211">
        <v>1</v>
      </c>
      <c r="D2211">
        <v>1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 t="s">
        <v>3284</v>
      </c>
      <c r="M2211" t="s">
        <v>3327</v>
      </c>
      <c r="N2211" t="s">
        <v>3376</v>
      </c>
      <c r="O2211" t="s">
        <v>3377</v>
      </c>
      <c r="P2211" t="s">
        <v>3271</v>
      </c>
      <c r="Q2211" t="s">
        <v>3648</v>
      </c>
      <c r="R2211" t="s">
        <v>8715</v>
      </c>
    </row>
    <row r="2212" spans="1:18" x14ac:dyDescent="0.2">
      <c r="A2212">
        <v>2292307</v>
      </c>
      <c r="B2212" t="s">
        <v>8716</v>
      </c>
      <c r="C2212">
        <v>1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 t="s">
        <v>3284</v>
      </c>
      <c r="M2212" t="s">
        <v>3327</v>
      </c>
      <c r="N2212" t="s">
        <v>3328</v>
      </c>
      <c r="O2212" t="s">
        <v>3329</v>
      </c>
      <c r="P2212" t="s">
        <v>3330</v>
      </c>
      <c r="Q2212" t="s">
        <v>3331</v>
      </c>
      <c r="R2212" t="s">
        <v>8717</v>
      </c>
    </row>
    <row r="2213" spans="1:18" x14ac:dyDescent="0.2">
      <c r="A2213">
        <v>2292265</v>
      </c>
      <c r="B2213" t="s">
        <v>8718</v>
      </c>
      <c r="C2213">
        <v>0</v>
      </c>
      <c r="D2213">
        <v>0</v>
      </c>
      <c r="E2213">
        <v>0</v>
      </c>
      <c r="F2213">
        <v>1</v>
      </c>
      <c r="G2213">
        <v>0</v>
      </c>
      <c r="H2213">
        <v>0</v>
      </c>
      <c r="I2213">
        <v>0</v>
      </c>
      <c r="J2213">
        <v>0</v>
      </c>
      <c r="K2213">
        <v>0</v>
      </c>
      <c r="L2213" t="s">
        <v>3284</v>
      </c>
      <c r="M2213" t="s">
        <v>3296</v>
      </c>
      <c r="N2213" t="s">
        <v>3321</v>
      </c>
      <c r="O2213" t="s">
        <v>3322</v>
      </c>
      <c r="P2213" t="s">
        <v>3423</v>
      </c>
      <c r="Q2213" t="s">
        <v>6541</v>
      </c>
      <c r="R2213" t="s">
        <v>8719</v>
      </c>
    </row>
    <row r="2214" spans="1:18" x14ac:dyDescent="0.2">
      <c r="A2214">
        <v>2292046</v>
      </c>
      <c r="B2214" t="s">
        <v>8720</v>
      </c>
      <c r="C2214">
        <v>1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 t="s">
        <v>3284</v>
      </c>
      <c r="M2214" t="s">
        <v>3327</v>
      </c>
      <c r="N2214" t="s">
        <v>3328</v>
      </c>
      <c r="O2214" t="s">
        <v>4017</v>
      </c>
      <c r="P2214" t="s">
        <v>4018</v>
      </c>
      <c r="Q2214" t="s">
        <v>8721</v>
      </c>
      <c r="R2214" t="s">
        <v>8722</v>
      </c>
    </row>
    <row r="2215" spans="1:18" x14ac:dyDescent="0.2">
      <c r="A2215">
        <v>2290923</v>
      </c>
      <c r="B2215" t="s">
        <v>8723</v>
      </c>
      <c r="C2215">
        <v>0</v>
      </c>
      <c r="D2215">
        <v>1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 t="s">
        <v>3284</v>
      </c>
      <c r="M2215" t="s">
        <v>3296</v>
      </c>
      <c r="N2215" t="s">
        <v>3321</v>
      </c>
      <c r="O2215" t="s">
        <v>5306</v>
      </c>
      <c r="P2215" t="s">
        <v>5610</v>
      </c>
      <c r="Q2215" t="s">
        <v>8724</v>
      </c>
      <c r="R2215" t="s">
        <v>8725</v>
      </c>
    </row>
    <row r="2216" spans="1:18" x14ac:dyDescent="0.2">
      <c r="A2216">
        <v>2283636</v>
      </c>
      <c r="B2216" t="s">
        <v>8726</v>
      </c>
      <c r="C2216">
        <v>0</v>
      </c>
      <c r="D2216">
        <v>1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 t="s">
        <v>3284</v>
      </c>
      <c r="M2216" t="s">
        <v>3296</v>
      </c>
      <c r="N2216" t="s">
        <v>3297</v>
      </c>
      <c r="O2216" t="s">
        <v>7551</v>
      </c>
      <c r="P2216" t="s">
        <v>7552</v>
      </c>
      <c r="Q2216" t="s">
        <v>8727</v>
      </c>
      <c r="R2216" t="s">
        <v>8728</v>
      </c>
    </row>
    <row r="2217" spans="1:18" x14ac:dyDescent="0.2">
      <c r="A2217">
        <v>2282649</v>
      </c>
      <c r="B2217" t="s">
        <v>8729</v>
      </c>
      <c r="C2217">
        <v>0</v>
      </c>
      <c r="D2217">
        <v>0</v>
      </c>
      <c r="E2217">
        <v>0</v>
      </c>
      <c r="F2217">
        <v>1</v>
      </c>
      <c r="G2217">
        <v>1</v>
      </c>
      <c r="H2217">
        <v>0</v>
      </c>
      <c r="I2217">
        <v>0</v>
      </c>
      <c r="J2217">
        <v>0</v>
      </c>
      <c r="K2217">
        <v>0</v>
      </c>
      <c r="L2217" t="s">
        <v>3284</v>
      </c>
      <c r="M2217" t="s">
        <v>3391</v>
      </c>
      <c r="N2217" t="s">
        <v>4129</v>
      </c>
      <c r="O2217" t="s">
        <v>4130</v>
      </c>
      <c r="P2217" t="s">
        <v>4131</v>
      </c>
      <c r="Q2217" t="s">
        <v>4132</v>
      </c>
      <c r="R2217" t="s">
        <v>8730</v>
      </c>
    </row>
    <row r="2218" spans="1:18" x14ac:dyDescent="0.2">
      <c r="A2218">
        <v>2282421</v>
      </c>
      <c r="B2218" t="s">
        <v>8731</v>
      </c>
      <c r="C2218">
        <v>2</v>
      </c>
      <c r="D2218">
        <v>0</v>
      </c>
      <c r="E2218">
        <v>0</v>
      </c>
      <c r="F2218">
        <v>6</v>
      </c>
      <c r="G2218">
        <v>1</v>
      </c>
      <c r="H2218">
        <v>0</v>
      </c>
      <c r="I2218">
        <v>0</v>
      </c>
      <c r="J2218">
        <v>0</v>
      </c>
      <c r="K2218">
        <v>0</v>
      </c>
      <c r="L2218" t="s">
        <v>3284</v>
      </c>
      <c r="M2218" t="s">
        <v>3391</v>
      </c>
      <c r="N2218" t="s">
        <v>3392</v>
      </c>
      <c r="O2218" t="s">
        <v>3393</v>
      </c>
      <c r="P2218" t="s">
        <v>3394</v>
      </c>
      <c r="Q2218" t="s">
        <v>3395</v>
      </c>
      <c r="R2218" t="s">
        <v>8732</v>
      </c>
    </row>
    <row r="2219" spans="1:18" x14ac:dyDescent="0.2">
      <c r="A2219">
        <v>2268087</v>
      </c>
      <c r="B2219" t="s">
        <v>8733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1</v>
      </c>
      <c r="J2219">
        <v>0</v>
      </c>
      <c r="K2219">
        <v>0</v>
      </c>
      <c r="L2219" t="s">
        <v>3284</v>
      </c>
      <c r="M2219" t="s">
        <v>3296</v>
      </c>
      <c r="N2219" t="s">
        <v>3321</v>
      </c>
      <c r="O2219" t="s">
        <v>3322</v>
      </c>
      <c r="P2219" t="s">
        <v>3398</v>
      </c>
      <c r="Q2219" t="s">
        <v>4593</v>
      </c>
      <c r="R2219" t="s">
        <v>8734</v>
      </c>
    </row>
    <row r="2220" spans="1:18" x14ac:dyDescent="0.2">
      <c r="A2220">
        <v>2268027</v>
      </c>
      <c r="B2220" t="s">
        <v>8735</v>
      </c>
      <c r="C2220">
        <v>0</v>
      </c>
      <c r="D2220">
        <v>0</v>
      </c>
      <c r="E2220">
        <v>0</v>
      </c>
      <c r="F2220">
        <v>0</v>
      </c>
      <c r="G2220">
        <v>1</v>
      </c>
      <c r="H2220">
        <v>0</v>
      </c>
      <c r="I2220">
        <v>0</v>
      </c>
      <c r="J2220">
        <v>0</v>
      </c>
      <c r="K2220">
        <v>0</v>
      </c>
      <c r="L2220" t="s">
        <v>3284</v>
      </c>
      <c r="M2220" t="s">
        <v>3296</v>
      </c>
      <c r="N2220" t="s">
        <v>3343</v>
      </c>
      <c r="O2220" t="s">
        <v>3344</v>
      </c>
      <c r="P2220" t="s">
        <v>3355</v>
      </c>
      <c r="Q2220" t="s">
        <v>4238</v>
      </c>
      <c r="R2220" t="s">
        <v>8736</v>
      </c>
    </row>
    <row r="2221" spans="1:18" x14ac:dyDescent="0.2">
      <c r="A2221">
        <v>2268026</v>
      </c>
      <c r="B2221" t="s">
        <v>8737</v>
      </c>
      <c r="C2221">
        <v>1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 t="s">
        <v>3284</v>
      </c>
      <c r="M2221" t="s">
        <v>3391</v>
      </c>
      <c r="N2221" t="s">
        <v>3740</v>
      </c>
      <c r="O2221" t="s">
        <v>3741</v>
      </c>
      <c r="P2221" t="s">
        <v>3742</v>
      </c>
      <c r="Q2221" t="s">
        <v>4997</v>
      </c>
      <c r="R2221" t="s">
        <v>8738</v>
      </c>
    </row>
    <row r="2222" spans="1:18" x14ac:dyDescent="0.2">
      <c r="A2222">
        <v>2267266</v>
      </c>
      <c r="B2222" t="s">
        <v>8739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1</v>
      </c>
      <c r="J2222">
        <v>0</v>
      </c>
      <c r="K2222">
        <v>0</v>
      </c>
      <c r="L2222" t="s">
        <v>3284</v>
      </c>
      <c r="M2222" t="s">
        <v>3296</v>
      </c>
      <c r="N2222" t="s">
        <v>3343</v>
      </c>
      <c r="O2222" t="s">
        <v>3344</v>
      </c>
      <c r="P2222" t="s">
        <v>3271</v>
      </c>
      <c r="Q2222" t="s">
        <v>8740</v>
      </c>
      <c r="R2222" t="s">
        <v>8741</v>
      </c>
    </row>
    <row r="2223" spans="1:18" x14ac:dyDescent="0.2">
      <c r="A2223">
        <v>2267253</v>
      </c>
      <c r="B2223" t="s">
        <v>8742</v>
      </c>
      <c r="C2223">
        <v>0</v>
      </c>
      <c r="D2223">
        <v>1</v>
      </c>
      <c r="E2223">
        <v>1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 t="s">
        <v>3284</v>
      </c>
      <c r="M2223" t="s">
        <v>3296</v>
      </c>
      <c r="N2223" t="s">
        <v>3297</v>
      </c>
      <c r="O2223" t="s">
        <v>8743</v>
      </c>
      <c r="P2223" t="s">
        <v>8744</v>
      </c>
      <c r="Q2223" t="s">
        <v>8745</v>
      </c>
      <c r="R2223" t="s">
        <v>8746</v>
      </c>
    </row>
    <row r="2224" spans="1:18" x14ac:dyDescent="0.2">
      <c r="A2224">
        <v>2267251</v>
      </c>
      <c r="B2224" t="s">
        <v>8747</v>
      </c>
      <c r="C2224">
        <v>0</v>
      </c>
      <c r="D2224">
        <v>0</v>
      </c>
      <c r="E2224">
        <v>0</v>
      </c>
      <c r="F2224">
        <v>0</v>
      </c>
      <c r="G2224">
        <v>1</v>
      </c>
      <c r="H2224">
        <v>0</v>
      </c>
      <c r="I2224">
        <v>0</v>
      </c>
      <c r="J2224">
        <v>0</v>
      </c>
      <c r="K2224">
        <v>0</v>
      </c>
      <c r="L2224" t="s">
        <v>3284</v>
      </c>
      <c r="M2224" t="s">
        <v>3307</v>
      </c>
      <c r="N2224" t="s">
        <v>3308</v>
      </c>
      <c r="O2224" t="s">
        <v>3635</v>
      </c>
      <c r="P2224" t="s">
        <v>4011</v>
      </c>
      <c r="Q2224" t="s">
        <v>4471</v>
      </c>
      <c r="R2224" t="s">
        <v>8748</v>
      </c>
    </row>
    <row r="2225" spans="1:18" x14ac:dyDescent="0.2">
      <c r="A2225">
        <v>2267246</v>
      </c>
      <c r="B2225" t="s">
        <v>8749</v>
      </c>
      <c r="C2225">
        <v>0</v>
      </c>
      <c r="D2225">
        <v>0</v>
      </c>
      <c r="E2225">
        <v>1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 t="s">
        <v>3284</v>
      </c>
      <c r="M2225" t="s">
        <v>3296</v>
      </c>
      <c r="N2225" t="s">
        <v>3297</v>
      </c>
      <c r="O2225" t="s">
        <v>3298</v>
      </c>
      <c r="P2225" t="s">
        <v>3826</v>
      </c>
      <c r="Q2225" t="s">
        <v>8750</v>
      </c>
      <c r="R2225" t="s">
        <v>8751</v>
      </c>
    </row>
    <row r="2226" spans="1:18" x14ac:dyDescent="0.2">
      <c r="A2226">
        <v>2259594</v>
      </c>
      <c r="B2226" t="s">
        <v>8752</v>
      </c>
      <c r="C2226">
        <v>0</v>
      </c>
      <c r="D2226">
        <v>0</v>
      </c>
      <c r="E2226">
        <v>0</v>
      </c>
      <c r="F2226">
        <v>0</v>
      </c>
      <c r="G2226">
        <v>1</v>
      </c>
      <c r="H2226">
        <v>0</v>
      </c>
      <c r="I2226">
        <v>0</v>
      </c>
      <c r="J2226">
        <v>0</v>
      </c>
      <c r="K2226">
        <v>0</v>
      </c>
      <c r="L2226" t="s">
        <v>3284</v>
      </c>
      <c r="M2226" t="s">
        <v>3391</v>
      </c>
      <c r="N2226" t="s">
        <v>3411</v>
      </c>
      <c r="O2226" t="s">
        <v>3412</v>
      </c>
      <c r="P2226" t="s">
        <v>3413</v>
      </c>
      <c r="Q2226" t="s">
        <v>3414</v>
      </c>
      <c r="R2226" t="s">
        <v>8753</v>
      </c>
    </row>
    <row r="2227" spans="1:18" x14ac:dyDescent="0.2">
      <c r="A2227">
        <v>2259170</v>
      </c>
      <c r="B2227" t="s">
        <v>8754</v>
      </c>
      <c r="C2227">
        <v>0</v>
      </c>
      <c r="D2227">
        <v>0</v>
      </c>
      <c r="E2227">
        <v>0</v>
      </c>
      <c r="F2227">
        <v>12</v>
      </c>
      <c r="G2227">
        <v>4</v>
      </c>
      <c r="H2227">
        <v>0</v>
      </c>
      <c r="I2227">
        <v>0</v>
      </c>
      <c r="J2227">
        <v>0</v>
      </c>
      <c r="K2227">
        <v>0</v>
      </c>
      <c r="L2227" t="s">
        <v>3284</v>
      </c>
      <c r="M2227" t="s">
        <v>3391</v>
      </c>
      <c r="N2227" t="s">
        <v>3392</v>
      </c>
      <c r="O2227" t="s">
        <v>3393</v>
      </c>
      <c r="P2227" t="s">
        <v>3394</v>
      </c>
      <c r="Q2227" t="s">
        <v>3395</v>
      </c>
      <c r="R2227" t="s">
        <v>8755</v>
      </c>
    </row>
    <row r="2228" spans="1:18" x14ac:dyDescent="0.2">
      <c r="A2228">
        <v>2259016</v>
      </c>
      <c r="B2228" t="s">
        <v>8756</v>
      </c>
      <c r="C2228">
        <v>0</v>
      </c>
      <c r="D2228">
        <v>1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 t="s">
        <v>3284</v>
      </c>
      <c r="M2228" t="s">
        <v>4628</v>
      </c>
      <c r="N2228" t="s">
        <v>4964</v>
      </c>
      <c r="O2228" t="s">
        <v>4965</v>
      </c>
      <c r="P2228" t="s">
        <v>4966</v>
      </c>
      <c r="Q2228" t="s">
        <v>4967</v>
      </c>
      <c r="R2228" t="s">
        <v>8757</v>
      </c>
    </row>
    <row r="2229" spans="1:18" x14ac:dyDescent="0.2">
      <c r="A2229">
        <v>2258962</v>
      </c>
      <c r="B2229" t="s">
        <v>8758</v>
      </c>
      <c r="C2229">
        <v>0</v>
      </c>
      <c r="D2229">
        <v>1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 t="s">
        <v>3284</v>
      </c>
      <c r="M2229" t="s">
        <v>3391</v>
      </c>
      <c r="N2229" t="s">
        <v>3411</v>
      </c>
      <c r="O2229" t="s">
        <v>3412</v>
      </c>
      <c r="P2229" t="s">
        <v>3564</v>
      </c>
      <c r="Q2229" t="s">
        <v>3803</v>
      </c>
      <c r="R2229" t="s">
        <v>8759</v>
      </c>
    </row>
    <row r="2230" spans="1:18" x14ac:dyDescent="0.2">
      <c r="A2230">
        <v>2250708</v>
      </c>
      <c r="B2230" t="s">
        <v>8760</v>
      </c>
      <c r="C2230">
        <v>0</v>
      </c>
      <c r="D2230">
        <v>2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 t="s">
        <v>3284</v>
      </c>
      <c r="M2230" t="s">
        <v>3296</v>
      </c>
      <c r="N2230" t="s">
        <v>3343</v>
      </c>
      <c r="O2230" t="s">
        <v>3371</v>
      </c>
      <c r="P2230" t="s">
        <v>3688</v>
      </c>
      <c r="Q2230" t="s">
        <v>7223</v>
      </c>
      <c r="R2230" t="s">
        <v>8761</v>
      </c>
    </row>
    <row r="2231" spans="1:18" x14ac:dyDescent="0.2">
      <c r="A2231">
        <v>2250594</v>
      </c>
      <c r="B2231" t="s">
        <v>8762</v>
      </c>
      <c r="C2231">
        <v>0</v>
      </c>
      <c r="D2231">
        <v>0</v>
      </c>
      <c r="E2231">
        <v>0</v>
      </c>
      <c r="F2231">
        <v>1</v>
      </c>
      <c r="G2231">
        <v>0</v>
      </c>
      <c r="H2231">
        <v>1</v>
      </c>
      <c r="I2231">
        <v>0</v>
      </c>
      <c r="J2231">
        <v>0</v>
      </c>
      <c r="K2231">
        <v>0</v>
      </c>
      <c r="L2231" t="s">
        <v>3284</v>
      </c>
      <c r="M2231" t="s">
        <v>3296</v>
      </c>
      <c r="N2231" t="s">
        <v>3343</v>
      </c>
      <c r="O2231" t="s">
        <v>3344</v>
      </c>
      <c r="P2231" t="s">
        <v>3355</v>
      </c>
      <c r="Q2231" t="s">
        <v>3846</v>
      </c>
      <c r="R2231" t="s">
        <v>8763</v>
      </c>
    </row>
    <row r="2232" spans="1:18" x14ac:dyDescent="0.2">
      <c r="A2232">
        <v>2249356</v>
      </c>
      <c r="B2232" t="s">
        <v>8764</v>
      </c>
      <c r="C2232">
        <v>0</v>
      </c>
      <c r="D2232">
        <v>0</v>
      </c>
      <c r="E2232">
        <v>0</v>
      </c>
      <c r="F2232">
        <v>5</v>
      </c>
      <c r="G2232">
        <v>3</v>
      </c>
      <c r="H2232">
        <v>0</v>
      </c>
      <c r="I2232">
        <v>0</v>
      </c>
      <c r="J2232">
        <v>0</v>
      </c>
      <c r="K2232">
        <v>0</v>
      </c>
      <c r="L2232" t="s">
        <v>3284</v>
      </c>
      <c r="M2232" t="s">
        <v>3391</v>
      </c>
      <c r="N2232" t="s">
        <v>3411</v>
      </c>
      <c r="O2232" t="s">
        <v>3412</v>
      </c>
      <c r="P2232" t="s">
        <v>3413</v>
      </c>
      <c r="Q2232" t="s">
        <v>3414</v>
      </c>
      <c r="R2232" t="s">
        <v>8765</v>
      </c>
    </row>
    <row r="2233" spans="1:18" x14ac:dyDescent="0.2">
      <c r="A2233">
        <v>2249214</v>
      </c>
      <c r="B2233" t="s">
        <v>8766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1</v>
      </c>
      <c r="J2233">
        <v>0</v>
      </c>
      <c r="K2233">
        <v>0</v>
      </c>
      <c r="L2233" t="s">
        <v>3284</v>
      </c>
      <c r="M2233" t="s">
        <v>3327</v>
      </c>
      <c r="N2233" t="s">
        <v>3376</v>
      </c>
      <c r="O2233" t="s">
        <v>3377</v>
      </c>
      <c r="P2233" t="s">
        <v>3378</v>
      </c>
      <c r="Q2233" t="s">
        <v>3379</v>
      </c>
      <c r="R2233" t="s">
        <v>8767</v>
      </c>
    </row>
    <row r="2234" spans="1:18" x14ac:dyDescent="0.2">
      <c r="A2234">
        <v>2248761</v>
      </c>
      <c r="B2234" t="s">
        <v>8768</v>
      </c>
      <c r="C2234">
        <v>1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 t="s">
        <v>3284</v>
      </c>
      <c r="M2234" t="s">
        <v>3296</v>
      </c>
      <c r="N2234" t="s">
        <v>3343</v>
      </c>
      <c r="O2234" t="s">
        <v>3344</v>
      </c>
      <c r="P2234" t="s">
        <v>3345</v>
      </c>
      <c r="Q2234" t="s">
        <v>8769</v>
      </c>
      <c r="R2234" t="s">
        <v>8770</v>
      </c>
    </row>
    <row r="2235" spans="1:18" x14ac:dyDescent="0.2">
      <c r="A2235">
        <v>2234000</v>
      </c>
      <c r="B2235" t="s">
        <v>8771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1</v>
      </c>
      <c r="J2235">
        <v>0</v>
      </c>
      <c r="K2235">
        <v>0</v>
      </c>
      <c r="L2235" t="s">
        <v>3284</v>
      </c>
      <c r="M2235" t="s">
        <v>3285</v>
      </c>
      <c r="N2235" t="s">
        <v>3314</v>
      </c>
      <c r="O2235" t="s">
        <v>3315</v>
      </c>
      <c r="P2235" t="s">
        <v>8772</v>
      </c>
      <c r="Q2235" t="s">
        <v>8773</v>
      </c>
      <c r="R2235" t="s">
        <v>8774</v>
      </c>
    </row>
    <row r="2236" spans="1:18" x14ac:dyDescent="0.2">
      <c r="A2236">
        <v>2233776</v>
      </c>
      <c r="B2236" t="s">
        <v>8775</v>
      </c>
      <c r="C2236">
        <v>0</v>
      </c>
      <c r="D2236">
        <v>1</v>
      </c>
      <c r="E2236">
        <v>0</v>
      </c>
      <c r="F2236">
        <v>0</v>
      </c>
      <c r="G2236">
        <v>0</v>
      </c>
      <c r="H2236">
        <v>0</v>
      </c>
      <c r="I2236">
        <v>1</v>
      </c>
      <c r="J2236">
        <v>0</v>
      </c>
      <c r="K2236">
        <v>0</v>
      </c>
      <c r="L2236" t="s">
        <v>3284</v>
      </c>
      <c r="M2236" t="s">
        <v>3391</v>
      </c>
      <c r="N2236" t="s">
        <v>3392</v>
      </c>
      <c r="O2236" t="s">
        <v>3393</v>
      </c>
      <c r="P2236" t="s">
        <v>3394</v>
      </c>
      <c r="Q2236" t="s">
        <v>3395</v>
      </c>
      <c r="R2236" t="s">
        <v>8776</v>
      </c>
    </row>
    <row r="2237" spans="1:18" x14ac:dyDescent="0.2">
      <c r="A2237">
        <v>2233533</v>
      </c>
      <c r="B2237" t="s">
        <v>8777</v>
      </c>
      <c r="C2237">
        <v>0</v>
      </c>
      <c r="D2237">
        <v>0</v>
      </c>
      <c r="E2237">
        <v>0</v>
      </c>
      <c r="F2237">
        <v>0</v>
      </c>
      <c r="G2237">
        <v>1</v>
      </c>
      <c r="H2237">
        <v>0</v>
      </c>
      <c r="I2237">
        <v>0</v>
      </c>
      <c r="J2237">
        <v>0</v>
      </c>
      <c r="K2237">
        <v>0</v>
      </c>
      <c r="L2237" t="s">
        <v>3284</v>
      </c>
      <c r="M2237" t="s">
        <v>3391</v>
      </c>
      <c r="N2237" t="s">
        <v>3411</v>
      </c>
      <c r="O2237" t="s">
        <v>3412</v>
      </c>
      <c r="P2237" t="s">
        <v>3413</v>
      </c>
      <c r="Q2237" t="s">
        <v>3414</v>
      </c>
      <c r="R2237" t="s">
        <v>8778</v>
      </c>
    </row>
    <row r="2238" spans="1:18" x14ac:dyDescent="0.2">
      <c r="A2238">
        <v>2231787</v>
      </c>
      <c r="B2238" t="s">
        <v>8779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1</v>
      </c>
      <c r="J2238">
        <v>0</v>
      </c>
      <c r="K2238">
        <v>0</v>
      </c>
      <c r="L2238" t="s">
        <v>3284</v>
      </c>
      <c r="M2238" t="s">
        <v>3307</v>
      </c>
      <c r="N2238" t="s">
        <v>3308</v>
      </c>
      <c r="O2238" t="s">
        <v>3949</v>
      </c>
      <c r="P2238" t="s">
        <v>8780</v>
      </c>
      <c r="Q2238" t="s">
        <v>8781</v>
      </c>
      <c r="R2238" t="s">
        <v>8782</v>
      </c>
    </row>
    <row r="2239" spans="1:18" x14ac:dyDescent="0.2">
      <c r="A2239">
        <v>2231112</v>
      </c>
      <c r="B2239" t="s">
        <v>8783</v>
      </c>
      <c r="C2239">
        <v>0</v>
      </c>
      <c r="D2239">
        <v>0</v>
      </c>
      <c r="E2239">
        <v>1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 t="s">
        <v>3284</v>
      </c>
      <c r="M2239" t="s">
        <v>4226</v>
      </c>
      <c r="N2239" t="s">
        <v>4227</v>
      </c>
      <c r="O2239" t="s">
        <v>4228</v>
      </c>
      <c r="P2239" t="s">
        <v>8784</v>
      </c>
      <c r="Q2239" t="s">
        <v>8785</v>
      </c>
      <c r="R2239" t="s">
        <v>8786</v>
      </c>
    </row>
    <row r="2240" spans="1:18" x14ac:dyDescent="0.2">
      <c r="A2240">
        <v>2231053</v>
      </c>
      <c r="B2240" t="s">
        <v>8787</v>
      </c>
      <c r="C2240">
        <v>0</v>
      </c>
      <c r="D2240">
        <v>0</v>
      </c>
      <c r="E2240">
        <v>0</v>
      </c>
      <c r="F2240">
        <v>7</v>
      </c>
      <c r="G2240">
        <v>5</v>
      </c>
      <c r="H2240">
        <v>0</v>
      </c>
      <c r="I2240">
        <v>7</v>
      </c>
      <c r="J2240">
        <v>2</v>
      </c>
      <c r="K2240">
        <v>0</v>
      </c>
      <c r="L2240" t="s">
        <v>3284</v>
      </c>
      <c r="M2240" t="s">
        <v>3285</v>
      </c>
      <c r="N2240" t="s">
        <v>3286</v>
      </c>
      <c r="O2240" t="s">
        <v>3287</v>
      </c>
      <c r="P2240" t="s">
        <v>3288</v>
      </c>
      <c r="Q2240" t="s">
        <v>3289</v>
      </c>
      <c r="R2240" t="s">
        <v>8788</v>
      </c>
    </row>
    <row r="2241" spans="1:18" x14ac:dyDescent="0.2">
      <c r="A2241">
        <v>2230885</v>
      </c>
      <c r="B2241" t="s">
        <v>8789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2</v>
      </c>
      <c r="K2241">
        <v>2</v>
      </c>
      <c r="L2241" t="s">
        <v>3284</v>
      </c>
      <c r="M2241" t="s">
        <v>3296</v>
      </c>
      <c r="N2241" t="s">
        <v>3343</v>
      </c>
      <c r="O2241" t="s">
        <v>3429</v>
      </c>
      <c r="P2241" t="s">
        <v>3430</v>
      </c>
      <c r="Q2241" t="s">
        <v>6052</v>
      </c>
      <c r="R2241" t="s">
        <v>8790</v>
      </c>
    </row>
    <row r="2242" spans="1:18" x14ac:dyDescent="0.2">
      <c r="A2242">
        <v>2220073</v>
      </c>
      <c r="B2242" t="s">
        <v>8791</v>
      </c>
      <c r="C2242">
        <v>0</v>
      </c>
      <c r="D2242">
        <v>0</v>
      </c>
      <c r="E2242">
        <v>0</v>
      </c>
      <c r="F2242">
        <v>4</v>
      </c>
      <c r="G2242">
        <v>2</v>
      </c>
      <c r="H2242">
        <v>0</v>
      </c>
      <c r="I2242">
        <v>29</v>
      </c>
      <c r="J2242">
        <v>11</v>
      </c>
      <c r="K2242">
        <v>0</v>
      </c>
      <c r="L2242" t="s">
        <v>3284</v>
      </c>
      <c r="M2242" t="s">
        <v>3285</v>
      </c>
      <c r="N2242" t="s">
        <v>3286</v>
      </c>
      <c r="O2242" t="s">
        <v>3287</v>
      </c>
      <c r="P2242" t="s">
        <v>3288</v>
      </c>
      <c r="Q2242" t="s">
        <v>3289</v>
      </c>
      <c r="R2242" t="s">
        <v>8792</v>
      </c>
    </row>
    <row r="2243" spans="1:18" x14ac:dyDescent="0.2">
      <c r="A2243">
        <v>2219864</v>
      </c>
      <c r="B2243" t="s">
        <v>8793</v>
      </c>
      <c r="C2243">
        <v>0</v>
      </c>
      <c r="D2243">
        <v>0</v>
      </c>
      <c r="E2243">
        <v>0</v>
      </c>
      <c r="F2243">
        <v>0</v>
      </c>
      <c r="G2243">
        <v>1</v>
      </c>
      <c r="H2243">
        <v>0</v>
      </c>
      <c r="I2243">
        <v>0</v>
      </c>
      <c r="J2243">
        <v>0</v>
      </c>
      <c r="K2243">
        <v>0</v>
      </c>
      <c r="L2243" t="s">
        <v>3284</v>
      </c>
      <c r="M2243" t="s">
        <v>3391</v>
      </c>
      <c r="N2243" t="s">
        <v>3411</v>
      </c>
      <c r="O2243" t="s">
        <v>3412</v>
      </c>
      <c r="P2243" t="s">
        <v>3413</v>
      </c>
      <c r="Q2243" t="s">
        <v>8794</v>
      </c>
      <c r="R2243" t="s">
        <v>8795</v>
      </c>
    </row>
    <row r="2244" spans="1:18" x14ac:dyDescent="0.2">
      <c r="A2244">
        <v>2219663</v>
      </c>
      <c r="B2244" t="s">
        <v>8796</v>
      </c>
      <c r="C2244">
        <v>0</v>
      </c>
      <c r="D2244">
        <v>0</v>
      </c>
      <c r="E2244">
        <v>0</v>
      </c>
      <c r="F2244">
        <v>0</v>
      </c>
      <c r="G2244">
        <v>1</v>
      </c>
      <c r="H2244">
        <v>0</v>
      </c>
      <c r="I2244">
        <v>0</v>
      </c>
      <c r="J2244">
        <v>0</v>
      </c>
      <c r="K2244">
        <v>0</v>
      </c>
      <c r="L2244" t="s">
        <v>3284</v>
      </c>
      <c r="M2244" t="s">
        <v>3307</v>
      </c>
      <c r="N2244" t="s">
        <v>3308</v>
      </c>
      <c r="O2244" t="s">
        <v>3446</v>
      </c>
      <c r="P2244" t="s">
        <v>3447</v>
      </c>
      <c r="Q2244" t="s">
        <v>8797</v>
      </c>
      <c r="R2244" t="s">
        <v>8798</v>
      </c>
    </row>
    <row r="2245" spans="1:18" x14ac:dyDescent="0.2">
      <c r="A2245">
        <v>2219062</v>
      </c>
      <c r="B2245" t="s">
        <v>8799</v>
      </c>
      <c r="C2245">
        <v>0</v>
      </c>
      <c r="D2245">
        <v>1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1</v>
      </c>
      <c r="K2245">
        <v>0</v>
      </c>
      <c r="L2245" t="s">
        <v>3284</v>
      </c>
      <c r="M2245" t="s">
        <v>3296</v>
      </c>
      <c r="N2245" t="s">
        <v>3321</v>
      </c>
      <c r="O2245" t="s">
        <v>3322</v>
      </c>
      <c r="P2245" t="s">
        <v>3398</v>
      </c>
      <c r="Q2245" t="s">
        <v>3556</v>
      </c>
      <c r="R2245" t="s">
        <v>8800</v>
      </c>
    </row>
    <row r="2246" spans="1:18" x14ac:dyDescent="0.2">
      <c r="A2246">
        <v>2219043</v>
      </c>
      <c r="B2246" t="s">
        <v>8801</v>
      </c>
      <c r="C2246">
        <v>0</v>
      </c>
      <c r="D2246">
        <v>1</v>
      </c>
      <c r="E2246">
        <v>0</v>
      </c>
      <c r="F2246">
        <v>1</v>
      </c>
      <c r="G2246">
        <v>1</v>
      </c>
      <c r="H2246">
        <v>0</v>
      </c>
      <c r="I2246">
        <v>0</v>
      </c>
      <c r="J2246">
        <v>0</v>
      </c>
      <c r="K2246">
        <v>0</v>
      </c>
      <c r="L2246" t="s">
        <v>3284</v>
      </c>
      <c r="M2246" t="s">
        <v>8802</v>
      </c>
      <c r="N2246" t="s">
        <v>8803</v>
      </c>
      <c r="O2246" t="s">
        <v>8804</v>
      </c>
      <c r="P2246" t="s">
        <v>8805</v>
      </c>
      <c r="Q2246" t="s">
        <v>8806</v>
      </c>
      <c r="R2246" t="s">
        <v>8807</v>
      </c>
    </row>
    <row r="2247" spans="1:18" x14ac:dyDescent="0.2">
      <c r="A2247">
        <v>2217834</v>
      </c>
      <c r="B2247" t="s">
        <v>8808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1</v>
      </c>
      <c r="J2247">
        <v>0</v>
      </c>
      <c r="K2247">
        <v>0</v>
      </c>
      <c r="L2247" t="s">
        <v>3284</v>
      </c>
      <c r="M2247" t="s">
        <v>3327</v>
      </c>
      <c r="N2247" t="s">
        <v>3376</v>
      </c>
      <c r="O2247" t="s">
        <v>3377</v>
      </c>
      <c r="P2247" t="s">
        <v>3378</v>
      </c>
      <c r="Q2247" t="s">
        <v>3379</v>
      </c>
      <c r="R2247" t="s">
        <v>8809</v>
      </c>
    </row>
    <row r="2248" spans="1:18" x14ac:dyDescent="0.2">
      <c r="A2248">
        <v>2217832</v>
      </c>
      <c r="B2248" t="s">
        <v>8810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1</v>
      </c>
      <c r="L2248" t="s">
        <v>3284</v>
      </c>
      <c r="M2248" t="s">
        <v>3327</v>
      </c>
      <c r="N2248" t="s">
        <v>3376</v>
      </c>
      <c r="O2248" t="s">
        <v>3377</v>
      </c>
      <c r="P2248" t="s">
        <v>3378</v>
      </c>
      <c r="Q2248" t="s">
        <v>3379</v>
      </c>
      <c r="R2248" t="s">
        <v>8811</v>
      </c>
    </row>
    <row r="2249" spans="1:18" x14ac:dyDescent="0.2">
      <c r="A2249">
        <v>2217830</v>
      </c>
      <c r="B2249" t="s">
        <v>8812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1</v>
      </c>
      <c r="J2249">
        <v>0</v>
      </c>
      <c r="K2249">
        <v>0</v>
      </c>
      <c r="L2249" t="s">
        <v>3284</v>
      </c>
      <c r="M2249" t="s">
        <v>3327</v>
      </c>
      <c r="N2249" t="s">
        <v>3376</v>
      </c>
      <c r="O2249" t="s">
        <v>3377</v>
      </c>
      <c r="P2249" t="s">
        <v>3378</v>
      </c>
      <c r="Q2249" t="s">
        <v>3379</v>
      </c>
      <c r="R2249" t="s">
        <v>8813</v>
      </c>
    </row>
    <row r="2250" spans="1:18" x14ac:dyDescent="0.2">
      <c r="A2250">
        <v>2217829</v>
      </c>
      <c r="B2250" t="s">
        <v>8814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1</v>
      </c>
      <c r="J2250">
        <v>0</v>
      </c>
      <c r="K2250">
        <v>0</v>
      </c>
      <c r="L2250" t="s">
        <v>3284</v>
      </c>
      <c r="M2250" t="s">
        <v>3327</v>
      </c>
      <c r="N2250" t="s">
        <v>3376</v>
      </c>
      <c r="O2250" t="s">
        <v>3377</v>
      </c>
      <c r="P2250" t="s">
        <v>3378</v>
      </c>
      <c r="Q2250" t="s">
        <v>3379</v>
      </c>
      <c r="R2250" t="s">
        <v>8815</v>
      </c>
    </row>
    <row r="2251" spans="1:18" x14ac:dyDescent="0.2">
      <c r="A2251">
        <v>2217826</v>
      </c>
      <c r="B2251" t="s">
        <v>8816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1</v>
      </c>
      <c r="K2251">
        <v>0</v>
      </c>
      <c r="L2251" t="s">
        <v>3284</v>
      </c>
      <c r="M2251" t="s">
        <v>3327</v>
      </c>
      <c r="N2251" t="s">
        <v>3376</v>
      </c>
      <c r="O2251" t="s">
        <v>3377</v>
      </c>
      <c r="P2251" t="s">
        <v>3378</v>
      </c>
      <c r="Q2251" t="s">
        <v>3379</v>
      </c>
      <c r="R2251" t="s">
        <v>8817</v>
      </c>
    </row>
    <row r="2252" spans="1:18" x14ac:dyDescent="0.2">
      <c r="A2252">
        <v>2217819</v>
      </c>
      <c r="B2252" t="s">
        <v>8818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2</v>
      </c>
      <c r="J2252">
        <v>2</v>
      </c>
      <c r="K2252">
        <v>0</v>
      </c>
      <c r="L2252" t="s">
        <v>3284</v>
      </c>
      <c r="M2252" t="s">
        <v>3327</v>
      </c>
      <c r="N2252" t="s">
        <v>3376</v>
      </c>
      <c r="O2252" t="s">
        <v>3377</v>
      </c>
      <c r="P2252" t="s">
        <v>3378</v>
      </c>
      <c r="Q2252" t="s">
        <v>3379</v>
      </c>
      <c r="R2252" t="s">
        <v>8819</v>
      </c>
    </row>
    <row r="2253" spans="1:18" x14ac:dyDescent="0.2">
      <c r="A2253">
        <v>2217818</v>
      </c>
      <c r="B2253" t="s">
        <v>8820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1</v>
      </c>
      <c r="J2253">
        <v>0</v>
      </c>
      <c r="K2253">
        <v>0</v>
      </c>
      <c r="L2253" t="s">
        <v>3284</v>
      </c>
      <c r="M2253" t="s">
        <v>3327</v>
      </c>
      <c r="N2253" t="s">
        <v>3376</v>
      </c>
      <c r="O2253" t="s">
        <v>3377</v>
      </c>
      <c r="P2253" t="s">
        <v>3378</v>
      </c>
      <c r="Q2253" t="s">
        <v>3379</v>
      </c>
      <c r="R2253" t="s">
        <v>8821</v>
      </c>
    </row>
    <row r="2254" spans="1:18" x14ac:dyDescent="0.2">
      <c r="A2254">
        <v>2217816</v>
      </c>
      <c r="B2254" t="s">
        <v>8822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1</v>
      </c>
      <c r="L2254" t="s">
        <v>3284</v>
      </c>
      <c r="M2254" t="s">
        <v>3327</v>
      </c>
      <c r="N2254" t="s">
        <v>3376</v>
      </c>
      <c r="O2254" t="s">
        <v>3377</v>
      </c>
      <c r="P2254" t="s">
        <v>3378</v>
      </c>
      <c r="Q2254" t="s">
        <v>3379</v>
      </c>
      <c r="R2254" t="s">
        <v>8823</v>
      </c>
    </row>
    <row r="2255" spans="1:18" x14ac:dyDescent="0.2">
      <c r="A2255">
        <v>2213203</v>
      </c>
      <c r="B2255" t="s">
        <v>8824</v>
      </c>
      <c r="C2255">
        <v>0</v>
      </c>
      <c r="D2255">
        <v>0</v>
      </c>
      <c r="E2255">
        <v>0</v>
      </c>
      <c r="F2255">
        <v>1</v>
      </c>
      <c r="G2255">
        <v>0</v>
      </c>
      <c r="H2255">
        <v>0</v>
      </c>
      <c r="I2255">
        <v>0</v>
      </c>
      <c r="J2255">
        <v>0</v>
      </c>
      <c r="K2255">
        <v>0</v>
      </c>
      <c r="L2255" t="s">
        <v>3284</v>
      </c>
      <c r="M2255" t="s">
        <v>3327</v>
      </c>
      <c r="N2255" t="s">
        <v>3376</v>
      </c>
      <c r="O2255" t="s">
        <v>3377</v>
      </c>
      <c r="P2255" t="s">
        <v>3378</v>
      </c>
      <c r="Q2255" t="s">
        <v>8825</v>
      </c>
      <c r="R2255" t="s">
        <v>8826</v>
      </c>
    </row>
    <row r="2256" spans="1:18" x14ac:dyDescent="0.2">
      <c r="A2256">
        <v>2213015</v>
      </c>
      <c r="B2256" t="s">
        <v>8827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11</v>
      </c>
      <c r="J2256">
        <v>3</v>
      </c>
      <c r="K2256">
        <v>0</v>
      </c>
      <c r="L2256" t="s">
        <v>3284</v>
      </c>
      <c r="M2256" t="s">
        <v>3296</v>
      </c>
      <c r="N2256" t="s">
        <v>3297</v>
      </c>
      <c r="O2256" t="s">
        <v>3434</v>
      </c>
      <c r="P2256" t="s">
        <v>3435</v>
      </c>
      <c r="Q2256" t="s">
        <v>3436</v>
      </c>
      <c r="R2256" t="s">
        <v>8828</v>
      </c>
    </row>
    <row r="2257" spans="1:18" x14ac:dyDescent="0.2">
      <c r="A2257">
        <v>2213010</v>
      </c>
      <c r="B2257" t="s">
        <v>8829</v>
      </c>
      <c r="C2257">
        <v>1</v>
      </c>
      <c r="D2257">
        <v>1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 t="s">
        <v>3284</v>
      </c>
      <c r="M2257" t="s">
        <v>3296</v>
      </c>
      <c r="N2257" t="s">
        <v>3321</v>
      </c>
      <c r="O2257" t="s">
        <v>3322</v>
      </c>
      <c r="P2257" t="s">
        <v>3398</v>
      </c>
      <c r="Q2257" t="s">
        <v>5801</v>
      </c>
      <c r="R2257" t="s">
        <v>8830</v>
      </c>
    </row>
    <row r="2258" spans="1:18" x14ac:dyDescent="0.2">
      <c r="A2258">
        <v>2212991</v>
      </c>
      <c r="B2258" t="s">
        <v>8831</v>
      </c>
      <c r="C2258">
        <v>0</v>
      </c>
      <c r="D2258">
        <v>2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 t="s">
        <v>3284</v>
      </c>
      <c r="M2258" t="s">
        <v>3327</v>
      </c>
      <c r="N2258" t="s">
        <v>3328</v>
      </c>
      <c r="O2258" t="s">
        <v>3329</v>
      </c>
      <c r="P2258" t="s">
        <v>3330</v>
      </c>
      <c r="Q2258" t="s">
        <v>3331</v>
      </c>
      <c r="R2258" t="s">
        <v>8832</v>
      </c>
    </row>
    <row r="2259" spans="1:18" x14ac:dyDescent="0.2">
      <c r="A2259">
        <v>2212460</v>
      </c>
      <c r="B2259" t="s">
        <v>8833</v>
      </c>
      <c r="C2259">
        <v>0</v>
      </c>
      <c r="D2259">
        <v>0</v>
      </c>
      <c r="E2259">
        <v>0</v>
      </c>
      <c r="F2259">
        <v>1</v>
      </c>
      <c r="G2259">
        <v>1</v>
      </c>
      <c r="H2259">
        <v>0</v>
      </c>
      <c r="I2259">
        <v>0</v>
      </c>
      <c r="J2259">
        <v>0</v>
      </c>
      <c r="K2259">
        <v>0</v>
      </c>
      <c r="L2259" t="s">
        <v>3284</v>
      </c>
      <c r="M2259" t="s">
        <v>3296</v>
      </c>
      <c r="N2259" t="s">
        <v>3321</v>
      </c>
      <c r="O2259" t="s">
        <v>4147</v>
      </c>
      <c r="P2259" t="s">
        <v>4164</v>
      </c>
      <c r="Q2259" t="s">
        <v>8834</v>
      </c>
      <c r="R2259" t="s">
        <v>8835</v>
      </c>
    </row>
    <row r="2260" spans="1:18" x14ac:dyDescent="0.2">
      <c r="A2260">
        <v>2212373</v>
      </c>
      <c r="B2260" t="s">
        <v>8836</v>
      </c>
      <c r="C2260">
        <v>1</v>
      </c>
      <c r="D2260">
        <v>1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 t="s">
        <v>3284</v>
      </c>
      <c r="M2260" t="s">
        <v>3296</v>
      </c>
      <c r="N2260" t="s">
        <v>3343</v>
      </c>
      <c r="O2260" t="s">
        <v>3371</v>
      </c>
      <c r="P2260" t="s">
        <v>3688</v>
      </c>
      <c r="Q2260" t="s">
        <v>8837</v>
      </c>
      <c r="R2260" t="s">
        <v>8838</v>
      </c>
    </row>
    <row r="2261" spans="1:18" x14ac:dyDescent="0.2">
      <c r="A2261">
        <v>2211450</v>
      </c>
      <c r="B2261" t="s">
        <v>8839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1</v>
      </c>
      <c r="J2261">
        <v>0</v>
      </c>
      <c r="K2261">
        <v>0</v>
      </c>
      <c r="L2261" t="s">
        <v>3284</v>
      </c>
      <c r="M2261" t="s">
        <v>3307</v>
      </c>
      <c r="N2261" t="s">
        <v>3308</v>
      </c>
      <c r="O2261" t="s">
        <v>3359</v>
      </c>
      <c r="P2261" t="s">
        <v>3360</v>
      </c>
      <c r="Q2261" t="s">
        <v>8840</v>
      </c>
      <c r="R2261" t="s">
        <v>8841</v>
      </c>
    </row>
    <row r="2262" spans="1:18" x14ac:dyDescent="0.2">
      <c r="A2262">
        <v>2211445</v>
      </c>
      <c r="B2262" t="s">
        <v>8842</v>
      </c>
      <c r="C2262">
        <v>0</v>
      </c>
      <c r="D2262">
        <v>0</v>
      </c>
      <c r="E2262">
        <v>0</v>
      </c>
      <c r="F2262">
        <v>1</v>
      </c>
      <c r="G2262">
        <v>0</v>
      </c>
      <c r="H2262">
        <v>0</v>
      </c>
      <c r="I2262">
        <v>0</v>
      </c>
      <c r="J2262">
        <v>0</v>
      </c>
      <c r="K2262">
        <v>0</v>
      </c>
      <c r="L2262" t="s">
        <v>3284</v>
      </c>
      <c r="M2262" t="s">
        <v>3391</v>
      </c>
      <c r="N2262" t="s">
        <v>3411</v>
      </c>
      <c r="O2262" t="s">
        <v>3412</v>
      </c>
      <c r="P2262" t="s">
        <v>3413</v>
      </c>
      <c r="Q2262" t="s">
        <v>3414</v>
      </c>
      <c r="R2262" t="s">
        <v>8843</v>
      </c>
    </row>
    <row r="2263" spans="1:18" x14ac:dyDescent="0.2">
      <c r="A2263">
        <v>2211392</v>
      </c>
      <c r="B2263" t="s">
        <v>8844</v>
      </c>
      <c r="C2263">
        <v>0</v>
      </c>
      <c r="D2263">
        <v>0</v>
      </c>
      <c r="E2263">
        <v>0</v>
      </c>
      <c r="F2263">
        <v>1</v>
      </c>
      <c r="G2263">
        <v>1</v>
      </c>
      <c r="H2263">
        <v>0</v>
      </c>
      <c r="I2263">
        <v>0</v>
      </c>
      <c r="J2263">
        <v>0</v>
      </c>
      <c r="K2263">
        <v>0</v>
      </c>
      <c r="L2263" t="s">
        <v>3284</v>
      </c>
      <c r="M2263" t="s">
        <v>3296</v>
      </c>
      <c r="N2263" t="s">
        <v>3297</v>
      </c>
      <c r="O2263" t="s">
        <v>3434</v>
      </c>
      <c r="P2263" t="s">
        <v>3435</v>
      </c>
      <c r="Q2263" t="s">
        <v>5438</v>
      </c>
      <c r="R2263" t="s">
        <v>8845</v>
      </c>
    </row>
    <row r="2264" spans="1:18" x14ac:dyDescent="0.2">
      <c r="A2264">
        <v>2211139</v>
      </c>
      <c r="B2264" t="s">
        <v>8846</v>
      </c>
      <c r="C2264">
        <v>1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 t="s">
        <v>3284</v>
      </c>
      <c r="M2264" t="s">
        <v>3327</v>
      </c>
      <c r="N2264" t="s">
        <v>3376</v>
      </c>
      <c r="O2264" t="s">
        <v>3377</v>
      </c>
      <c r="P2264" t="s">
        <v>3604</v>
      </c>
      <c r="Q2264" t="s">
        <v>3668</v>
      </c>
      <c r="R2264" t="s">
        <v>8847</v>
      </c>
    </row>
    <row r="2265" spans="1:18" x14ac:dyDescent="0.2">
      <c r="A2265">
        <v>2211133</v>
      </c>
      <c r="B2265" t="s">
        <v>8848</v>
      </c>
      <c r="C2265">
        <v>0</v>
      </c>
      <c r="D2265">
        <v>0</v>
      </c>
      <c r="E2265">
        <v>0</v>
      </c>
      <c r="F2265">
        <v>2</v>
      </c>
      <c r="G2265">
        <v>1</v>
      </c>
      <c r="H2265">
        <v>0</v>
      </c>
      <c r="I2265">
        <v>0</v>
      </c>
      <c r="J2265">
        <v>0</v>
      </c>
      <c r="K2265">
        <v>0</v>
      </c>
      <c r="L2265" t="s">
        <v>3284</v>
      </c>
      <c r="M2265" t="s">
        <v>3391</v>
      </c>
      <c r="N2265" t="s">
        <v>3411</v>
      </c>
      <c r="O2265" t="s">
        <v>3412</v>
      </c>
      <c r="P2265" t="s">
        <v>3413</v>
      </c>
      <c r="Q2265" t="s">
        <v>3414</v>
      </c>
      <c r="R2265" t="s">
        <v>8849</v>
      </c>
    </row>
    <row r="2266" spans="1:18" x14ac:dyDescent="0.2">
      <c r="A2266">
        <v>2204296</v>
      </c>
      <c r="B2266" t="s">
        <v>8850</v>
      </c>
      <c r="C2266">
        <v>0</v>
      </c>
      <c r="D2266">
        <v>0</v>
      </c>
      <c r="E2266">
        <v>1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 t="s">
        <v>3284</v>
      </c>
      <c r="M2266" t="s">
        <v>3296</v>
      </c>
      <c r="N2266" t="s">
        <v>3297</v>
      </c>
      <c r="O2266" t="s">
        <v>8851</v>
      </c>
      <c r="P2266" t="s">
        <v>8852</v>
      </c>
      <c r="Q2266" t="s">
        <v>8853</v>
      </c>
      <c r="R2266" t="s">
        <v>8854</v>
      </c>
    </row>
    <row r="2267" spans="1:18" x14ac:dyDescent="0.2">
      <c r="A2267">
        <v>2204145</v>
      </c>
      <c r="B2267" t="s">
        <v>8855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1</v>
      </c>
      <c r="J2267">
        <v>1</v>
      </c>
      <c r="K2267">
        <v>1</v>
      </c>
      <c r="L2267" t="s">
        <v>3284</v>
      </c>
      <c r="M2267" t="s">
        <v>3296</v>
      </c>
      <c r="N2267" t="s">
        <v>3297</v>
      </c>
      <c r="O2267" t="s">
        <v>3298</v>
      </c>
      <c r="P2267" t="s">
        <v>6582</v>
      </c>
      <c r="Q2267" t="s">
        <v>8856</v>
      </c>
      <c r="R2267" t="s">
        <v>8857</v>
      </c>
    </row>
    <row r="2268" spans="1:18" x14ac:dyDescent="0.2">
      <c r="A2268">
        <v>2203782</v>
      </c>
      <c r="B2268" t="s">
        <v>8858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1</v>
      </c>
      <c r="I2268">
        <v>0</v>
      </c>
      <c r="J2268">
        <v>0</v>
      </c>
      <c r="K2268">
        <v>0</v>
      </c>
      <c r="L2268" t="s">
        <v>3284</v>
      </c>
      <c r="M2268" t="s">
        <v>3296</v>
      </c>
      <c r="N2268" t="s">
        <v>3343</v>
      </c>
      <c r="O2268" t="s">
        <v>3344</v>
      </c>
      <c r="P2268" t="s">
        <v>3355</v>
      </c>
      <c r="Q2268" t="s">
        <v>3525</v>
      </c>
      <c r="R2268" t="s">
        <v>8859</v>
      </c>
    </row>
    <row r="2269" spans="1:18" x14ac:dyDescent="0.2">
      <c r="A2269">
        <v>2203212</v>
      </c>
      <c r="B2269" t="s">
        <v>8860</v>
      </c>
      <c r="C2269">
        <v>0</v>
      </c>
      <c r="D2269">
        <v>1</v>
      </c>
      <c r="E2269">
        <v>0</v>
      </c>
      <c r="F2269">
        <v>2</v>
      </c>
      <c r="G2269">
        <v>0</v>
      </c>
      <c r="H2269">
        <v>0</v>
      </c>
      <c r="I2269">
        <v>0</v>
      </c>
      <c r="J2269">
        <v>1</v>
      </c>
      <c r="K2269">
        <v>0</v>
      </c>
      <c r="L2269" t="s">
        <v>3284</v>
      </c>
      <c r="M2269" t="s">
        <v>3391</v>
      </c>
      <c r="N2269" t="s">
        <v>3392</v>
      </c>
      <c r="O2269" t="s">
        <v>3393</v>
      </c>
      <c r="P2269" t="s">
        <v>3394</v>
      </c>
      <c r="Q2269" t="s">
        <v>3395</v>
      </c>
      <c r="R2269" t="s">
        <v>8861</v>
      </c>
    </row>
    <row r="2270" spans="1:18" x14ac:dyDescent="0.2">
      <c r="A2270">
        <v>2201891</v>
      </c>
      <c r="B2270" t="s">
        <v>8862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1</v>
      </c>
      <c r="J2270">
        <v>0</v>
      </c>
      <c r="K2270">
        <v>0</v>
      </c>
      <c r="L2270" t="s">
        <v>3284</v>
      </c>
      <c r="M2270" t="s">
        <v>3307</v>
      </c>
      <c r="N2270" t="s">
        <v>3308</v>
      </c>
      <c r="O2270" t="s">
        <v>3309</v>
      </c>
      <c r="P2270" t="s">
        <v>3310</v>
      </c>
      <c r="Q2270" t="s">
        <v>3311</v>
      </c>
      <c r="R2270" t="s">
        <v>8863</v>
      </c>
    </row>
    <row r="2271" spans="1:18" x14ac:dyDescent="0.2">
      <c r="A2271">
        <v>2201324</v>
      </c>
      <c r="B2271" t="s">
        <v>8864</v>
      </c>
      <c r="C2271">
        <v>0</v>
      </c>
      <c r="D2271">
        <v>0</v>
      </c>
      <c r="E2271">
        <v>0</v>
      </c>
      <c r="F2271">
        <v>1</v>
      </c>
      <c r="G2271">
        <v>2</v>
      </c>
      <c r="H2271">
        <v>0</v>
      </c>
      <c r="I2271">
        <v>0</v>
      </c>
      <c r="J2271">
        <v>0</v>
      </c>
      <c r="K2271">
        <v>0</v>
      </c>
      <c r="L2271" t="s">
        <v>3284</v>
      </c>
      <c r="M2271" t="s">
        <v>3391</v>
      </c>
      <c r="N2271" t="s">
        <v>3392</v>
      </c>
      <c r="O2271" t="s">
        <v>3393</v>
      </c>
      <c r="P2271" t="s">
        <v>3394</v>
      </c>
      <c r="Q2271" t="s">
        <v>4082</v>
      </c>
      <c r="R2271" t="s">
        <v>8865</v>
      </c>
    </row>
    <row r="2272" spans="1:18" x14ac:dyDescent="0.2">
      <c r="A2272">
        <v>2201271</v>
      </c>
      <c r="B2272" t="s">
        <v>8866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1</v>
      </c>
      <c r="K2272">
        <v>0</v>
      </c>
      <c r="L2272" t="s">
        <v>3284</v>
      </c>
      <c r="M2272" t="s">
        <v>3391</v>
      </c>
      <c r="N2272" t="s">
        <v>3392</v>
      </c>
      <c r="O2272" t="s">
        <v>3393</v>
      </c>
      <c r="P2272" t="s">
        <v>3394</v>
      </c>
      <c r="Q2272" t="s">
        <v>3395</v>
      </c>
      <c r="R2272" t="s">
        <v>8867</v>
      </c>
    </row>
    <row r="2273" spans="1:18" x14ac:dyDescent="0.2">
      <c r="A2273">
        <v>2185280</v>
      </c>
      <c r="B2273" t="s">
        <v>8868</v>
      </c>
      <c r="C2273">
        <v>0</v>
      </c>
      <c r="D2273">
        <v>0</v>
      </c>
      <c r="E2273">
        <v>0</v>
      </c>
      <c r="F2273">
        <v>1</v>
      </c>
      <c r="G2273">
        <v>0</v>
      </c>
      <c r="H2273">
        <v>0</v>
      </c>
      <c r="I2273">
        <v>0</v>
      </c>
      <c r="J2273">
        <v>0</v>
      </c>
      <c r="K2273">
        <v>0</v>
      </c>
      <c r="L2273" t="s">
        <v>3284</v>
      </c>
      <c r="M2273" t="s">
        <v>3296</v>
      </c>
      <c r="N2273" t="s">
        <v>3343</v>
      </c>
      <c r="O2273" t="s">
        <v>3344</v>
      </c>
      <c r="P2273" t="s">
        <v>3345</v>
      </c>
      <c r="Q2273" t="s">
        <v>8769</v>
      </c>
      <c r="R2273" t="s">
        <v>8869</v>
      </c>
    </row>
    <row r="2274" spans="1:18" x14ac:dyDescent="0.2">
      <c r="A2274">
        <v>2185143</v>
      </c>
      <c r="B2274" t="s">
        <v>8870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1</v>
      </c>
      <c r="K2274">
        <v>0</v>
      </c>
      <c r="L2274" t="s">
        <v>3284</v>
      </c>
      <c r="M2274" t="s">
        <v>3327</v>
      </c>
      <c r="N2274" t="s">
        <v>3376</v>
      </c>
      <c r="O2274" t="s">
        <v>3377</v>
      </c>
      <c r="P2274" t="s">
        <v>3378</v>
      </c>
      <c r="Q2274" t="s">
        <v>3379</v>
      </c>
      <c r="R2274" t="s">
        <v>8871</v>
      </c>
    </row>
    <row r="2275" spans="1:18" x14ac:dyDescent="0.2">
      <c r="A2275">
        <v>2185104</v>
      </c>
      <c r="B2275" t="s">
        <v>8872</v>
      </c>
      <c r="C2275">
        <v>0</v>
      </c>
      <c r="D2275">
        <v>0</v>
      </c>
      <c r="E2275">
        <v>0</v>
      </c>
      <c r="F2275">
        <v>2</v>
      </c>
      <c r="G2275">
        <v>0</v>
      </c>
      <c r="H2275">
        <v>0</v>
      </c>
      <c r="I2275">
        <v>0</v>
      </c>
      <c r="J2275">
        <v>0</v>
      </c>
      <c r="K2275">
        <v>0</v>
      </c>
      <c r="L2275" t="s">
        <v>3284</v>
      </c>
      <c r="M2275" t="s">
        <v>3296</v>
      </c>
      <c r="N2275" t="s">
        <v>3343</v>
      </c>
      <c r="O2275" t="s">
        <v>3429</v>
      </c>
      <c r="P2275" t="s">
        <v>8873</v>
      </c>
      <c r="Q2275" t="s">
        <v>8874</v>
      </c>
      <c r="R2275" t="s">
        <v>8875</v>
      </c>
    </row>
    <row r="2276" spans="1:18" x14ac:dyDescent="0.2">
      <c r="A2276">
        <v>2185103</v>
      </c>
      <c r="B2276" t="s">
        <v>8876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2</v>
      </c>
      <c r="K2276">
        <v>0</v>
      </c>
      <c r="L2276" t="s">
        <v>3284</v>
      </c>
      <c r="M2276" t="s">
        <v>3296</v>
      </c>
      <c r="N2276" t="s">
        <v>3343</v>
      </c>
      <c r="O2276" t="s">
        <v>3429</v>
      </c>
      <c r="P2276" t="s">
        <v>8873</v>
      </c>
      <c r="Q2276" t="s">
        <v>8874</v>
      </c>
      <c r="R2276" t="s">
        <v>8877</v>
      </c>
    </row>
    <row r="2277" spans="1:18" x14ac:dyDescent="0.2">
      <c r="A2277">
        <v>2184758</v>
      </c>
      <c r="B2277" t="s">
        <v>8878</v>
      </c>
      <c r="C2277">
        <v>0</v>
      </c>
      <c r="D2277">
        <v>2</v>
      </c>
      <c r="E2277">
        <v>0</v>
      </c>
      <c r="F2277">
        <v>0</v>
      </c>
      <c r="G2277">
        <v>1</v>
      </c>
      <c r="H2277">
        <v>0</v>
      </c>
      <c r="I2277">
        <v>0</v>
      </c>
      <c r="J2277">
        <v>0</v>
      </c>
      <c r="K2277">
        <v>0</v>
      </c>
      <c r="L2277" t="s">
        <v>3284</v>
      </c>
      <c r="M2277" t="s">
        <v>3296</v>
      </c>
      <c r="N2277" t="s">
        <v>3321</v>
      </c>
      <c r="O2277" t="s">
        <v>3322</v>
      </c>
      <c r="P2277" t="s">
        <v>3398</v>
      </c>
      <c r="Q2277" t="s">
        <v>3788</v>
      </c>
      <c r="R2277" t="s">
        <v>8879</v>
      </c>
    </row>
    <row r="2278" spans="1:18" x14ac:dyDescent="0.2">
      <c r="A2278">
        <v>2184697</v>
      </c>
      <c r="B2278" t="s">
        <v>8880</v>
      </c>
      <c r="C2278">
        <v>0</v>
      </c>
      <c r="D2278">
        <v>0</v>
      </c>
      <c r="E2278">
        <v>0</v>
      </c>
      <c r="F2278">
        <v>1</v>
      </c>
      <c r="G2278">
        <v>0</v>
      </c>
      <c r="H2278">
        <v>0</v>
      </c>
      <c r="I2278">
        <v>0</v>
      </c>
      <c r="J2278">
        <v>0</v>
      </c>
      <c r="K2278">
        <v>0</v>
      </c>
      <c r="L2278" t="s">
        <v>3284</v>
      </c>
      <c r="M2278" t="s">
        <v>3296</v>
      </c>
      <c r="N2278" t="s">
        <v>3343</v>
      </c>
      <c r="O2278" t="s">
        <v>3344</v>
      </c>
      <c r="P2278" t="s">
        <v>8881</v>
      </c>
      <c r="Q2278" t="s">
        <v>8882</v>
      </c>
      <c r="R2278" t="s">
        <v>8883</v>
      </c>
    </row>
    <row r="2279" spans="1:18" x14ac:dyDescent="0.2">
      <c r="A2279">
        <v>2184695</v>
      </c>
      <c r="B2279" t="s">
        <v>8884</v>
      </c>
      <c r="C2279">
        <v>0</v>
      </c>
      <c r="D2279">
        <v>1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 t="s">
        <v>3284</v>
      </c>
      <c r="M2279" t="s">
        <v>3327</v>
      </c>
      <c r="N2279" t="s">
        <v>3376</v>
      </c>
      <c r="O2279" t="s">
        <v>3377</v>
      </c>
      <c r="P2279" t="s">
        <v>3271</v>
      </c>
      <c r="Q2279" t="s">
        <v>3648</v>
      </c>
      <c r="R2279" t="s">
        <v>8885</v>
      </c>
    </row>
    <row r="2280" spans="1:18" x14ac:dyDescent="0.2">
      <c r="A2280">
        <v>2184573</v>
      </c>
      <c r="B2280" t="s">
        <v>8886</v>
      </c>
      <c r="C2280">
        <v>0</v>
      </c>
      <c r="D2280">
        <v>1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 t="s">
        <v>3284</v>
      </c>
      <c r="M2280" t="s">
        <v>3296</v>
      </c>
      <c r="N2280" t="s">
        <v>3321</v>
      </c>
      <c r="O2280" t="s">
        <v>3322</v>
      </c>
      <c r="P2280" t="s">
        <v>3423</v>
      </c>
      <c r="Q2280" t="s">
        <v>4170</v>
      </c>
      <c r="R2280" t="s">
        <v>8887</v>
      </c>
    </row>
    <row r="2281" spans="1:18" x14ac:dyDescent="0.2">
      <c r="A2281">
        <v>2184016</v>
      </c>
      <c r="B2281" t="s">
        <v>8888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3</v>
      </c>
      <c r="J2281">
        <v>0</v>
      </c>
      <c r="K2281">
        <v>0</v>
      </c>
      <c r="L2281" t="s">
        <v>3284</v>
      </c>
      <c r="M2281" t="s">
        <v>3296</v>
      </c>
      <c r="N2281" t="s">
        <v>3343</v>
      </c>
      <c r="O2281" t="s">
        <v>3429</v>
      </c>
      <c r="P2281" t="s">
        <v>3430</v>
      </c>
      <c r="Q2281" t="s">
        <v>5837</v>
      </c>
      <c r="R2281" t="s">
        <v>8889</v>
      </c>
    </row>
    <row r="2282" spans="1:18" x14ac:dyDescent="0.2">
      <c r="A2282">
        <v>2184000</v>
      </c>
      <c r="B2282" t="s">
        <v>8890</v>
      </c>
      <c r="C2282">
        <v>2</v>
      </c>
      <c r="D2282">
        <v>2</v>
      </c>
      <c r="E2282">
        <v>1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 t="s">
        <v>3284</v>
      </c>
      <c r="M2282" t="s">
        <v>3391</v>
      </c>
      <c r="N2282" t="s">
        <v>3411</v>
      </c>
      <c r="O2282" t="s">
        <v>3412</v>
      </c>
      <c r="P2282" t="s">
        <v>3413</v>
      </c>
      <c r="Q2282" t="s">
        <v>3414</v>
      </c>
      <c r="R2282" t="s">
        <v>8891</v>
      </c>
    </row>
    <row r="2283" spans="1:18" x14ac:dyDescent="0.2">
      <c r="A2283">
        <v>2183900</v>
      </c>
      <c r="B2283" t="s">
        <v>8892</v>
      </c>
      <c r="C2283">
        <v>15</v>
      </c>
      <c r="D2283">
        <v>14</v>
      </c>
      <c r="E2283">
        <v>26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 t="s">
        <v>3284</v>
      </c>
      <c r="M2283" t="s">
        <v>3296</v>
      </c>
      <c r="N2283" t="s">
        <v>3321</v>
      </c>
      <c r="O2283" t="s">
        <v>3322</v>
      </c>
      <c r="P2283" t="s">
        <v>3398</v>
      </c>
      <c r="Q2283" t="s">
        <v>3806</v>
      </c>
      <c r="R2283" t="s">
        <v>8893</v>
      </c>
    </row>
    <row r="2284" spans="1:18" x14ac:dyDescent="0.2">
      <c r="A2284">
        <v>2183897</v>
      </c>
      <c r="B2284" t="s">
        <v>8894</v>
      </c>
      <c r="C2284">
        <v>0</v>
      </c>
      <c r="D2284">
        <v>0</v>
      </c>
      <c r="E2284">
        <v>0</v>
      </c>
      <c r="F2284">
        <v>0</v>
      </c>
      <c r="G2284">
        <v>1</v>
      </c>
      <c r="H2284">
        <v>0</v>
      </c>
      <c r="I2284">
        <v>4</v>
      </c>
      <c r="J2284">
        <v>0</v>
      </c>
      <c r="K2284">
        <v>2</v>
      </c>
      <c r="L2284" t="s">
        <v>3284</v>
      </c>
      <c r="M2284" t="s">
        <v>3296</v>
      </c>
      <c r="N2284" t="s">
        <v>3343</v>
      </c>
      <c r="O2284" t="s">
        <v>3344</v>
      </c>
      <c r="P2284" t="s">
        <v>3661</v>
      </c>
      <c r="Q2284" t="s">
        <v>8895</v>
      </c>
      <c r="R2284" t="s">
        <v>8896</v>
      </c>
    </row>
    <row r="2285" spans="1:18" x14ac:dyDescent="0.2">
      <c r="A2285">
        <v>2183896</v>
      </c>
      <c r="B2285" t="s">
        <v>8897</v>
      </c>
      <c r="C2285">
        <v>0</v>
      </c>
      <c r="D2285">
        <v>1</v>
      </c>
      <c r="E2285">
        <v>0</v>
      </c>
      <c r="F2285">
        <v>150</v>
      </c>
      <c r="G2285">
        <v>83</v>
      </c>
      <c r="H2285">
        <v>14</v>
      </c>
      <c r="I2285">
        <v>0</v>
      </c>
      <c r="J2285">
        <v>0</v>
      </c>
      <c r="K2285">
        <v>0</v>
      </c>
      <c r="L2285" t="s">
        <v>3284</v>
      </c>
      <c r="M2285" t="s">
        <v>3391</v>
      </c>
      <c r="N2285" t="s">
        <v>3411</v>
      </c>
      <c r="O2285" t="s">
        <v>3412</v>
      </c>
      <c r="P2285" t="s">
        <v>3413</v>
      </c>
      <c r="Q2285" t="s">
        <v>3414</v>
      </c>
      <c r="R2285" t="s">
        <v>8898</v>
      </c>
    </row>
    <row r="2286" spans="1:18" x14ac:dyDescent="0.2">
      <c r="A2286">
        <v>2183553</v>
      </c>
      <c r="B2286" t="s">
        <v>8899</v>
      </c>
      <c r="C2286">
        <v>0</v>
      </c>
      <c r="D2286">
        <v>0</v>
      </c>
      <c r="E2286">
        <v>0</v>
      </c>
      <c r="F2286">
        <v>0</v>
      </c>
      <c r="G2286">
        <v>1</v>
      </c>
      <c r="H2286">
        <v>0</v>
      </c>
      <c r="I2286">
        <v>0</v>
      </c>
      <c r="J2286">
        <v>0</v>
      </c>
      <c r="K2286">
        <v>0</v>
      </c>
      <c r="L2286" t="s">
        <v>3284</v>
      </c>
      <c r="M2286" t="s">
        <v>3391</v>
      </c>
      <c r="N2286" t="s">
        <v>3740</v>
      </c>
      <c r="O2286" t="s">
        <v>3741</v>
      </c>
      <c r="P2286" t="s">
        <v>4241</v>
      </c>
      <c r="Q2286" t="s">
        <v>4242</v>
      </c>
      <c r="R2286" t="s">
        <v>8900</v>
      </c>
    </row>
    <row r="2287" spans="1:18" x14ac:dyDescent="0.2">
      <c r="A2287">
        <v>2182425</v>
      </c>
      <c r="B2287" t="s">
        <v>8901</v>
      </c>
      <c r="C2287">
        <v>0</v>
      </c>
      <c r="D2287">
        <v>1</v>
      </c>
      <c r="E2287">
        <v>1</v>
      </c>
      <c r="F2287">
        <v>1</v>
      </c>
      <c r="G2287">
        <v>0</v>
      </c>
      <c r="H2287">
        <v>0</v>
      </c>
      <c r="I2287">
        <v>0</v>
      </c>
      <c r="J2287">
        <v>1</v>
      </c>
      <c r="K2287">
        <v>0</v>
      </c>
      <c r="L2287" t="s">
        <v>3284</v>
      </c>
      <c r="M2287" t="s">
        <v>3296</v>
      </c>
      <c r="N2287" t="s">
        <v>3343</v>
      </c>
      <c r="O2287" t="s">
        <v>3344</v>
      </c>
      <c r="P2287" t="s">
        <v>3355</v>
      </c>
      <c r="Q2287" t="s">
        <v>8902</v>
      </c>
      <c r="R2287" t="s">
        <v>8903</v>
      </c>
    </row>
    <row r="2288" spans="1:18" x14ac:dyDescent="0.2">
      <c r="A2288">
        <v>2182327</v>
      </c>
      <c r="B2288" t="s">
        <v>8904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1</v>
      </c>
      <c r="K2288">
        <v>0</v>
      </c>
      <c r="L2288" t="s">
        <v>3284</v>
      </c>
      <c r="M2288" t="s">
        <v>3296</v>
      </c>
      <c r="N2288" t="s">
        <v>3321</v>
      </c>
      <c r="O2288" t="s">
        <v>5469</v>
      </c>
      <c r="P2288" t="s">
        <v>6027</v>
      </c>
      <c r="Q2288" t="s">
        <v>6028</v>
      </c>
      <c r="R2288" t="s">
        <v>8905</v>
      </c>
    </row>
    <row r="2289" spans="1:18" x14ac:dyDescent="0.2">
      <c r="A2289">
        <v>2175635</v>
      </c>
      <c r="B2289" t="s">
        <v>8906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1</v>
      </c>
      <c r="L2289" t="s">
        <v>3284</v>
      </c>
      <c r="M2289" t="s">
        <v>3307</v>
      </c>
      <c r="N2289" t="s">
        <v>3308</v>
      </c>
      <c r="O2289" t="s">
        <v>3359</v>
      </c>
      <c r="P2289" t="s">
        <v>3360</v>
      </c>
      <c r="Q2289" t="s">
        <v>3528</v>
      </c>
      <c r="R2289" t="s">
        <v>8907</v>
      </c>
    </row>
    <row r="2290" spans="1:18" x14ac:dyDescent="0.2">
      <c r="A2290">
        <v>2175091</v>
      </c>
      <c r="B2290" t="s">
        <v>8908</v>
      </c>
      <c r="C2290">
        <v>0</v>
      </c>
      <c r="D2290">
        <v>0</v>
      </c>
      <c r="E2290">
        <v>0</v>
      </c>
      <c r="F2290">
        <v>2</v>
      </c>
      <c r="G2290">
        <v>5</v>
      </c>
      <c r="H2290">
        <v>0</v>
      </c>
      <c r="I2290">
        <v>0</v>
      </c>
      <c r="J2290">
        <v>0</v>
      </c>
      <c r="K2290">
        <v>0</v>
      </c>
      <c r="L2290" t="s">
        <v>3284</v>
      </c>
      <c r="M2290" t="s">
        <v>3391</v>
      </c>
      <c r="N2290" t="s">
        <v>3411</v>
      </c>
      <c r="O2290" t="s">
        <v>3412</v>
      </c>
      <c r="P2290" t="s">
        <v>3413</v>
      </c>
      <c r="Q2290" t="s">
        <v>3414</v>
      </c>
      <c r="R2290" t="s">
        <v>8909</v>
      </c>
    </row>
    <row r="2291" spans="1:18" x14ac:dyDescent="0.2">
      <c r="A2291">
        <v>2173175</v>
      </c>
      <c r="B2291" t="s">
        <v>8910</v>
      </c>
      <c r="C2291">
        <v>0</v>
      </c>
      <c r="D2291">
        <v>0</v>
      </c>
      <c r="E2291">
        <v>0</v>
      </c>
      <c r="F2291">
        <v>0</v>
      </c>
      <c r="G2291">
        <v>1</v>
      </c>
      <c r="H2291">
        <v>0</v>
      </c>
      <c r="I2291">
        <v>0</v>
      </c>
      <c r="J2291">
        <v>0</v>
      </c>
      <c r="K2291">
        <v>0</v>
      </c>
      <c r="L2291" t="s">
        <v>3284</v>
      </c>
      <c r="M2291" t="s">
        <v>3391</v>
      </c>
      <c r="N2291" t="s">
        <v>3392</v>
      </c>
      <c r="O2291" t="s">
        <v>3393</v>
      </c>
      <c r="P2291" t="s">
        <v>3394</v>
      </c>
      <c r="Q2291" t="s">
        <v>8911</v>
      </c>
      <c r="R2291" t="s">
        <v>8912</v>
      </c>
    </row>
    <row r="2292" spans="1:18" x14ac:dyDescent="0.2">
      <c r="A2292">
        <v>2173174</v>
      </c>
      <c r="B2292" t="s">
        <v>8913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1</v>
      </c>
      <c r="J2292">
        <v>0</v>
      </c>
      <c r="K2292">
        <v>0</v>
      </c>
      <c r="L2292" t="s">
        <v>3284</v>
      </c>
      <c r="M2292" t="s">
        <v>3307</v>
      </c>
      <c r="N2292" t="s">
        <v>3308</v>
      </c>
      <c r="O2292" t="s">
        <v>3359</v>
      </c>
      <c r="P2292" t="s">
        <v>3588</v>
      </c>
      <c r="Q2292" t="s">
        <v>4970</v>
      </c>
      <c r="R2292" t="s">
        <v>8914</v>
      </c>
    </row>
    <row r="2293" spans="1:18" x14ac:dyDescent="0.2">
      <c r="A2293">
        <v>2173173</v>
      </c>
      <c r="B2293" t="s">
        <v>8915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2</v>
      </c>
      <c r="J2293">
        <v>0</v>
      </c>
      <c r="K2293">
        <v>0</v>
      </c>
      <c r="L2293" t="s">
        <v>3284</v>
      </c>
      <c r="M2293" t="s">
        <v>3307</v>
      </c>
      <c r="N2293" t="s">
        <v>3308</v>
      </c>
      <c r="O2293" t="s">
        <v>3359</v>
      </c>
      <c r="P2293" t="s">
        <v>3360</v>
      </c>
      <c r="Q2293" t="s">
        <v>4916</v>
      </c>
      <c r="R2293" t="s">
        <v>8916</v>
      </c>
    </row>
    <row r="2294" spans="1:18" x14ac:dyDescent="0.2">
      <c r="A2294">
        <v>2172652</v>
      </c>
      <c r="B2294" t="s">
        <v>8917</v>
      </c>
      <c r="C2294">
        <v>0</v>
      </c>
      <c r="D2294">
        <v>0</v>
      </c>
      <c r="E2294">
        <v>0</v>
      </c>
      <c r="F2294">
        <v>2</v>
      </c>
      <c r="G2294">
        <v>1</v>
      </c>
      <c r="H2294">
        <v>0</v>
      </c>
      <c r="I2294">
        <v>0</v>
      </c>
      <c r="J2294">
        <v>0</v>
      </c>
      <c r="K2294">
        <v>0</v>
      </c>
      <c r="L2294" t="s">
        <v>3284</v>
      </c>
      <c r="M2294" t="s">
        <v>3296</v>
      </c>
      <c r="N2294" t="s">
        <v>3343</v>
      </c>
      <c r="O2294" t="s">
        <v>3402</v>
      </c>
      <c r="P2294" t="s">
        <v>3403</v>
      </c>
      <c r="Q2294" t="s">
        <v>3404</v>
      </c>
      <c r="R2294" t="s">
        <v>8918</v>
      </c>
    </row>
    <row r="2295" spans="1:18" x14ac:dyDescent="0.2">
      <c r="A2295">
        <v>2172103</v>
      </c>
      <c r="B2295" t="s">
        <v>8919</v>
      </c>
      <c r="C2295">
        <v>0</v>
      </c>
      <c r="D2295">
        <v>1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 t="s">
        <v>3284</v>
      </c>
      <c r="M2295" t="s">
        <v>3296</v>
      </c>
      <c r="N2295" t="s">
        <v>3297</v>
      </c>
      <c r="O2295" t="s">
        <v>3298</v>
      </c>
      <c r="P2295" t="s">
        <v>8920</v>
      </c>
      <c r="Q2295" t="s">
        <v>8921</v>
      </c>
      <c r="R2295" t="s">
        <v>8922</v>
      </c>
    </row>
    <row r="2296" spans="1:18" x14ac:dyDescent="0.2">
      <c r="A2296">
        <v>2172024</v>
      </c>
      <c r="B2296" t="s">
        <v>8923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1</v>
      </c>
      <c r="J2296">
        <v>0</v>
      </c>
      <c r="K2296">
        <v>0</v>
      </c>
      <c r="L2296" t="s">
        <v>3284</v>
      </c>
      <c r="M2296" t="s">
        <v>3296</v>
      </c>
      <c r="N2296" t="s">
        <v>3343</v>
      </c>
      <c r="O2296" t="s">
        <v>3344</v>
      </c>
      <c r="P2296" t="s">
        <v>6553</v>
      </c>
      <c r="Q2296" t="s">
        <v>6554</v>
      </c>
      <c r="R2296" t="s">
        <v>8924</v>
      </c>
    </row>
    <row r="2297" spans="1:18" x14ac:dyDescent="0.2">
      <c r="A2297">
        <v>2171756</v>
      </c>
      <c r="B2297" t="s">
        <v>8925</v>
      </c>
      <c r="C2297">
        <v>0</v>
      </c>
      <c r="D2297">
        <v>0</v>
      </c>
      <c r="E2297">
        <v>0</v>
      </c>
      <c r="F2297">
        <v>2</v>
      </c>
      <c r="G2297">
        <v>0</v>
      </c>
      <c r="H2297">
        <v>1</v>
      </c>
      <c r="I2297">
        <v>1</v>
      </c>
      <c r="J2297">
        <v>1</v>
      </c>
      <c r="K2297">
        <v>0</v>
      </c>
      <c r="L2297" t="s">
        <v>3284</v>
      </c>
      <c r="M2297" t="s">
        <v>3296</v>
      </c>
      <c r="N2297" t="s">
        <v>3343</v>
      </c>
      <c r="O2297" t="s">
        <v>3344</v>
      </c>
      <c r="P2297" t="s">
        <v>3355</v>
      </c>
      <c r="Q2297" t="s">
        <v>3356</v>
      </c>
      <c r="R2297" t="s">
        <v>8926</v>
      </c>
    </row>
    <row r="2298" spans="1:18" x14ac:dyDescent="0.2">
      <c r="A2298">
        <v>2171751</v>
      </c>
      <c r="B2298" t="s">
        <v>8927</v>
      </c>
      <c r="C2298">
        <v>1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 t="s">
        <v>3284</v>
      </c>
      <c r="M2298" t="s">
        <v>3327</v>
      </c>
      <c r="N2298" t="s">
        <v>3376</v>
      </c>
      <c r="O2298" t="s">
        <v>3377</v>
      </c>
      <c r="P2298" t="s">
        <v>3378</v>
      </c>
      <c r="Q2298" t="s">
        <v>3823</v>
      </c>
      <c r="R2298" t="s">
        <v>8928</v>
      </c>
    </row>
    <row r="2299" spans="1:18" x14ac:dyDescent="0.2">
      <c r="A2299">
        <v>2171749</v>
      </c>
      <c r="B2299" t="s">
        <v>8929</v>
      </c>
      <c r="C2299">
        <v>0</v>
      </c>
      <c r="D2299">
        <v>1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 t="s">
        <v>3284</v>
      </c>
      <c r="M2299" t="s">
        <v>3391</v>
      </c>
      <c r="N2299" t="s">
        <v>3392</v>
      </c>
      <c r="O2299" t="s">
        <v>3393</v>
      </c>
      <c r="P2299" t="s">
        <v>3394</v>
      </c>
      <c r="Q2299" t="s">
        <v>4351</v>
      </c>
      <c r="R2299" t="s">
        <v>8930</v>
      </c>
    </row>
    <row r="2300" spans="1:18" x14ac:dyDescent="0.2">
      <c r="A2300">
        <v>2171622</v>
      </c>
      <c r="B2300" t="s">
        <v>8931</v>
      </c>
      <c r="C2300">
        <v>0</v>
      </c>
      <c r="D2300">
        <v>1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 t="s">
        <v>3284</v>
      </c>
      <c r="M2300" t="s">
        <v>3307</v>
      </c>
      <c r="N2300" t="s">
        <v>3308</v>
      </c>
      <c r="O2300" t="s">
        <v>8932</v>
      </c>
      <c r="P2300" t="s">
        <v>8933</v>
      </c>
      <c r="Q2300" t="s">
        <v>8934</v>
      </c>
      <c r="R2300" t="s">
        <v>8935</v>
      </c>
    </row>
    <row r="2301" spans="1:18" x14ac:dyDescent="0.2">
      <c r="A2301">
        <v>2171554</v>
      </c>
      <c r="B2301" t="s">
        <v>8936</v>
      </c>
      <c r="C2301">
        <v>1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 t="s">
        <v>3284</v>
      </c>
      <c r="M2301" t="s">
        <v>3327</v>
      </c>
      <c r="N2301" t="s">
        <v>3376</v>
      </c>
      <c r="O2301" t="s">
        <v>3377</v>
      </c>
      <c r="P2301" t="s">
        <v>3378</v>
      </c>
      <c r="Q2301" t="s">
        <v>3491</v>
      </c>
      <c r="R2301" t="s">
        <v>8937</v>
      </c>
    </row>
    <row r="2302" spans="1:18" x14ac:dyDescent="0.2">
      <c r="A2302">
        <v>2170735</v>
      </c>
      <c r="B2302" t="s">
        <v>8938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22</v>
      </c>
      <c r="J2302">
        <v>8</v>
      </c>
      <c r="K2302">
        <v>8</v>
      </c>
      <c r="L2302" t="s">
        <v>3284</v>
      </c>
      <c r="M2302" t="s">
        <v>3296</v>
      </c>
      <c r="N2302" t="s">
        <v>3297</v>
      </c>
      <c r="O2302" t="s">
        <v>3469</v>
      </c>
      <c r="P2302" t="s">
        <v>3470</v>
      </c>
      <c r="Q2302" t="s">
        <v>3471</v>
      </c>
      <c r="R2302" t="s">
        <v>8939</v>
      </c>
    </row>
    <row r="2303" spans="1:18" x14ac:dyDescent="0.2">
      <c r="A2303">
        <v>2170734</v>
      </c>
      <c r="B2303" t="s">
        <v>8940</v>
      </c>
      <c r="C2303">
        <v>0</v>
      </c>
      <c r="D2303">
        <v>0</v>
      </c>
      <c r="E2303">
        <v>0</v>
      </c>
      <c r="F2303">
        <v>1</v>
      </c>
      <c r="G2303">
        <v>0</v>
      </c>
      <c r="H2303">
        <v>0</v>
      </c>
      <c r="I2303">
        <v>0</v>
      </c>
      <c r="J2303">
        <v>0</v>
      </c>
      <c r="K2303">
        <v>0</v>
      </c>
      <c r="L2303" t="s">
        <v>3284</v>
      </c>
      <c r="M2303" t="s">
        <v>3296</v>
      </c>
      <c r="N2303" t="s">
        <v>3297</v>
      </c>
      <c r="O2303" t="s">
        <v>3434</v>
      </c>
      <c r="P2303" t="s">
        <v>3435</v>
      </c>
      <c r="Q2303" t="s">
        <v>3436</v>
      </c>
      <c r="R2303" t="s">
        <v>8941</v>
      </c>
    </row>
    <row r="2304" spans="1:18" x14ac:dyDescent="0.2">
      <c r="A2304">
        <v>2170733</v>
      </c>
      <c r="B2304" t="s">
        <v>8942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1</v>
      </c>
      <c r="J2304">
        <v>0</v>
      </c>
      <c r="K2304">
        <v>0</v>
      </c>
      <c r="L2304" t="s">
        <v>3284</v>
      </c>
      <c r="M2304" t="s">
        <v>3296</v>
      </c>
      <c r="N2304" t="s">
        <v>3297</v>
      </c>
      <c r="O2304" t="s">
        <v>3434</v>
      </c>
      <c r="P2304" t="s">
        <v>3435</v>
      </c>
      <c r="Q2304" t="s">
        <v>3436</v>
      </c>
      <c r="R2304" t="s">
        <v>8943</v>
      </c>
    </row>
    <row r="2305" spans="1:18" x14ac:dyDescent="0.2">
      <c r="A2305">
        <v>2170732</v>
      </c>
      <c r="B2305" t="s">
        <v>8944</v>
      </c>
      <c r="C2305">
        <v>0</v>
      </c>
      <c r="D2305">
        <v>0</v>
      </c>
      <c r="E2305">
        <v>0</v>
      </c>
      <c r="F2305">
        <v>2</v>
      </c>
      <c r="G2305">
        <v>1</v>
      </c>
      <c r="H2305">
        <v>0</v>
      </c>
      <c r="I2305">
        <v>0</v>
      </c>
      <c r="J2305">
        <v>0</v>
      </c>
      <c r="K2305">
        <v>0</v>
      </c>
      <c r="L2305" t="s">
        <v>3284</v>
      </c>
      <c r="M2305" t="s">
        <v>3391</v>
      </c>
      <c r="N2305" t="s">
        <v>3411</v>
      </c>
      <c r="O2305" t="s">
        <v>3412</v>
      </c>
      <c r="P2305" t="s">
        <v>3413</v>
      </c>
      <c r="Q2305" t="s">
        <v>3414</v>
      </c>
      <c r="R2305" t="s">
        <v>8945</v>
      </c>
    </row>
    <row r="2306" spans="1:18" x14ac:dyDescent="0.2">
      <c r="A2306">
        <v>2170551</v>
      </c>
      <c r="B2306" t="s">
        <v>8946</v>
      </c>
      <c r="C2306">
        <v>0</v>
      </c>
      <c r="D2306">
        <v>0</v>
      </c>
      <c r="E2306">
        <v>0</v>
      </c>
      <c r="F2306">
        <v>1</v>
      </c>
      <c r="G2306">
        <v>0</v>
      </c>
      <c r="H2306">
        <v>0</v>
      </c>
      <c r="I2306">
        <v>0</v>
      </c>
      <c r="J2306">
        <v>1</v>
      </c>
      <c r="K2306">
        <v>0</v>
      </c>
      <c r="L2306" t="s">
        <v>3284</v>
      </c>
      <c r="M2306" t="s">
        <v>3296</v>
      </c>
      <c r="N2306" t="s">
        <v>3343</v>
      </c>
      <c r="O2306" t="s">
        <v>3402</v>
      </c>
      <c r="P2306" t="s">
        <v>3403</v>
      </c>
      <c r="Q2306" t="s">
        <v>5337</v>
      </c>
      <c r="R2306" t="s">
        <v>8947</v>
      </c>
    </row>
    <row r="2307" spans="1:18" x14ac:dyDescent="0.2">
      <c r="A2307">
        <v>2169400</v>
      </c>
      <c r="B2307" t="s">
        <v>8948</v>
      </c>
      <c r="C2307">
        <v>3</v>
      </c>
      <c r="D2307">
        <v>2</v>
      </c>
      <c r="E2307">
        <v>1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 t="s">
        <v>3284</v>
      </c>
      <c r="M2307" t="s">
        <v>3296</v>
      </c>
      <c r="N2307" t="s">
        <v>3343</v>
      </c>
      <c r="O2307" t="s">
        <v>3371</v>
      </c>
      <c r="P2307" t="s">
        <v>3688</v>
      </c>
      <c r="Q2307" t="s">
        <v>4278</v>
      </c>
      <c r="R2307" t="s">
        <v>8949</v>
      </c>
    </row>
    <row r="2308" spans="1:18" x14ac:dyDescent="0.2">
      <c r="A2308">
        <v>2163881</v>
      </c>
      <c r="B2308" t="s">
        <v>8950</v>
      </c>
      <c r="C2308">
        <v>0</v>
      </c>
      <c r="D2308">
        <v>0</v>
      </c>
      <c r="E2308">
        <v>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 t="s">
        <v>3284</v>
      </c>
      <c r="M2308" t="s">
        <v>3327</v>
      </c>
      <c r="N2308" t="s">
        <v>3376</v>
      </c>
      <c r="O2308" t="s">
        <v>3377</v>
      </c>
      <c r="P2308" t="s">
        <v>3604</v>
      </c>
      <c r="Q2308" t="s">
        <v>3668</v>
      </c>
      <c r="R2308" t="s">
        <v>8951</v>
      </c>
    </row>
    <row r="2309" spans="1:18" x14ac:dyDescent="0.2">
      <c r="A2309">
        <v>2161817</v>
      </c>
      <c r="B2309" t="s">
        <v>8952</v>
      </c>
      <c r="C2309">
        <v>0</v>
      </c>
      <c r="D2309">
        <v>1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 t="s">
        <v>3284</v>
      </c>
      <c r="M2309" t="s">
        <v>3327</v>
      </c>
      <c r="N2309" t="s">
        <v>3328</v>
      </c>
      <c r="O2309" t="s">
        <v>4184</v>
      </c>
      <c r="P2309" t="s">
        <v>4185</v>
      </c>
      <c r="Q2309" t="s">
        <v>6781</v>
      </c>
      <c r="R2309" t="s">
        <v>8953</v>
      </c>
    </row>
    <row r="2310" spans="1:18" x14ac:dyDescent="0.2">
      <c r="A2310">
        <v>2161748</v>
      </c>
      <c r="B2310" t="s">
        <v>8954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1</v>
      </c>
      <c r="I2310">
        <v>0</v>
      </c>
      <c r="J2310">
        <v>0</v>
      </c>
      <c r="K2310">
        <v>0</v>
      </c>
      <c r="L2310" t="s">
        <v>3284</v>
      </c>
      <c r="M2310" t="s">
        <v>3296</v>
      </c>
      <c r="N2310" t="s">
        <v>3297</v>
      </c>
      <c r="O2310" t="s">
        <v>3434</v>
      </c>
      <c r="P2310" t="s">
        <v>3435</v>
      </c>
      <c r="Q2310" t="s">
        <v>3436</v>
      </c>
      <c r="R2310" t="s">
        <v>8955</v>
      </c>
    </row>
    <row r="2311" spans="1:18" x14ac:dyDescent="0.2">
      <c r="A2311">
        <v>2161747</v>
      </c>
      <c r="B2311" t="s">
        <v>8956</v>
      </c>
      <c r="C2311">
        <v>0</v>
      </c>
      <c r="D2311">
        <v>0</v>
      </c>
      <c r="E2311">
        <v>2</v>
      </c>
      <c r="F2311">
        <v>1</v>
      </c>
      <c r="G2311">
        <v>0</v>
      </c>
      <c r="H2311">
        <v>1</v>
      </c>
      <c r="I2311">
        <v>1</v>
      </c>
      <c r="J2311">
        <v>0</v>
      </c>
      <c r="K2311">
        <v>0</v>
      </c>
      <c r="L2311" t="s">
        <v>3284</v>
      </c>
      <c r="M2311" t="s">
        <v>3296</v>
      </c>
      <c r="N2311" t="s">
        <v>3297</v>
      </c>
      <c r="O2311" t="s">
        <v>4500</v>
      </c>
      <c r="P2311" t="s">
        <v>8957</v>
      </c>
      <c r="Q2311" t="s">
        <v>8958</v>
      </c>
      <c r="R2311" t="s">
        <v>8959</v>
      </c>
    </row>
    <row r="2312" spans="1:18" x14ac:dyDescent="0.2">
      <c r="A2312">
        <v>2161677</v>
      </c>
      <c r="B2312" t="s">
        <v>8960</v>
      </c>
      <c r="C2312">
        <v>0</v>
      </c>
      <c r="D2312">
        <v>0</v>
      </c>
      <c r="E2312">
        <v>0</v>
      </c>
      <c r="F2312">
        <v>0</v>
      </c>
      <c r="G2312">
        <v>1</v>
      </c>
      <c r="H2312">
        <v>0</v>
      </c>
      <c r="I2312">
        <v>0</v>
      </c>
      <c r="J2312">
        <v>0</v>
      </c>
      <c r="K2312">
        <v>0</v>
      </c>
      <c r="L2312" t="s">
        <v>3284</v>
      </c>
      <c r="M2312" t="s">
        <v>3296</v>
      </c>
      <c r="N2312" t="s">
        <v>3343</v>
      </c>
      <c r="O2312" t="s">
        <v>8961</v>
      </c>
      <c r="P2312" t="s">
        <v>8962</v>
      </c>
      <c r="Q2312" t="s">
        <v>8963</v>
      </c>
      <c r="R2312" t="s">
        <v>8964</v>
      </c>
    </row>
    <row r="2313" spans="1:18" x14ac:dyDescent="0.2">
      <c r="A2313">
        <v>2161675</v>
      </c>
      <c r="B2313" t="s">
        <v>8965</v>
      </c>
      <c r="C2313">
        <v>0</v>
      </c>
      <c r="D2313">
        <v>0</v>
      </c>
      <c r="E2313">
        <v>0</v>
      </c>
      <c r="F2313">
        <v>1</v>
      </c>
      <c r="G2313">
        <v>0</v>
      </c>
      <c r="H2313">
        <v>0</v>
      </c>
      <c r="I2313">
        <v>0</v>
      </c>
      <c r="J2313">
        <v>0</v>
      </c>
      <c r="K2313">
        <v>0</v>
      </c>
      <c r="L2313" t="s">
        <v>3284</v>
      </c>
      <c r="M2313" t="s">
        <v>3307</v>
      </c>
      <c r="N2313" t="s">
        <v>3308</v>
      </c>
      <c r="O2313" t="s">
        <v>3635</v>
      </c>
      <c r="P2313" t="s">
        <v>3636</v>
      </c>
      <c r="Q2313" t="s">
        <v>3637</v>
      </c>
      <c r="R2313" t="s">
        <v>8966</v>
      </c>
    </row>
    <row r="2314" spans="1:18" x14ac:dyDescent="0.2">
      <c r="A2314">
        <v>2153365</v>
      </c>
      <c r="B2314" t="s">
        <v>8967</v>
      </c>
      <c r="C2314">
        <v>0</v>
      </c>
      <c r="D2314">
        <v>0</v>
      </c>
      <c r="E2314">
        <v>0</v>
      </c>
      <c r="F2314">
        <v>2</v>
      </c>
      <c r="G2314">
        <v>0</v>
      </c>
      <c r="H2314">
        <v>0</v>
      </c>
      <c r="I2314">
        <v>0</v>
      </c>
      <c r="J2314">
        <v>0</v>
      </c>
      <c r="K2314">
        <v>0</v>
      </c>
      <c r="L2314" t="s">
        <v>3284</v>
      </c>
      <c r="M2314" t="s">
        <v>3296</v>
      </c>
      <c r="N2314" t="s">
        <v>3321</v>
      </c>
      <c r="O2314" t="s">
        <v>3322</v>
      </c>
      <c r="P2314" t="s">
        <v>3398</v>
      </c>
      <c r="Q2314" t="s">
        <v>3556</v>
      </c>
      <c r="R2314" t="s">
        <v>8968</v>
      </c>
    </row>
    <row r="2315" spans="1:18" x14ac:dyDescent="0.2">
      <c r="A2315">
        <v>2153364</v>
      </c>
      <c r="B2315" t="s">
        <v>8969</v>
      </c>
      <c r="C2315">
        <v>0</v>
      </c>
      <c r="D2315">
        <v>0</v>
      </c>
      <c r="E2315">
        <v>0</v>
      </c>
      <c r="F2315">
        <v>1</v>
      </c>
      <c r="G2315">
        <v>0</v>
      </c>
      <c r="H2315">
        <v>1</v>
      </c>
      <c r="I2315">
        <v>0</v>
      </c>
      <c r="J2315">
        <v>0</v>
      </c>
      <c r="K2315">
        <v>0</v>
      </c>
      <c r="L2315" t="s">
        <v>3284</v>
      </c>
      <c r="M2315" t="s">
        <v>3391</v>
      </c>
      <c r="N2315" t="s">
        <v>3392</v>
      </c>
      <c r="O2315" t="s">
        <v>3393</v>
      </c>
      <c r="P2315" t="s">
        <v>3394</v>
      </c>
      <c r="Q2315" t="s">
        <v>3395</v>
      </c>
      <c r="R2315" t="s">
        <v>8970</v>
      </c>
    </row>
    <row r="2316" spans="1:18" x14ac:dyDescent="0.2">
      <c r="A2316">
        <v>2153363</v>
      </c>
      <c r="B2316" t="s">
        <v>8971</v>
      </c>
      <c r="C2316">
        <v>0</v>
      </c>
      <c r="D2316">
        <v>1</v>
      </c>
      <c r="E2316">
        <v>1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 t="s">
        <v>3284</v>
      </c>
      <c r="M2316" t="s">
        <v>3296</v>
      </c>
      <c r="N2316" t="s">
        <v>3321</v>
      </c>
      <c r="O2316" t="s">
        <v>3322</v>
      </c>
      <c r="P2316" t="s">
        <v>3323</v>
      </c>
      <c r="Q2316" t="s">
        <v>8972</v>
      </c>
      <c r="R2316" t="s">
        <v>8973</v>
      </c>
    </row>
    <row r="2317" spans="1:18" x14ac:dyDescent="0.2">
      <c r="A2317">
        <v>2153361</v>
      </c>
      <c r="B2317" t="s">
        <v>8974</v>
      </c>
      <c r="C2317">
        <v>0</v>
      </c>
      <c r="D2317">
        <v>0</v>
      </c>
      <c r="E2317">
        <v>1</v>
      </c>
      <c r="F2317">
        <v>0</v>
      </c>
      <c r="G2317">
        <v>1</v>
      </c>
      <c r="H2317">
        <v>0</v>
      </c>
      <c r="I2317">
        <v>0</v>
      </c>
      <c r="J2317">
        <v>0</v>
      </c>
      <c r="K2317">
        <v>0</v>
      </c>
      <c r="L2317" t="s">
        <v>3284</v>
      </c>
      <c r="M2317" t="s">
        <v>3296</v>
      </c>
      <c r="N2317" t="s">
        <v>3321</v>
      </c>
      <c r="O2317" t="s">
        <v>3322</v>
      </c>
      <c r="P2317" t="s">
        <v>3671</v>
      </c>
      <c r="Q2317" t="s">
        <v>3672</v>
      </c>
      <c r="R2317" t="s">
        <v>8975</v>
      </c>
    </row>
    <row r="2318" spans="1:18" x14ac:dyDescent="0.2">
      <c r="A2318">
        <v>2153359</v>
      </c>
      <c r="B2318" t="s">
        <v>8976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1</v>
      </c>
      <c r="J2318">
        <v>0</v>
      </c>
      <c r="K2318">
        <v>0</v>
      </c>
      <c r="L2318" t="s">
        <v>3284</v>
      </c>
      <c r="M2318" t="s">
        <v>3391</v>
      </c>
      <c r="N2318" t="s">
        <v>3392</v>
      </c>
      <c r="O2318" t="s">
        <v>3393</v>
      </c>
      <c r="P2318" t="s">
        <v>3394</v>
      </c>
      <c r="Q2318" t="s">
        <v>3395</v>
      </c>
      <c r="R2318" t="s">
        <v>8977</v>
      </c>
    </row>
    <row r="2319" spans="1:18" x14ac:dyDescent="0.2">
      <c r="A2319">
        <v>2153358</v>
      </c>
      <c r="B2319" t="s">
        <v>8978</v>
      </c>
      <c r="C2319">
        <v>0</v>
      </c>
      <c r="D2319">
        <v>0</v>
      </c>
      <c r="E2319">
        <v>0</v>
      </c>
      <c r="F2319">
        <v>0</v>
      </c>
      <c r="G2319">
        <v>2</v>
      </c>
      <c r="H2319">
        <v>1</v>
      </c>
      <c r="I2319">
        <v>0</v>
      </c>
      <c r="J2319">
        <v>0</v>
      </c>
      <c r="K2319">
        <v>0</v>
      </c>
      <c r="L2319" t="s">
        <v>3284</v>
      </c>
      <c r="M2319" t="s">
        <v>3296</v>
      </c>
      <c r="N2319" t="s">
        <v>3321</v>
      </c>
      <c r="O2319" t="s">
        <v>3322</v>
      </c>
      <c r="P2319" t="s">
        <v>3398</v>
      </c>
      <c r="Q2319" t="s">
        <v>3399</v>
      </c>
      <c r="R2319" t="s">
        <v>8979</v>
      </c>
    </row>
    <row r="2320" spans="1:18" x14ac:dyDescent="0.2">
      <c r="A2320">
        <v>2153357</v>
      </c>
      <c r="B2320" t="s">
        <v>8980</v>
      </c>
      <c r="C2320">
        <v>0</v>
      </c>
      <c r="D2320">
        <v>0</v>
      </c>
      <c r="E2320">
        <v>0</v>
      </c>
      <c r="F2320">
        <v>0</v>
      </c>
      <c r="G2320">
        <v>1</v>
      </c>
      <c r="H2320">
        <v>0</v>
      </c>
      <c r="I2320">
        <v>0</v>
      </c>
      <c r="J2320">
        <v>0</v>
      </c>
      <c r="K2320">
        <v>0</v>
      </c>
      <c r="L2320" t="s">
        <v>3284</v>
      </c>
      <c r="M2320" t="s">
        <v>3391</v>
      </c>
      <c r="N2320" t="s">
        <v>4129</v>
      </c>
      <c r="O2320" t="s">
        <v>4130</v>
      </c>
      <c r="P2320" t="s">
        <v>4131</v>
      </c>
      <c r="Q2320" t="s">
        <v>7860</v>
      </c>
      <c r="R2320" t="s">
        <v>8981</v>
      </c>
    </row>
    <row r="2321" spans="1:18" x14ac:dyDescent="0.2">
      <c r="A2321">
        <v>2137479</v>
      </c>
      <c r="B2321" t="s">
        <v>8982</v>
      </c>
      <c r="C2321">
        <v>0</v>
      </c>
      <c r="D2321">
        <v>0</v>
      </c>
      <c r="E2321">
        <v>0</v>
      </c>
      <c r="F2321">
        <v>0</v>
      </c>
      <c r="G2321">
        <v>1</v>
      </c>
      <c r="H2321">
        <v>0</v>
      </c>
      <c r="I2321">
        <v>0</v>
      </c>
      <c r="J2321">
        <v>0</v>
      </c>
      <c r="K2321">
        <v>0</v>
      </c>
      <c r="L2321" t="s">
        <v>3284</v>
      </c>
      <c r="M2321" t="s">
        <v>3296</v>
      </c>
      <c r="N2321" t="s">
        <v>3297</v>
      </c>
      <c r="O2321" t="s">
        <v>3469</v>
      </c>
      <c r="P2321" t="s">
        <v>3470</v>
      </c>
      <c r="Q2321" t="s">
        <v>6962</v>
      </c>
      <c r="R2321" t="s">
        <v>8983</v>
      </c>
    </row>
    <row r="2322" spans="1:18" x14ac:dyDescent="0.2">
      <c r="A2322">
        <v>2136325</v>
      </c>
      <c r="B2322" t="s">
        <v>8984</v>
      </c>
      <c r="C2322">
        <v>1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 t="s">
        <v>3284</v>
      </c>
      <c r="M2322" t="s">
        <v>3296</v>
      </c>
      <c r="N2322" t="s">
        <v>3297</v>
      </c>
      <c r="O2322" t="s">
        <v>3469</v>
      </c>
      <c r="P2322" t="s">
        <v>5200</v>
      </c>
      <c r="Q2322" t="s">
        <v>8985</v>
      </c>
      <c r="R2322" t="s">
        <v>8986</v>
      </c>
    </row>
    <row r="2323" spans="1:18" x14ac:dyDescent="0.2">
      <c r="A2323">
        <v>2135754</v>
      </c>
      <c r="B2323" t="s">
        <v>8987</v>
      </c>
      <c r="C2323">
        <v>0</v>
      </c>
      <c r="D2323">
        <v>0</v>
      </c>
      <c r="E2323">
        <v>0</v>
      </c>
      <c r="F2323">
        <v>127</v>
      </c>
      <c r="G2323">
        <v>81</v>
      </c>
      <c r="H2323">
        <v>67</v>
      </c>
      <c r="I2323">
        <v>0</v>
      </c>
      <c r="J2323">
        <v>0</v>
      </c>
      <c r="K2323">
        <v>0</v>
      </c>
      <c r="L2323" t="s">
        <v>3284</v>
      </c>
      <c r="M2323" t="s">
        <v>3296</v>
      </c>
      <c r="N2323" t="s">
        <v>3297</v>
      </c>
      <c r="O2323" t="s">
        <v>3434</v>
      </c>
      <c r="P2323" t="s">
        <v>3435</v>
      </c>
      <c r="Q2323" t="s">
        <v>3436</v>
      </c>
      <c r="R2323" t="s">
        <v>8988</v>
      </c>
    </row>
    <row r="2324" spans="1:18" x14ac:dyDescent="0.2">
      <c r="A2324">
        <v>2135723</v>
      </c>
      <c r="B2324" t="s">
        <v>8989</v>
      </c>
      <c r="C2324">
        <v>0</v>
      </c>
      <c r="D2324">
        <v>1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 t="s">
        <v>3284</v>
      </c>
      <c r="M2324" t="s">
        <v>3307</v>
      </c>
      <c r="N2324" t="s">
        <v>3308</v>
      </c>
      <c r="O2324" t="s">
        <v>3359</v>
      </c>
      <c r="P2324" t="s">
        <v>5645</v>
      </c>
      <c r="Q2324" t="s">
        <v>8990</v>
      </c>
      <c r="R2324" t="s">
        <v>8991</v>
      </c>
    </row>
    <row r="2325" spans="1:18" x14ac:dyDescent="0.2">
      <c r="A2325">
        <v>2135662</v>
      </c>
      <c r="B2325" t="s">
        <v>8992</v>
      </c>
      <c r="C2325">
        <v>0</v>
      </c>
      <c r="D2325">
        <v>0</v>
      </c>
      <c r="E2325">
        <v>0</v>
      </c>
      <c r="F2325">
        <v>1</v>
      </c>
      <c r="G2325">
        <v>0</v>
      </c>
      <c r="H2325">
        <v>0</v>
      </c>
      <c r="I2325">
        <v>0</v>
      </c>
      <c r="J2325">
        <v>0</v>
      </c>
      <c r="K2325">
        <v>0</v>
      </c>
      <c r="L2325" t="s">
        <v>3284</v>
      </c>
      <c r="M2325" t="s">
        <v>3296</v>
      </c>
      <c r="N2325" t="s">
        <v>3343</v>
      </c>
      <c r="O2325" t="s">
        <v>3349</v>
      </c>
      <c r="P2325" t="s">
        <v>3350</v>
      </c>
      <c r="Q2325" t="s">
        <v>3580</v>
      </c>
      <c r="R2325" t="s">
        <v>8993</v>
      </c>
    </row>
    <row r="2326" spans="1:18" x14ac:dyDescent="0.2">
      <c r="A2326">
        <v>2135651</v>
      </c>
      <c r="B2326" t="s">
        <v>8994</v>
      </c>
      <c r="C2326">
        <v>0</v>
      </c>
      <c r="D2326">
        <v>0</v>
      </c>
      <c r="E2326">
        <v>0</v>
      </c>
      <c r="F2326">
        <v>1</v>
      </c>
      <c r="G2326">
        <v>0</v>
      </c>
      <c r="H2326">
        <v>0</v>
      </c>
      <c r="I2326">
        <v>0</v>
      </c>
      <c r="J2326">
        <v>0</v>
      </c>
      <c r="K2326">
        <v>0</v>
      </c>
      <c r="L2326" t="s">
        <v>3284</v>
      </c>
      <c r="M2326" t="s">
        <v>3296</v>
      </c>
      <c r="N2326" t="s">
        <v>3343</v>
      </c>
      <c r="O2326" t="s">
        <v>3344</v>
      </c>
      <c r="P2326" t="s">
        <v>3355</v>
      </c>
      <c r="Q2326" t="s">
        <v>3356</v>
      </c>
      <c r="R2326" t="s">
        <v>8995</v>
      </c>
    </row>
    <row r="2327" spans="1:18" x14ac:dyDescent="0.2">
      <c r="A2327">
        <v>2135642</v>
      </c>
      <c r="B2327" t="s">
        <v>8996</v>
      </c>
      <c r="C2327">
        <v>0</v>
      </c>
      <c r="D2327">
        <v>0</v>
      </c>
      <c r="E2327">
        <v>0</v>
      </c>
      <c r="F2327">
        <v>1</v>
      </c>
      <c r="G2327">
        <v>0</v>
      </c>
      <c r="H2327">
        <v>0</v>
      </c>
      <c r="I2327">
        <v>0</v>
      </c>
      <c r="J2327">
        <v>0</v>
      </c>
      <c r="K2327">
        <v>0</v>
      </c>
      <c r="L2327" t="s">
        <v>3284</v>
      </c>
      <c r="M2327" t="s">
        <v>3296</v>
      </c>
      <c r="N2327" t="s">
        <v>3343</v>
      </c>
      <c r="O2327" t="s">
        <v>3344</v>
      </c>
      <c r="P2327" t="s">
        <v>3367</v>
      </c>
      <c r="Q2327" t="s">
        <v>3368</v>
      </c>
      <c r="R2327" t="s">
        <v>8997</v>
      </c>
    </row>
    <row r="2328" spans="1:18" x14ac:dyDescent="0.2">
      <c r="A2328">
        <v>2135638</v>
      </c>
      <c r="B2328" t="s">
        <v>8998</v>
      </c>
      <c r="C2328">
        <v>1</v>
      </c>
      <c r="D2328">
        <v>0</v>
      </c>
      <c r="E2328">
        <v>1</v>
      </c>
      <c r="F2328">
        <v>1</v>
      </c>
      <c r="G2328">
        <v>0</v>
      </c>
      <c r="H2328">
        <v>0</v>
      </c>
      <c r="I2328">
        <v>0</v>
      </c>
      <c r="J2328">
        <v>1</v>
      </c>
      <c r="K2328">
        <v>0</v>
      </c>
      <c r="L2328" t="s">
        <v>3284</v>
      </c>
      <c r="M2328" t="s">
        <v>3296</v>
      </c>
      <c r="N2328" t="s">
        <v>3321</v>
      </c>
      <c r="O2328" t="s">
        <v>3322</v>
      </c>
      <c r="P2328" t="s">
        <v>3398</v>
      </c>
      <c r="Q2328" t="s">
        <v>3556</v>
      </c>
      <c r="R2328" t="s">
        <v>8999</v>
      </c>
    </row>
    <row r="2329" spans="1:18" x14ac:dyDescent="0.2">
      <c r="A2329">
        <v>2135637</v>
      </c>
      <c r="B2329" t="s">
        <v>9000</v>
      </c>
      <c r="C2329">
        <v>2</v>
      </c>
      <c r="D2329">
        <v>1</v>
      </c>
      <c r="E2329">
        <v>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 t="s">
        <v>3284</v>
      </c>
      <c r="M2329" t="s">
        <v>3296</v>
      </c>
      <c r="N2329" t="s">
        <v>3321</v>
      </c>
      <c r="O2329" t="s">
        <v>3322</v>
      </c>
      <c r="P2329" t="s">
        <v>3398</v>
      </c>
      <c r="Q2329" t="s">
        <v>3556</v>
      </c>
      <c r="R2329" t="s">
        <v>9001</v>
      </c>
    </row>
    <row r="2330" spans="1:18" x14ac:dyDescent="0.2">
      <c r="A2330">
        <v>2135635</v>
      </c>
      <c r="B2330" t="s">
        <v>9002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6</v>
      </c>
      <c r="J2330">
        <v>4</v>
      </c>
      <c r="K2330">
        <v>0</v>
      </c>
      <c r="L2330" t="s">
        <v>3284</v>
      </c>
      <c r="M2330" t="s">
        <v>3296</v>
      </c>
      <c r="N2330" t="s">
        <v>3321</v>
      </c>
      <c r="O2330" t="s">
        <v>3322</v>
      </c>
      <c r="P2330" t="s">
        <v>3398</v>
      </c>
      <c r="Q2330" t="s">
        <v>3556</v>
      </c>
      <c r="R2330" t="s">
        <v>9003</v>
      </c>
    </row>
    <row r="2331" spans="1:18" x14ac:dyDescent="0.2">
      <c r="A2331">
        <v>2135634</v>
      </c>
      <c r="B2331" t="s">
        <v>9004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7</v>
      </c>
      <c r="J2331">
        <v>0</v>
      </c>
      <c r="K2331">
        <v>1</v>
      </c>
      <c r="L2331" t="s">
        <v>3284</v>
      </c>
      <c r="M2331" t="s">
        <v>3296</v>
      </c>
      <c r="N2331" t="s">
        <v>3321</v>
      </c>
      <c r="O2331" t="s">
        <v>3322</v>
      </c>
      <c r="P2331" t="s">
        <v>3398</v>
      </c>
      <c r="Q2331" t="s">
        <v>3556</v>
      </c>
      <c r="R2331" t="s">
        <v>9005</v>
      </c>
    </row>
    <row r="2332" spans="1:18" x14ac:dyDescent="0.2">
      <c r="A2332">
        <v>2135633</v>
      </c>
      <c r="B2332" t="s">
        <v>9006</v>
      </c>
      <c r="C2332">
        <v>0</v>
      </c>
      <c r="D2332">
        <v>0</v>
      </c>
      <c r="E2332">
        <v>0</v>
      </c>
      <c r="F2332">
        <v>1</v>
      </c>
      <c r="G2332">
        <v>0</v>
      </c>
      <c r="H2332">
        <v>0</v>
      </c>
      <c r="I2332">
        <v>0</v>
      </c>
      <c r="J2332">
        <v>0</v>
      </c>
      <c r="K2332">
        <v>0</v>
      </c>
      <c r="L2332" t="s">
        <v>3284</v>
      </c>
      <c r="M2332" t="s">
        <v>3296</v>
      </c>
      <c r="N2332" t="s">
        <v>3321</v>
      </c>
      <c r="O2332" t="s">
        <v>3322</v>
      </c>
      <c r="P2332" t="s">
        <v>3398</v>
      </c>
      <c r="Q2332" t="s">
        <v>3556</v>
      </c>
      <c r="R2332" t="s">
        <v>9007</v>
      </c>
    </row>
    <row r="2333" spans="1:18" x14ac:dyDescent="0.2">
      <c r="A2333">
        <v>2135632</v>
      </c>
      <c r="B2333" t="s">
        <v>9008</v>
      </c>
      <c r="C2333">
        <v>1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1</v>
      </c>
      <c r="J2333">
        <v>0</v>
      </c>
      <c r="K2333">
        <v>0</v>
      </c>
      <c r="L2333" t="s">
        <v>3284</v>
      </c>
      <c r="M2333" t="s">
        <v>3296</v>
      </c>
      <c r="N2333" t="s">
        <v>3321</v>
      </c>
      <c r="O2333" t="s">
        <v>3322</v>
      </c>
      <c r="P2333" t="s">
        <v>3398</v>
      </c>
      <c r="Q2333" t="s">
        <v>3556</v>
      </c>
      <c r="R2333" t="s">
        <v>9009</v>
      </c>
    </row>
    <row r="2334" spans="1:18" x14ac:dyDescent="0.2">
      <c r="A2334">
        <v>2135627</v>
      </c>
      <c r="B2334" t="s">
        <v>9010</v>
      </c>
      <c r="C2334">
        <v>0</v>
      </c>
      <c r="D2334">
        <v>0</v>
      </c>
      <c r="E2334">
        <v>0</v>
      </c>
      <c r="F2334">
        <v>0</v>
      </c>
      <c r="G2334">
        <v>1</v>
      </c>
      <c r="H2334">
        <v>0</v>
      </c>
      <c r="I2334">
        <v>0</v>
      </c>
      <c r="J2334">
        <v>0</v>
      </c>
      <c r="K2334">
        <v>0</v>
      </c>
      <c r="L2334" t="s">
        <v>3284</v>
      </c>
      <c r="M2334" t="s">
        <v>3391</v>
      </c>
      <c r="N2334" t="s">
        <v>3411</v>
      </c>
      <c r="O2334" t="s">
        <v>3412</v>
      </c>
      <c r="P2334" t="s">
        <v>3413</v>
      </c>
      <c r="Q2334" t="s">
        <v>3414</v>
      </c>
      <c r="R2334" t="s">
        <v>9011</v>
      </c>
    </row>
    <row r="2335" spans="1:18" x14ac:dyDescent="0.2">
      <c r="A2335">
        <v>2135626</v>
      </c>
      <c r="B2335" t="s">
        <v>9012</v>
      </c>
      <c r="C2335">
        <v>0</v>
      </c>
      <c r="D2335">
        <v>0</v>
      </c>
      <c r="E2335">
        <v>0</v>
      </c>
      <c r="F2335">
        <v>1</v>
      </c>
      <c r="G2335">
        <v>0</v>
      </c>
      <c r="H2335">
        <v>0</v>
      </c>
      <c r="I2335">
        <v>0</v>
      </c>
      <c r="J2335">
        <v>0</v>
      </c>
      <c r="K2335">
        <v>0</v>
      </c>
      <c r="L2335" t="s">
        <v>3284</v>
      </c>
      <c r="M2335" t="s">
        <v>3391</v>
      </c>
      <c r="N2335" t="s">
        <v>3411</v>
      </c>
      <c r="O2335" t="s">
        <v>3412</v>
      </c>
      <c r="P2335" t="s">
        <v>3413</v>
      </c>
      <c r="Q2335" t="s">
        <v>3414</v>
      </c>
      <c r="R2335" t="s">
        <v>9013</v>
      </c>
    </row>
    <row r="2336" spans="1:18" x14ac:dyDescent="0.2">
      <c r="A2336">
        <v>2135462</v>
      </c>
      <c r="B2336" t="s">
        <v>9014</v>
      </c>
      <c r="C2336">
        <v>0</v>
      </c>
      <c r="D2336">
        <v>0</v>
      </c>
      <c r="E2336">
        <v>0</v>
      </c>
      <c r="F2336">
        <v>1</v>
      </c>
      <c r="G2336">
        <v>0</v>
      </c>
      <c r="H2336">
        <v>0</v>
      </c>
      <c r="I2336">
        <v>0</v>
      </c>
      <c r="J2336">
        <v>0</v>
      </c>
      <c r="K2336">
        <v>0</v>
      </c>
      <c r="L2336" t="s">
        <v>3284</v>
      </c>
      <c r="M2336" t="s">
        <v>3391</v>
      </c>
      <c r="N2336" t="s">
        <v>4129</v>
      </c>
      <c r="O2336" t="s">
        <v>4130</v>
      </c>
      <c r="P2336" t="s">
        <v>4131</v>
      </c>
      <c r="Q2336" t="s">
        <v>4132</v>
      </c>
      <c r="R2336" t="s">
        <v>9015</v>
      </c>
    </row>
    <row r="2337" spans="1:18" x14ac:dyDescent="0.2">
      <c r="A2337">
        <v>2133767</v>
      </c>
      <c r="B2337" t="s">
        <v>9016</v>
      </c>
      <c r="C2337">
        <v>1</v>
      </c>
      <c r="D2337">
        <v>0</v>
      </c>
      <c r="E2337">
        <v>0</v>
      </c>
      <c r="F2337">
        <v>1</v>
      </c>
      <c r="G2337">
        <v>0</v>
      </c>
      <c r="H2337">
        <v>0</v>
      </c>
      <c r="I2337">
        <v>0</v>
      </c>
      <c r="J2337">
        <v>0</v>
      </c>
      <c r="K2337">
        <v>0</v>
      </c>
      <c r="L2337" t="s">
        <v>3284</v>
      </c>
      <c r="M2337" t="s">
        <v>3391</v>
      </c>
      <c r="N2337" t="s">
        <v>3411</v>
      </c>
      <c r="O2337" t="s">
        <v>3412</v>
      </c>
      <c r="P2337" t="s">
        <v>3413</v>
      </c>
      <c r="Q2337" t="s">
        <v>3414</v>
      </c>
      <c r="R2337" t="s">
        <v>9017</v>
      </c>
    </row>
    <row r="2338" spans="1:18" x14ac:dyDescent="0.2">
      <c r="A2338">
        <v>2126556</v>
      </c>
      <c r="B2338" t="s">
        <v>9018</v>
      </c>
      <c r="C2338">
        <v>0</v>
      </c>
      <c r="D2338">
        <v>2</v>
      </c>
      <c r="E2338">
        <v>0</v>
      </c>
      <c r="F2338">
        <v>1</v>
      </c>
      <c r="G2338">
        <v>1</v>
      </c>
      <c r="H2338">
        <v>0</v>
      </c>
      <c r="I2338">
        <v>0</v>
      </c>
      <c r="J2338">
        <v>0</v>
      </c>
      <c r="K2338">
        <v>0</v>
      </c>
      <c r="L2338" t="s">
        <v>3284</v>
      </c>
      <c r="M2338" t="s">
        <v>3391</v>
      </c>
      <c r="N2338" t="s">
        <v>3411</v>
      </c>
      <c r="O2338" t="s">
        <v>3412</v>
      </c>
      <c r="P2338" t="s">
        <v>3413</v>
      </c>
      <c r="Q2338" t="s">
        <v>3414</v>
      </c>
      <c r="R2338" t="s">
        <v>9019</v>
      </c>
    </row>
    <row r="2339" spans="1:18" x14ac:dyDescent="0.2">
      <c r="A2339">
        <v>2126436</v>
      </c>
      <c r="B2339" t="s">
        <v>9020</v>
      </c>
      <c r="C2339">
        <v>0</v>
      </c>
      <c r="D2339">
        <v>0</v>
      </c>
      <c r="E2339">
        <v>0</v>
      </c>
      <c r="F2339">
        <v>1</v>
      </c>
      <c r="G2339">
        <v>0</v>
      </c>
      <c r="H2339">
        <v>0</v>
      </c>
      <c r="I2339">
        <v>0</v>
      </c>
      <c r="J2339">
        <v>0</v>
      </c>
      <c r="K2339">
        <v>0</v>
      </c>
      <c r="L2339" t="s">
        <v>3284</v>
      </c>
      <c r="M2339" t="s">
        <v>3327</v>
      </c>
      <c r="N2339" t="s">
        <v>3376</v>
      </c>
      <c r="O2339" t="s">
        <v>3718</v>
      </c>
      <c r="P2339" t="s">
        <v>3719</v>
      </c>
      <c r="Q2339" t="s">
        <v>9021</v>
      </c>
      <c r="R2339" t="s">
        <v>9022</v>
      </c>
    </row>
    <row r="2340" spans="1:18" x14ac:dyDescent="0.2">
      <c r="A2340">
        <v>2126353</v>
      </c>
      <c r="B2340" t="s">
        <v>9023</v>
      </c>
      <c r="C2340">
        <v>0</v>
      </c>
      <c r="D2340">
        <v>0</v>
      </c>
      <c r="E2340">
        <v>0</v>
      </c>
      <c r="F2340">
        <v>1</v>
      </c>
      <c r="G2340">
        <v>0</v>
      </c>
      <c r="H2340">
        <v>0</v>
      </c>
      <c r="I2340">
        <v>0</v>
      </c>
      <c r="J2340">
        <v>0</v>
      </c>
      <c r="K2340">
        <v>0</v>
      </c>
      <c r="L2340" t="s">
        <v>3284</v>
      </c>
      <c r="M2340" t="s">
        <v>3391</v>
      </c>
      <c r="N2340" t="s">
        <v>3392</v>
      </c>
      <c r="O2340" t="s">
        <v>3393</v>
      </c>
      <c r="P2340" t="s">
        <v>3394</v>
      </c>
      <c r="Q2340" t="s">
        <v>3395</v>
      </c>
      <c r="R2340" t="s">
        <v>9024</v>
      </c>
    </row>
    <row r="2341" spans="1:18" x14ac:dyDescent="0.2">
      <c r="A2341">
        <v>2126350</v>
      </c>
      <c r="B2341" t="s">
        <v>9025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1</v>
      </c>
      <c r="L2341" t="s">
        <v>3284</v>
      </c>
      <c r="M2341" t="s">
        <v>3327</v>
      </c>
      <c r="N2341" t="s">
        <v>3376</v>
      </c>
      <c r="O2341" t="s">
        <v>3377</v>
      </c>
      <c r="P2341" t="s">
        <v>3604</v>
      </c>
      <c r="Q2341" t="s">
        <v>3605</v>
      </c>
      <c r="R2341" t="s">
        <v>9026</v>
      </c>
    </row>
    <row r="2342" spans="1:18" x14ac:dyDescent="0.2">
      <c r="A2342">
        <v>2116701</v>
      </c>
      <c r="B2342" t="s">
        <v>9027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1</v>
      </c>
      <c r="L2342" t="s">
        <v>3284</v>
      </c>
      <c r="M2342" t="s">
        <v>3296</v>
      </c>
      <c r="N2342" t="s">
        <v>3343</v>
      </c>
      <c r="O2342" t="s">
        <v>3344</v>
      </c>
      <c r="P2342" t="s">
        <v>3898</v>
      </c>
      <c r="Q2342" t="s">
        <v>3899</v>
      </c>
      <c r="R2342" t="s">
        <v>9028</v>
      </c>
    </row>
    <row r="2343" spans="1:18" x14ac:dyDescent="0.2">
      <c r="A2343">
        <v>2116657</v>
      </c>
      <c r="B2343" t="s">
        <v>9029</v>
      </c>
      <c r="C2343">
        <v>2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 t="s">
        <v>3284</v>
      </c>
      <c r="M2343" t="s">
        <v>3296</v>
      </c>
      <c r="N2343" t="s">
        <v>3321</v>
      </c>
      <c r="O2343" t="s">
        <v>3322</v>
      </c>
      <c r="P2343" t="s">
        <v>3398</v>
      </c>
      <c r="Q2343" t="s">
        <v>7656</v>
      </c>
      <c r="R2343" t="s">
        <v>9030</v>
      </c>
    </row>
    <row r="2344" spans="1:18" x14ac:dyDescent="0.2">
      <c r="A2344">
        <v>2115968</v>
      </c>
      <c r="B2344" t="s">
        <v>9031</v>
      </c>
      <c r="C2344">
        <v>0</v>
      </c>
      <c r="D2344">
        <v>0</v>
      </c>
      <c r="E2344">
        <v>1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 t="s">
        <v>3284</v>
      </c>
      <c r="M2344" t="s">
        <v>3327</v>
      </c>
      <c r="N2344" t="s">
        <v>3376</v>
      </c>
      <c r="O2344" t="s">
        <v>3377</v>
      </c>
      <c r="P2344" t="s">
        <v>3378</v>
      </c>
      <c r="Q2344" t="s">
        <v>5755</v>
      </c>
      <c r="R2344" t="s">
        <v>9032</v>
      </c>
    </row>
    <row r="2345" spans="1:18" x14ac:dyDescent="0.2">
      <c r="A2345">
        <v>2109933</v>
      </c>
      <c r="B2345" t="s">
        <v>9033</v>
      </c>
      <c r="C2345">
        <v>0</v>
      </c>
      <c r="D2345">
        <v>1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 t="s">
        <v>3284</v>
      </c>
      <c r="M2345" t="s">
        <v>3296</v>
      </c>
      <c r="N2345" t="s">
        <v>3343</v>
      </c>
      <c r="O2345" t="s">
        <v>3344</v>
      </c>
      <c r="P2345" t="s">
        <v>4033</v>
      </c>
      <c r="Q2345" t="s">
        <v>4034</v>
      </c>
      <c r="R2345" t="s">
        <v>9034</v>
      </c>
    </row>
    <row r="2346" spans="1:18" x14ac:dyDescent="0.2">
      <c r="A2346">
        <v>2109915</v>
      </c>
      <c r="B2346" t="s">
        <v>9035</v>
      </c>
      <c r="C2346">
        <v>1</v>
      </c>
      <c r="D2346">
        <v>0</v>
      </c>
      <c r="E2346">
        <v>0</v>
      </c>
      <c r="F2346">
        <v>1</v>
      </c>
      <c r="G2346">
        <v>0</v>
      </c>
      <c r="H2346">
        <v>0</v>
      </c>
      <c r="I2346">
        <v>0</v>
      </c>
      <c r="J2346">
        <v>0</v>
      </c>
      <c r="K2346">
        <v>0</v>
      </c>
      <c r="L2346" t="s">
        <v>3284</v>
      </c>
      <c r="M2346" t="s">
        <v>3296</v>
      </c>
      <c r="N2346" t="s">
        <v>3321</v>
      </c>
      <c r="O2346" t="s">
        <v>3322</v>
      </c>
      <c r="P2346" t="s">
        <v>3398</v>
      </c>
      <c r="Q2346" t="s">
        <v>5801</v>
      </c>
      <c r="R2346" t="s">
        <v>9036</v>
      </c>
    </row>
    <row r="2347" spans="1:18" x14ac:dyDescent="0.2">
      <c r="A2347">
        <v>2109914</v>
      </c>
      <c r="B2347" t="s">
        <v>9037</v>
      </c>
      <c r="C2347">
        <v>0</v>
      </c>
      <c r="D2347">
        <v>1</v>
      </c>
      <c r="E2347">
        <v>0</v>
      </c>
      <c r="F2347">
        <v>0</v>
      </c>
      <c r="G2347">
        <v>1</v>
      </c>
      <c r="H2347">
        <v>0</v>
      </c>
      <c r="I2347">
        <v>0</v>
      </c>
      <c r="J2347">
        <v>0</v>
      </c>
      <c r="K2347">
        <v>0</v>
      </c>
      <c r="L2347" t="s">
        <v>3284</v>
      </c>
      <c r="M2347" t="s">
        <v>3296</v>
      </c>
      <c r="N2347" t="s">
        <v>3321</v>
      </c>
      <c r="O2347" t="s">
        <v>3322</v>
      </c>
      <c r="P2347" t="s">
        <v>3398</v>
      </c>
      <c r="Q2347" t="s">
        <v>6530</v>
      </c>
      <c r="R2347" t="s">
        <v>9038</v>
      </c>
    </row>
    <row r="2348" spans="1:18" x14ac:dyDescent="0.2">
      <c r="A2348">
        <v>2109337</v>
      </c>
      <c r="B2348" t="s">
        <v>9039</v>
      </c>
      <c r="C2348">
        <v>0</v>
      </c>
      <c r="D2348">
        <v>0</v>
      </c>
      <c r="E2348">
        <v>0</v>
      </c>
      <c r="F2348">
        <v>3</v>
      </c>
      <c r="G2348">
        <v>0</v>
      </c>
      <c r="H2348">
        <v>0</v>
      </c>
      <c r="I2348">
        <v>0</v>
      </c>
      <c r="J2348">
        <v>0</v>
      </c>
      <c r="K2348">
        <v>0</v>
      </c>
      <c r="L2348" t="s">
        <v>3284</v>
      </c>
      <c r="M2348" t="s">
        <v>3307</v>
      </c>
      <c r="N2348" t="s">
        <v>3308</v>
      </c>
      <c r="O2348" t="s">
        <v>3359</v>
      </c>
      <c r="P2348" t="s">
        <v>3360</v>
      </c>
      <c r="Q2348" t="s">
        <v>4916</v>
      </c>
      <c r="R2348" t="s">
        <v>9040</v>
      </c>
    </row>
    <row r="2349" spans="1:18" x14ac:dyDescent="0.2">
      <c r="A2349">
        <v>2109330</v>
      </c>
      <c r="B2349" t="s">
        <v>9041</v>
      </c>
      <c r="C2349">
        <v>0</v>
      </c>
      <c r="D2349">
        <v>0</v>
      </c>
      <c r="E2349">
        <v>1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 t="s">
        <v>3284</v>
      </c>
      <c r="M2349" t="s">
        <v>3296</v>
      </c>
      <c r="N2349" t="s">
        <v>3343</v>
      </c>
      <c r="O2349" t="s">
        <v>3371</v>
      </c>
      <c r="P2349" t="s">
        <v>3372</v>
      </c>
      <c r="Q2349" t="s">
        <v>9042</v>
      </c>
      <c r="R2349" t="s">
        <v>9043</v>
      </c>
    </row>
    <row r="2350" spans="1:18" x14ac:dyDescent="0.2">
      <c r="A2350">
        <v>2108360</v>
      </c>
      <c r="B2350" t="s">
        <v>9044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1</v>
      </c>
      <c r="L2350" t="s">
        <v>3284</v>
      </c>
      <c r="M2350" t="s">
        <v>3296</v>
      </c>
      <c r="N2350" t="s">
        <v>3343</v>
      </c>
      <c r="O2350" t="s">
        <v>3344</v>
      </c>
      <c r="P2350" t="s">
        <v>6089</v>
      </c>
      <c r="Q2350" t="s">
        <v>6090</v>
      </c>
      <c r="R2350" t="s">
        <v>9045</v>
      </c>
    </row>
    <row r="2351" spans="1:18" x14ac:dyDescent="0.2">
      <c r="A2351">
        <v>2107693</v>
      </c>
      <c r="B2351" t="s">
        <v>9046</v>
      </c>
      <c r="C2351">
        <v>1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 t="s">
        <v>3284</v>
      </c>
      <c r="M2351" t="s">
        <v>4022</v>
      </c>
      <c r="N2351" t="s">
        <v>4023</v>
      </c>
      <c r="O2351" t="s">
        <v>6944</v>
      </c>
      <c r="P2351" t="s">
        <v>9047</v>
      </c>
      <c r="Q2351" t="s">
        <v>9048</v>
      </c>
      <c r="R2351" t="s">
        <v>9049</v>
      </c>
    </row>
    <row r="2352" spans="1:18" x14ac:dyDescent="0.2">
      <c r="A2352">
        <v>2107688</v>
      </c>
      <c r="B2352" t="s">
        <v>9050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1</v>
      </c>
      <c r="J2352">
        <v>0</v>
      </c>
      <c r="K2352">
        <v>0</v>
      </c>
      <c r="L2352" t="s">
        <v>3284</v>
      </c>
      <c r="M2352" t="s">
        <v>4022</v>
      </c>
      <c r="N2352" t="s">
        <v>4023</v>
      </c>
      <c r="O2352" t="s">
        <v>6031</v>
      </c>
      <c r="P2352" t="s">
        <v>6032</v>
      </c>
      <c r="Q2352" t="s">
        <v>9051</v>
      </c>
      <c r="R2352" t="s">
        <v>9052</v>
      </c>
    </row>
    <row r="2353" spans="1:18" x14ac:dyDescent="0.2">
      <c r="A2353">
        <v>2100740</v>
      </c>
      <c r="B2353" t="s">
        <v>9053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1</v>
      </c>
      <c r="K2353">
        <v>0</v>
      </c>
      <c r="L2353" t="s">
        <v>3284</v>
      </c>
      <c r="M2353" t="s">
        <v>3391</v>
      </c>
      <c r="N2353" t="s">
        <v>3392</v>
      </c>
      <c r="O2353" t="s">
        <v>3393</v>
      </c>
      <c r="P2353" t="s">
        <v>3394</v>
      </c>
      <c r="Q2353" t="s">
        <v>9054</v>
      </c>
      <c r="R2353" t="s">
        <v>9055</v>
      </c>
    </row>
    <row r="2354" spans="1:18" x14ac:dyDescent="0.2">
      <c r="A2354">
        <v>2100725</v>
      </c>
      <c r="B2354" t="s">
        <v>9056</v>
      </c>
      <c r="C2354">
        <v>0</v>
      </c>
      <c r="D2354">
        <v>0</v>
      </c>
      <c r="E2354">
        <v>0</v>
      </c>
      <c r="F2354">
        <v>0</v>
      </c>
      <c r="G2354">
        <v>1</v>
      </c>
      <c r="H2354">
        <v>0</v>
      </c>
      <c r="I2354">
        <v>0</v>
      </c>
      <c r="J2354">
        <v>0</v>
      </c>
      <c r="K2354">
        <v>0</v>
      </c>
      <c r="L2354" t="s">
        <v>3284</v>
      </c>
      <c r="M2354" t="s">
        <v>3391</v>
      </c>
      <c r="N2354" t="s">
        <v>3411</v>
      </c>
      <c r="O2354" t="s">
        <v>3412</v>
      </c>
      <c r="P2354" t="s">
        <v>7008</v>
      </c>
      <c r="Q2354" t="s">
        <v>9057</v>
      </c>
      <c r="R2354" t="s">
        <v>9058</v>
      </c>
    </row>
    <row r="2355" spans="1:18" x14ac:dyDescent="0.2">
      <c r="A2355">
        <v>2100090</v>
      </c>
      <c r="B2355" t="s">
        <v>9059</v>
      </c>
      <c r="C2355">
        <v>0</v>
      </c>
      <c r="D2355">
        <v>0</v>
      </c>
      <c r="E2355">
        <v>0</v>
      </c>
      <c r="F2355">
        <v>1</v>
      </c>
      <c r="G2355">
        <v>2</v>
      </c>
      <c r="H2355">
        <v>0</v>
      </c>
      <c r="I2355">
        <v>1</v>
      </c>
      <c r="J2355">
        <v>0</v>
      </c>
      <c r="K2355">
        <v>0</v>
      </c>
      <c r="L2355" t="s">
        <v>3284</v>
      </c>
      <c r="M2355" t="s">
        <v>3296</v>
      </c>
      <c r="N2355" t="s">
        <v>3343</v>
      </c>
      <c r="O2355" t="s">
        <v>3402</v>
      </c>
      <c r="P2355" t="s">
        <v>3403</v>
      </c>
      <c r="Q2355" t="s">
        <v>3404</v>
      </c>
      <c r="R2355" t="s">
        <v>9060</v>
      </c>
    </row>
    <row r="2356" spans="1:18" x14ac:dyDescent="0.2">
      <c r="A2356">
        <v>2099694</v>
      </c>
      <c r="B2356" t="s">
        <v>9061</v>
      </c>
      <c r="C2356">
        <v>0</v>
      </c>
      <c r="D2356">
        <v>0</v>
      </c>
      <c r="E2356">
        <v>0</v>
      </c>
      <c r="F2356">
        <v>1</v>
      </c>
      <c r="G2356">
        <v>0</v>
      </c>
      <c r="H2356">
        <v>0</v>
      </c>
      <c r="I2356">
        <v>0</v>
      </c>
      <c r="J2356">
        <v>0</v>
      </c>
      <c r="K2356">
        <v>0</v>
      </c>
      <c r="L2356" t="s">
        <v>3284</v>
      </c>
      <c r="M2356" t="s">
        <v>3307</v>
      </c>
      <c r="N2356" t="s">
        <v>3308</v>
      </c>
      <c r="O2356" t="s">
        <v>3635</v>
      </c>
      <c r="P2356" t="s">
        <v>4011</v>
      </c>
      <c r="Q2356" t="s">
        <v>4012</v>
      </c>
      <c r="R2356" t="s">
        <v>9062</v>
      </c>
    </row>
    <row r="2357" spans="1:18" x14ac:dyDescent="0.2">
      <c r="A2357">
        <v>2094731</v>
      </c>
      <c r="B2357" t="s">
        <v>9063</v>
      </c>
      <c r="C2357">
        <v>0</v>
      </c>
      <c r="D2357">
        <v>0</v>
      </c>
      <c r="E2357">
        <v>0</v>
      </c>
      <c r="F2357">
        <v>1</v>
      </c>
      <c r="G2357">
        <v>0</v>
      </c>
      <c r="H2357">
        <v>0</v>
      </c>
      <c r="I2357">
        <v>0</v>
      </c>
      <c r="J2357">
        <v>0</v>
      </c>
      <c r="K2357">
        <v>0</v>
      </c>
      <c r="L2357" t="s">
        <v>3284</v>
      </c>
      <c r="M2357" t="s">
        <v>3296</v>
      </c>
      <c r="N2357" t="s">
        <v>3297</v>
      </c>
      <c r="O2357" t="s">
        <v>8067</v>
      </c>
      <c r="P2357" t="s">
        <v>8068</v>
      </c>
      <c r="Q2357" t="s">
        <v>9064</v>
      </c>
      <c r="R2357" t="s">
        <v>9065</v>
      </c>
    </row>
    <row r="2358" spans="1:18" x14ac:dyDescent="0.2">
      <c r="A2358">
        <v>2094561</v>
      </c>
      <c r="B2358" t="s">
        <v>9066</v>
      </c>
      <c r="C2358">
        <v>0</v>
      </c>
      <c r="D2358">
        <v>0</v>
      </c>
      <c r="E2358">
        <v>0</v>
      </c>
      <c r="F2358">
        <v>0</v>
      </c>
      <c r="G2358">
        <v>1</v>
      </c>
      <c r="H2358">
        <v>0</v>
      </c>
      <c r="I2358">
        <v>0</v>
      </c>
      <c r="J2358">
        <v>0</v>
      </c>
      <c r="K2358">
        <v>0</v>
      </c>
      <c r="L2358" t="s">
        <v>3284</v>
      </c>
      <c r="M2358" t="s">
        <v>3296</v>
      </c>
      <c r="N2358" t="s">
        <v>3297</v>
      </c>
      <c r="O2358" t="s">
        <v>4037</v>
      </c>
      <c r="P2358" t="s">
        <v>4038</v>
      </c>
      <c r="Q2358" t="s">
        <v>9067</v>
      </c>
      <c r="R2358" t="s">
        <v>9068</v>
      </c>
    </row>
    <row r="2359" spans="1:18" x14ac:dyDescent="0.2">
      <c r="A2359">
        <v>2094193</v>
      </c>
      <c r="B2359" t="s">
        <v>9069</v>
      </c>
      <c r="C2359">
        <v>1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 t="s">
        <v>3284</v>
      </c>
      <c r="M2359" t="s">
        <v>3296</v>
      </c>
      <c r="N2359" t="s">
        <v>3321</v>
      </c>
      <c r="O2359" t="s">
        <v>3322</v>
      </c>
      <c r="P2359" t="s">
        <v>3398</v>
      </c>
      <c r="Q2359" t="s">
        <v>4796</v>
      </c>
      <c r="R2359" t="s">
        <v>9070</v>
      </c>
    </row>
    <row r="2360" spans="1:18" x14ac:dyDescent="0.2">
      <c r="A2360">
        <v>2093942</v>
      </c>
      <c r="B2360" t="s">
        <v>9071</v>
      </c>
      <c r="C2360">
        <v>0</v>
      </c>
      <c r="D2360">
        <v>2</v>
      </c>
      <c r="E2360">
        <v>0</v>
      </c>
      <c r="F2360">
        <v>0</v>
      </c>
      <c r="G2360">
        <v>0</v>
      </c>
      <c r="H2360">
        <v>0</v>
      </c>
      <c r="I2360">
        <v>1</v>
      </c>
      <c r="J2360">
        <v>0</v>
      </c>
      <c r="K2360">
        <v>0</v>
      </c>
      <c r="L2360" t="s">
        <v>3284</v>
      </c>
      <c r="M2360" t="s">
        <v>3296</v>
      </c>
      <c r="N2360" t="s">
        <v>3321</v>
      </c>
      <c r="O2360" t="s">
        <v>3322</v>
      </c>
      <c r="P2360" t="s">
        <v>3671</v>
      </c>
      <c r="Q2360" t="s">
        <v>5824</v>
      </c>
      <c r="R2360" t="s">
        <v>9072</v>
      </c>
    </row>
    <row r="2361" spans="1:18" x14ac:dyDescent="0.2">
      <c r="A2361">
        <v>2093833</v>
      </c>
      <c r="B2361" t="s">
        <v>9073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1</v>
      </c>
      <c r="I2361">
        <v>0</v>
      </c>
      <c r="J2361">
        <v>0</v>
      </c>
      <c r="K2361">
        <v>0</v>
      </c>
      <c r="L2361" t="s">
        <v>3284</v>
      </c>
      <c r="M2361" t="s">
        <v>3296</v>
      </c>
      <c r="N2361" t="s">
        <v>3343</v>
      </c>
      <c r="O2361" t="s">
        <v>3344</v>
      </c>
      <c r="P2361" t="s">
        <v>3355</v>
      </c>
      <c r="Q2361" t="s">
        <v>4238</v>
      </c>
      <c r="R2361" t="s">
        <v>9074</v>
      </c>
    </row>
    <row r="2362" spans="1:18" x14ac:dyDescent="0.2">
      <c r="A2362">
        <v>2093828</v>
      </c>
      <c r="B2362" t="s">
        <v>9075</v>
      </c>
      <c r="C2362">
        <v>0</v>
      </c>
      <c r="D2362">
        <v>1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 t="s">
        <v>3284</v>
      </c>
      <c r="M2362" t="s">
        <v>3296</v>
      </c>
      <c r="N2362" t="s">
        <v>3343</v>
      </c>
      <c r="O2362" t="s">
        <v>3344</v>
      </c>
      <c r="P2362" t="s">
        <v>3355</v>
      </c>
      <c r="Q2362" t="s">
        <v>4238</v>
      </c>
      <c r="R2362" t="s">
        <v>9076</v>
      </c>
    </row>
    <row r="2363" spans="1:18" x14ac:dyDescent="0.2">
      <c r="A2363">
        <v>2093781</v>
      </c>
      <c r="B2363" t="s">
        <v>9077</v>
      </c>
      <c r="C2363">
        <v>0</v>
      </c>
      <c r="D2363">
        <v>0</v>
      </c>
      <c r="E2363">
        <v>0</v>
      </c>
      <c r="F2363">
        <v>1</v>
      </c>
      <c r="G2363">
        <v>0</v>
      </c>
      <c r="H2363">
        <v>0</v>
      </c>
      <c r="I2363">
        <v>0</v>
      </c>
      <c r="J2363">
        <v>0</v>
      </c>
      <c r="K2363">
        <v>0</v>
      </c>
      <c r="L2363" t="s">
        <v>3284</v>
      </c>
      <c r="M2363" t="s">
        <v>3307</v>
      </c>
      <c r="N2363" t="s">
        <v>3308</v>
      </c>
      <c r="O2363" t="s">
        <v>3359</v>
      </c>
      <c r="P2363" t="s">
        <v>9078</v>
      </c>
      <c r="Q2363" t="s">
        <v>9079</v>
      </c>
      <c r="R2363" t="s">
        <v>9080</v>
      </c>
    </row>
    <row r="2364" spans="1:18" x14ac:dyDescent="0.2">
      <c r="A2364">
        <v>2086575</v>
      </c>
      <c r="B2364" t="s">
        <v>9081</v>
      </c>
      <c r="C2364">
        <v>0</v>
      </c>
      <c r="D2364">
        <v>0</v>
      </c>
      <c r="E2364">
        <v>0</v>
      </c>
      <c r="F2364">
        <v>0</v>
      </c>
      <c r="G2364">
        <v>1</v>
      </c>
      <c r="H2364">
        <v>0</v>
      </c>
      <c r="I2364">
        <v>0</v>
      </c>
      <c r="J2364">
        <v>0</v>
      </c>
      <c r="K2364">
        <v>0</v>
      </c>
      <c r="L2364" t="s">
        <v>3284</v>
      </c>
      <c r="M2364" t="s">
        <v>3391</v>
      </c>
      <c r="N2364" t="s">
        <v>3765</v>
      </c>
      <c r="O2364" t="s">
        <v>3766</v>
      </c>
      <c r="P2364" t="s">
        <v>9082</v>
      </c>
      <c r="Q2364" t="s">
        <v>9083</v>
      </c>
      <c r="R2364" t="s">
        <v>9084</v>
      </c>
    </row>
    <row r="2365" spans="1:18" x14ac:dyDescent="0.2">
      <c r="A2365">
        <v>2083279</v>
      </c>
      <c r="B2365" t="s">
        <v>9085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251</v>
      </c>
      <c r="J2365">
        <v>138</v>
      </c>
      <c r="K2365">
        <v>84</v>
      </c>
      <c r="L2365" t="s">
        <v>3284</v>
      </c>
      <c r="M2365" t="s">
        <v>3296</v>
      </c>
      <c r="N2365" t="s">
        <v>3343</v>
      </c>
      <c r="O2365" t="s">
        <v>3344</v>
      </c>
      <c r="P2365" t="s">
        <v>3387</v>
      </c>
      <c r="Q2365" t="s">
        <v>3388</v>
      </c>
      <c r="R2365" t="s">
        <v>9086</v>
      </c>
    </row>
    <row r="2366" spans="1:18" x14ac:dyDescent="0.2">
      <c r="A2366">
        <v>2083056</v>
      </c>
      <c r="B2366" t="s">
        <v>9087</v>
      </c>
      <c r="C2366">
        <v>0</v>
      </c>
      <c r="D2366">
        <v>0</v>
      </c>
      <c r="E2366">
        <v>0</v>
      </c>
      <c r="F2366">
        <v>1</v>
      </c>
      <c r="G2366">
        <v>0</v>
      </c>
      <c r="H2366">
        <v>0</v>
      </c>
      <c r="I2366">
        <v>0</v>
      </c>
      <c r="J2366">
        <v>0</v>
      </c>
      <c r="K2366">
        <v>0</v>
      </c>
      <c r="L2366" t="s">
        <v>3284</v>
      </c>
      <c r="M2366" t="s">
        <v>3296</v>
      </c>
      <c r="N2366" t="s">
        <v>3297</v>
      </c>
      <c r="O2366" t="s">
        <v>3434</v>
      </c>
      <c r="P2366" t="s">
        <v>3435</v>
      </c>
      <c r="Q2366" t="s">
        <v>3436</v>
      </c>
      <c r="R2366" t="s">
        <v>9088</v>
      </c>
    </row>
    <row r="2367" spans="1:18" x14ac:dyDescent="0.2">
      <c r="A2367">
        <v>2082725</v>
      </c>
      <c r="B2367" t="s">
        <v>9089</v>
      </c>
      <c r="C2367">
        <v>1</v>
      </c>
      <c r="D2367">
        <v>0</v>
      </c>
      <c r="E2367">
        <v>0</v>
      </c>
      <c r="F2367">
        <v>2</v>
      </c>
      <c r="G2367">
        <v>1</v>
      </c>
      <c r="H2367">
        <v>0</v>
      </c>
      <c r="I2367">
        <v>0</v>
      </c>
      <c r="J2367">
        <v>0</v>
      </c>
      <c r="K2367">
        <v>0</v>
      </c>
      <c r="L2367" t="s">
        <v>3284</v>
      </c>
      <c r="M2367" t="s">
        <v>3391</v>
      </c>
      <c r="N2367" t="s">
        <v>3411</v>
      </c>
      <c r="O2367" t="s">
        <v>3412</v>
      </c>
      <c r="P2367" t="s">
        <v>3413</v>
      </c>
      <c r="Q2367" t="s">
        <v>3414</v>
      </c>
      <c r="R2367" t="s">
        <v>9090</v>
      </c>
    </row>
    <row r="2368" spans="1:18" x14ac:dyDescent="0.2">
      <c r="A2368">
        <v>2081050</v>
      </c>
      <c r="B2368" t="s">
        <v>9091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1</v>
      </c>
      <c r="J2368">
        <v>0</v>
      </c>
      <c r="K2368">
        <v>0</v>
      </c>
      <c r="L2368" t="s">
        <v>3284</v>
      </c>
      <c r="M2368" t="s">
        <v>3296</v>
      </c>
      <c r="N2368" t="s">
        <v>3321</v>
      </c>
      <c r="O2368" t="s">
        <v>3322</v>
      </c>
      <c r="P2368" t="s">
        <v>3423</v>
      </c>
      <c r="Q2368" t="s">
        <v>4394</v>
      </c>
      <c r="R2368" t="s">
        <v>9092</v>
      </c>
    </row>
    <row r="2369" spans="1:18" x14ac:dyDescent="0.2">
      <c r="A2369">
        <v>2081042</v>
      </c>
      <c r="B2369" t="s">
        <v>9093</v>
      </c>
      <c r="C2369">
        <v>0</v>
      </c>
      <c r="D2369">
        <v>1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 t="s">
        <v>3284</v>
      </c>
      <c r="M2369" t="s">
        <v>3296</v>
      </c>
      <c r="N2369" t="s">
        <v>3321</v>
      </c>
      <c r="O2369" t="s">
        <v>3322</v>
      </c>
      <c r="P2369" t="s">
        <v>3423</v>
      </c>
      <c r="Q2369" t="s">
        <v>4394</v>
      </c>
      <c r="R2369" t="s">
        <v>9094</v>
      </c>
    </row>
    <row r="2370" spans="1:18" x14ac:dyDescent="0.2">
      <c r="A2370">
        <v>2081041</v>
      </c>
      <c r="B2370" t="s">
        <v>9095</v>
      </c>
      <c r="C2370">
        <v>1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1</v>
      </c>
      <c r="J2370">
        <v>0</v>
      </c>
      <c r="K2370">
        <v>0</v>
      </c>
      <c r="L2370" t="s">
        <v>3284</v>
      </c>
      <c r="M2370" t="s">
        <v>3296</v>
      </c>
      <c r="N2370" t="s">
        <v>3321</v>
      </c>
      <c r="O2370" t="s">
        <v>3322</v>
      </c>
      <c r="P2370" t="s">
        <v>3423</v>
      </c>
      <c r="Q2370" t="s">
        <v>4394</v>
      </c>
      <c r="R2370" t="s">
        <v>9096</v>
      </c>
    </row>
    <row r="2371" spans="1:18" x14ac:dyDescent="0.2">
      <c r="A2371">
        <v>2080764</v>
      </c>
      <c r="B2371" t="s">
        <v>9097</v>
      </c>
      <c r="C2371">
        <v>1</v>
      </c>
      <c r="D2371">
        <v>2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 t="s">
        <v>3284</v>
      </c>
      <c r="M2371" t="s">
        <v>3296</v>
      </c>
      <c r="N2371" t="s">
        <v>3297</v>
      </c>
      <c r="O2371" t="s">
        <v>3434</v>
      </c>
      <c r="P2371" t="s">
        <v>3435</v>
      </c>
      <c r="Q2371" t="s">
        <v>3436</v>
      </c>
      <c r="R2371" t="s">
        <v>9098</v>
      </c>
    </row>
    <row r="2372" spans="1:18" x14ac:dyDescent="0.2">
      <c r="A2372">
        <v>2080759</v>
      </c>
      <c r="B2372" t="s">
        <v>9099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2</v>
      </c>
      <c r="J2372">
        <v>0</v>
      </c>
      <c r="K2372">
        <v>0</v>
      </c>
      <c r="L2372" t="s">
        <v>3284</v>
      </c>
      <c r="M2372" t="s">
        <v>3327</v>
      </c>
      <c r="N2372" t="s">
        <v>3376</v>
      </c>
      <c r="O2372" t="s">
        <v>3377</v>
      </c>
      <c r="P2372" t="s">
        <v>3378</v>
      </c>
      <c r="Q2372" t="s">
        <v>3379</v>
      </c>
      <c r="R2372" t="s">
        <v>9100</v>
      </c>
    </row>
    <row r="2373" spans="1:18" x14ac:dyDescent="0.2">
      <c r="A2373">
        <v>2080751</v>
      </c>
      <c r="B2373" t="s">
        <v>9101</v>
      </c>
      <c r="C2373">
        <v>0</v>
      </c>
      <c r="D2373">
        <v>0</v>
      </c>
      <c r="E2373">
        <v>1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 t="s">
        <v>3284</v>
      </c>
      <c r="M2373" t="s">
        <v>3327</v>
      </c>
      <c r="N2373" t="s">
        <v>3328</v>
      </c>
      <c r="O2373" t="s">
        <v>3329</v>
      </c>
      <c r="P2373" t="s">
        <v>3330</v>
      </c>
      <c r="Q2373" t="s">
        <v>3331</v>
      </c>
      <c r="R2373" t="s">
        <v>9102</v>
      </c>
    </row>
    <row r="2374" spans="1:18" x14ac:dyDescent="0.2">
      <c r="A2374">
        <v>2080742</v>
      </c>
      <c r="B2374" t="s">
        <v>9103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1</v>
      </c>
      <c r="K2374">
        <v>0</v>
      </c>
      <c r="L2374" t="s">
        <v>3284</v>
      </c>
      <c r="M2374" t="s">
        <v>3307</v>
      </c>
      <c r="N2374" t="s">
        <v>3308</v>
      </c>
      <c r="O2374" t="s">
        <v>3359</v>
      </c>
      <c r="P2374" t="s">
        <v>3360</v>
      </c>
      <c r="Q2374" t="s">
        <v>3364</v>
      </c>
      <c r="R2374" t="s">
        <v>9104</v>
      </c>
    </row>
    <row r="2375" spans="1:18" x14ac:dyDescent="0.2">
      <c r="A2375">
        <v>2080582</v>
      </c>
      <c r="B2375" t="s">
        <v>9105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1</v>
      </c>
      <c r="I2375">
        <v>0</v>
      </c>
      <c r="J2375">
        <v>0</v>
      </c>
      <c r="K2375">
        <v>0</v>
      </c>
      <c r="L2375" t="s">
        <v>3284</v>
      </c>
      <c r="M2375" t="s">
        <v>3307</v>
      </c>
      <c r="N2375" t="s">
        <v>3308</v>
      </c>
      <c r="O2375" t="s">
        <v>3359</v>
      </c>
      <c r="P2375" t="s">
        <v>3360</v>
      </c>
      <c r="Q2375" t="s">
        <v>4311</v>
      </c>
      <c r="R2375" t="s">
        <v>9106</v>
      </c>
    </row>
    <row r="2376" spans="1:18" x14ac:dyDescent="0.2">
      <c r="A2376">
        <v>2080575</v>
      </c>
      <c r="B2376" t="s">
        <v>9107</v>
      </c>
      <c r="C2376">
        <v>0</v>
      </c>
      <c r="D2376">
        <v>1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 t="s">
        <v>3284</v>
      </c>
      <c r="M2376" t="s">
        <v>3307</v>
      </c>
      <c r="N2376" t="s">
        <v>3308</v>
      </c>
      <c r="O2376" t="s">
        <v>3359</v>
      </c>
      <c r="P2376" t="s">
        <v>3360</v>
      </c>
      <c r="Q2376" t="s">
        <v>9108</v>
      </c>
      <c r="R2376" t="s">
        <v>9109</v>
      </c>
    </row>
    <row r="2377" spans="1:18" x14ac:dyDescent="0.2">
      <c r="A2377">
        <v>2080416</v>
      </c>
      <c r="B2377" t="s">
        <v>9110</v>
      </c>
      <c r="C2377">
        <v>0</v>
      </c>
      <c r="D2377">
        <v>1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 t="s">
        <v>3284</v>
      </c>
      <c r="M2377" t="s">
        <v>3391</v>
      </c>
      <c r="N2377" t="s">
        <v>3411</v>
      </c>
      <c r="O2377" t="s">
        <v>3412</v>
      </c>
      <c r="P2377" t="s">
        <v>3413</v>
      </c>
      <c r="Q2377" t="s">
        <v>3414</v>
      </c>
      <c r="R2377" t="s">
        <v>9111</v>
      </c>
    </row>
    <row r="2378" spans="1:18" x14ac:dyDescent="0.2">
      <c r="A2378">
        <v>2079532</v>
      </c>
      <c r="B2378" t="s">
        <v>9112</v>
      </c>
      <c r="C2378">
        <v>0</v>
      </c>
      <c r="D2378">
        <v>1</v>
      </c>
      <c r="E2378">
        <v>3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 t="s">
        <v>3284</v>
      </c>
      <c r="M2378" t="s">
        <v>3327</v>
      </c>
      <c r="N2378" t="s">
        <v>3376</v>
      </c>
      <c r="O2378" t="s">
        <v>3377</v>
      </c>
      <c r="P2378" t="s">
        <v>3604</v>
      </c>
      <c r="Q2378" t="s">
        <v>3668</v>
      </c>
      <c r="R2378" t="s">
        <v>9113</v>
      </c>
    </row>
    <row r="2379" spans="1:18" x14ac:dyDescent="0.2">
      <c r="A2379">
        <v>2079015</v>
      </c>
      <c r="B2379" t="s">
        <v>9114</v>
      </c>
      <c r="C2379">
        <v>2</v>
      </c>
      <c r="D2379">
        <v>1</v>
      </c>
      <c r="E2379">
        <v>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 t="s">
        <v>3284</v>
      </c>
      <c r="M2379" t="s">
        <v>3327</v>
      </c>
      <c r="N2379" t="s">
        <v>3328</v>
      </c>
      <c r="O2379" t="s">
        <v>3329</v>
      </c>
      <c r="P2379" t="s">
        <v>3271</v>
      </c>
      <c r="Q2379" t="s">
        <v>9115</v>
      </c>
      <c r="R2379" t="s">
        <v>9116</v>
      </c>
    </row>
    <row r="2380" spans="1:18" x14ac:dyDescent="0.2">
      <c r="A2380">
        <v>2079002</v>
      </c>
      <c r="B2380" t="s">
        <v>9117</v>
      </c>
      <c r="C2380">
        <v>0</v>
      </c>
      <c r="D2380">
        <v>0</v>
      </c>
      <c r="E2380">
        <v>2</v>
      </c>
      <c r="F2380">
        <v>0</v>
      </c>
      <c r="G2380">
        <v>0</v>
      </c>
      <c r="H2380">
        <v>0</v>
      </c>
      <c r="I2380">
        <v>1</v>
      </c>
      <c r="J2380">
        <v>0</v>
      </c>
      <c r="K2380">
        <v>0</v>
      </c>
      <c r="L2380" t="s">
        <v>3284</v>
      </c>
      <c r="M2380" t="s">
        <v>3327</v>
      </c>
      <c r="N2380" t="s">
        <v>3328</v>
      </c>
      <c r="O2380" t="s">
        <v>3329</v>
      </c>
      <c r="P2380" t="s">
        <v>3330</v>
      </c>
      <c r="Q2380" t="s">
        <v>3331</v>
      </c>
      <c r="R2380" t="s">
        <v>9118</v>
      </c>
    </row>
    <row r="2381" spans="1:18" x14ac:dyDescent="0.2">
      <c r="A2381">
        <v>2078660</v>
      </c>
      <c r="B2381" t="s">
        <v>9119</v>
      </c>
      <c r="C2381">
        <v>1</v>
      </c>
      <c r="D2381">
        <v>2</v>
      </c>
      <c r="E2381">
        <v>1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 t="s">
        <v>3284</v>
      </c>
      <c r="M2381" t="s">
        <v>3327</v>
      </c>
      <c r="N2381" t="s">
        <v>3328</v>
      </c>
      <c r="O2381" t="s">
        <v>4017</v>
      </c>
      <c r="P2381" t="s">
        <v>4567</v>
      </c>
      <c r="Q2381" t="s">
        <v>4568</v>
      </c>
      <c r="R2381" t="s">
        <v>9120</v>
      </c>
    </row>
    <row r="2382" spans="1:18" x14ac:dyDescent="0.2">
      <c r="A2382">
        <v>2078658</v>
      </c>
      <c r="B2382" t="s">
        <v>9121</v>
      </c>
      <c r="C2382">
        <v>1</v>
      </c>
      <c r="D2382">
        <v>1</v>
      </c>
      <c r="E2382">
        <v>0</v>
      </c>
      <c r="F2382">
        <v>1</v>
      </c>
      <c r="G2382">
        <v>0</v>
      </c>
      <c r="H2382">
        <v>0</v>
      </c>
      <c r="I2382">
        <v>0</v>
      </c>
      <c r="J2382">
        <v>0</v>
      </c>
      <c r="K2382">
        <v>0</v>
      </c>
      <c r="L2382" t="s">
        <v>3284</v>
      </c>
      <c r="M2382" t="s">
        <v>3327</v>
      </c>
      <c r="N2382" t="s">
        <v>3753</v>
      </c>
      <c r="O2382" t="s">
        <v>3754</v>
      </c>
      <c r="P2382" t="s">
        <v>3755</v>
      </c>
      <c r="Q2382" t="s">
        <v>9122</v>
      </c>
      <c r="R2382" t="s">
        <v>9123</v>
      </c>
    </row>
    <row r="2383" spans="1:18" x14ac:dyDescent="0.2">
      <c r="A2383">
        <v>2077091</v>
      </c>
      <c r="B2383" t="s">
        <v>9124</v>
      </c>
      <c r="C2383">
        <v>0</v>
      </c>
      <c r="D2383">
        <v>0</v>
      </c>
      <c r="E2383">
        <v>0</v>
      </c>
      <c r="F2383">
        <v>1</v>
      </c>
      <c r="G2383">
        <v>0</v>
      </c>
      <c r="H2383">
        <v>0</v>
      </c>
      <c r="I2383">
        <v>1</v>
      </c>
      <c r="J2383">
        <v>0</v>
      </c>
      <c r="K2383">
        <v>0</v>
      </c>
      <c r="L2383" t="s">
        <v>3284</v>
      </c>
      <c r="M2383" t="s">
        <v>3391</v>
      </c>
      <c r="N2383" t="s">
        <v>4129</v>
      </c>
      <c r="O2383" t="s">
        <v>4130</v>
      </c>
      <c r="P2383" t="s">
        <v>4131</v>
      </c>
      <c r="Q2383" t="s">
        <v>9125</v>
      </c>
      <c r="R2383" t="s">
        <v>9126</v>
      </c>
    </row>
    <row r="2384" spans="1:18" x14ac:dyDescent="0.2">
      <c r="A2384">
        <v>2072936</v>
      </c>
      <c r="B2384" t="s">
        <v>9127</v>
      </c>
      <c r="C2384">
        <v>0</v>
      </c>
      <c r="D2384">
        <v>0</v>
      </c>
      <c r="E2384">
        <v>0</v>
      </c>
      <c r="F2384">
        <v>1</v>
      </c>
      <c r="G2384">
        <v>1</v>
      </c>
      <c r="H2384">
        <v>0</v>
      </c>
      <c r="I2384">
        <v>0</v>
      </c>
      <c r="J2384">
        <v>0</v>
      </c>
      <c r="K2384">
        <v>0</v>
      </c>
      <c r="L2384" t="s">
        <v>3284</v>
      </c>
      <c r="M2384" t="s">
        <v>3296</v>
      </c>
      <c r="N2384" t="s">
        <v>3343</v>
      </c>
      <c r="O2384" t="s">
        <v>3349</v>
      </c>
      <c r="P2384" t="s">
        <v>3350</v>
      </c>
      <c r="Q2384" t="s">
        <v>4175</v>
      </c>
      <c r="R2384" t="s">
        <v>9128</v>
      </c>
    </row>
    <row r="2385" spans="1:18" x14ac:dyDescent="0.2">
      <c r="A2385">
        <v>2072846</v>
      </c>
      <c r="B2385" t="s">
        <v>9129</v>
      </c>
      <c r="C2385">
        <v>0</v>
      </c>
      <c r="D2385">
        <v>0</v>
      </c>
      <c r="E2385">
        <v>0</v>
      </c>
      <c r="F2385">
        <v>1</v>
      </c>
      <c r="G2385">
        <v>0</v>
      </c>
      <c r="H2385">
        <v>0</v>
      </c>
      <c r="I2385">
        <v>0</v>
      </c>
      <c r="J2385">
        <v>0</v>
      </c>
      <c r="K2385">
        <v>0</v>
      </c>
      <c r="L2385" t="s">
        <v>3284</v>
      </c>
      <c r="M2385" t="s">
        <v>3391</v>
      </c>
      <c r="N2385" t="s">
        <v>3740</v>
      </c>
      <c r="O2385" t="s">
        <v>3741</v>
      </c>
      <c r="P2385" t="s">
        <v>4993</v>
      </c>
      <c r="Q2385" t="s">
        <v>6737</v>
      </c>
      <c r="R2385" t="s">
        <v>9130</v>
      </c>
    </row>
    <row r="2386" spans="1:18" x14ac:dyDescent="0.2">
      <c r="A2386">
        <v>2072413</v>
      </c>
      <c r="B2386" t="s">
        <v>9131</v>
      </c>
      <c r="C2386">
        <v>0</v>
      </c>
      <c r="D2386">
        <v>0</v>
      </c>
      <c r="E2386">
        <v>0</v>
      </c>
      <c r="F2386">
        <v>1</v>
      </c>
      <c r="G2386">
        <v>0</v>
      </c>
      <c r="H2386">
        <v>0</v>
      </c>
      <c r="I2386">
        <v>0</v>
      </c>
      <c r="J2386">
        <v>0</v>
      </c>
      <c r="K2386">
        <v>0</v>
      </c>
      <c r="L2386" t="s">
        <v>3284</v>
      </c>
      <c r="M2386" t="s">
        <v>3296</v>
      </c>
      <c r="N2386" t="s">
        <v>3297</v>
      </c>
      <c r="O2386" t="s">
        <v>3469</v>
      </c>
      <c r="P2386" t="s">
        <v>3470</v>
      </c>
      <c r="Q2386" t="s">
        <v>3471</v>
      </c>
      <c r="R2386" t="s">
        <v>9132</v>
      </c>
    </row>
    <row r="2387" spans="1:18" x14ac:dyDescent="0.2">
      <c r="A2387">
        <v>2072412</v>
      </c>
      <c r="B2387" t="s">
        <v>9133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1</v>
      </c>
      <c r="J2387">
        <v>1</v>
      </c>
      <c r="K2387">
        <v>0</v>
      </c>
      <c r="L2387" t="s">
        <v>3284</v>
      </c>
      <c r="M2387" t="s">
        <v>3296</v>
      </c>
      <c r="N2387" t="s">
        <v>3297</v>
      </c>
      <c r="O2387" t="s">
        <v>3469</v>
      </c>
      <c r="P2387" t="s">
        <v>3470</v>
      </c>
      <c r="Q2387" t="s">
        <v>3471</v>
      </c>
      <c r="R2387" t="s">
        <v>9134</v>
      </c>
    </row>
    <row r="2388" spans="1:18" x14ac:dyDescent="0.2">
      <c r="A2388">
        <v>2072409</v>
      </c>
      <c r="B2388" t="s">
        <v>9135</v>
      </c>
      <c r="C2388">
        <v>0</v>
      </c>
      <c r="D2388">
        <v>0</v>
      </c>
      <c r="E2388">
        <v>0</v>
      </c>
      <c r="F2388">
        <v>2</v>
      </c>
      <c r="G2388">
        <v>0</v>
      </c>
      <c r="H2388">
        <v>0</v>
      </c>
      <c r="I2388">
        <v>0</v>
      </c>
      <c r="J2388">
        <v>0</v>
      </c>
      <c r="K2388">
        <v>0</v>
      </c>
      <c r="L2388" t="s">
        <v>3284</v>
      </c>
      <c r="M2388" t="s">
        <v>3296</v>
      </c>
      <c r="N2388" t="s">
        <v>3297</v>
      </c>
      <c r="O2388" t="s">
        <v>3469</v>
      </c>
      <c r="P2388" t="s">
        <v>3470</v>
      </c>
      <c r="Q2388" t="s">
        <v>3471</v>
      </c>
      <c r="R2388" t="s">
        <v>9136</v>
      </c>
    </row>
    <row r="2389" spans="1:18" x14ac:dyDescent="0.2">
      <c r="A2389">
        <v>2071710</v>
      </c>
      <c r="B2389" t="s">
        <v>9137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1</v>
      </c>
      <c r="J2389">
        <v>0</v>
      </c>
      <c r="K2389">
        <v>0</v>
      </c>
      <c r="L2389" t="s">
        <v>3284</v>
      </c>
      <c r="M2389" t="s">
        <v>3296</v>
      </c>
      <c r="N2389" t="s">
        <v>3297</v>
      </c>
      <c r="O2389" t="s">
        <v>3298</v>
      </c>
      <c r="P2389" t="s">
        <v>3826</v>
      </c>
      <c r="Q2389" t="s">
        <v>6074</v>
      </c>
      <c r="R2389" t="s">
        <v>9138</v>
      </c>
    </row>
    <row r="2390" spans="1:18" x14ac:dyDescent="0.2">
      <c r="A2390">
        <v>2070761</v>
      </c>
      <c r="B2390" t="s">
        <v>9139</v>
      </c>
      <c r="C2390">
        <v>1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 t="s">
        <v>3284</v>
      </c>
      <c r="M2390" t="s">
        <v>3296</v>
      </c>
      <c r="N2390" t="s">
        <v>3321</v>
      </c>
      <c r="O2390" t="s">
        <v>3322</v>
      </c>
      <c r="P2390" t="s">
        <v>3671</v>
      </c>
      <c r="Q2390" t="s">
        <v>3672</v>
      </c>
      <c r="R2390" t="s">
        <v>9140</v>
      </c>
    </row>
    <row r="2391" spans="1:18" x14ac:dyDescent="0.2">
      <c r="A2391">
        <v>2070706</v>
      </c>
      <c r="B2391" t="s">
        <v>9141</v>
      </c>
      <c r="C2391">
        <v>1</v>
      </c>
      <c r="D2391">
        <v>1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 t="s">
        <v>3284</v>
      </c>
      <c r="M2391" t="s">
        <v>3296</v>
      </c>
      <c r="N2391" t="s">
        <v>3321</v>
      </c>
      <c r="O2391" t="s">
        <v>3322</v>
      </c>
      <c r="P2391" t="s">
        <v>3398</v>
      </c>
      <c r="Q2391" t="s">
        <v>9142</v>
      </c>
      <c r="R2391" t="s">
        <v>9143</v>
      </c>
    </row>
    <row r="2392" spans="1:18" x14ac:dyDescent="0.2">
      <c r="A2392">
        <v>2070674</v>
      </c>
      <c r="B2392" t="s">
        <v>9144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1</v>
      </c>
      <c r="K2392">
        <v>0</v>
      </c>
      <c r="L2392" t="s">
        <v>3284</v>
      </c>
      <c r="M2392" t="s">
        <v>3296</v>
      </c>
      <c r="N2392" t="s">
        <v>3297</v>
      </c>
      <c r="O2392" t="s">
        <v>3434</v>
      </c>
      <c r="P2392" t="s">
        <v>3435</v>
      </c>
      <c r="Q2392" t="s">
        <v>3436</v>
      </c>
      <c r="R2392" t="s">
        <v>9145</v>
      </c>
    </row>
    <row r="2393" spans="1:18" x14ac:dyDescent="0.2">
      <c r="A2393">
        <v>2068654</v>
      </c>
      <c r="B2393" t="s">
        <v>9146</v>
      </c>
      <c r="C2393">
        <v>1</v>
      </c>
      <c r="D2393">
        <v>2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 t="s">
        <v>3284</v>
      </c>
      <c r="M2393" t="s">
        <v>3327</v>
      </c>
      <c r="N2393" t="s">
        <v>3328</v>
      </c>
      <c r="O2393" t="s">
        <v>3329</v>
      </c>
      <c r="P2393" t="s">
        <v>3330</v>
      </c>
      <c r="Q2393" t="s">
        <v>3331</v>
      </c>
      <c r="R2393" t="s">
        <v>9147</v>
      </c>
    </row>
    <row r="2394" spans="1:18" x14ac:dyDescent="0.2">
      <c r="A2394">
        <v>2067992</v>
      </c>
      <c r="B2394" t="s">
        <v>9148</v>
      </c>
      <c r="C2394">
        <v>0</v>
      </c>
      <c r="D2394">
        <v>0</v>
      </c>
      <c r="E2394">
        <v>1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 t="s">
        <v>3284</v>
      </c>
      <c r="M2394" t="s">
        <v>3296</v>
      </c>
      <c r="N2394" t="s">
        <v>3321</v>
      </c>
      <c r="O2394" t="s">
        <v>3322</v>
      </c>
      <c r="P2394" t="s">
        <v>3671</v>
      </c>
      <c r="Q2394" t="s">
        <v>8149</v>
      </c>
      <c r="R2394" t="s">
        <v>9149</v>
      </c>
    </row>
    <row r="2395" spans="1:18" x14ac:dyDescent="0.2">
      <c r="A2395">
        <v>2067959</v>
      </c>
      <c r="B2395" t="s">
        <v>9150</v>
      </c>
      <c r="C2395">
        <v>0</v>
      </c>
      <c r="D2395">
        <v>0</v>
      </c>
      <c r="E2395">
        <v>0</v>
      </c>
      <c r="F2395">
        <v>1</v>
      </c>
      <c r="G2395">
        <v>0</v>
      </c>
      <c r="H2395">
        <v>0</v>
      </c>
      <c r="I2395">
        <v>0</v>
      </c>
      <c r="J2395">
        <v>0</v>
      </c>
      <c r="K2395">
        <v>0</v>
      </c>
      <c r="L2395" t="s">
        <v>3284</v>
      </c>
      <c r="M2395" t="s">
        <v>3296</v>
      </c>
      <c r="N2395" t="s">
        <v>3297</v>
      </c>
      <c r="O2395" t="s">
        <v>3298</v>
      </c>
      <c r="P2395" t="s">
        <v>3826</v>
      </c>
      <c r="Q2395" t="s">
        <v>4379</v>
      </c>
      <c r="R2395" t="s">
        <v>9151</v>
      </c>
    </row>
    <row r="2396" spans="1:18" x14ac:dyDescent="0.2">
      <c r="A2396">
        <v>2067455</v>
      </c>
      <c r="B2396" t="s">
        <v>9152</v>
      </c>
      <c r="C2396">
        <v>0</v>
      </c>
      <c r="D2396">
        <v>1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 t="s">
        <v>3284</v>
      </c>
      <c r="M2396" t="s">
        <v>3296</v>
      </c>
      <c r="N2396" t="s">
        <v>3343</v>
      </c>
      <c r="O2396" t="s">
        <v>3349</v>
      </c>
      <c r="P2396" t="s">
        <v>3350</v>
      </c>
      <c r="Q2396" t="s">
        <v>3351</v>
      </c>
      <c r="R2396" t="s">
        <v>9153</v>
      </c>
    </row>
    <row r="2397" spans="1:18" x14ac:dyDescent="0.2">
      <c r="A2397">
        <v>2067452</v>
      </c>
      <c r="B2397" t="s">
        <v>9154</v>
      </c>
      <c r="C2397">
        <v>8</v>
      </c>
      <c r="D2397">
        <v>5</v>
      </c>
      <c r="E2397">
        <v>1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 t="s">
        <v>3284</v>
      </c>
      <c r="M2397" t="s">
        <v>3296</v>
      </c>
      <c r="N2397" t="s">
        <v>3343</v>
      </c>
      <c r="O2397" t="s">
        <v>3371</v>
      </c>
      <c r="P2397" t="s">
        <v>3688</v>
      </c>
      <c r="Q2397" t="s">
        <v>7444</v>
      </c>
      <c r="R2397" t="s">
        <v>9155</v>
      </c>
    </row>
    <row r="2398" spans="1:18" x14ac:dyDescent="0.2">
      <c r="A2398">
        <v>2067451</v>
      </c>
      <c r="B2398" t="s">
        <v>9156</v>
      </c>
      <c r="C2398">
        <v>1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 t="s">
        <v>3284</v>
      </c>
      <c r="M2398" t="s">
        <v>3296</v>
      </c>
      <c r="N2398" t="s">
        <v>3343</v>
      </c>
      <c r="O2398" t="s">
        <v>3344</v>
      </c>
      <c r="P2398" t="s">
        <v>3355</v>
      </c>
      <c r="Q2398" t="s">
        <v>3356</v>
      </c>
      <c r="R2398" t="s">
        <v>9157</v>
      </c>
    </row>
    <row r="2399" spans="1:18" x14ac:dyDescent="0.2">
      <c r="A2399">
        <v>2066958</v>
      </c>
      <c r="B2399" t="s">
        <v>9158</v>
      </c>
      <c r="C2399">
        <v>0</v>
      </c>
      <c r="D2399">
        <v>0</v>
      </c>
      <c r="E2399">
        <v>0</v>
      </c>
      <c r="F2399">
        <v>3</v>
      </c>
      <c r="G2399">
        <v>0</v>
      </c>
      <c r="H2399">
        <v>2</v>
      </c>
      <c r="I2399">
        <v>0</v>
      </c>
      <c r="J2399">
        <v>0</v>
      </c>
      <c r="K2399">
        <v>0</v>
      </c>
      <c r="L2399" t="s">
        <v>3284</v>
      </c>
      <c r="M2399" t="s">
        <v>3296</v>
      </c>
      <c r="N2399" t="s">
        <v>3297</v>
      </c>
      <c r="O2399" t="s">
        <v>3469</v>
      </c>
      <c r="P2399" t="s">
        <v>3470</v>
      </c>
      <c r="Q2399" t="s">
        <v>3471</v>
      </c>
      <c r="R2399" t="s">
        <v>9159</v>
      </c>
    </row>
    <row r="2400" spans="1:18" x14ac:dyDescent="0.2">
      <c r="A2400">
        <v>2066034</v>
      </c>
      <c r="B2400" t="s">
        <v>9160</v>
      </c>
      <c r="C2400">
        <v>0</v>
      </c>
      <c r="D2400">
        <v>0</v>
      </c>
      <c r="E2400">
        <v>0</v>
      </c>
      <c r="F2400">
        <v>0</v>
      </c>
      <c r="G2400">
        <v>1</v>
      </c>
      <c r="H2400">
        <v>0</v>
      </c>
      <c r="I2400">
        <v>0</v>
      </c>
      <c r="J2400">
        <v>0</v>
      </c>
      <c r="K2400">
        <v>0</v>
      </c>
      <c r="L2400" t="s">
        <v>3284</v>
      </c>
      <c r="M2400" t="s">
        <v>3296</v>
      </c>
      <c r="N2400" t="s">
        <v>3321</v>
      </c>
      <c r="O2400" t="s">
        <v>3322</v>
      </c>
      <c r="P2400" t="s">
        <v>3398</v>
      </c>
      <c r="Q2400" t="s">
        <v>3399</v>
      </c>
      <c r="R2400" t="s">
        <v>9161</v>
      </c>
    </row>
    <row r="2401" spans="1:18" x14ac:dyDescent="0.2">
      <c r="A2401">
        <v>2066024</v>
      </c>
      <c r="B2401" t="s">
        <v>9162</v>
      </c>
      <c r="C2401">
        <v>0</v>
      </c>
      <c r="D2401">
        <v>0</v>
      </c>
      <c r="E2401">
        <v>0</v>
      </c>
      <c r="F2401">
        <v>0</v>
      </c>
      <c r="G2401">
        <v>2</v>
      </c>
      <c r="H2401">
        <v>0</v>
      </c>
      <c r="I2401">
        <v>0</v>
      </c>
      <c r="J2401">
        <v>0</v>
      </c>
      <c r="K2401">
        <v>0</v>
      </c>
      <c r="L2401" t="s">
        <v>3284</v>
      </c>
      <c r="M2401" t="s">
        <v>3296</v>
      </c>
      <c r="N2401" t="s">
        <v>3343</v>
      </c>
      <c r="O2401" t="s">
        <v>9163</v>
      </c>
      <c r="P2401" t="s">
        <v>9164</v>
      </c>
      <c r="Q2401" t="s">
        <v>9165</v>
      </c>
      <c r="R2401" t="s">
        <v>9166</v>
      </c>
    </row>
    <row r="2402" spans="1:18" x14ac:dyDescent="0.2">
      <c r="A2402">
        <v>2066020</v>
      </c>
      <c r="B2402" t="s">
        <v>9167</v>
      </c>
      <c r="C2402">
        <v>2</v>
      </c>
      <c r="D2402">
        <v>4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 t="s">
        <v>3284</v>
      </c>
      <c r="M2402" t="s">
        <v>3296</v>
      </c>
      <c r="N2402" t="s">
        <v>3321</v>
      </c>
      <c r="O2402" t="s">
        <v>3322</v>
      </c>
      <c r="P2402" t="s">
        <v>3398</v>
      </c>
      <c r="Q2402" t="s">
        <v>9168</v>
      </c>
      <c r="R2402" t="s">
        <v>9169</v>
      </c>
    </row>
    <row r="2403" spans="1:18" x14ac:dyDescent="0.2">
      <c r="A2403">
        <v>2065818</v>
      </c>
      <c r="B2403" t="s">
        <v>9170</v>
      </c>
      <c r="C2403">
        <v>0</v>
      </c>
      <c r="D2403">
        <v>0</v>
      </c>
      <c r="E2403">
        <v>0</v>
      </c>
      <c r="F2403">
        <v>1</v>
      </c>
      <c r="G2403">
        <v>0</v>
      </c>
      <c r="H2403">
        <v>0</v>
      </c>
      <c r="I2403">
        <v>0</v>
      </c>
      <c r="J2403">
        <v>0</v>
      </c>
      <c r="K2403">
        <v>0</v>
      </c>
      <c r="L2403" t="s">
        <v>3284</v>
      </c>
      <c r="M2403" t="s">
        <v>8219</v>
      </c>
      <c r="N2403" t="s">
        <v>8220</v>
      </c>
      <c r="O2403" t="s">
        <v>8221</v>
      </c>
      <c r="P2403" t="s">
        <v>9171</v>
      </c>
      <c r="Q2403" t="s">
        <v>9172</v>
      </c>
      <c r="R2403" t="s">
        <v>9173</v>
      </c>
    </row>
    <row r="2404" spans="1:18" x14ac:dyDescent="0.2">
      <c r="A2404">
        <v>2065382</v>
      </c>
      <c r="B2404" t="s">
        <v>9174</v>
      </c>
      <c r="C2404">
        <v>0</v>
      </c>
      <c r="D2404">
        <v>1</v>
      </c>
      <c r="E2404">
        <v>0</v>
      </c>
      <c r="F2404">
        <v>0</v>
      </c>
      <c r="G2404">
        <v>0</v>
      </c>
      <c r="H2404">
        <v>0</v>
      </c>
      <c r="I2404">
        <v>2</v>
      </c>
      <c r="J2404">
        <v>0</v>
      </c>
      <c r="K2404">
        <v>0</v>
      </c>
      <c r="L2404" t="s">
        <v>3284</v>
      </c>
      <c r="M2404" t="s">
        <v>3296</v>
      </c>
      <c r="N2404" t="s">
        <v>3343</v>
      </c>
      <c r="O2404" t="s">
        <v>3344</v>
      </c>
      <c r="P2404" t="s">
        <v>3367</v>
      </c>
      <c r="Q2404" t="s">
        <v>3368</v>
      </c>
      <c r="R2404" t="s">
        <v>9175</v>
      </c>
    </row>
    <row r="2405" spans="1:18" x14ac:dyDescent="0.2">
      <c r="A2405">
        <v>2060095</v>
      </c>
      <c r="B2405" t="s">
        <v>9176</v>
      </c>
      <c r="C2405">
        <v>1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1</v>
      </c>
      <c r="J2405">
        <v>0</v>
      </c>
      <c r="K2405">
        <v>0</v>
      </c>
      <c r="L2405" t="s">
        <v>3284</v>
      </c>
      <c r="M2405" t="s">
        <v>3327</v>
      </c>
      <c r="N2405" t="s">
        <v>3328</v>
      </c>
      <c r="O2405" t="s">
        <v>4184</v>
      </c>
      <c r="P2405" t="s">
        <v>7513</v>
      </c>
      <c r="Q2405" t="s">
        <v>7514</v>
      </c>
      <c r="R2405" t="s">
        <v>9177</v>
      </c>
    </row>
    <row r="2406" spans="1:18" x14ac:dyDescent="0.2">
      <c r="A2406">
        <v>2060067</v>
      </c>
      <c r="B2406" t="s">
        <v>9178</v>
      </c>
      <c r="C2406">
        <v>0</v>
      </c>
      <c r="D2406">
        <v>1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 t="s">
        <v>3284</v>
      </c>
      <c r="M2406" t="s">
        <v>3296</v>
      </c>
      <c r="N2406" t="s">
        <v>3297</v>
      </c>
      <c r="O2406" t="s">
        <v>3298</v>
      </c>
      <c r="P2406" t="s">
        <v>3299</v>
      </c>
      <c r="Q2406" t="s">
        <v>9179</v>
      </c>
      <c r="R2406" t="s">
        <v>9180</v>
      </c>
    </row>
    <row r="2407" spans="1:18" x14ac:dyDescent="0.2">
      <c r="A2407">
        <v>2059724</v>
      </c>
      <c r="B2407" t="s">
        <v>9181</v>
      </c>
      <c r="C2407">
        <v>1</v>
      </c>
      <c r="D2407">
        <v>1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 t="s">
        <v>3284</v>
      </c>
      <c r="M2407" t="s">
        <v>3296</v>
      </c>
      <c r="N2407" t="s">
        <v>3297</v>
      </c>
      <c r="O2407" t="s">
        <v>4112</v>
      </c>
      <c r="P2407" t="s">
        <v>4113</v>
      </c>
      <c r="Q2407" t="s">
        <v>9182</v>
      </c>
      <c r="R2407" t="s">
        <v>9183</v>
      </c>
    </row>
    <row r="2408" spans="1:18" x14ac:dyDescent="0.2">
      <c r="A2408">
        <v>2059672</v>
      </c>
      <c r="B2408" t="s">
        <v>9184</v>
      </c>
      <c r="C2408">
        <v>0</v>
      </c>
      <c r="D2408">
        <v>1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 t="s">
        <v>3284</v>
      </c>
      <c r="M2408" t="s">
        <v>3296</v>
      </c>
      <c r="N2408" t="s">
        <v>3321</v>
      </c>
      <c r="O2408" t="s">
        <v>5306</v>
      </c>
      <c r="P2408" t="s">
        <v>5307</v>
      </c>
      <c r="Q2408" t="s">
        <v>9185</v>
      </c>
      <c r="R2408" t="s">
        <v>9186</v>
      </c>
    </row>
    <row r="2409" spans="1:18" x14ac:dyDescent="0.2">
      <c r="A2409">
        <v>2058658</v>
      </c>
      <c r="B2409" t="s">
        <v>9187</v>
      </c>
      <c r="C2409">
        <v>0</v>
      </c>
      <c r="D2409">
        <v>0</v>
      </c>
      <c r="E2409">
        <v>0</v>
      </c>
      <c r="F2409">
        <v>1</v>
      </c>
      <c r="G2409">
        <v>0</v>
      </c>
      <c r="H2409">
        <v>0</v>
      </c>
      <c r="I2409">
        <v>0</v>
      </c>
      <c r="J2409">
        <v>0</v>
      </c>
      <c r="K2409">
        <v>0</v>
      </c>
      <c r="L2409" t="s">
        <v>3284</v>
      </c>
      <c r="M2409" t="s">
        <v>3391</v>
      </c>
      <c r="N2409" t="s">
        <v>3411</v>
      </c>
      <c r="O2409" t="s">
        <v>3412</v>
      </c>
      <c r="P2409" t="s">
        <v>7008</v>
      </c>
      <c r="Q2409" t="s">
        <v>9057</v>
      </c>
      <c r="R2409" t="s">
        <v>9188</v>
      </c>
    </row>
    <row r="2410" spans="1:18" x14ac:dyDescent="0.2">
      <c r="A2410">
        <v>2058152</v>
      </c>
      <c r="B2410" t="s">
        <v>9189</v>
      </c>
      <c r="C2410">
        <v>0</v>
      </c>
      <c r="D2410">
        <v>0</v>
      </c>
      <c r="E2410">
        <v>0</v>
      </c>
      <c r="F2410">
        <v>0</v>
      </c>
      <c r="G2410">
        <v>1</v>
      </c>
      <c r="H2410">
        <v>0</v>
      </c>
      <c r="I2410">
        <v>0</v>
      </c>
      <c r="J2410">
        <v>0</v>
      </c>
      <c r="K2410">
        <v>0</v>
      </c>
      <c r="L2410" t="s">
        <v>3284</v>
      </c>
      <c r="M2410" t="s">
        <v>3296</v>
      </c>
      <c r="N2410" t="s">
        <v>3297</v>
      </c>
      <c r="O2410" t="s">
        <v>3298</v>
      </c>
      <c r="P2410" t="s">
        <v>3826</v>
      </c>
      <c r="Q2410" t="s">
        <v>7086</v>
      </c>
      <c r="R2410" t="s">
        <v>9190</v>
      </c>
    </row>
    <row r="2411" spans="1:18" x14ac:dyDescent="0.2">
      <c r="A2411">
        <v>2058134</v>
      </c>
      <c r="B2411" t="s">
        <v>9191</v>
      </c>
      <c r="C2411">
        <v>0</v>
      </c>
      <c r="D2411">
        <v>0</v>
      </c>
      <c r="E2411">
        <v>0</v>
      </c>
      <c r="F2411">
        <v>1</v>
      </c>
      <c r="G2411">
        <v>0</v>
      </c>
      <c r="H2411">
        <v>0</v>
      </c>
      <c r="I2411">
        <v>0</v>
      </c>
      <c r="J2411">
        <v>0</v>
      </c>
      <c r="K2411">
        <v>0</v>
      </c>
      <c r="L2411" t="s">
        <v>3284</v>
      </c>
      <c r="M2411" t="s">
        <v>3391</v>
      </c>
      <c r="N2411" t="s">
        <v>3411</v>
      </c>
      <c r="O2411" t="s">
        <v>3412</v>
      </c>
      <c r="P2411" t="s">
        <v>3413</v>
      </c>
      <c r="Q2411" t="s">
        <v>8439</v>
      </c>
      <c r="R2411" t="s">
        <v>9192</v>
      </c>
    </row>
    <row r="2412" spans="1:18" x14ac:dyDescent="0.2">
      <c r="A2412">
        <v>2057910</v>
      </c>
      <c r="B2412" t="s">
        <v>9193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1</v>
      </c>
      <c r="L2412" t="s">
        <v>3284</v>
      </c>
      <c r="M2412" t="s">
        <v>3327</v>
      </c>
      <c r="N2412" t="s">
        <v>3376</v>
      </c>
      <c r="O2412" t="s">
        <v>3377</v>
      </c>
      <c r="P2412" t="s">
        <v>3378</v>
      </c>
      <c r="Q2412" t="s">
        <v>3379</v>
      </c>
      <c r="R2412" t="s">
        <v>9194</v>
      </c>
    </row>
    <row r="2413" spans="1:18" x14ac:dyDescent="0.2">
      <c r="A2413">
        <v>2056863</v>
      </c>
      <c r="B2413" t="s">
        <v>9195</v>
      </c>
      <c r="C2413">
        <v>4</v>
      </c>
      <c r="D2413">
        <v>0</v>
      </c>
      <c r="E2413">
        <v>1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 t="s">
        <v>3284</v>
      </c>
      <c r="M2413" t="s">
        <v>3296</v>
      </c>
      <c r="N2413" t="s">
        <v>3321</v>
      </c>
      <c r="O2413" t="s">
        <v>3322</v>
      </c>
      <c r="P2413" t="s">
        <v>3398</v>
      </c>
      <c r="Q2413" t="s">
        <v>3556</v>
      </c>
      <c r="R2413" t="s">
        <v>9196</v>
      </c>
    </row>
    <row r="2414" spans="1:18" x14ac:dyDescent="0.2">
      <c r="A2414">
        <v>2056856</v>
      </c>
      <c r="B2414" t="s">
        <v>9197</v>
      </c>
      <c r="C2414">
        <v>0</v>
      </c>
      <c r="D2414">
        <v>0</v>
      </c>
      <c r="E2414">
        <v>0</v>
      </c>
      <c r="F2414">
        <v>1</v>
      </c>
      <c r="G2414">
        <v>2</v>
      </c>
      <c r="H2414">
        <v>0</v>
      </c>
      <c r="I2414">
        <v>0</v>
      </c>
      <c r="J2414">
        <v>0</v>
      </c>
      <c r="K2414">
        <v>0</v>
      </c>
      <c r="L2414" t="s">
        <v>3284</v>
      </c>
      <c r="M2414" t="s">
        <v>3391</v>
      </c>
      <c r="N2414" t="s">
        <v>3392</v>
      </c>
      <c r="O2414" t="s">
        <v>3393</v>
      </c>
      <c r="P2414" t="s">
        <v>3394</v>
      </c>
      <c r="Q2414" t="s">
        <v>3395</v>
      </c>
      <c r="R2414" t="s">
        <v>9198</v>
      </c>
    </row>
    <row r="2415" spans="1:18" x14ac:dyDescent="0.2">
      <c r="A2415">
        <v>2056855</v>
      </c>
      <c r="B2415" t="s">
        <v>9199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4</v>
      </c>
      <c r="J2415">
        <v>2</v>
      </c>
      <c r="K2415">
        <v>0</v>
      </c>
      <c r="L2415" t="s">
        <v>3284</v>
      </c>
      <c r="M2415" t="s">
        <v>3296</v>
      </c>
      <c r="N2415" t="s">
        <v>3321</v>
      </c>
      <c r="O2415" t="s">
        <v>3322</v>
      </c>
      <c r="P2415" t="s">
        <v>3398</v>
      </c>
      <c r="Q2415" t="s">
        <v>3556</v>
      </c>
      <c r="R2415" t="s">
        <v>9200</v>
      </c>
    </row>
    <row r="2416" spans="1:18" x14ac:dyDescent="0.2">
      <c r="A2416">
        <v>2056852</v>
      </c>
      <c r="B2416" t="s">
        <v>9201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1</v>
      </c>
      <c r="J2416">
        <v>0</v>
      </c>
      <c r="K2416">
        <v>0</v>
      </c>
      <c r="L2416" t="s">
        <v>3284</v>
      </c>
      <c r="M2416" t="s">
        <v>3296</v>
      </c>
      <c r="N2416" t="s">
        <v>3297</v>
      </c>
      <c r="O2416" t="s">
        <v>4112</v>
      </c>
      <c r="P2416" t="s">
        <v>4113</v>
      </c>
      <c r="Q2416" t="s">
        <v>4114</v>
      </c>
      <c r="R2416" t="s">
        <v>9202</v>
      </c>
    </row>
    <row r="2417" spans="1:18" x14ac:dyDescent="0.2">
      <c r="A2417">
        <v>2056851</v>
      </c>
      <c r="B2417" t="s">
        <v>9203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1</v>
      </c>
      <c r="L2417" t="s">
        <v>3284</v>
      </c>
      <c r="M2417" t="s">
        <v>3296</v>
      </c>
      <c r="N2417" t="s">
        <v>3297</v>
      </c>
      <c r="O2417" t="s">
        <v>4112</v>
      </c>
      <c r="P2417" t="s">
        <v>4113</v>
      </c>
      <c r="Q2417" t="s">
        <v>4114</v>
      </c>
      <c r="R2417" t="s">
        <v>9204</v>
      </c>
    </row>
    <row r="2418" spans="1:18" x14ac:dyDescent="0.2">
      <c r="A2418">
        <v>2056840</v>
      </c>
      <c r="B2418" t="s">
        <v>9205</v>
      </c>
      <c r="C2418">
        <v>0</v>
      </c>
      <c r="D2418">
        <v>0</v>
      </c>
      <c r="E2418">
        <v>0</v>
      </c>
      <c r="F2418">
        <v>1</v>
      </c>
      <c r="G2418">
        <v>1</v>
      </c>
      <c r="H2418">
        <v>1</v>
      </c>
      <c r="I2418">
        <v>11</v>
      </c>
      <c r="J2418">
        <v>6</v>
      </c>
      <c r="K2418">
        <v>9</v>
      </c>
      <c r="L2418" t="s">
        <v>3284</v>
      </c>
      <c r="M2418" t="s">
        <v>3296</v>
      </c>
      <c r="N2418" t="s">
        <v>3297</v>
      </c>
      <c r="O2418" t="s">
        <v>3469</v>
      </c>
      <c r="P2418" t="s">
        <v>3470</v>
      </c>
      <c r="Q2418" t="s">
        <v>3471</v>
      </c>
      <c r="R2418" t="s">
        <v>9206</v>
      </c>
    </row>
    <row r="2419" spans="1:18" x14ac:dyDescent="0.2">
      <c r="A2419">
        <v>2056810</v>
      </c>
      <c r="B2419" t="s">
        <v>9207</v>
      </c>
      <c r="C2419">
        <v>1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 t="s">
        <v>3284</v>
      </c>
      <c r="M2419" t="s">
        <v>3296</v>
      </c>
      <c r="N2419" t="s">
        <v>3343</v>
      </c>
      <c r="O2419" t="s">
        <v>3371</v>
      </c>
      <c r="P2419" t="s">
        <v>3688</v>
      </c>
      <c r="Q2419" t="s">
        <v>9208</v>
      </c>
      <c r="R2419" t="s">
        <v>9209</v>
      </c>
    </row>
    <row r="2420" spans="1:18" x14ac:dyDescent="0.2">
      <c r="A2420">
        <v>2056493</v>
      </c>
      <c r="B2420" t="s">
        <v>9210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1</v>
      </c>
      <c r="J2420">
        <v>1</v>
      </c>
      <c r="K2420">
        <v>0</v>
      </c>
      <c r="L2420" t="s">
        <v>3284</v>
      </c>
      <c r="M2420" t="s">
        <v>3327</v>
      </c>
      <c r="N2420" t="s">
        <v>3376</v>
      </c>
      <c r="O2420" t="s">
        <v>3377</v>
      </c>
      <c r="P2420" t="s">
        <v>3378</v>
      </c>
      <c r="Q2420" t="s">
        <v>3379</v>
      </c>
      <c r="R2420" t="s">
        <v>9211</v>
      </c>
    </row>
    <row r="2421" spans="1:18" x14ac:dyDescent="0.2">
      <c r="A2421">
        <v>2056311</v>
      </c>
      <c r="B2421" t="s">
        <v>9212</v>
      </c>
      <c r="C2421">
        <v>0</v>
      </c>
      <c r="D2421">
        <v>2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 t="s">
        <v>3284</v>
      </c>
      <c r="M2421" t="s">
        <v>3391</v>
      </c>
      <c r="N2421" t="s">
        <v>3740</v>
      </c>
      <c r="O2421" t="s">
        <v>3741</v>
      </c>
      <c r="P2421" t="s">
        <v>4388</v>
      </c>
      <c r="Q2421" t="s">
        <v>4389</v>
      </c>
      <c r="R2421" t="s">
        <v>9213</v>
      </c>
    </row>
    <row r="2422" spans="1:18" x14ac:dyDescent="0.2">
      <c r="A2422">
        <v>2055881</v>
      </c>
      <c r="B2422" t="s">
        <v>9214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1</v>
      </c>
      <c r="I2422">
        <v>0</v>
      </c>
      <c r="J2422">
        <v>0</v>
      </c>
      <c r="K2422">
        <v>0</v>
      </c>
      <c r="L2422" t="s">
        <v>3284</v>
      </c>
      <c r="M2422" t="s">
        <v>3296</v>
      </c>
      <c r="N2422" t="s">
        <v>3297</v>
      </c>
      <c r="O2422" t="s">
        <v>3298</v>
      </c>
      <c r="P2422" t="s">
        <v>3826</v>
      </c>
      <c r="Q2422" t="s">
        <v>9215</v>
      </c>
      <c r="R2422" t="s">
        <v>9216</v>
      </c>
    </row>
    <row r="2423" spans="1:18" x14ac:dyDescent="0.2">
      <c r="A2423">
        <v>2054608</v>
      </c>
      <c r="B2423" t="s">
        <v>9217</v>
      </c>
      <c r="C2423">
        <v>0</v>
      </c>
      <c r="D2423">
        <v>0</v>
      </c>
      <c r="E2423">
        <v>1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 t="s">
        <v>3284</v>
      </c>
      <c r="M2423" t="s">
        <v>3296</v>
      </c>
      <c r="N2423" t="s">
        <v>3297</v>
      </c>
      <c r="O2423" t="s">
        <v>3298</v>
      </c>
      <c r="P2423" t="s">
        <v>3826</v>
      </c>
      <c r="Q2423" t="s">
        <v>7086</v>
      </c>
      <c r="R2423" t="s">
        <v>9218</v>
      </c>
    </row>
    <row r="2424" spans="1:18" x14ac:dyDescent="0.2">
      <c r="A2424">
        <v>2054315</v>
      </c>
      <c r="B2424" t="s">
        <v>9219</v>
      </c>
      <c r="C2424">
        <v>0</v>
      </c>
      <c r="D2424">
        <v>0</v>
      </c>
      <c r="E2424">
        <v>0</v>
      </c>
      <c r="F2424">
        <v>1</v>
      </c>
      <c r="G2424">
        <v>2</v>
      </c>
      <c r="H2424">
        <v>0</v>
      </c>
      <c r="I2424">
        <v>0</v>
      </c>
      <c r="J2424">
        <v>0</v>
      </c>
      <c r="K2424">
        <v>0</v>
      </c>
      <c r="L2424" t="s">
        <v>3284</v>
      </c>
      <c r="M2424" t="s">
        <v>3391</v>
      </c>
      <c r="N2424" t="s">
        <v>4129</v>
      </c>
      <c r="O2424" t="s">
        <v>4130</v>
      </c>
      <c r="P2424" t="s">
        <v>4131</v>
      </c>
      <c r="Q2424" t="s">
        <v>9220</v>
      </c>
      <c r="R2424" t="s">
        <v>9221</v>
      </c>
    </row>
    <row r="2425" spans="1:18" x14ac:dyDescent="0.2">
      <c r="A2425">
        <v>2054168</v>
      </c>
      <c r="B2425" t="s">
        <v>9222</v>
      </c>
      <c r="C2425">
        <v>1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 t="s">
        <v>3284</v>
      </c>
      <c r="M2425" t="s">
        <v>3327</v>
      </c>
      <c r="N2425" t="s">
        <v>3376</v>
      </c>
      <c r="O2425" t="s">
        <v>3377</v>
      </c>
      <c r="P2425" t="s">
        <v>3378</v>
      </c>
      <c r="Q2425" t="s">
        <v>3379</v>
      </c>
      <c r="R2425" t="s">
        <v>9223</v>
      </c>
    </row>
    <row r="2426" spans="1:18" x14ac:dyDescent="0.2">
      <c r="A2426">
        <v>2053492</v>
      </c>
      <c r="B2426" t="s">
        <v>9224</v>
      </c>
      <c r="C2426">
        <v>0</v>
      </c>
      <c r="D2426">
        <v>0</v>
      </c>
      <c r="E2426">
        <v>0</v>
      </c>
      <c r="F2426">
        <v>0</v>
      </c>
      <c r="G2426">
        <v>1</v>
      </c>
      <c r="H2426">
        <v>0</v>
      </c>
      <c r="I2426">
        <v>1</v>
      </c>
      <c r="J2426">
        <v>0</v>
      </c>
      <c r="K2426">
        <v>1</v>
      </c>
      <c r="L2426" t="s">
        <v>3284</v>
      </c>
      <c r="M2426" t="s">
        <v>3296</v>
      </c>
      <c r="N2426" t="s">
        <v>3321</v>
      </c>
      <c r="O2426" t="s">
        <v>3271</v>
      </c>
      <c r="P2426" t="s">
        <v>3271</v>
      </c>
      <c r="Q2426" t="s">
        <v>5521</v>
      </c>
      <c r="R2426" t="s">
        <v>9225</v>
      </c>
    </row>
    <row r="2427" spans="1:18" x14ac:dyDescent="0.2">
      <c r="A2427">
        <v>2051906</v>
      </c>
      <c r="B2427" t="s">
        <v>9226</v>
      </c>
      <c r="C2427">
        <v>1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 t="s">
        <v>3284</v>
      </c>
      <c r="M2427" t="s">
        <v>3327</v>
      </c>
      <c r="N2427" t="s">
        <v>3376</v>
      </c>
      <c r="O2427" t="s">
        <v>3377</v>
      </c>
      <c r="P2427" t="s">
        <v>3271</v>
      </c>
      <c r="Q2427" t="s">
        <v>3648</v>
      </c>
      <c r="R2427" t="s">
        <v>9227</v>
      </c>
    </row>
    <row r="2428" spans="1:18" x14ac:dyDescent="0.2">
      <c r="A2428">
        <v>2049916</v>
      </c>
      <c r="B2428" t="s">
        <v>9228</v>
      </c>
      <c r="C2428">
        <v>0</v>
      </c>
      <c r="D2428">
        <v>1</v>
      </c>
      <c r="E2428">
        <v>0</v>
      </c>
      <c r="F2428">
        <v>27</v>
      </c>
      <c r="G2428">
        <v>33</v>
      </c>
      <c r="H2428">
        <v>2</v>
      </c>
      <c r="I2428">
        <v>7</v>
      </c>
      <c r="J2428">
        <v>2</v>
      </c>
      <c r="K2428">
        <v>1</v>
      </c>
      <c r="L2428" t="s">
        <v>3284</v>
      </c>
      <c r="M2428" t="s">
        <v>3391</v>
      </c>
      <c r="N2428" t="s">
        <v>4129</v>
      </c>
      <c r="O2428" t="s">
        <v>4130</v>
      </c>
      <c r="P2428" t="s">
        <v>4131</v>
      </c>
      <c r="Q2428" t="s">
        <v>9229</v>
      </c>
      <c r="R2428" t="s">
        <v>9230</v>
      </c>
    </row>
    <row r="2429" spans="1:18" x14ac:dyDescent="0.2">
      <c r="A2429">
        <v>2049319</v>
      </c>
      <c r="B2429" t="s">
        <v>9231</v>
      </c>
      <c r="C2429">
        <v>1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 t="s">
        <v>3284</v>
      </c>
      <c r="M2429" t="s">
        <v>3296</v>
      </c>
      <c r="N2429" t="s">
        <v>3321</v>
      </c>
      <c r="O2429" t="s">
        <v>3322</v>
      </c>
      <c r="P2429" t="s">
        <v>3423</v>
      </c>
      <c r="Q2429" t="s">
        <v>4394</v>
      </c>
      <c r="R2429" t="s">
        <v>9232</v>
      </c>
    </row>
    <row r="2430" spans="1:18" x14ac:dyDescent="0.2">
      <c r="A2430">
        <v>2049040</v>
      </c>
      <c r="B2430" t="s">
        <v>9233</v>
      </c>
      <c r="C2430">
        <v>1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 t="s">
        <v>3284</v>
      </c>
      <c r="M2430" t="s">
        <v>3327</v>
      </c>
      <c r="N2430" t="s">
        <v>3328</v>
      </c>
      <c r="O2430" t="s">
        <v>4017</v>
      </c>
      <c r="P2430" t="s">
        <v>4018</v>
      </c>
      <c r="Q2430" t="s">
        <v>8708</v>
      </c>
      <c r="R2430" t="s">
        <v>9234</v>
      </c>
    </row>
    <row r="2431" spans="1:18" x14ac:dyDescent="0.2">
      <c r="A2431">
        <v>2049039</v>
      </c>
      <c r="B2431" t="s">
        <v>9235</v>
      </c>
      <c r="C2431">
        <v>0</v>
      </c>
      <c r="D2431">
        <v>0</v>
      </c>
      <c r="E2431">
        <v>0</v>
      </c>
      <c r="F2431">
        <v>1</v>
      </c>
      <c r="G2431">
        <v>0</v>
      </c>
      <c r="H2431">
        <v>0</v>
      </c>
      <c r="I2431">
        <v>0</v>
      </c>
      <c r="J2431">
        <v>0</v>
      </c>
      <c r="K2431">
        <v>0</v>
      </c>
      <c r="L2431" t="s">
        <v>3284</v>
      </c>
      <c r="M2431" t="s">
        <v>3327</v>
      </c>
      <c r="N2431" t="s">
        <v>3753</v>
      </c>
      <c r="O2431" t="s">
        <v>9236</v>
      </c>
      <c r="P2431" t="s">
        <v>9237</v>
      </c>
      <c r="Q2431" t="s">
        <v>9238</v>
      </c>
      <c r="R2431" t="s">
        <v>9239</v>
      </c>
    </row>
    <row r="2432" spans="1:18" x14ac:dyDescent="0.2">
      <c r="A2432">
        <v>2049027</v>
      </c>
      <c r="B2432" t="s">
        <v>9240</v>
      </c>
      <c r="C2432">
        <v>1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 t="s">
        <v>3284</v>
      </c>
      <c r="M2432" t="s">
        <v>3327</v>
      </c>
      <c r="N2432" t="s">
        <v>3328</v>
      </c>
      <c r="O2432" t="s">
        <v>3329</v>
      </c>
      <c r="P2432" t="s">
        <v>3271</v>
      </c>
      <c r="Q2432" t="s">
        <v>9241</v>
      </c>
      <c r="R2432" t="s">
        <v>9242</v>
      </c>
    </row>
    <row r="2433" spans="1:18" x14ac:dyDescent="0.2">
      <c r="A2433">
        <v>2048901</v>
      </c>
      <c r="B2433" t="s">
        <v>9243</v>
      </c>
      <c r="C2433">
        <v>0</v>
      </c>
      <c r="D2433">
        <v>0</v>
      </c>
      <c r="E2433">
        <v>0</v>
      </c>
      <c r="F2433">
        <v>1</v>
      </c>
      <c r="G2433">
        <v>1</v>
      </c>
      <c r="H2433">
        <v>0</v>
      </c>
      <c r="I2433">
        <v>0</v>
      </c>
      <c r="J2433">
        <v>0</v>
      </c>
      <c r="K2433">
        <v>0</v>
      </c>
      <c r="L2433" t="s">
        <v>3284</v>
      </c>
      <c r="M2433" t="s">
        <v>3296</v>
      </c>
      <c r="N2433" t="s">
        <v>3343</v>
      </c>
      <c r="O2433" t="s">
        <v>3402</v>
      </c>
      <c r="P2433" t="s">
        <v>3403</v>
      </c>
      <c r="Q2433" t="s">
        <v>3404</v>
      </c>
      <c r="R2433" t="s">
        <v>9244</v>
      </c>
    </row>
    <row r="2434" spans="1:18" x14ac:dyDescent="0.2">
      <c r="A2434">
        <v>2048900</v>
      </c>
      <c r="B2434" t="s">
        <v>9245</v>
      </c>
      <c r="C2434">
        <v>0</v>
      </c>
      <c r="D2434">
        <v>0</v>
      </c>
      <c r="E2434">
        <v>0</v>
      </c>
      <c r="F2434">
        <v>1</v>
      </c>
      <c r="G2434">
        <v>1</v>
      </c>
      <c r="H2434">
        <v>0</v>
      </c>
      <c r="I2434">
        <v>0</v>
      </c>
      <c r="J2434">
        <v>0</v>
      </c>
      <c r="K2434">
        <v>0</v>
      </c>
      <c r="L2434" t="s">
        <v>3284</v>
      </c>
      <c r="M2434" t="s">
        <v>3296</v>
      </c>
      <c r="N2434" t="s">
        <v>3343</v>
      </c>
      <c r="O2434" t="s">
        <v>3402</v>
      </c>
      <c r="P2434" t="s">
        <v>3403</v>
      </c>
      <c r="Q2434" t="s">
        <v>3404</v>
      </c>
      <c r="R2434" t="s">
        <v>9246</v>
      </c>
    </row>
    <row r="2435" spans="1:18" x14ac:dyDescent="0.2">
      <c r="A2435">
        <v>2048899</v>
      </c>
      <c r="B2435" t="s">
        <v>9247</v>
      </c>
      <c r="C2435">
        <v>0</v>
      </c>
      <c r="D2435">
        <v>0</v>
      </c>
      <c r="E2435">
        <v>0</v>
      </c>
      <c r="F2435">
        <v>0</v>
      </c>
      <c r="G2435">
        <v>1</v>
      </c>
      <c r="H2435">
        <v>0</v>
      </c>
      <c r="I2435">
        <v>0</v>
      </c>
      <c r="J2435">
        <v>0</v>
      </c>
      <c r="K2435">
        <v>0</v>
      </c>
      <c r="L2435" t="s">
        <v>3284</v>
      </c>
      <c r="M2435" t="s">
        <v>3296</v>
      </c>
      <c r="N2435" t="s">
        <v>3343</v>
      </c>
      <c r="O2435" t="s">
        <v>3402</v>
      </c>
      <c r="P2435" t="s">
        <v>3403</v>
      </c>
      <c r="Q2435" t="s">
        <v>3404</v>
      </c>
      <c r="R2435" t="s">
        <v>9248</v>
      </c>
    </row>
    <row r="2436" spans="1:18" x14ac:dyDescent="0.2">
      <c r="A2436">
        <v>2048551</v>
      </c>
      <c r="B2436" t="s">
        <v>9249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1</v>
      </c>
      <c r="J2436">
        <v>0</v>
      </c>
      <c r="K2436">
        <v>0</v>
      </c>
      <c r="L2436" t="s">
        <v>3284</v>
      </c>
      <c r="M2436" t="s">
        <v>3307</v>
      </c>
      <c r="N2436" t="s">
        <v>3308</v>
      </c>
      <c r="O2436" t="s">
        <v>3635</v>
      </c>
      <c r="P2436" t="s">
        <v>4011</v>
      </c>
      <c r="Q2436" t="s">
        <v>4012</v>
      </c>
      <c r="R2436" t="s">
        <v>9250</v>
      </c>
    </row>
    <row r="2437" spans="1:18" x14ac:dyDescent="0.2">
      <c r="A2437">
        <v>2048550</v>
      </c>
      <c r="B2437" t="s">
        <v>9251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1</v>
      </c>
      <c r="I2437">
        <v>0</v>
      </c>
      <c r="J2437">
        <v>0</v>
      </c>
      <c r="K2437">
        <v>0</v>
      </c>
      <c r="L2437" t="s">
        <v>3284</v>
      </c>
      <c r="M2437" t="s">
        <v>3307</v>
      </c>
      <c r="N2437" t="s">
        <v>3308</v>
      </c>
      <c r="O2437" t="s">
        <v>3635</v>
      </c>
      <c r="P2437" t="s">
        <v>4011</v>
      </c>
      <c r="Q2437" t="s">
        <v>4012</v>
      </c>
      <c r="R2437" t="s">
        <v>9252</v>
      </c>
    </row>
    <row r="2438" spans="1:18" x14ac:dyDescent="0.2">
      <c r="A2438">
        <v>2048290</v>
      </c>
      <c r="B2438" t="s">
        <v>9253</v>
      </c>
      <c r="C2438">
        <v>0</v>
      </c>
      <c r="D2438">
        <v>1</v>
      </c>
      <c r="E2438">
        <v>0</v>
      </c>
      <c r="F2438">
        <v>0</v>
      </c>
      <c r="G2438">
        <v>0</v>
      </c>
      <c r="H2438">
        <v>0</v>
      </c>
      <c r="I2438">
        <v>1</v>
      </c>
      <c r="J2438">
        <v>0</v>
      </c>
      <c r="K2438">
        <v>0</v>
      </c>
      <c r="L2438" t="s">
        <v>3284</v>
      </c>
      <c r="M2438" t="s">
        <v>3307</v>
      </c>
      <c r="N2438" t="s">
        <v>3308</v>
      </c>
      <c r="O2438" t="s">
        <v>3359</v>
      </c>
      <c r="P2438" t="s">
        <v>3360</v>
      </c>
      <c r="Q2438" t="s">
        <v>4793</v>
      </c>
      <c r="R2438" t="s">
        <v>9254</v>
      </c>
    </row>
    <row r="2439" spans="1:18" x14ac:dyDescent="0.2">
      <c r="A2439">
        <v>2048283</v>
      </c>
      <c r="B2439" t="s">
        <v>9255</v>
      </c>
      <c r="C2439">
        <v>0</v>
      </c>
      <c r="D2439">
        <v>0</v>
      </c>
      <c r="E2439">
        <v>0</v>
      </c>
      <c r="F2439">
        <v>1</v>
      </c>
      <c r="G2439">
        <v>0</v>
      </c>
      <c r="H2439">
        <v>0</v>
      </c>
      <c r="I2439">
        <v>0</v>
      </c>
      <c r="J2439">
        <v>0</v>
      </c>
      <c r="K2439">
        <v>0</v>
      </c>
      <c r="L2439" t="s">
        <v>3284</v>
      </c>
      <c r="M2439" t="s">
        <v>3296</v>
      </c>
      <c r="N2439" t="s">
        <v>3343</v>
      </c>
      <c r="O2439" t="s">
        <v>3861</v>
      </c>
      <c r="P2439" t="s">
        <v>9256</v>
      </c>
      <c r="Q2439" t="s">
        <v>9257</v>
      </c>
      <c r="R2439" t="s">
        <v>9258</v>
      </c>
    </row>
    <row r="2440" spans="1:18" x14ac:dyDescent="0.2">
      <c r="A2440">
        <v>2045451</v>
      </c>
      <c r="B2440" t="s">
        <v>9259</v>
      </c>
      <c r="C2440">
        <v>0</v>
      </c>
      <c r="D2440">
        <v>0</v>
      </c>
      <c r="E2440">
        <v>0</v>
      </c>
      <c r="F2440">
        <v>1</v>
      </c>
      <c r="G2440">
        <v>0</v>
      </c>
      <c r="H2440">
        <v>0</v>
      </c>
      <c r="I2440">
        <v>9</v>
      </c>
      <c r="J2440">
        <v>7</v>
      </c>
      <c r="K2440">
        <v>2</v>
      </c>
      <c r="L2440" t="s">
        <v>3284</v>
      </c>
      <c r="M2440" t="s">
        <v>3296</v>
      </c>
      <c r="N2440" t="s">
        <v>3297</v>
      </c>
      <c r="O2440" t="s">
        <v>3469</v>
      </c>
      <c r="P2440" t="s">
        <v>3470</v>
      </c>
      <c r="Q2440" t="s">
        <v>3471</v>
      </c>
      <c r="R2440" t="s">
        <v>9260</v>
      </c>
    </row>
    <row r="2441" spans="1:18" x14ac:dyDescent="0.2">
      <c r="A2441">
        <v>2045214</v>
      </c>
      <c r="B2441" t="s">
        <v>9261</v>
      </c>
      <c r="C2441">
        <v>0</v>
      </c>
      <c r="D2441">
        <v>0</v>
      </c>
      <c r="E2441">
        <v>0</v>
      </c>
      <c r="F2441">
        <v>2</v>
      </c>
      <c r="G2441">
        <v>0</v>
      </c>
      <c r="H2441">
        <v>0</v>
      </c>
      <c r="I2441">
        <v>0</v>
      </c>
      <c r="J2441">
        <v>0</v>
      </c>
      <c r="K2441">
        <v>0</v>
      </c>
      <c r="L2441" t="s">
        <v>3284</v>
      </c>
      <c r="M2441" t="s">
        <v>3296</v>
      </c>
      <c r="N2441" t="s">
        <v>3297</v>
      </c>
      <c r="O2441" t="s">
        <v>3469</v>
      </c>
      <c r="P2441" t="s">
        <v>3470</v>
      </c>
      <c r="Q2441" t="s">
        <v>3471</v>
      </c>
      <c r="R2441" t="s">
        <v>9262</v>
      </c>
    </row>
    <row r="2442" spans="1:18" x14ac:dyDescent="0.2">
      <c r="A2442">
        <v>2045119</v>
      </c>
      <c r="B2442" t="s">
        <v>9263</v>
      </c>
      <c r="C2442">
        <v>5</v>
      </c>
      <c r="D2442">
        <v>10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 t="s">
        <v>3284</v>
      </c>
      <c r="M2442" t="s">
        <v>3296</v>
      </c>
      <c r="N2442" t="s">
        <v>3343</v>
      </c>
      <c r="O2442" t="s">
        <v>3371</v>
      </c>
      <c r="P2442" t="s">
        <v>3688</v>
      </c>
      <c r="Q2442" t="s">
        <v>4278</v>
      </c>
      <c r="R2442" t="s">
        <v>9264</v>
      </c>
    </row>
    <row r="2443" spans="1:18" x14ac:dyDescent="0.2">
      <c r="A2443">
        <v>2045105</v>
      </c>
      <c r="B2443" t="s">
        <v>9265</v>
      </c>
      <c r="C2443">
        <v>0</v>
      </c>
      <c r="D2443">
        <v>0</v>
      </c>
      <c r="E2443">
        <v>0</v>
      </c>
      <c r="F2443">
        <v>2</v>
      </c>
      <c r="G2443">
        <v>1</v>
      </c>
      <c r="H2443">
        <v>0</v>
      </c>
      <c r="I2443">
        <v>0</v>
      </c>
      <c r="J2443">
        <v>0</v>
      </c>
      <c r="K2443">
        <v>0</v>
      </c>
      <c r="L2443" t="s">
        <v>3284</v>
      </c>
      <c r="M2443" t="s">
        <v>3391</v>
      </c>
      <c r="N2443" t="s">
        <v>3411</v>
      </c>
      <c r="O2443" t="s">
        <v>3412</v>
      </c>
      <c r="P2443" t="s">
        <v>3413</v>
      </c>
      <c r="Q2443" t="s">
        <v>3414</v>
      </c>
      <c r="R2443" t="s">
        <v>9266</v>
      </c>
    </row>
    <row r="2444" spans="1:18" x14ac:dyDescent="0.2">
      <c r="A2444">
        <v>2045100</v>
      </c>
      <c r="B2444" t="s">
        <v>9267</v>
      </c>
      <c r="C2444">
        <v>0</v>
      </c>
      <c r="D2444">
        <v>0</v>
      </c>
      <c r="E2444">
        <v>3</v>
      </c>
      <c r="F2444">
        <v>0</v>
      </c>
      <c r="G2444">
        <v>0</v>
      </c>
      <c r="H2444">
        <v>2</v>
      </c>
      <c r="I2444">
        <v>0</v>
      </c>
      <c r="J2444">
        <v>0</v>
      </c>
      <c r="K2444">
        <v>0</v>
      </c>
      <c r="L2444" t="s">
        <v>3284</v>
      </c>
      <c r="M2444" t="s">
        <v>3391</v>
      </c>
      <c r="N2444" t="s">
        <v>4129</v>
      </c>
      <c r="O2444" t="s">
        <v>4130</v>
      </c>
      <c r="P2444" t="s">
        <v>4131</v>
      </c>
      <c r="Q2444" t="s">
        <v>9268</v>
      </c>
      <c r="R2444" t="s">
        <v>9269</v>
      </c>
    </row>
    <row r="2445" spans="1:18" x14ac:dyDescent="0.2">
      <c r="A2445">
        <v>2044855</v>
      </c>
      <c r="B2445" t="s">
        <v>9270</v>
      </c>
      <c r="C2445">
        <v>6</v>
      </c>
      <c r="D2445">
        <v>6</v>
      </c>
      <c r="E2445">
        <v>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 t="s">
        <v>3284</v>
      </c>
      <c r="M2445" t="s">
        <v>3391</v>
      </c>
      <c r="N2445" t="s">
        <v>3392</v>
      </c>
      <c r="O2445" t="s">
        <v>3393</v>
      </c>
      <c r="P2445" t="s">
        <v>3394</v>
      </c>
      <c r="Q2445" t="s">
        <v>4351</v>
      </c>
      <c r="R2445" t="s">
        <v>9271</v>
      </c>
    </row>
    <row r="2446" spans="1:18" x14ac:dyDescent="0.2">
      <c r="A2446">
        <v>2044597</v>
      </c>
      <c r="B2446" t="s">
        <v>9272</v>
      </c>
      <c r="C2446">
        <v>1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 t="s">
        <v>3284</v>
      </c>
      <c r="M2446" t="s">
        <v>3296</v>
      </c>
      <c r="N2446" t="s">
        <v>3343</v>
      </c>
      <c r="O2446" t="s">
        <v>3371</v>
      </c>
      <c r="P2446" t="s">
        <v>3372</v>
      </c>
      <c r="Q2446" t="s">
        <v>3373</v>
      </c>
      <c r="R2446" t="s">
        <v>9273</v>
      </c>
    </row>
    <row r="2447" spans="1:18" x14ac:dyDescent="0.2">
      <c r="A2447">
        <v>2042057</v>
      </c>
      <c r="B2447" t="s">
        <v>9274</v>
      </c>
      <c r="C2447">
        <v>1</v>
      </c>
      <c r="D2447">
        <v>2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 t="s">
        <v>3284</v>
      </c>
      <c r="M2447" t="s">
        <v>3296</v>
      </c>
      <c r="N2447" t="s">
        <v>3297</v>
      </c>
      <c r="O2447" t="s">
        <v>3298</v>
      </c>
      <c r="P2447" t="s">
        <v>6582</v>
      </c>
      <c r="Q2447" t="s">
        <v>8856</v>
      </c>
      <c r="R2447" t="s">
        <v>9275</v>
      </c>
    </row>
    <row r="2448" spans="1:18" x14ac:dyDescent="0.2">
      <c r="A2448">
        <v>2041841</v>
      </c>
      <c r="B2448" t="s">
        <v>9276</v>
      </c>
      <c r="C2448">
        <v>0</v>
      </c>
      <c r="D2448">
        <v>1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 t="s">
        <v>3284</v>
      </c>
      <c r="M2448" t="s">
        <v>3327</v>
      </c>
      <c r="N2448" t="s">
        <v>4384</v>
      </c>
      <c r="O2448" t="s">
        <v>4605</v>
      </c>
      <c r="P2448" t="s">
        <v>5970</v>
      </c>
      <c r="Q2448" t="s">
        <v>9277</v>
      </c>
      <c r="R2448" t="s">
        <v>9278</v>
      </c>
    </row>
    <row r="2449" spans="1:18" x14ac:dyDescent="0.2">
      <c r="A2449">
        <v>2041569</v>
      </c>
      <c r="B2449" t="s">
        <v>9279</v>
      </c>
      <c r="C2449">
        <v>3</v>
      </c>
      <c r="D2449">
        <v>1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 t="s">
        <v>3284</v>
      </c>
      <c r="M2449" t="s">
        <v>3327</v>
      </c>
      <c r="N2449" t="s">
        <v>3328</v>
      </c>
      <c r="O2449" t="s">
        <v>4017</v>
      </c>
      <c r="P2449" t="s">
        <v>4018</v>
      </c>
      <c r="Q2449" t="s">
        <v>4507</v>
      </c>
      <c r="R2449" t="s">
        <v>9280</v>
      </c>
    </row>
    <row r="2450" spans="1:18" x14ac:dyDescent="0.2">
      <c r="A2450">
        <v>2041385</v>
      </c>
      <c r="B2450" t="s">
        <v>9281</v>
      </c>
      <c r="C2450">
        <v>0</v>
      </c>
      <c r="D2450">
        <v>0</v>
      </c>
      <c r="E2450">
        <v>0</v>
      </c>
      <c r="F2450">
        <v>5</v>
      </c>
      <c r="G2450">
        <v>2</v>
      </c>
      <c r="H2450">
        <v>0</v>
      </c>
      <c r="I2450">
        <v>0</v>
      </c>
      <c r="J2450">
        <v>0</v>
      </c>
      <c r="K2450">
        <v>0</v>
      </c>
      <c r="L2450" t="s">
        <v>3284</v>
      </c>
      <c r="M2450" t="s">
        <v>3296</v>
      </c>
      <c r="N2450" t="s">
        <v>3343</v>
      </c>
      <c r="O2450" t="s">
        <v>3344</v>
      </c>
      <c r="P2450" t="s">
        <v>3355</v>
      </c>
      <c r="Q2450" t="s">
        <v>3356</v>
      </c>
      <c r="R2450" t="s">
        <v>9282</v>
      </c>
    </row>
    <row r="2451" spans="1:18" x14ac:dyDescent="0.2">
      <c r="A2451">
        <v>2040489</v>
      </c>
      <c r="B2451" t="s">
        <v>9283</v>
      </c>
      <c r="C2451">
        <v>2</v>
      </c>
      <c r="D2451">
        <v>1</v>
      </c>
      <c r="E2451">
        <v>0</v>
      </c>
      <c r="F2451">
        <v>0</v>
      </c>
      <c r="G2451">
        <v>0</v>
      </c>
      <c r="H2451">
        <v>0</v>
      </c>
      <c r="I2451">
        <v>2</v>
      </c>
      <c r="J2451">
        <v>0</v>
      </c>
      <c r="K2451">
        <v>0</v>
      </c>
      <c r="L2451" t="s">
        <v>3284</v>
      </c>
      <c r="M2451" t="s">
        <v>3296</v>
      </c>
      <c r="N2451" t="s">
        <v>3343</v>
      </c>
      <c r="O2451" t="s">
        <v>3344</v>
      </c>
      <c r="P2451" t="s">
        <v>3355</v>
      </c>
      <c r="Q2451" t="s">
        <v>9284</v>
      </c>
      <c r="R2451" t="s">
        <v>9285</v>
      </c>
    </row>
    <row r="2452" spans="1:18" x14ac:dyDescent="0.2">
      <c r="A2452">
        <v>2040295</v>
      </c>
      <c r="B2452" t="s">
        <v>9286</v>
      </c>
      <c r="C2452">
        <v>6</v>
      </c>
      <c r="D2452">
        <v>2</v>
      </c>
      <c r="E2452">
        <v>1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 t="s">
        <v>3284</v>
      </c>
      <c r="M2452" t="s">
        <v>3327</v>
      </c>
      <c r="N2452" t="s">
        <v>3328</v>
      </c>
      <c r="O2452" t="s">
        <v>3329</v>
      </c>
      <c r="P2452" t="s">
        <v>3330</v>
      </c>
      <c r="Q2452" t="s">
        <v>3331</v>
      </c>
      <c r="R2452" t="s">
        <v>9287</v>
      </c>
    </row>
    <row r="2453" spans="1:18" x14ac:dyDescent="0.2">
      <c r="A2453">
        <v>2039284</v>
      </c>
      <c r="B2453" t="s">
        <v>9288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10</v>
      </c>
      <c r="J2453">
        <v>7</v>
      </c>
      <c r="K2453">
        <v>0</v>
      </c>
      <c r="L2453" t="s">
        <v>3284</v>
      </c>
      <c r="M2453" t="s">
        <v>3327</v>
      </c>
      <c r="N2453" t="s">
        <v>3376</v>
      </c>
      <c r="O2453" t="s">
        <v>3377</v>
      </c>
      <c r="P2453" t="s">
        <v>3378</v>
      </c>
      <c r="Q2453" t="s">
        <v>3379</v>
      </c>
      <c r="R2453" t="s">
        <v>9289</v>
      </c>
    </row>
    <row r="2454" spans="1:18" x14ac:dyDescent="0.2">
      <c r="A2454">
        <v>2039281</v>
      </c>
      <c r="B2454" t="s">
        <v>9290</v>
      </c>
      <c r="C2454">
        <v>0</v>
      </c>
      <c r="D2454">
        <v>0</v>
      </c>
      <c r="E2454">
        <v>0</v>
      </c>
      <c r="F2454">
        <v>3</v>
      </c>
      <c r="G2454">
        <v>2</v>
      </c>
      <c r="H2454">
        <v>0</v>
      </c>
      <c r="I2454">
        <v>0</v>
      </c>
      <c r="J2454">
        <v>0</v>
      </c>
      <c r="K2454">
        <v>0</v>
      </c>
      <c r="L2454" t="s">
        <v>3284</v>
      </c>
      <c r="M2454" t="s">
        <v>3307</v>
      </c>
      <c r="N2454" t="s">
        <v>3308</v>
      </c>
      <c r="O2454" t="s">
        <v>3635</v>
      </c>
      <c r="P2454" t="s">
        <v>4011</v>
      </c>
      <c r="Q2454" t="s">
        <v>4012</v>
      </c>
      <c r="R2454" t="s">
        <v>9291</v>
      </c>
    </row>
    <row r="2455" spans="1:18" x14ac:dyDescent="0.2">
      <c r="A2455">
        <v>2039167</v>
      </c>
      <c r="B2455" t="s">
        <v>9292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1</v>
      </c>
      <c r="K2455">
        <v>0</v>
      </c>
      <c r="L2455" t="s">
        <v>3284</v>
      </c>
      <c r="M2455" t="s">
        <v>3327</v>
      </c>
      <c r="N2455" t="s">
        <v>3328</v>
      </c>
      <c r="O2455" t="s">
        <v>3329</v>
      </c>
      <c r="P2455" t="s">
        <v>9293</v>
      </c>
      <c r="Q2455" t="s">
        <v>9294</v>
      </c>
      <c r="R2455" t="s">
        <v>9295</v>
      </c>
    </row>
    <row r="2456" spans="1:18" x14ac:dyDescent="0.2">
      <c r="A2456">
        <v>2038776</v>
      </c>
      <c r="B2456" t="s">
        <v>9296</v>
      </c>
      <c r="C2456">
        <v>1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 t="s">
        <v>3284</v>
      </c>
      <c r="M2456" t="s">
        <v>3391</v>
      </c>
      <c r="N2456" t="s">
        <v>3411</v>
      </c>
      <c r="O2456" t="s">
        <v>3412</v>
      </c>
      <c r="P2456" t="s">
        <v>3564</v>
      </c>
      <c r="Q2456" t="s">
        <v>6252</v>
      </c>
      <c r="R2456" t="s">
        <v>9297</v>
      </c>
    </row>
    <row r="2457" spans="1:18" x14ac:dyDescent="0.2">
      <c r="A2457">
        <v>2038686</v>
      </c>
      <c r="B2457" t="s">
        <v>9298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1</v>
      </c>
      <c r="J2457">
        <v>1</v>
      </c>
      <c r="K2457">
        <v>0</v>
      </c>
      <c r="L2457" t="s">
        <v>3284</v>
      </c>
      <c r="M2457" t="s">
        <v>3307</v>
      </c>
      <c r="N2457" t="s">
        <v>3308</v>
      </c>
      <c r="O2457" t="s">
        <v>3309</v>
      </c>
      <c r="P2457" t="s">
        <v>6036</v>
      </c>
      <c r="Q2457" t="s">
        <v>6882</v>
      </c>
      <c r="R2457" t="s">
        <v>9299</v>
      </c>
    </row>
    <row r="2458" spans="1:18" x14ac:dyDescent="0.2">
      <c r="A2458">
        <v>2038656</v>
      </c>
      <c r="B2458" t="s">
        <v>9300</v>
      </c>
      <c r="C2458">
        <v>0</v>
      </c>
      <c r="D2458">
        <v>0</v>
      </c>
      <c r="E2458">
        <v>0</v>
      </c>
      <c r="F2458">
        <v>0</v>
      </c>
      <c r="G2458">
        <v>1</v>
      </c>
      <c r="H2458">
        <v>0</v>
      </c>
      <c r="I2458">
        <v>0</v>
      </c>
      <c r="J2458">
        <v>0</v>
      </c>
      <c r="K2458">
        <v>0</v>
      </c>
      <c r="L2458" t="s">
        <v>3284</v>
      </c>
      <c r="M2458" t="s">
        <v>3296</v>
      </c>
      <c r="N2458" t="s">
        <v>3343</v>
      </c>
      <c r="O2458" t="s">
        <v>3349</v>
      </c>
      <c r="P2458" t="s">
        <v>3350</v>
      </c>
      <c r="Q2458" t="s">
        <v>4175</v>
      </c>
      <c r="R2458" t="s">
        <v>9301</v>
      </c>
    </row>
    <row r="2459" spans="1:18" x14ac:dyDescent="0.2">
      <c r="A2459">
        <v>2037914</v>
      </c>
      <c r="B2459" t="s">
        <v>9302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1</v>
      </c>
      <c r="J2459">
        <v>0</v>
      </c>
      <c r="K2459">
        <v>0</v>
      </c>
      <c r="L2459" t="s">
        <v>3284</v>
      </c>
      <c r="M2459" t="s">
        <v>3296</v>
      </c>
      <c r="N2459" t="s">
        <v>3343</v>
      </c>
      <c r="O2459" t="s">
        <v>3344</v>
      </c>
      <c r="P2459" t="s">
        <v>3355</v>
      </c>
      <c r="Q2459" t="s">
        <v>5273</v>
      </c>
      <c r="R2459" t="s">
        <v>9303</v>
      </c>
    </row>
    <row r="2460" spans="1:18" x14ac:dyDescent="0.2">
      <c r="A2460">
        <v>2036016</v>
      </c>
      <c r="B2460" t="s">
        <v>9304</v>
      </c>
      <c r="C2460">
        <v>0</v>
      </c>
      <c r="D2460">
        <v>1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 t="s">
        <v>3284</v>
      </c>
      <c r="M2460" t="s">
        <v>3327</v>
      </c>
      <c r="N2460" t="s">
        <v>3376</v>
      </c>
      <c r="O2460" t="s">
        <v>3377</v>
      </c>
      <c r="P2460" t="s">
        <v>3378</v>
      </c>
      <c r="Q2460" t="s">
        <v>5638</v>
      </c>
      <c r="R2460" t="s">
        <v>9305</v>
      </c>
    </row>
    <row r="2461" spans="1:18" x14ac:dyDescent="0.2">
      <c r="A2461">
        <v>2035993</v>
      </c>
      <c r="B2461" t="s">
        <v>9306</v>
      </c>
      <c r="C2461">
        <v>0</v>
      </c>
      <c r="D2461">
        <v>0</v>
      </c>
      <c r="E2461">
        <v>0</v>
      </c>
      <c r="F2461">
        <v>2</v>
      </c>
      <c r="G2461">
        <v>4</v>
      </c>
      <c r="H2461">
        <v>0</v>
      </c>
      <c r="I2461">
        <v>0</v>
      </c>
      <c r="J2461">
        <v>0</v>
      </c>
      <c r="K2461">
        <v>0</v>
      </c>
      <c r="L2461" t="s">
        <v>3284</v>
      </c>
      <c r="M2461" t="s">
        <v>3296</v>
      </c>
      <c r="N2461" t="s">
        <v>3343</v>
      </c>
      <c r="O2461" t="s">
        <v>3402</v>
      </c>
      <c r="P2461" t="s">
        <v>3403</v>
      </c>
      <c r="Q2461" t="s">
        <v>3404</v>
      </c>
      <c r="R2461" t="s">
        <v>9307</v>
      </c>
    </row>
    <row r="2462" spans="1:18" x14ac:dyDescent="0.2">
      <c r="A2462">
        <v>2035455</v>
      </c>
      <c r="B2462" t="s">
        <v>9308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1</v>
      </c>
      <c r="I2462">
        <v>0</v>
      </c>
      <c r="J2462">
        <v>0</v>
      </c>
      <c r="K2462">
        <v>0</v>
      </c>
      <c r="L2462" t="s">
        <v>3284</v>
      </c>
      <c r="M2462" t="s">
        <v>3296</v>
      </c>
      <c r="N2462" t="s">
        <v>3343</v>
      </c>
      <c r="O2462" t="s">
        <v>3344</v>
      </c>
      <c r="P2462" t="s">
        <v>3355</v>
      </c>
      <c r="Q2462" t="s">
        <v>7835</v>
      </c>
      <c r="R2462" t="s">
        <v>9309</v>
      </c>
    </row>
    <row r="2463" spans="1:18" x14ac:dyDescent="0.2">
      <c r="A2463">
        <v>2035356</v>
      </c>
      <c r="B2463" t="s">
        <v>9310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21</v>
      </c>
      <c r="J2463">
        <v>10</v>
      </c>
      <c r="K2463">
        <v>1</v>
      </c>
      <c r="L2463" t="s">
        <v>3284</v>
      </c>
      <c r="M2463" t="s">
        <v>3296</v>
      </c>
      <c r="N2463" t="s">
        <v>3343</v>
      </c>
      <c r="O2463" t="s">
        <v>3344</v>
      </c>
      <c r="P2463" t="s">
        <v>6259</v>
      </c>
      <c r="Q2463" t="s">
        <v>6260</v>
      </c>
      <c r="R2463" t="s">
        <v>9311</v>
      </c>
    </row>
    <row r="2464" spans="1:18" x14ac:dyDescent="0.2">
      <c r="A2464">
        <v>2035216</v>
      </c>
      <c r="B2464" t="s">
        <v>9312</v>
      </c>
      <c r="C2464">
        <v>0</v>
      </c>
      <c r="D2464">
        <v>0</v>
      </c>
      <c r="E2464">
        <v>0</v>
      </c>
      <c r="F2464">
        <v>3</v>
      </c>
      <c r="G2464">
        <v>5</v>
      </c>
      <c r="H2464">
        <v>1</v>
      </c>
      <c r="I2464">
        <v>18</v>
      </c>
      <c r="J2464">
        <v>10</v>
      </c>
      <c r="K2464">
        <v>18</v>
      </c>
      <c r="L2464" t="s">
        <v>3284</v>
      </c>
      <c r="M2464" t="s">
        <v>3296</v>
      </c>
      <c r="N2464" t="s">
        <v>3321</v>
      </c>
      <c r="O2464" t="s">
        <v>3322</v>
      </c>
      <c r="P2464" t="s">
        <v>3398</v>
      </c>
      <c r="Q2464" t="s">
        <v>3439</v>
      </c>
      <c r="R2464" t="s">
        <v>9313</v>
      </c>
    </row>
    <row r="2465" spans="1:18" x14ac:dyDescent="0.2">
      <c r="A2465">
        <v>2035214</v>
      </c>
      <c r="B2465" t="s">
        <v>9314</v>
      </c>
      <c r="C2465">
        <v>0</v>
      </c>
      <c r="D2465">
        <v>1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 t="s">
        <v>3284</v>
      </c>
      <c r="M2465" t="s">
        <v>3391</v>
      </c>
      <c r="N2465" t="s">
        <v>3411</v>
      </c>
      <c r="O2465" t="s">
        <v>3412</v>
      </c>
      <c r="P2465" t="s">
        <v>3564</v>
      </c>
      <c r="Q2465" t="s">
        <v>3803</v>
      </c>
      <c r="R2465" t="s">
        <v>9315</v>
      </c>
    </row>
    <row r="2466" spans="1:18" x14ac:dyDescent="0.2">
      <c r="A2466">
        <v>2035205</v>
      </c>
      <c r="B2466" t="s">
        <v>9316</v>
      </c>
      <c r="C2466">
        <v>0</v>
      </c>
      <c r="D2466">
        <v>1</v>
      </c>
      <c r="E2466">
        <v>1</v>
      </c>
      <c r="F2466">
        <v>0</v>
      </c>
      <c r="G2466">
        <v>0</v>
      </c>
      <c r="H2466">
        <v>0</v>
      </c>
      <c r="I2466">
        <v>2</v>
      </c>
      <c r="J2466">
        <v>0</v>
      </c>
      <c r="K2466">
        <v>0</v>
      </c>
      <c r="L2466" t="s">
        <v>3284</v>
      </c>
      <c r="M2466" t="s">
        <v>3296</v>
      </c>
      <c r="N2466" t="s">
        <v>3321</v>
      </c>
      <c r="O2466" t="s">
        <v>3322</v>
      </c>
      <c r="P2466" t="s">
        <v>3398</v>
      </c>
      <c r="Q2466" t="s">
        <v>3556</v>
      </c>
      <c r="R2466" t="s">
        <v>9317</v>
      </c>
    </row>
    <row r="2467" spans="1:18" x14ac:dyDescent="0.2">
      <c r="A2467">
        <v>2035203</v>
      </c>
      <c r="B2467" t="s">
        <v>9318</v>
      </c>
      <c r="C2467">
        <v>2</v>
      </c>
      <c r="D2467">
        <v>5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 t="s">
        <v>3284</v>
      </c>
      <c r="M2467" t="s">
        <v>3296</v>
      </c>
      <c r="N2467" t="s">
        <v>3321</v>
      </c>
      <c r="O2467" t="s">
        <v>3322</v>
      </c>
      <c r="P2467" t="s">
        <v>3398</v>
      </c>
      <c r="Q2467" t="s">
        <v>3556</v>
      </c>
      <c r="R2467" t="s">
        <v>9319</v>
      </c>
    </row>
    <row r="2468" spans="1:18" x14ac:dyDescent="0.2">
      <c r="A2468">
        <v>2035202</v>
      </c>
      <c r="B2468" t="s">
        <v>9320</v>
      </c>
      <c r="C2468">
        <v>0</v>
      </c>
      <c r="D2468">
        <v>1</v>
      </c>
      <c r="E2468">
        <v>0</v>
      </c>
      <c r="F2468">
        <v>1</v>
      </c>
      <c r="G2468">
        <v>0</v>
      </c>
      <c r="H2468">
        <v>0</v>
      </c>
      <c r="I2468">
        <v>0</v>
      </c>
      <c r="J2468">
        <v>0</v>
      </c>
      <c r="K2468">
        <v>0</v>
      </c>
      <c r="L2468" t="s">
        <v>3284</v>
      </c>
      <c r="M2468" t="s">
        <v>3296</v>
      </c>
      <c r="N2468" t="s">
        <v>3321</v>
      </c>
      <c r="O2468" t="s">
        <v>3322</v>
      </c>
      <c r="P2468" t="s">
        <v>3398</v>
      </c>
      <c r="Q2468" t="s">
        <v>3556</v>
      </c>
      <c r="R2468" t="s">
        <v>9321</v>
      </c>
    </row>
    <row r="2469" spans="1:18" x14ac:dyDescent="0.2">
      <c r="A2469">
        <v>2035201</v>
      </c>
      <c r="B2469" t="s">
        <v>9322</v>
      </c>
      <c r="C2469">
        <v>1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 t="s">
        <v>3284</v>
      </c>
      <c r="M2469" t="s">
        <v>3296</v>
      </c>
      <c r="N2469" t="s">
        <v>3321</v>
      </c>
      <c r="O2469" t="s">
        <v>3322</v>
      </c>
      <c r="P2469" t="s">
        <v>3398</v>
      </c>
      <c r="Q2469" t="s">
        <v>3806</v>
      </c>
      <c r="R2469" t="s">
        <v>9323</v>
      </c>
    </row>
    <row r="2470" spans="1:18" x14ac:dyDescent="0.2">
      <c r="A2470">
        <v>2035199</v>
      </c>
      <c r="B2470" t="s">
        <v>9324</v>
      </c>
      <c r="C2470">
        <v>0</v>
      </c>
      <c r="D2470">
        <v>0</v>
      </c>
      <c r="E2470">
        <v>0</v>
      </c>
      <c r="F2470">
        <v>0</v>
      </c>
      <c r="G2470">
        <v>1</v>
      </c>
      <c r="H2470">
        <v>0</v>
      </c>
      <c r="I2470">
        <v>0</v>
      </c>
      <c r="J2470">
        <v>0</v>
      </c>
      <c r="K2470">
        <v>0</v>
      </c>
      <c r="L2470" t="s">
        <v>3284</v>
      </c>
      <c r="M2470" t="s">
        <v>3391</v>
      </c>
      <c r="N2470" t="s">
        <v>3411</v>
      </c>
      <c r="O2470" t="s">
        <v>3412</v>
      </c>
      <c r="P2470" t="s">
        <v>3413</v>
      </c>
      <c r="Q2470" t="s">
        <v>3414</v>
      </c>
      <c r="R2470" t="s">
        <v>9325</v>
      </c>
    </row>
    <row r="2471" spans="1:18" x14ac:dyDescent="0.2">
      <c r="A2471">
        <v>2034520</v>
      </c>
      <c r="B2471" t="s">
        <v>9326</v>
      </c>
      <c r="C2471">
        <v>0</v>
      </c>
      <c r="D2471">
        <v>0</v>
      </c>
      <c r="E2471">
        <v>1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 t="s">
        <v>3284</v>
      </c>
      <c r="M2471" t="s">
        <v>3391</v>
      </c>
      <c r="N2471" t="s">
        <v>3411</v>
      </c>
      <c r="O2471" t="s">
        <v>3412</v>
      </c>
      <c r="P2471" t="s">
        <v>3413</v>
      </c>
      <c r="Q2471" t="s">
        <v>9327</v>
      </c>
      <c r="R2471" t="s">
        <v>9328</v>
      </c>
    </row>
    <row r="2472" spans="1:18" x14ac:dyDescent="0.2">
      <c r="A2472">
        <v>2034155</v>
      </c>
      <c r="B2472" t="s">
        <v>9329</v>
      </c>
      <c r="C2472">
        <v>2</v>
      </c>
      <c r="D2472">
        <v>3</v>
      </c>
      <c r="E2472">
        <v>7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 t="s">
        <v>3284</v>
      </c>
      <c r="M2472" t="s">
        <v>3296</v>
      </c>
      <c r="N2472" t="s">
        <v>3297</v>
      </c>
      <c r="O2472" t="s">
        <v>3298</v>
      </c>
      <c r="P2472" t="s">
        <v>3299</v>
      </c>
      <c r="Q2472" t="s">
        <v>3300</v>
      </c>
      <c r="R2472" t="s">
        <v>9330</v>
      </c>
    </row>
    <row r="2473" spans="1:18" x14ac:dyDescent="0.2">
      <c r="A2473">
        <v>2033642</v>
      </c>
      <c r="B2473" t="s">
        <v>9331</v>
      </c>
      <c r="C2473">
        <v>3</v>
      </c>
      <c r="D2473">
        <v>2</v>
      </c>
      <c r="E2473">
        <v>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 t="s">
        <v>3284</v>
      </c>
      <c r="M2473" t="s">
        <v>3327</v>
      </c>
      <c r="N2473" t="s">
        <v>3328</v>
      </c>
      <c r="O2473" t="s">
        <v>4017</v>
      </c>
      <c r="P2473" t="s">
        <v>4018</v>
      </c>
      <c r="Q2473" t="s">
        <v>9332</v>
      </c>
      <c r="R2473" t="s">
        <v>9333</v>
      </c>
    </row>
    <row r="2474" spans="1:18" x14ac:dyDescent="0.2">
      <c r="A2474">
        <v>2033640</v>
      </c>
      <c r="B2474" t="s">
        <v>9334</v>
      </c>
      <c r="C2474">
        <v>0</v>
      </c>
      <c r="D2474">
        <v>1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 t="s">
        <v>3284</v>
      </c>
      <c r="M2474" t="s">
        <v>3327</v>
      </c>
      <c r="N2474" t="s">
        <v>3328</v>
      </c>
      <c r="O2474" t="s">
        <v>4017</v>
      </c>
      <c r="P2474" t="s">
        <v>4018</v>
      </c>
      <c r="Q2474" t="s">
        <v>9332</v>
      </c>
      <c r="R2474" t="s">
        <v>9335</v>
      </c>
    </row>
    <row r="2475" spans="1:18" x14ac:dyDescent="0.2">
      <c r="A2475">
        <v>2033508</v>
      </c>
      <c r="B2475" t="s">
        <v>9336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1</v>
      </c>
      <c r="J2475">
        <v>0</v>
      </c>
      <c r="K2475">
        <v>0</v>
      </c>
      <c r="L2475" t="s">
        <v>3284</v>
      </c>
      <c r="M2475" t="s">
        <v>3327</v>
      </c>
      <c r="N2475" t="s">
        <v>3376</v>
      </c>
      <c r="O2475" t="s">
        <v>3377</v>
      </c>
      <c r="P2475" t="s">
        <v>3378</v>
      </c>
      <c r="Q2475" t="s">
        <v>3379</v>
      </c>
      <c r="R2475" t="s">
        <v>9337</v>
      </c>
    </row>
    <row r="2476" spans="1:18" x14ac:dyDescent="0.2">
      <c r="A2476">
        <v>2033016</v>
      </c>
      <c r="B2476" t="s">
        <v>9338</v>
      </c>
      <c r="C2476">
        <v>0</v>
      </c>
      <c r="D2476">
        <v>0</v>
      </c>
      <c r="E2476">
        <v>0</v>
      </c>
      <c r="F2476">
        <v>1</v>
      </c>
      <c r="G2476">
        <v>1</v>
      </c>
      <c r="H2476">
        <v>0</v>
      </c>
      <c r="I2476">
        <v>0</v>
      </c>
      <c r="J2476">
        <v>0</v>
      </c>
      <c r="K2476">
        <v>0</v>
      </c>
      <c r="L2476" t="s">
        <v>3284</v>
      </c>
      <c r="M2476" t="s">
        <v>3296</v>
      </c>
      <c r="N2476" t="s">
        <v>3297</v>
      </c>
      <c r="O2476" t="s">
        <v>9339</v>
      </c>
      <c r="P2476" t="s">
        <v>9340</v>
      </c>
      <c r="Q2476" t="s">
        <v>9341</v>
      </c>
      <c r="R2476" t="s">
        <v>9342</v>
      </c>
    </row>
    <row r="2477" spans="1:18" x14ac:dyDescent="0.2">
      <c r="A2477">
        <v>2030822</v>
      </c>
      <c r="B2477" t="s">
        <v>9343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1</v>
      </c>
      <c r="J2477">
        <v>0</v>
      </c>
      <c r="K2477">
        <v>0</v>
      </c>
      <c r="L2477" t="s">
        <v>3284</v>
      </c>
      <c r="M2477" t="s">
        <v>3296</v>
      </c>
      <c r="N2477" t="s">
        <v>3297</v>
      </c>
      <c r="O2477" t="s">
        <v>4500</v>
      </c>
      <c r="P2477" t="s">
        <v>5719</v>
      </c>
      <c r="Q2477" t="s">
        <v>7945</v>
      </c>
      <c r="R2477" t="s">
        <v>9344</v>
      </c>
    </row>
    <row r="2478" spans="1:18" x14ac:dyDescent="0.2">
      <c r="A2478">
        <v>2029855</v>
      </c>
      <c r="B2478" t="s">
        <v>9345</v>
      </c>
      <c r="C2478">
        <v>1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47</v>
      </c>
      <c r="J2478">
        <v>31</v>
      </c>
      <c r="K2478">
        <v>6</v>
      </c>
      <c r="L2478" t="s">
        <v>3284</v>
      </c>
      <c r="M2478" t="s">
        <v>3296</v>
      </c>
      <c r="N2478" t="s">
        <v>3321</v>
      </c>
      <c r="O2478" t="s">
        <v>3322</v>
      </c>
      <c r="P2478" t="s">
        <v>3423</v>
      </c>
      <c r="Q2478" t="s">
        <v>4394</v>
      </c>
      <c r="R2478" t="s">
        <v>9346</v>
      </c>
    </row>
    <row r="2479" spans="1:18" x14ac:dyDescent="0.2">
      <c r="A2479">
        <v>2029411</v>
      </c>
      <c r="B2479" t="s">
        <v>9347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1</v>
      </c>
      <c r="J2479">
        <v>0</v>
      </c>
      <c r="K2479">
        <v>0</v>
      </c>
      <c r="L2479" t="s">
        <v>3284</v>
      </c>
      <c r="M2479" t="s">
        <v>3296</v>
      </c>
      <c r="N2479" t="s">
        <v>3343</v>
      </c>
      <c r="O2479" t="s">
        <v>3344</v>
      </c>
      <c r="P2479" t="s">
        <v>3898</v>
      </c>
      <c r="Q2479" t="s">
        <v>3899</v>
      </c>
      <c r="R2479" t="s">
        <v>9348</v>
      </c>
    </row>
    <row r="2480" spans="1:18" x14ac:dyDescent="0.2">
      <c r="A2480">
        <v>2029117</v>
      </c>
      <c r="B2480" t="s">
        <v>9349</v>
      </c>
      <c r="C2480">
        <v>0</v>
      </c>
      <c r="D2480">
        <v>1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 t="s">
        <v>3284</v>
      </c>
      <c r="M2480" t="s">
        <v>3296</v>
      </c>
      <c r="N2480" t="s">
        <v>3321</v>
      </c>
      <c r="O2480" t="s">
        <v>3322</v>
      </c>
      <c r="P2480" t="s">
        <v>3398</v>
      </c>
      <c r="Q2480" t="s">
        <v>9350</v>
      </c>
      <c r="R2480" t="s">
        <v>9351</v>
      </c>
    </row>
    <row r="2481" spans="1:18" x14ac:dyDescent="0.2">
      <c r="A2481">
        <v>2028282</v>
      </c>
      <c r="B2481" t="s">
        <v>9352</v>
      </c>
      <c r="C2481">
        <v>0</v>
      </c>
      <c r="D2481">
        <v>2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 t="s">
        <v>3284</v>
      </c>
      <c r="M2481" t="s">
        <v>3327</v>
      </c>
      <c r="N2481" t="s">
        <v>3328</v>
      </c>
      <c r="O2481" t="s">
        <v>4017</v>
      </c>
      <c r="P2481" t="s">
        <v>4018</v>
      </c>
      <c r="Q2481" t="s">
        <v>9353</v>
      </c>
      <c r="R2481" t="s">
        <v>9354</v>
      </c>
    </row>
    <row r="2482" spans="1:18" x14ac:dyDescent="0.2">
      <c r="A2482">
        <v>2027920</v>
      </c>
      <c r="B2482" t="s">
        <v>9355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1</v>
      </c>
      <c r="K2482">
        <v>0</v>
      </c>
      <c r="L2482" t="s">
        <v>3284</v>
      </c>
      <c r="M2482" t="s">
        <v>3296</v>
      </c>
      <c r="N2482" t="s">
        <v>3343</v>
      </c>
      <c r="O2482" t="s">
        <v>3861</v>
      </c>
      <c r="P2482" t="s">
        <v>9356</v>
      </c>
      <c r="Q2482" t="s">
        <v>9357</v>
      </c>
      <c r="R2482" t="s">
        <v>9358</v>
      </c>
    </row>
    <row r="2483" spans="1:18" x14ac:dyDescent="0.2">
      <c r="A2483">
        <v>2027878</v>
      </c>
      <c r="B2483" t="s">
        <v>9359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1</v>
      </c>
      <c r="J2483">
        <v>1</v>
      </c>
      <c r="K2483">
        <v>0</v>
      </c>
      <c r="L2483" t="s">
        <v>3284</v>
      </c>
      <c r="M2483" t="s">
        <v>3391</v>
      </c>
      <c r="N2483" t="s">
        <v>3740</v>
      </c>
      <c r="O2483" t="s">
        <v>3741</v>
      </c>
      <c r="P2483" t="s">
        <v>3853</v>
      </c>
      <c r="Q2483" t="s">
        <v>3854</v>
      </c>
      <c r="R2483" t="s">
        <v>9360</v>
      </c>
    </row>
    <row r="2484" spans="1:18" x14ac:dyDescent="0.2">
      <c r="A2484">
        <v>2027861</v>
      </c>
      <c r="B2484" t="s">
        <v>9361</v>
      </c>
      <c r="C2484">
        <v>0</v>
      </c>
      <c r="D2484">
        <v>0</v>
      </c>
      <c r="E2484">
        <v>0</v>
      </c>
      <c r="F2484">
        <v>0</v>
      </c>
      <c r="G2484">
        <v>1</v>
      </c>
      <c r="H2484">
        <v>0</v>
      </c>
      <c r="I2484">
        <v>0</v>
      </c>
      <c r="J2484">
        <v>0</v>
      </c>
      <c r="K2484">
        <v>0</v>
      </c>
      <c r="L2484" t="s">
        <v>3284</v>
      </c>
      <c r="M2484" t="s">
        <v>6718</v>
      </c>
      <c r="N2484" t="s">
        <v>9362</v>
      </c>
      <c r="O2484" t="s">
        <v>9363</v>
      </c>
      <c r="P2484" t="s">
        <v>9364</v>
      </c>
      <c r="Q2484" t="s">
        <v>9365</v>
      </c>
      <c r="R2484" t="s">
        <v>9366</v>
      </c>
    </row>
    <row r="2485" spans="1:18" x14ac:dyDescent="0.2">
      <c r="A2485">
        <v>2027860</v>
      </c>
      <c r="B2485" t="s">
        <v>9367</v>
      </c>
      <c r="C2485">
        <v>0</v>
      </c>
      <c r="D2485">
        <v>0</v>
      </c>
      <c r="E2485">
        <v>0</v>
      </c>
      <c r="F2485">
        <v>0</v>
      </c>
      <c r="G2485">
        <v>1</v>
      </c>
      <c r="H2485">
        <v>0</v>
      </c>
      <c r="I2485">
        <v>0</v>
      </c>
      <c r="J2485">
        <v>0</v>
      </c>
      <c r="K2485">
        <v>0</v>
      </c>
      <c r="L2485" t="s">
        <v>3284</v>
      </c>
      <c r="M2485" t="s">
        <v>3391</v>
      </c>
      <c r="N2485" t="s">
        <v>3392</v>
      </c>
      <c r="O2485" t="s">
        <v>3393</v>
      </c>
      <c r="P2485" t="s">
        <v>3394</v>
      </c>
      <c r="Q2485" t="s">
        <v>4082</v>
      </c>
      <c r="R2485" t="s">
        <v>9368</v>
      </c>
    </row>
    <row r="2486" spans="1:18" x14ac:dyDescent="0.2">
      <c r="A2486">
        <v>2027858</v>
      </c>
      <c r="B2486" t="s">
        <v>9369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1</v>
      </c>
      <c r="J2486">
        <v>0</v>
      </c>
      <c r="K2486">
        <v>1</v>
      </c>
      <c r="L2486" t="s">
        <v>3284</v>
      </c>
      <c r="M2486" t="s">
        <v>3296</v>
      </c>
      <c r="N2486" t="s">
        <v>3343</v>
      </c>
      <c r="O2486" t="s">
        <v>3344</v>
      </c>
      <c r="P2486" t="s">
        <v>4347</v>
      </c>
      <c r="Q2486" t="s">
        <v>6412</v>
      </c>
      <c r="R2486" t="s">
        <v>9370</v>
      </c>
    </row>
    <row r="2487" spans="1:18" x14ac:dyDescent="0.2">
      <c r="A2487">
        <v>2026681</v>
      </c>
      <c r="B2487" t="s">
        <v>9371</v>
      </c>
      <c r="C2487">
        <v>0</v>
      </c>
      <c r="D2487">
        <v>0</v>
      </c>
      <c r="E2487">
        <v>0</v>
      </c>
      <c r="F2487">
        <v>1</v>
      </c>
      <c r="G2487">
        <v>2</v>
      </c>
      <c r="H2487">
        <v>0</v>
      </c>
      <c r="I2487">
        <v>0</v>
      </c>
      <c r="J2487">
        <v>0</v>
      </c>
      <c r="K2487">
        <v>0</v>
      </c>
      <c r="L2487" t="s">
        <v>3284</v>
      </c>
      <c r="M2487" t="s">
        <v>3391</v>
      </c>
      <c r="N2487" t="s">
        <v>3411</v>
      </c>
      <c r="O2487" t="s">
        <v>3412</v>
      </c>
      <c r="P2487" t="s">
        <v>3413</v>
      </c>
      <c r="Q2487" t="s">
        <v>3414</v>
      </c>
      <c r="R2487" t="s">
        <v>9372</v>
      </c>
    </row>
    <row r="2488" spans="1:18" x14ac:dyDescent="0.2">
      <c r="A2488">
        <v>2026353</v>
      </c>
      <c r="B2488" t="s">
        <v>9373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1</v>
      </c>
      <c r="J2488">
        <v>0</v>
      </c>
      <c r="K2488">
        <v>0</v>
      </c>
      <c r="L2488" t="s">
        <v>3284</v>
      </c>
      <c r="M2488" t="s">
        <v>3307</v>
      </c>
      <c r="N2488" t="s">
        <v>3308</v>
      </c>
      <c r="O2488" t="s">
        <v>8932</v>
      </c>
      <c r="P2488" t="s">
        <v>8933</v>
      </c>
      <c r="Q2488" t="s">
        <v>9374</v>
      </c>
      <c r="R2488" t="s">
        <v>9375</v>
      </c>
    </row>
    <row r="2489" spans="1:18" x14ac:dyDescent="0.2">
      <c r="A2489">
        <v>2026350</v>
      </c>
      <c r="B2489" t="s">
        <v>9376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1</v>
      </c>
      <c r="K2489">
        <v>0</v>
      </c>
      <c r="L2489" t="s">
        <v>3284</v>
      </c>
      <c r="M2489" t="s">
        <v>3296</v>
      </c>
      <c r="N2489" t="s">
        <v>3343</v>
      </c>
      <c r="O2489" t="s">
        <v>3344</v>
      </c>
      <c r="P2489" t="s">
        <v>6089</v>
      </c>
      <c r="Q2489" t="s">
        <v>7253</v>
      </c>
      <c r="R2489" t="s">
        <v>9377</v>
      </c>
    </row>
    <row r="2490" spans="1:18" x14ac:dyDescent="0.2">
      <c r="A2490">
        <v>2026199</v>
      </c>
      <c r="B2490" t="s">
        <v>9378</v>
      </c>
      <c r="C2490">
        <v>0</v>
      </c>
      <c r="D2490">
        <v>0</v>
      </c>
      <c r="E2490">
        <v>0</v>
      </c>
      <c r="F2490">
        <v>1</v>
      </c>
      <c r="G2490">
        <v>0</v>
      </c>
      <c r="H2490">
        <v>0</v>
      </c>
      <c r="I2490">
        <v>0</v>
      </c>
      <c r="J2490">
        <v>0</v>
      </c>
      <c r="K2490">
        <v>0</v>
      </c>
      <c r="L2490" t="s">
        <v>3284</v>
      </c>
      <c r="M2490" t="s">
        <v>3296</v>
      </c>
      <c r="N2490" t="s">
        <v>3321</v>
      </c>
      <c r="O2490" t="s">
        <v>3322</v>
      </c>
      <c r="P2490" t="s">
        <v>3423</v>
      </c>
      <c r="Q2490" t="s">
        <v>4357</v>
      </c>
      <c r="R2490" t="s">
        <v>9379</v>
      </c>
    </row>
    <row r="2491" spans="1:18" x14ac:dyDescent="0.2">
      <c r="A2491">
        <v>2026194</v>
      </c>
      <c r="B2491" t="s">
        <v>9380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5</v>
      </c>
      <c r="J2491">
        <v>0</v>
      </c>
      <c r="K2491">
        <v>2</v>
      </c>
      <c r="L2491" t="s">
        <v>3284</v>
      </c>
      <c r="M2491" t="s">
        <v>3327</v>
      </c>
      <c r="N2491" t="s">
        <v>3376</v>
      </c>
      <c r="O2491" t="s">
        <v>3377</v>
      </c>
      <c r="P2491" t="s">
        <v>3378</v>
      </c>
      <c r="Q2491" t="s">
        <v>3379</v>
      </c>
      <c r="R2491" t="s">
        <v>9381</v>
      </c>
    </row>
    <row r="2492" spans="1:18" x14ac:dyDescent="0.2">
      <c r="A2492">
        <v>2026193</v>
      </c>
      <c r="B2492" t="s">
        <v>9382</v>
      </c>
      <c r="C2492">
        <v>1</v>
      </c>
      <c r="D2492">
        <v>1</v>
      </c>
      <c r="E2492">
        <v>2</v>
      </c>
      <c r="F2492">
        <v>0</v>
      </c>
      <c r="G2492">
        <v>0</v>
      </c>
      <c r="H2492">
        <v>0</v>
      </c>
      <c r="I2492">
        <v>2</v>
      </c>
      <c r="J2492">
        <v>0</v>
      </c>
      <c r="K2492">
        <v>1</v>
      </c>
      <c r="L2492" t="s">
        <v>3284</v>
      </c>
      <c r="M2492" t="s">
        <v>3327</v>
      </c>
      <c r="N2492" t="s">
        <v>3376</v>
      </c>
      <c r="O2492" t="s">
        <v>3377</v>
      </c>
      <c r="P2492" t="s">
        <v>3378</v>
      </c>
      <c r="Q2492" t="s">
        <v>3379</v>
      </c>
      <c r="R2492" t="s">
        <v>9383</v>
      </c>
    </row>
    <row r="2493" spans="1:18" x14ac:dyDescent="0.2">
      <c r="A2493">
        <v>2026191</v>
      </c>
      <c r="B2493" t="s">
        <v>9384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3</v>
      </c>
      <c r="J2493">
        <v>2</v>
      </c>
      <c r="K2493">
        <v>0</v>
      </c>
      <c r="L2493" t="s">
        <v>3284</v>
      </c>
      <c r="M2493" t="s">
        <v>3327</v>
      </c>
      <c r="N2493" t="s">
        <v>3376</v>
      </c>
      <c r="O2493" t="s">
        <v>3377</v>
      </c>
      <c r="P2493" t="s">
        <v>3378</v>
      </c>
      <c r="Q2493" t="s">
        <v>3379</v>
      </c>
      <c r="R2493" t="s">
        <v>9385</v>
      </c>
    </row>
    <row r="2494" spans="1:18" x14ac:dyDescent="0.2">
      <c r="A2494">
        <v>2026190</v>
      </c>
      <c r="B2494" t="s">
        <v>9386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16</v>
      </c>
      <c r="J2494">
        <v>4</v>
      </c>
      <c r="K2494">
        <v>9</v>
      </c>
      <c r="L2494" t="s">
        <v>3284</v>
      </c>
      <c r="M2494" t="s">
        <v>3327</v>
      </c>
      <c r="N2494" t="s">
        <v>3376</v>
      </c>
      <c r="O2494" t="s">
        <v>3377</v>
      </c>
      <c r="P2494" t="s">
        <v>3378</v>
      </c>
      <c r="Q2494" t="s">
        <v>3379</v>
      </c>
      <c r="R2494" t="s">
        <v>9387</v>
      </c>
    </row>
    <row r="2495" spans="1:18" x14ac:dyDescent="0.2">
      <c r="A2495">
        <v>2026189</v>
      </c>
      <c r="B2495" t="s">
        <v>9388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3</v>
      </c>
      <c r="J2495">
        <v>3</v>
      </c>
      <c r="K2495">
        <v>3</v>
      </c>
      <c r="L2495" t="s">
        <v>3284</v>
      </c>
      <c r="M2495" t="s">
        <v>3327</v>
      </c>
      <c r="N2495" t="s">
        <v>3376</v>
      </c>
      <c r="O2495" t="s">
        <v>3377</v>
      </c>
      <c r="P2495" t="s">
        <v>3378</v>
      </c>
      <c r="Q2495" t="s">
        <v>3379</v>
      </c>
      <c r="R2495" t="s">
        <v>9389</v>
      </c>
    </row>
    <row r="2496" spans="1:18" x14ac:dyDescent="0.2">
      <c r="A2496">
        <v>2026188</v>
      </c>
      <c r="B2496" t="s">
        <v>9390</v>
      </c>
      <c r="C2496">
        <v>2</v>
      </c>
      <c r="D2496">
        <v>1</v>
      </c>
      <c r="E2496">
        <v>3</v>
      </c>
      <c r="F2496">
        <v>0</v>
      </c>
      <c r="G2496">
        <v>0</v>
      </c>
      <c r="H2496">
        <v>0</v>
      </c>
      <c r="I2496">
        <v>11</v>
      </c>
      <c r="J2496">
        <v>7</v>
      </c>
      <c r="K2496">
        <v>17</v>
      </c>
      <c r="L2496" t="s">
        <v>3284</v>
      </c>
      <c r="M2496" t="s">
        <v>3327</v>
      </c>
      <c r="N2496" t="s">
        <v>3376</v>
      </c>
      <c r="O2496" t="s">
        <v>3377</v>
      </c>
      <c r="P2496" t="s">
        <v>3378</v>
      </c>
      <c r="Q2496" t="s">
        <v>3379</v>
      </c>
      <c r="R2496" t="s">
        <v>9391</v>
      </c>
    </row>
    <row r="2497" spans="1:18" x14ac:dyDescent="0.2">
      <c r="A2497">
        <v>2026187</v>
      </c>
      <c r="B2497" t="s">
        <v>9392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4</v>
      </c>
      <c r="J2497">
        <v>1</v>
      </c>
      <c r="K2497">
        <v>2</v>
      </c>
      <c r="L2497" t="s">
        <v>3284</v>
      </c>
      <c r="M2497" t="s">
        <v>3327</v>
      </c>
      <c r="N2497" t="s">
        <v>3376</v>
      </c>
      <c r="O2497" t="s">
        <v>3377</v>
      </c>
      <c r="P2497" t="s">
        <v>3378</v>
      </c>
      <c r="Q2497" t="s">
        <v>3379</v>
      </c>
      <c r="R2497" t="s">
        <v>9393</v>
      </c>
    </row>
    <row r="2498" spans="1:18" x14ac:dyDescent="0.2">
      <c r="A2498">
        <v>2026186</v>
      </c>
      <c r="B2498" t="s">
        <v>9394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7</v>
      </c>
      <c r="J2498">
        <v>6</v>
      </c>
      <c r="K2498">
        <v>2</v>
      </c>
      <c r="L2498" t="s">
        <v>3284</v>
      </c>
      <c r="M2498" t="s">
        <v>3327</v>
      </c>
      <c r="N2498" t="s">
        <v>3376</v>
      </c>
      <c r="O2498" t="s">
        <v>3377</v>
      </c>
      <c r="P2498" t="s">
        <v>3378</v>
      </c>
      <c r="Q2498" t="s">
        <v>3379</v>
      </c>
      <c r="R2498" t="s">
        <v>9395</v>
      </c>
    </row>
    <row r="2499" spans="1:18" x14ac:dyDescent="0.2">
      <c r="A2499">
        <v>2025949</v>
      </c>
      <c r="B2499" t="s">
        <v>9396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1</v>
      </c>
      <c r="J2499">
        <v>2</v>
      </c>
      <c r="K2499">
        <v>0</v>
      </c>
      <c r="L2499" t="s">
        <v>3284</v>
      </c>
      <c r="M2499" t="s">
        <v>3296</v>
      </c>
      <c r="N2499" t="s">
        <v>3321</v>
      </c>
      <c r="O2499" t="s">
        <v>3322</v>
      </c>
      <c r="P2499" t="s">
        <v>3323</v>
      </c>
      <c r="Q2499" t="s">
        <v>3518</v>
      </c>
      <c r="R2499" t="s">
        <v>9397</v>
      </c>
    </row>
    <row r="2500" spans="1:18" x14ac:dyDescent="0.2">
      <c r="A2500">
        <v>2025349</v>
      </c>
      <c r="B2500" t="s">
        <v>9398</v>
      </c>
      <c r="C2500">
        <v>0</v>
      </c>
      <c r="D2500">
        <v>0</v>
      </c>
      <c r="E2500">
        <v>0</v>
      </c>
      <c r="F2500">
        <v>7</v>
      </c>
      <c r="G2500">
        <v>3</v>
      </c>
      <c r="H2500">
        <v>0</v>
      </c>
      <c r="I2500">
        <v>1</v>
      </c>
      <c r="J2500">
        <v>0</v>
      </c>
      <c r="K2500">
        <v>0</v>
      </c>
      <c r="L2500" t="s">
        <v>3284</v>
      </c>
      <c r="M2500" t="s">
        <v>3296</v>
      </c>
      <c r="N2500" t="s">
        <v>3343</v>
      </c>
      <c r="O2500" t="s">
        <v>3349</v>
      </c>
      <c r="P2500" t="s">
        <v>3350</v>
      </c>
      <c r="Q2500" t="s">
        <v>3351</v>
      </c>
      <c r="R2500" t="s">
        <v>9399</v>
      </c>
    </row>
    <row r="2501" spans="1:18" x14ac:dyDescent="0.2">
      <c r="A2501">
        <v>2024851</v>
      </c>
      <c r="B2501" t="s">
        <v>9400</v>
      </c>
      <c r="C2501">
        <v>1</v>
      </c>
      <c r="D2501">
        <v>1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 t="s">
        <v>3284</v>
      </c>
      <c r="M2501" t="s">
        <v>3296</v>
      </c>
      <c r="N2501" t="s">
        <v>3343</v>
      </c>
      <c r="O2501" t="s">
        <v>3371</v>
      </c>
      <c r="P2501" t="s">
        <v>3688</v>
      </c>
      <c r="Q2501" t="s">
        <v>9401</v>
      </c>
      <c r="R2501" t="s">
        <v>9402</v>
      </c>
    </row>
    <row r="2502" spans="1:18" x14ac:dyDescent="0.2">
      <c r="A2502">
        <v>2024848</v>
      </c>
      <c r="B2502" t="s">
        <v>9403</v>
      </c>
      <c r="C2502">
        <v>0</v>
      </c>
      <c r="D2502">
        <v>0</v>
      </c>
      <c r="E2502">
        <v>1</v>
      </c>
      <c r="F2502">
        <v>0</v>
      </c>
      <c r="G2502">
        <v>0</v>
      </c>
      <c r="H2502">
        <v>0</v>
      </c>
      <c r="I2502">
        <v>0</v>
      </c>
      <c r="J2502">
        <v>1</v>
      </c>
      <c r="K2502">
        <v>0</v>
      </c>
      <c r="L2502" t="s">
        <v>3284</v>
      </c>
      <c r="M2502" t="s">
        <v>3296</v>
      </c>
      <c r="N2502" t="s">
        <v>3343</v>
      </c>
      <c r="O2502" t="s">
        <v>3344</v>
      </c>
      <c r="P2502" t="s">
        <v>9404</v>
      </c>
      <c r="Q2502" t="s">
        <v>9405</v>
      </c>
      <c r="R2502" t="s">
        <v>9406</v>
      </c>
    </row>
    <row r="2503" spans="1:18" x14ac:dyDescent="0.2">
      <c r="A2503">
        <v>2024697</v>
      </c>
      <c r="B2503" t="s">
        <v>9407</v>
      </c>
      <c r="C2503">
        <v>0</v>
      </c>
      <c r="D2503">
        <v>0</v>
      </c>
      <c r="E2503">
        <v>0</v>
      </c>
      <c r="F2503">
        <v>2</v>
      </c>
      <c r="G2503">
        <v>0</v>
      </c>
      <c r="H2503">
        <v>0</v>
      </c>
      <c r="I2503">
        <v>0</v>
      </c>
      <c r="J2503">
        <v>0</v>
      </c>
      <c r="K2503">
        <v>0</v>
      </c>
      <c r="L2503" t="s">
        <v>3284</v>
      </c>
      <c r="M2503" t="s">
        <v>3391</v>
      </c>
      <c r="N2503" t="s">
        <v>4129</v>
      </c>
      <c r="O2503" t="s">
        <v>4130</v>
      </c>
      <c r="P2503" t="s">
        <v>4131</v>
      </c>
      <c r="Q2503" t="s">
        <v>9408</v>
      </c>
      <c r="R2503" t="s">
        <v>9409</v>
      </c>
    </row>
    <row r="2504" spans="1:18" x14ac:dyDescent="0.2">
      <c r="A2504">
        <v>2024615</v>
      </c>
      <c r="B2504" t="s">
        <v>9410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1</v>
      </c>
      <c r="J2504">
        <v>0</v>
      </c>
      <c r="K2504">
        <v>0</v>
      </c>
      <c r="L2504" t="s">
        <v>3284</v>
      </c>
      <c r="M2504" t="s">
        <v>3307</v>
      </c>
      <c r="N2504" t="s">
        <v>3308</v>
      </c>
      <c r="O2504" t="s">
        <v>3635</v>
      </c>
      <c r="P2504" t="s">
        <v>4011</v>
      </c>
      <c r="Q2504" t="s">
        <v>4471</v>
      </c>
      <c r="R2504" t="s">
        <v>9411</v>
      </c>
    </row>
    <row r="2505" spans="1:18" x14ac:dyDescent="0.2">
      <c r="A2505">
        <v>2024614</v>
      </c>
      <c r="B2505" t="s">
        <v>9412</v>
      </c>
      <c r="C2505">
        <v>0</v>
      </c>
      <c r="D2505">
        <v>0</v>
      </c>
      <c r="E2505">
        <v>0</v>
      </c>
      <c r="F2505">
        <v>1</v>
      </c>
      <c r="G2505">
        <v>1</v>
      </c>
      <c r="H2505">
        <v>0</v>
      </c>
      <c r="I2505">
        <v>0</v>
      </c>
      <c r="J2505">
        <v>0</v>
      </c>
      <c r="K2505">
        <v>0</v>
      </c>
      <c r="L2505" t="s">
        <v>3284</v>
      </c>
      <c r="M2505" t="s">
        <v>3296</v>
      </c>
      <c r="N2505" t="s">
        <v>3343</v>
      </c>
      <c r="O2505" t="s">
        <v>3344</v>
      </c>
      <c r="P2505" t="s">
        <v>3937</v>
      </c>
      <c r="Q2505" t="s">
        <v>7974</v>
      </c>
      <c r="R2505" t="s">
        <v>9413</v>
      </c>
    </row>
    <row r="2506" spans="1:18" x14ac:dyDescent="0.2">
      <c r="A2506">
        <v>2022803</v>
      </c>
      <c r="B2506" t="s">
        <v>9414</v>
      </c>
      <c r="C2506">
        <v>1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 t="s">
        <v>3284</v>
      </c>
      <c r="M2506" t="s">
        <v>3296</v>
      </c>
      <c r="N2506" t="s">
        <v>3321</v>
      </c>
      <c r="O2506" t="s">
        <v>3322</v>
      </c>
      <c r="P2506" t="s">
        <v>3398</v>
      </c>
      <c r="Q2506" t="s">
        <v>3788</v>
      </c>
      <c r="R2506" t="s">
        <v>9415</v>
      </c>
    </row>
    <row r="2507" spans="1:18" x14ac:dyDescent="0.2">
      <c r="A2507">
        <v>2022740</v>
      </c>
      <c r="B2507" t="s">
        <v>9416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1</v>
      </c>
      <c r="L2507" t="s">
        <v>3284</v>
      </c>
      <c r="M2507" t="s">
        <v>3296</v>
      </c>
      <c r="N2507" t="s">
        <v>3343</v>
      </c>
      <c r="O2507" t="s">
        <v>3861</v>
      </c>
      <c r="P2507" t="s">
        <v>9417</v>
      </c>
      <c r="Q2507" t="s">
        <v>9418</v>
      </c>
      <c r="R2507" t="s">
        <v>9419</v>
      </c>
    </row>
    <row r="2508" spans="1:18" x14ac:dyDescent="0.2">
      <c r="A2508">
        <v>2020949</v>
      </c>
      <c r="B2508" t="s">
        <v>9420</v>
      </c>
      <c r="C2508">
        <v>1</v>
      </c>
      <c r="D2508">
        <v>2</v>
      </c>
      <c r="E2508">
        <v>1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 t="s">
        <v>3284</v>
      </c>
      <c r="M2508" t="s">
        <v>3327</v>
      </c>
      <c r="N2508" t="s">
        <v>3328</v>
      </c>
      <c r="O2508" t="s">
        <v>4184</v>
      </c>
      <c r="P2508" t="s">
        <v>4185</v>
      </c>
      <c r="Q2508" t="s">
        <v>6781</v>
      </c>
      <c r="R2508" t="s">
        <v>9421</v>
      </c>
    </row>
    <row r="2509" spans="1:18" x14ac:dyDescent="0.2">
      <c r="A2509">
        <v>2020948</v>
      </c>
      <c r="B2509" t="s">
        <v>9422</v>
      </c>
      <c r="C2509">
        <v>0</v>
      </c>
      <c r="D2509">
        <v>0</v>
      </c>
      <c r="E2509">
        <v>1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 t="s">
        <v>3284</v>
      </c>
      <c r="M2509" t="s">
        <v>3327</v>
      </c>
      <c r="N2509" t="s">
        <v>3328</v>
      </c>
      <c r="O2509" t="s">
        <v>4184</v>
      </c>
      <c r="P2509" t="s">
        <v>4185</v>
      </c>
      <c r="Q2509" t="s">
        <v>6781</v>
      </c>
      <c r="R2509" t="s">
        <v>9423</v>
      </c>
    </row>
    <row r="2510" spans="1:18" x14ac:dyDescent="0.2">
      <c r="A2510">
        <v>2020412</v>
      </c>
      <c r="B2510" t="s">
        <v>9424</v>
      </c>
      <c r="C2510">
        <v>0</v>
      </c>
      <c r="D2510">
        <v>0</v>
      </c>
      <c r="E2510">
        <v>0</v>
      </c>
      <c r="F2510">
        <v>2</v>
      </c>
      <c r="G2510">
        <v>0</v>
      </c>
      <c r="H2510">
        <v>0</v>
      </c>
      <c r="I2510">
        <v>1</v>
      </c>
      <c r="J2510">
        <v>0</v>
      </c>
      <c r="K2510">
        <v>1</v>
      </c>
      <c r="L2510" t="s">
        <v>3284</v>
      </c>
      <c r="M2510" t="s">
        <v>3296</v>
      </c>
      <c r="N2510" t="s">
        <v>3343</v>
      </c>
      <c r="O2510" t="s">
        <v>3344</v>
      </c>
      <c r="P2510" t="s">
        <v>3367</v>
      </c>
      <c r="Q2510" t="s">
        <v>3368</v>
      </c>
      <c r="R2510" t="s">
        <v>9425</v>
      </c>
    </row>
    <row r="2511" spans="1:18" x14ac:dyDescent="0.2">
      <c r="A2511">
        <v>2018669</v>
      </c>
      <c r="B2511" t="s">
        <v>9426</v>
      </c>
      <c r="C2511">
        <v>0</v>
      </c>
      <c r="D2511">
        <v>1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 t="s">
        <v>3284</v>
      </c>
      <c r="M2511" t="s">
        <v>3327</v>
      </c>
      <c r="N2511" t="s">
        <v>3328</v>
      </c>
      <c r="O2511" t="s">
        <v>3329</v>
      </c>
      <c r="P2511" t="s">
        <v>4329</v>
      </c>
      <c r="Q2511" t="s">
        <v>4330</v>
      </c>
      <c r="R2511" t="s">
        <v>9427</v>
      </c>
    </row>
    <row r="2512" spans="1:18" x14ac:dyDescent="0.2">
      <c r="A2512">
        <v>2018667</v>
      </c>
      <c r="B2512" t="s">
        <v>9428</v>
      </c>
      <c r="C2512">
        <v>4</v>
      </c>
      <c r="D2512">
        <v>1</v>
      </c>
      <c r="E2512">
        <v>1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 t="s">
        <v>3284</v>
      </c>
      <c r="M2512" t="s">
        <v>3327</v>
      </c>
      <c r="N2512" t="s">
        <v>3328</v>
      </c>
      <c r="O2512" t="s">
        <v>4184</v>
      </c>
      <c r="P2512" t="s">
        <v>9429</v>
      </c>
      <c r="Q2512" t="s">
        <v>9430</v>
      </c>
      <c r="R2512" t="s">
        <v>9431</v>
      </c>
    </row>
    <row r="2513" spans="1:18" x14ac:dyDescent="0.2">
      <c r="A2513">
        <v>2015561</v>
      </c>
      <c r="B2513" t="s">
        <v>9432</v>
      </c>
      <c r="C2513">
        <v>0</v>
      </c>
      <c r="D2513">
        <v>0</v>
      </c>
      <c r="E2513">
        <v>0</v>
      </c>
      <c r="F2513">
        <v>0</v>
      </c>
      <c r="G2513">
        <v>1</v>
      </c>
      <c r="H2513">
        <v>0</v>
      </c>
      <c r="I2513">
        <v>0</v>
      </c>
      <c r="J2513">
        <v>0</v>
      </c>
      <c r="K2513">
        <v>0</v>
      </c>
      <c r="L2513" t="s">
        <v>3284</v>
      </c>
      <c r="M2513" t="s">
        <v>3296</v>
      </c>
      <c r="N2513" t="s">
        <v>3343</v>
      </c>
      <c r="O2513" t="s">
        <v>3349</v>
      </c>
      <c r="P2513" t="s">
        <v>3350</v>
      </c>
      <c r="Q2513" t="s">
        <v>3351</v>
      </c>
      <c r="R2513" t="s">
        <v>9433</v>
      </c>
    </row>
    <row r="2514" spans="1:18" x14ac:dyDescent="0.2">
      <c r="A2514">
        <v>2015316</v>
      </c>
      <c r="B2514" t="s">
        <v>9434</v>
      </c>
      <c r="C2514">
        <v>0</v>
      </c>
      <c r="D2514">
        <v>0</v>
      </c>
      <c r="E2514">
        <v>0</v>
      </c>
      <c r="F2514">
        <v>2</v>
      </c>
      <c r="G2514">
        <v>0</v>
      </c>
      <c r="H2514">
        <v>0</v>
      </c>
      <c r="I2514">
        <v>1</v>
      </c>
      <c r="J2514">
        <v>0</v>
      </c>
      <c r="K2514">
        <v>0</v>
      </c>
      <c r="L2514" t="s">
        <v>3284</v>
      </c>
      <c r="M2514" t="s">
        <v>3296</v>
      </c>
      <c r="N2514" t="s">
        <v>3343</v>
      </c>
      <c r="O2514" t="s">
        <v>3344</v>
      </c>
      <c r="P2514" t="s">
        <v>3367</v>
      </c>
      <c r="Q2514" t="s">
        <v>3368</v>
      </c>
      <c r="R2514" t="s">
        <v>9435</v>
      </c>
    </row>
    <row r="2515" spans="1:18" x14ac:dyDescent="0.2">
      <c r="A2515">
        <v>2015076</v>
      </c>
      <c r="B2515" t="s">
        <v>9436</v>
      </c>
      <c r="C2515">
        <v>0</v>
      </c>
      <c r="D2515">
        <v>0</v>
      </c>
      <c r="E2515">
        <v>0</v>
      </c>
      <c r="F2515">
        <v>1</v>
      </c>
      <c r="G2515">
        <v>0</v>
      </c>
      <c r="H2515">
        <v>0</v>
      </c>
      <c r="I2515">
        <v>0</v>
      </c>
      <c r="J2515">
        <v>0</v>
      </c>
      <c r="K2515">
        <v>0</v>
      </c>
      <c r="L2515" t="s">
        <v>3284</v>
      </c>
      <c r="M2515" t="s">
        <v>3391</v>
      </c>
      <c r="N2515" t="s">
        <v>3411</v>
      </c>
      <c r="O2515" t="s">
        <v>3412</v>
      </c>
      <c r="P2515" t="s">
        <v>3564</v>
      </c>
      <c r="Q2515" t="s">
        <v>3803</v>
      </c>
      <c r="R2515" t="s">
        <v>9437</v>
      </c>
    </row>
    <row r="2516" spans="1:18" x14ac:dyDescent="0.2">
      <c r="A2516">
        <v>2014887</v>
      </c>
      <c r="B2516" t="s">
        <v>9438</v>
      </c>
      <c r="C2516">
        <v>0</v>
      </c>
      <c r="D2516">
        <v>0</v>
      </c>
      <c r="E2516">
        <v>0</v>
      </c>
      <c r="F2516">
        <v>0</v>
      </c>
      <c r="G2516">
        <v>1</v>
      </c>
      <c r="H2516">
        <v>0</v>
      </c>
      <c r="I2516">
        <v>0</v>
      </c>
      <c r="J2516">
        <v>0</v>
      </c>
      <c r="K2516">
        <v>0</v>
      </c>
      <c r="L2516" t="s">
        <v>3284</v>
      </c>
      <c r="M2516" t="s">
        <v>3296</v>
      </c>
      <c r="N2516" t="s">
        <v>3321</v>
      </c>
      <c r="O2516" t="s">
        <v>3322</v>
      </c>
      <c r="P2516" t="s">
        <v>3323</v>
      </c>
      <c r="Q2516" t="s">
        <v>3518</v>
      </c>
      <c r="R2516" t="s">
        <v>9439</v>
      </c>
    </row>
    <row r="2517" spans="1:18" x14ac:dyDescent="0.2">
      <c r="A2517">
        <v>2014743</v>
      </c>
      <c r="B2517" t="s">
        <v>9440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3</v>
      </c>
      <c r="K2517">
        <v>1</v>
      </c>
      <c r="L2517" t="s">
        <v>3284</v>
      </c>
      <c r="M2517" t="s">
        <v>3327</v>
      </c>
      <c r="N2517" t="s">
        <v>3376</v>
      </c>
      <c r="O2517" t="s">
        <v>3377</v>
      </c>
      <c r="P2517" t="s">
        <v>3378</v>
      </c>
      <c r="Q2517" t="s">
        <v>3379</v>
      </c>
      <c r="R2517" t="s">
        <v>9441</v>
      </c>
    </row>
    <row r="2518" spans="1:18" x14ac:dyDescent="0.2">
      <c r="A2518">
        <v>2014075</v>
      </c>
      <c r="B2518" t="s">
        <v>9442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13</v>
      </c>
      <c r="J2518">
        <v>11</v>
      </c>
      <c r="K2518">
        <v>19</v>
      </c>
      <c r="L2518" t="s">
        <v>3284</v>
      </c>
      <c r="M2518" t="s">
        <v>3327</v>
      </c>
      <c r="N2518" t="s">
        <v>3376</v>
      </c>
      <c r="O2518" t="s">
        <v>3377</v>
      </c>
      <c r="P2518" t="s">
        <v>3378</v>
      </c>
      <c r="Q2518" t="s">
        <v>3379</v>
      </c>
      <c r="R2518" t="s">
        <v>9443</v>
      </c>
    </row>
    <row r="2519" spans="1:18" x14ac:dyDescent="0.2">
      <c r="A2519">
        <v>2013562</v>
      </c>
      <c r="B2519" t="s">
        <v>9444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1</v>
      </c>
      <c r="J2519">
        <v>1</v>
      </c>
      <c r="K2519">
        <v>1</v>
      </c>
      <c r="L2519" t="s">
        <v>3284</v>
      </c>
      <c r="M2519" t="s">
        <v>3296</v>
      </c>
      <c r="N2519" t="s">
        <v>3343</v>
      </c>
      <c r="O2519" t="s">
        <v>3429</v>
      </c>
      <c r="P2519" t="s">
        <v>3430</v>
      </c>
      <c r="Q2519" t="s">
        <v>5942</v>
      </c>
      <c r="R2519" t="s">
        <v>9445</v>
      </c>
    </row>
    <row r="2520" spans="1:18" x14ac:dyDescent="0.2">
      <c r="A2520">
        <v>2012679</v>
      </c>
      <c r="B2520" t="s">
        <v>9446</v>
      </c>
      <c r="C2520">
        <v>0</v>
      </c>
      <c r="D2520">
        <v>0</v>
      </c>
      <c r="E2520">
        <v>0</v>
      </c>
      <c r="F2520">
        <v>1</v>
      </c>
      <c r="G2520">
        <v>0</v>
      </c>
      <c r="H2520">
        <v>0</v>
      </c>
      <c r="I2520">
        <v>0</v>
      </c>
      <c r="J2520">
        <v>0</v>
      </c>
      <c r="K2520">
        <v>0</v>
      </c>
      <c r="L2520" t="s">
        <v>3284</v>
      </c>
      <c r="M2520" t="s">
        <v>3296</v>
      </c>
      <c r="N2520" t="s">
        <v>3321</v>
      </c>
      <c r="O2520" t="s">
        <v>3322</v>
      </c>
      <c r="P2520" t="s">
        <v>3323</v>
      </c>
      <c r="Q2520" t="s">
        <v>3577</v>
      </c>
      <c r="R2520" t="s">
        <v>9447</v>
      </c>
    </row>
    <row r="2521" spans="1:18" x14ac:dyDescent="0.2">
      <c r="A2521">
        <v>2012632</v>
      </c>
      <c r="B2521" t="s">
        <v>9448</v>
      </c>
      <c r="C2521">
        <v>0</v>
      </c>
      <c r="D2521">
        <v>0</v>
      </c>
      <c r="E2521">
        <v>0</v>
      </c>
      <c r="F2521">
        <v>1</v>
      </c>
      <c r="G2521">
        <v>0</v>
      </c>
      <c r="H2521">
        <v>0</v>
      </c>
      <c r="I2521">
        <v>0</v>
      </c>
      <c r="J2521">
        <v>0</v>
      </c>
      <c r="K2521">
        <v>0</v>
      </c>
      <c r="L2521" t="s">
        <v>3284</v>
      </c>
      <c r="M2521" t="s">
        <v>3296</v>
      </c>
      <c r="N2521" t="s">
        <v>3343</v>
      </c>
      <c r="O2521" t="s">
        <v>3349</v>
      </c>
      <c r="P2521" t="s">
        <v>3350</v>
      </c>
      <c r="Q2521" t="s">
        <v>5444</v>
      </c>
      <c r="R2521" t="s">
        <v>9449</v>
      </c>
    </row>
    <row r="2522" spans="1:18" x14ac:dyDescent="0.2">
      <c r="A2522">
        <v>2011159</v>
      </c>
      <c r="B2522" t="s">
        <v>9450</v>
      </c>
      <c r="C2522">
        <v>0</v>
      </c>
      <c r="D2522">
        <v>0</v>
      </c>
      <c r="E2522">
        <v>0</v>
      </c>
      <c r="F2522">
        <v>1</v>
      </c>
      <c r="G2522">
        <v>0</v>
      </c>
      <c r="H2522">
        <v>0</v>
      </c>
      <c r="I2522">
        <v>0</v>
      </c>
      <c r="J2522">
        <v>0</v>
      </c>
      <c r="K2522">
        <v>0</v>
      </c>
      <c r="L2522" t="s">
        <v>3284</v>
      </c>
      <c r="M2522" t="s">
        <v>3296</v>
      </c>
      <c r="N2522" t="s">
        <v>3343</v>
      </c>
      <c r="O2522" t="s">
        <v>3349</v>
      </c>
      <c r="P2522" t="s">
        <v>4285</v>
      </c>
      <c r="Q2522" t="s">
        <v>4403</v>
      </c>
      <c r="R2522" t="s">
        <v>9451</v>
      </c>
    </row>
    <row r="2523" spans="1:18" x14ac:dyDescent="0.2">
      <c r="A2523">
        <v>2011015</v>
      </c>
      <c r="B2523" t="s">
        <v>9452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2</v>
      </c>
      <c r="J2523">
        <v>2</v>
      </c>
      <c r="K2523">
        <v>0</v>
      </c>
      <c r="L2523" t="s">
        <v>3284</v>
      </c>
      <c r="M2523" t="s">
        <v>3296</v>
      </c>
      <c r="N2523" t="s">
        <v>3297</v>
      </c>
      <c r="O2523" t="s">
        <v>3434</v>
      </c>
      <c r="P2523" t="s">
        <v>3435</v>
      </c>
      <c r="Q2523" t="s">
        <v>3436</v>
      </c>
      <c r="R2523" t="s">
        <v>9453</v>
      </c>
    </row>
    <row r="2524" spans="1:18" x14ac:dyDescent="0.2">
      <c r="A2524">
        <v>2010972</v>
      </c>
      <c r="B2524" t="s">
        <v>9454</v>
      </c>
      <c r="C2524">
        <v>0</v>
      </c>
      <c r="D2524">
        <v>0</v>
      </c>
      <c r="E2524">
        <v>0</v>
      </c>
      <c r="F2524">
        <v>1</v>
      </c>
      <c r="G2524">
        <v>1</v>
      </c>
      <c r="H2524">
        <v>0</v>
      </c>
      <c r="I2524">
        <v>0</v>
      </c>
      <c r="J2524">
        <v>0</v>
      </c>
      <c r="K2524">
        <v>0</v>
      </c>
      <c r="L2524" t="s">
        <v>3284</v>
      </c>
      <c r="M2524" t="s">
        <v>3296</v>
      </c>
      <c r="N2524" t="s">
        <v>3343</v>
      </c>
      <c r="O2524" t="s">
        <v>3402</v>
      </c>
      <c r="P2524" t="s">
        <v>3403</v>
      </c>
      <c r="Q2524" t="s">
        <v>3404</v>
      </c>
      <c r="R2524" t="s">
        <v>9455</v>
      </c>
    </row>
    <row r="2525" spans="1:18" x14ac:dyDescent="0.2">
      <c r="A2525">
        <v>2009000</v>
      </c>
      <c r="B2525" t="s">
        <v>9456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1</v>
      </c>
      <c r="K2525">
        <v>0</v>
      </c>
      <c r="L2525" t="s">
        <v>3284</v>
      </c>
      <c r="M2525" t="s">
        <v>3296</v>
      </c>
      <c r="N2525" t="s">
        <v>3297</v>
      </c>
      <c r="O2525" t="s">
        <v>3434</v>
      </c>
      <c r="P2525" t="s">
        <v>3435</v>
      </c>
      <c r="Q2525" t="s">
        <v>3436</v>
      </c>
      <c r="R2525" t="s">
        <v>9457</v>
      </c>
    </row>
    <row r="2526" spans="1:18" x14ac:dyDescent="0.2">
      <c r="A2526">
        <v>2008675</v>
      </c>
      <c r="B2526" t="s">
        <v>9458</v>
      </c>
      <c r="C2526">
        <v>0</v>
      </c>
      <c r="D2526">
        <v>0</v>
      </c>
      <c r="E2526">
        <v>0</v>
      </c>
      <c r="F2526">
        <v>2</v>
      </c>
      <c r="G2526">
        <v>4</v>
      </c>
      <c r="H2526">
        <v>0</v>
      </c>
      <c r="I2526">
        <v>0</v>
      </c>
      <c r="J2526">
        <v>0</v>
      </c>
      <c r="K2526">
        <v>0</v>
      </c>
      <c r="L2526" t="s">
        <v>3284</v>
      </c>
      <c r="M2526" t="s">
        <v>3296</v>
      </c>
      <c r="N2526" t="s">
        <v>3321</v>
      </c>
      <c r="O2526" t="s">
        <v>3322</v>
      </c>
      <c r="P2526" t="s">
        <v>4143</v>
      </c>
      <c r="Q2526" t="s">
        <v>8587</v>
      </c>
      <c r="R2526" t="s">
        <v>9459</v>
      </c>
    </row>
    <row r="2527" spans="1:18" x14ac:dyDescent="0.2">
      <c r="A2527">
        <v>2008380</v>
      </c>
      <c r="B2527" t="s">
        <v>9460</v>
      </c>
      <c r="C2527">
        <v>1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 t="s">
        <v>3284</v>
      </c>
      <c r="M2527" t="s">
        <v>3327</v>
      </c>
      <c r="N2527" t="s">
        <v>3376</v>
      </c>
      <c r="O2527" t="s">
        <v>3718</v>
      </c>
      <c r="P2527" t="s">
        <v>9461</v>
      </c>
      <c r="Q2527" t="s">
        <v>9462</v>
      </c>
      <c r="R2527" t="s">
        <v>9463</v>
      </c>
    </row>
    <row r="2528" spans="1:18" x14ac:dyDescent="0.2">
      <c r="A2528">
        <v>2008318</v>
      </c>
      <c r="B2528" t="s">
        <v>9464</v>
      </c>
      <c r="C2528">
        <v>0</v>
      </c>
      <c r="D2528">
        <v>0</v>
      </c>
      <c r="E2528">
        <v>0</v>
      </c>
      <c r="F2528">
        <v>2</v>
      </c>
      <c r="G2528">
        <v>0</v>
      </c>
      <c r="H2528">
        <v>0</v>
      </c>
      <c r="I2528">
        <v>0</v>
      </c>
      <c r="J2528">
        <v>0</v>
      </c>
      <c r="K2528">
        <v>0</v>
      </c>
      <c r="L2528" t="s">
        <v>3284</v>
      </c>
      <c r="M2528" t="s">
        <v>3296</v>
      </c>
      <c r="N2528" t="s">
        <v>3343</v>
      </c>
      <c r="O2528" t="s">
        <v>3349</v>
      </c>
      <c r="P2528" t="s">
        <v>3350</v>
      </c>
      <c r="Q2528" t="s">
        <v>4175</v>
      </c>
      <c r="R2528" t="s">
        <v>9465</v>
      </c>
    </row>
    <row r="2529" spans="1:18" x14ac:dyDescent="0.2">
      <c r="A2529">
        <v>2006130</v>
      </c>
      <c r="B2529" t="s">
        <v>9466</v>
      </c>
      <c r="C2529">
        <v>0</v>
      </c>
      <c r="D2529">
        <v>0</v>
      </c>
      <c r="E2529">
        <v>1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1</v>
      </c>
      <c r="L2529" t="s">
        <v>3284</v>
      </c>
      <c r="M2529" t="s">
        <v>3296</v>
      </c>
      <c r="N2529" t="s">
        <v>3343</v>
      </c>
      <c r="O2529" t="s">
        <v>3371</v>
      </c>
      <c r="P2529" t="s">
        <v>3688</v>
      </c>
      <c r="Q2529" t="s">
        <v>4406</v>
      </c>
      <c r="R2529" t="s">
        <v>9467</v>
      </c>
    </row>
    <row r="2530" spans="1:18" x14ac:dyDescent="0.2">
      <c r="A2530">
        <v>2005368</v>
      </c>
      <c r="B2530" t="s">
        <v>9468</v>
      </c>
      <c r="C2530">
        <v>3</v>
      </c>
      <c r="D2530">
        <v>1</v>
      </c>
      <c r="E2530">
        <v>1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 t="s">
        <v>3284</v>
      </c>
      <c r="M2530" t="s">
        <v>3296</v>
      </c>
      <c r="N2530" t="s">
        <v>3321</v>
      </c>
      <c r="O2530" t="s">
        <v>3322</v>
      </c>
      <c r="P2530" t="s">
        <v>3398</v>
      </c>
      <c r="Q2530" t="s">
        <v>9469</v>
      </c>
      <c r="R2530" t="s">
        <v>9470</v>
      </c>
    </row>
    <row r="2531" spans="1:18" x14ac:dyDescent="0.2">
      <c r="A2531">
        <v>2005358</v>
      </c>
      <c r="B2531" t="s">
        <v>9471</v>
      </c>
      <c r="C2531">
        <v>0</v>
      </c>
      <c r="D2531">
        <v>1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 t="s">
        <v>3284</v>
      </c>
      <c r="M2531" t="s">
        <v>3327</v>
      </c>
      <c r="N2531" t="s">
        <v>3328</v>
      </c>
      <c r="O2531" t="s">
        <v>4017</v>
      </c>
      <c r="P2531" t="s">
        <v>4018</v>
      </c>
      <c r="Q2531" t="s">
        <v>9472</v>
      </c>
      <c r="R2531" t="s">
        <v>9473</v>
      </c>
    </row>
    <row r="2532" spans="1:18" x14ac:dyDescent="0.2">
      <c r="A2532">
        <v>2005166</v>
      </c>
      <c r="B2532" t="s">
        <v>9474</v>
      </c>
      <c r="C2532">
        <v>7</v>
      </c>
      <c r="D2532">
        <v>5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1</v>
      </c>
      <c r="L2532" t="s">
        <v>3284</v>
      </c>
      <c r="M2532" t="s">
        <v>3296</v>
      </c>
      <c r="N2532" t="s">
        <v>3343</v>
      </c>
      <c r="O2532" t="s">
        <v>3371</v>
      </c>
      <c r="P2532" t="s">
        <v>3688</v>
      </c>
      <c r="Q2532" t="s">
        <v>7444</v>
      </c>
      <c r="R2532" t="s">
        <v>9475</v>
      </c>
    </row>
    <row r="2533" spans="1:18" x14ac:dyDescent="0.2">
      <c r="A2533">
        <v>2005073</v>
      </c>
      <c r="B2533" t="s">
        <v>9476</v>
      </c>
      <c r="C2533">
        <v>0</v>
      </c>
      <c r="D2533">
        <v>0</v>
      </c>
      <c r="E2533">
        <v>0</v>
      </c>
      <c r="F2533">
        <v>2</v>
      </c>
      <c r="G2533">
        <v>2</v>
      </c>
      <c r="H2533">
        <v>0</v>
      </c>
      <c r="I2533">
        <v>0</v>
      </c>
      <c r="J2533">
        <v>0</v>
      </c>
      <c r="K2533">
        <v>0</v>
      </c>
      <c r="L2533" t="s">
        <v>3284</v>
      </c>
      <c r="M2533" t="s">
        <v>3391</v>
      </c>
      <c r="N2533" t="s">
        <v>3392</v>
      </c>
      <c r="O2533" t="s">
        <v>3393</v>
      </c>
      <c r="P2533" t="s">
        <v>3394</v>
      </c>
      <c r="Q2533" t="s">
        <v>4082</v>
      </c>
      <c r="R2533" t="s">
        <v>9477</v>
      </c>
    </row>
    <row r="2534" spans="1:18" x14ac:dyDescent="0.2">
      <c r="A2534">
        <v>2004485</v>
      </c>
      <c r="B2534" t="s">
        <v>9478</v>
      </c>
      <c r="C2534">
        <v>5</v>
      </c>
      <c r="D2534">
        <v>5</v>
      </c>
      <c r="E2534">
        <v>4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 t="s">
        <v>3284</v>
      </c>
      <c r="M2534" t="s">
        <v>3296</v>
      </c>
      <c r="N2534" t="s">
        <v>3321</v>
      </c>
      <c r="O2534" t="s">
        <v>3322</v>
      </c>
      <c r="P2534" t="s">
        <v>3398</v>
      </c>
      <c r="Q2534" t="s">
        <v>3556</v>
      </c>
      <c r="R2534" t="s">
        <v>9479</v>
      </c>
    </row>
    <row r="2535" spans="1:18" x14ac:dyDescent="0.2">
      <c r="A2535">
        <v>2003589</v>
      </c>
      <c r="B2535" t="s">
        <v>9480</v>
      </c>
      <c r="C2535">
        <v>4</v>
      </c>
      <c r="D2535">
        <v>0</v>
      </c>
      <c r="E2535">
        <v>1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 t="s">
        <v>3284</v>
      </c>
      <c r="M2535" t="s">
        <v>3327</v>
      </c>
      <c r="N2535" t="s">
        <v>3328</v>
      </c>
      <c r="O2535" t="s">
        <v>3329</v>
      </c>
      <c r="P2535" t="s">
        <v>3330</v>
      </c>
      <c r="Q2535" t="s">
        <v>3331</v>
      </c>
      <c r="R2535" t="s">
        <v>9481</v>
      </c>
    </row>
    <row r="2536" spans="1:18" x14ac:dyDescent="0.2">
      <c r="A2536">
        <v>2003552</v>
      </c>
      <c r="B2536" t="s">
        <v>9482</v>
      </c>
      <c r="C2536">
        <v>0</v>
      </c>
      <c r="D2536">
        <v>0</v>
      </c>
      <c r="E2536">
        <v>0</v>
      </c>
      <c r="F2536">
        <v>1</v>
      </c>
      <c r="G2536">
        <v>0</v>
      </c>
      <c r="H2536">
        <v>0</v>
      </c>
      <c r="I2536">
        <v>1</v>
      </c>
      <c r="J2536">
        <v>1</v>
      </c>
      <c r="K2536">
        <v>1</v>
      </c>
      <c r="L2536" t="s">
        <v>3284</v>
      </c>
      <c r="M2536" t="s">
        <v>3296</v>
      </c>
      <c r="N2536" t="s">
        <v>3297</v>
      </c>
      <c r="O2536" t="s">
        <v>4037</v>
      </c>
      <c r="P2536" t="s">
        <v>4038</v>
      </c>
      <c r="Q2536" t="s">
        <v>9483</v>
      </c>
      <c r="R2536" t="s">
        <v>9484</v>
      </c>
    </row>
    <row r="2537" spans="1:18" x14ac:dyDescent="0.2">
      <c r="A2537">
        <v>2003368</v>
      </c>
      <c r="B2537" t="s">
        <v>9485</v>
      </c>
      <c r="C2537">
        <v>0</v>
      </c>
      <c r="D2537">
        <v>0</v>
      </c>
      <c r="E2537">
        <v>0</v>
      </c>
      <c r="F2537">
        <v>0</v>
      </c>
      <c r="G2537">
        <v>1</v>
      </c>
      <c r="H2537">
        <v>0</v>
      </c>
      <c r="I2537">
        <v>7</v>
      </c>
      <c r="J2537">
        <v>7</v>
      </c>
      <c r="K2537">
        <v>0</v>
      </c>
      <c r="L2537" t="s">
        <v>3284</v>
      </c>
      <c r="M2537" t="s">
        <v>3296</v>
      </c>
      <c r="N2537" t="s">
        <v>3321</v>
      </c>
      <c r="O2537" t="s">
        <v>3322</v>
      </c>
      <c r="P2537" t="s">
        <v>3423</v>
      </c>
      <c r="Q2537" t="s">
        <v>9486</v>
      </c>
      <c r="R2537" t="s">
        <v>9487</v>
      </c>
    </row>
    <row r="2538" spans="1:18" x14ac:dyDescent="0.2">
      <c r="A2538">
        <v>2002775</v>
      </c>
      <c r="B2538" t="s">
        <v>9488</v>
      </c>
      <c r="C2538">
        <v>1</v>
      </c>
      <c r="D2538">
        <v>2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 t="s">
        <v>3284</v>
      </c>
      <c r="M2538" t="s">
        <v>3296</v>
      </c>
      <c r="N2538" t="s">
        <v>3321</v>
      </c>
      <c r="O2538" t="s">
        <v>3322</v>
      </c>
      <c r="P2538" t="s">
        <v>3271</v>
      </c>
      <c r="Q2538" t="s">
        <v>8019</v>
      </c>
      <c r="R2538" t="s">
        <v>9489</v>
      </c>
    </row>
    <row r="2539" spans="1:18" x14ac:dyDescent="0.2">
      <c r="A2539">
        <v>1993553</v>
      </c>
      <c r="B2539" t="s">
        <v>9490</v>
      </c>
      <c r="C2539">
        <v>10</v>
      </c>
      <c r="D2539">
        <v>12</v>
      </c>
      <c r="E2539">
        <v>2</v>
      </c>
      <c r="F2539">
        <v>5</v>
      </c>
      <c r="G2539">
        <v>1</v>
      </c>
      <c r="H2539">
        <v>1</v>
      </c>
      <c r="I2539">
        <v>0</v>
      </c>
      <c r="J2539">
        <v>0</v>
      </c>
      <c r="K2539">
        <v>0</v>
      </c>
      <c r="L2539" t="s">
        <v>3284</v>
      </c>
      <c r="M2539" t="s">
        <v>3296</v>
      </c>
      <c r="N2539" t="s">
        <v>3321</v>
      </c>
      <c r="O2539" t="s">
        <v>3322</v>
      </c>
      <c r="P2539" t="s">
        <v>3398</v>
      </c>
      <c r="Q2539" t="s">
        <v>9491</v>
      </c>
      <c r="R2539" t="s">
        <v>9492</v>
      </c>
    </row>
    <row r="2540" spans="1:18" x14ac:dyDescent="0.2">
      <c r="A2540">
        <v>1987356</v>
      </c>
      <c r="B2540" t="s">
        <v>9493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1</v>
      </c>
      <c r="J2540">
        <v>0</v>
      </c>
      <c r="K2540">
        <v>0</v>
      </c>
      <c r="L2540" t="s">
        <v>3284</v>
      </c>
      <c r="M2540" t="s">
        <v>3307</v>
      </c>
      <c r="N2540" t="s">
        <v>3308</v>
      </c>
      <c r="O2540" t="s">
        <v>3359</v>
      </c>
      <c r="P2540" t="s">
        <v>3360</v>
      </c>
      <c r="Q2540" t="s">
        <v>9494</v>
      </c>
      <c r="R2540" t="s">
        <v>9495</v>
      </c>
    </row>
    <row r="2541" spans="1:18" x14ac:dyDescent="0.2">
      <c r="A2541">
        <v>1986995</v>
      </c>
      <c r="B2541" t="s">
        <v>9496</v>
      </c>
      <c r="C2541">
        <v>0</v>
      </c>
      <c r="D2541">
        <v>0</v>
      </c>
      <c r="E2541">
        <v>0</v>
      </c>
      <c r="F2541">
        <v>1</v>
      </c>
      <c r="G2541">
        <v>0</v>
      </c>
      <c r="H2541">
        <v>0</v>
      </c>
      <c r="I2541">
        <v>0</v>
      </c>
      <c r="J2541">
        <v>0</v>
      </c>
      <c r="K2541">
        <v>0</v>
      </c>
      <c r="L2541" t="s">
        <v>3284</v>
      </c>
      <c r="M2541" t="s">
        <v>3296</v>
      </c>
      <c r="N2541" t="s">
        <v>3297</v>
      </c>
      <c r="O2541" t="s">
        <v>3434</v>
      </c>
      <c r="P2541" t="s">
        <v>3435</v>
      </c>
      <c r="Q2541" t="s">
        <v>3436</v>
      </c>
      <c r="R2541" t="s">
        <v>9497</v>
      </c>
    </row>
    <row r="2542" spans="1:18" x14ac:dyDescent="0.2">
      <c r="A2542">
        <v>1986537</v>
      </c>
      <c r="B2542" t="s">
        <v>9498</v>
      </c>
      <c r="C2542">
        <v>0</v>
      </c>
      <c r="D2542">
        <v>0</v>
      </c>
      <c r="E2542">
        <v>0</v>
      </c>
      <c r="F2542">
        <v>2</v>
      </c>
      <c r="G2542">
        <v>0</v>
      </c>
      <c r="H2542">
        <v>0</v>
      </c>
      <c r="I2542">
        <v>0</v>
      </c>
      <c r="J2542">
        <v>0</v>
      </c>
      <c r="K2542">
        <v>0</v>
      </c>
      <c r="L2542" t="s">
        <v>3284</v>
      </c>
      <c r="M2542" t="s">
        <v>3296</v>
      </c>
      <c r="N2542" t="s">
        <v>3297</v>
      </c>
      <c r="O2542" t="s">
        <v>3434</v>
      </c>
      <c r="P2542" t="s">
        <v>3435</v>
      </c>
      <c r="Q2542" t="s">
        <v>9499</v>
      </c>
      <c r="R2542" t="s">
        <v>9500</v>
      </c>
    </row>
    <row r="2543" spans="1:18" x14ac:dyDescent="0.2">
      <c r="A2543">
        <v>1985880</v>
      </c>
      <c r="B2543" t="s">
        <v>9501</v>
      </c>
      <c r="C2543">
        <v>1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 t="s">
        <v>3284</v>
      </c>
      <c r="M2543" t="s">
        <v>3296</v>
      </c>
      <c r="N2543" t="s">
        <v>3343</v>
      </c>
      <c r="O2543" t="s">
        <v>3349</v>
      </c>
      <c r="P2543" t="s">
        <v>3350</v>
      </c>
      <c r="Q2543" t="s">
        <v>3580</v>
      </c>
      <c r="R2543" t="s">
        <v>9502</v>
      </c>
    </row>
    <row r="2544" spans="1:18" x14ac:dyDescent="0.2">
      <c r="A2544">
        <v>1985673</v>
      </c>
      <c r="B2544" t="s">
        <v>9503</v>
      </c>
      <c r="C2544">
        <v>3</v>
      </c>
      <c r="D2544">
        <v>2</v>
      </c>
      <c r="E2544">
        <v>1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 t="s">
        <v>3284</v>
      </c>
      <c r="M2544" t="s">
        <v>3296</v>
      </c>
      <c r="N2544" t="s">
        <v>3343</v>
      </c>
      <c r="O2544" t="s">
        <v>3371</v>
      </c>
      <c r="P2544" t="s">
        <v>3271</v>
      </c>
      <c r="Q2544" t="s">
        <v>5409</v>
      </c>
      <c r="R2544" t="s">
        <v>9504</v>
      </c>
    </row>
    <row r="2545" spans="1:18" x14ac:dyDescent="0.2">
      <c r="A2545">
        <v>1985301</v>
      </c>
      <c r="B2545" t="s">
        <v>9505</v>
      </c>
      <c r="C2545">
        <v>2</v>
      </c>
      <c r="D2545">
        <v>1</v>
      </c>
      <c r="E2545">
        <v>1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 t="s">
        <v>3284</v>
      </c>
      <c r="M2545" t="s">
        <v>3296</v>
      </c>
      <c r="N2545" t="s">
        <v>3297</v>
      </c>
      <c r="O2545" t="s">
        <v>3434</v>
      </c>
      <c r="P2545" t="s">
        <v>3435</v>
      </c>
      <c r="Q2545" t="s">
        <v>3436</v>
      </c>
      <c r="R2545" t="s">
        <v>9506</v>
      </c>
    </row>
    <row r="2546" spans="1:18" x14ac:dyDescent="0.2">
      <c r="A2546">
        <v>1985170</v>
      </c>
      <c r="B2546" t="s">
        <v>9507</v>
      </c>
      <c r="C2546">
        <v>10</v>
      </c>
      <c r="D2546">
        <v>17</v>
      </c>
      <c r="E2546">
        <v>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 t="s">
        <v>3284</v>
      </c>
      <c r="M2546" t="s">
        <v>3296</v>
      </c>
      <c r="N2546" t="s">
        <v>3321</v>
      </c>
      <c r="O2546" t="s">
        <v>3322</v>
      </c>
      <c r="P2546" t="s">
        <v>3398</v>
      </c>
      <c r="Q2546" t="s">
        <v>3841</v>
      </c>
      <c r="R2546" t="s">
        <v>9508</v>
      </c>
    </row>
    <row r="2547" spans="1:18" x14ac:dyDescent="0.2">
      <c r="A2547">
        <v>1985169</v>
      </c>
      <c r="B2547" t="s">
        <v>9509</v>
      </c>
      <c r="C2547">
        <v>3</v>
      </c>
      <c r="D2547">
        <v>4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 t="s">
        <v>3284</v>
      </c>
      <c r="M2547" t="s">
        <v>3296</v>
      </c>
      <c r="N2547" t="s">
        <v>3321</v>
      </c>
      <c r="O2547" t="s">
        <v>3322</v>
      </c>
      <c r="P2547" t="s">
        <v>3398</v>
      </c>
      <c r="Q2547" t="s">
        <v>3841</v>
      </c>
      <c r="R2547" t="s">
        <v>9510</v>
      </c>
    </row>
    <row r="2548" spans="1:18" x14ac:dyDescent="0.2">
      <c r="A2548">
        <v>1983805</v>
      </c>
      <c r="B2548" t="s">
        <v>9511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2</v>
      </c>
      <c r="J2548">
        <v>1</v>
      </c>
      <c r="K2548">
        <v>0</v>
      </c>
      <c r="L2548" t="s">
        <v>3284</v>
      </c>
      <c r="M2548" t="s">
        <v>3296</v>
      </c>
      <c r="N2548" t="s">
        <v>3297</v>
      </c>
      <c r="O2548" t="s">
        <v>4112</v>
      </c>
      <c r="P2548" t="s">
        <v>4113</v>
      </c>
      <c r="Q2548" t="s">
        <v>4114</v>
      </c>
      <c r="R2548" t="s">
        <v>9512</v>
      </c>
    </row>
    <row r="2549" spans="1:18" x14ac:dyDescent="0.2">
      <c r="A2549">
        <v>1983755</v>
      </c>
      <c r="B2549" t="s">
        <v>9513</v>
      </c>
      <c r="C2549">
        <v>0</v>
      </c>
      <c r="D2549">
        <v>0</v>
      </c>
      <c r="E2549">
        <v>0</v>
      </c>
      <c r="F2549">
        <v>1</v>
      </c>
      <c r="G2549">
        <v>0</v>
      </c>
      <c r="H2549">
        <v>0</v>
      </c>
      <c r="I2549">
        <v>0</v>
      </c>
      <c r="J2549">
        <v>0</v>
      </c>
      <c r="K2549">
        <v>0</v>
      </c>
      <c r="L2549" t="s">
        <v>3284</v>
      </c>
      <c r="M2549" t="s">
        <v>3296</v>
      </c>
      <c r="N2549" t="s">
        <v>3343</v>
      </c>
      <c r="O2549" t="s">
        <v>3349</v>
      </c>
      <c r="P2549" t="s">
        <v>3350</v>
      </c>
      <c r="Q2549" t="s">
        <v>4175</v>
      </c>
      <c r="R2549" t="s">
        <v>9514</v>
      </c>
    </row>
    <row r="2550" spans="1:18" x14ac:dyDescent="0.2">
      <c r="A2550">
        <v>1983400</v>
      </c>
      <c r="B2550" t="s">
        <v>9515</v>
      </c>
      <c r="C2550">
        <v>1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 t="s">
        <v>3284</v>
      </c>
      <c r="M2550" t="s">
        <v>3327</v>
      </c>
      <c r="N2550" t="s">
        <v>3376</v>
      </c>
      <c r="O2550" t="s">
        <v>3377</v>
      </c>
      <c r="P2550" t="s">
        <v>3378</v>
      </c>
      <c r="Q2550" t="s">
        <v>3379</v>
      </c>
      <c r="R2550" t="s">
        <v>9516</v>
      </c>
    </row>
    <row r="2551" spans="1:18" x14ac:dyDescent="0.2">
      <c r="A2551">
        <v>1983105</v>
      </c>
      <c r="B2551" t="s">
        <v>9517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1</v>
      </c>
      <c r="J2551">
        <v>0</v>
      </c>
      <c r="K2551">
        <v>0</v>
      </c>
      <c r="L2551" t="s">
        <v>3284</v>
      </c>
      <c r="M2551" t="s">
        <v>4022</v>
      </c>
      <c r="N2551" t="s">
        <v>4023</v>
      </c>
      <c r="O2551" t="s">
        <v>9518</v>
      </c>
      <c r="P2551" t="s">
        <v>9519</v>
      </c>
      <c r="Q2551" t="s">
        <v>9520</v>
      </c>
      <c r="R2551" t="s">
        <v>9521</v>
      </c>
    </row>
    <row r="2552" spans="1:18" x14ac:dyDescent="0.2">
      <c r="A2552">
        <v>1982626</v>
      </c>
      <c r="B2552" t="s">
        <v>9522</v>
      </c>
      <c r="C2552">
        <v>0</v>
      </c>
      <c r="D2552">
        <v>1</v>
      </c>
      <c r="E2552">
        <v>1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 t="s">
        <v>3284</v>
      </c>
      <c r="M2552" t="s">
        <v>3327</v>
      </c>
      <c r="N2552" t="s">
        <v>6610</v>
      </c>
      <c r="O2552" t="s">
        <v>6611</v>
      </c>
      <c r="P2552" t="s">
        <v>9523</v>
      </c>
      <c r="Q2552" t="s">
        <v>9524</v>
      </c>
      <c r="R2552" t="s">
        <v>9525</v>
      </c>
    </row>
    <row r="2553" spans="1:18" x14ac:dyDescent="0.2">
      <c r="A2553">
        <v>1982602</v>
      </c>
      <c r="B2553" t="s">
        <v>9526</v>
      </c>
      <c r="C2553">
        <v>0</v>
      </c>
      <c r="D2553">
        <v>0</v>
      </c>
      <c r="E2553">
        <v>0</v>
      </c>
      <c r="F2553">
        <v>1</v>
      </c>
      <c r="G2553">
        <v>0</v>
      </c>
      <c r="H2553">
        <v>0</v>
      </c>
      <c r="I2553">
        <v>0</v>
      </c>
      <c r="J2553">
        <v>0</v>
      </c>
      <c r="K2553">
        <v>0</v>
      </c>
      <c r="L2553" t="s">
        <v>3284</v>
      </c>
      <c r="M2553" t="s">
        <v>3296</v>
      </c>
      <c r="N2553" t="s">
        <v>3297</v>
      </c>
      <c r="O2553" t="s">
        <v>4500</v>
      </c>
      <c r="P2553" t="s">
        <v>5719</v>
      </c>
      <c r="Q2553" t="s">
        <v>9527</v>
      </c>
      <c r="R2553" t="s">
        <v>9528</v>
      </c>
    </row>
    <row r="2554" spans="1:18" x14ac:dyDescent="0.2">
      <c r="A2554">
        <v>1981512</v>
      </c>
      <c r="B2554" t="s">
        <v>9529</v>
      </c>
      <c r="C2554">
        <v>0</v>
      </c>
      <c r="D2554">
        <v>0</v>
      </c>
      <c r="E2554">
        <v>0</v>
      </c>
      <c r="F2554">
        <v>0</v>
      </c>
      <c r="G2554">
        <v>1</v>
      </c>
      <c r="H2554">
        <v>0</v>
      </c>
      <c r="I2554">
        <v>0</v>
      </c>
      <c r="J2554">
        <v>0</v>
      </c>
      <c r="K2554">
        <v>0</v>
      </c>
      <c r="L2554" t="s">
        <v>3284</v>
      </c>
      <c r="M2554" t="s">
        <v>3307</v>
      </c>
      <c r="N2554" t="s">
        <v>3308</v>
      </c>
      <c r="O2554" t="s">
        <v>7388</v>
      </c>
      <c r="P2554" t="s">
        <v>7389</v>
      </c>
      <c r="Q2554" t="s">
        <v>7390</v>
      </c>
      <c r="R2554" t="s">
        <v>9530</v>
      </c>
    </row>
    <row r="2555" spans="1:18" x14ac:dyDescent="0.2">
      <c r="A2555">
        <v>1981511</v>
      </c>
      <c r="B2555" t="s">
        <v>9531</v>
      </c>
      <c r="C2555">
        <v>1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 t="s">
        <v>3284</v>
      </c>
      <c r="M2555" t="s">
        <v>3307</v>
      </c>
      <c r="N2555" t="s">
        <v>3308</v>
      </c>
      <c r="O2555" t="s">
        <v>7388</v>
      </c>
      <c r="P2555" t="s">
        <v>7389</v>
      </c>
      <c r="Q2555" t="s">
        <v>7390</v>
      </c>
      <c r="R2555" t="s">
        <v>9532</v>
      </c>
    </row>
    <row r="2556" spans="1:18" x14ac:dyDescent="0.2">
      <c r="A2556">
        <v>1981099</v>
      </c>
      <c r="B2556" t="s">
        <v>9533</v>
      </c>
      <c r="C2556">
        <v>0</v>
      </c>
      <c r="D2556">
        <v>1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 t="s">
        <v>3284</v>
      </c>
      <c r="M2556" t="s">
        <v>3296</v>
      </c>
      <c r="N2556" t="s">
        <v>3343</v>
      </c>
      <c r="O2556" t="s">
        <v>3861</v>
      </c>
      <c r="P2556" t="s">
        <v>3862</v>
      </c>
      <c r="Q2556" t="s">
        <v>9534</v>
      </c>
      <c r="R2556" t="s">
        <v>9535</v>
      </c>
    </row>
    <row r="2557" spans="1:18" x14ac:dyDescent="0.2">
      <c r="A2557">
        <v>1979344</v>
      </c>
      <c r="B2557" t="s">
        <v>9536</v>
      </c>
      <c r="C2557">
        <v>0</v>
      </c>
      <c r="D2557">
        <v>0</v>
      </c>
      <c r="E2557">
        <v>0</v>
      </c>
      <c r="F2557">
        <v>1</v>
      </c>
      <c r="G2557">
        <v>0</v>
      </c>
      <c r="H2557">
        <v>0</v>
      </c>
      <c r="I2557">
        <v>0</v>
      </c>
      <c r="J2557">
        <v>0</v>
      </c>
      <c r="K2557">
        <v>0</v>
      </c>
      <c r="L2557" t="s">
        <v>3284</v>
      </c>
      <c r="M2557" t="s">
        <v>3391</v>
      </c>
      <c r="N2557" t="s">
        <v>3411</v>
      </c>
      <c r="O2557" t="s">
        <v>3412</v>
      </c>
      <c r="P2557" t="s">
        <v>3413</v>
      </c>
      <c r="Q2557" t="s">
        <v>3414</v>
      </c>
      <c r="R2557" t="s">
        <v>9537</v>
      </c>
    </row>
    <row r="2558" spans="1:18" x14ac:dyDescent="0.2">
      <c r="A2558">
        <v>1979270</v>
      </c>
      <c r="B2558" t="s">
        <v>9538</v>
      </c>
      <c r="C2558">
        <v>0</v>
      </c>
      <c r="D2558">
        <v>0</v>
      </c>
      <c r="E2558">
        <v>0</v>
      </c>
      <c r="F2558">
        <v>1</v>
      </c>
      <c r="G2558">
        <v>3</v>
      </c>
      <c r="H2558">
        <v>0</v>
      </c>
      <c r="I2558">
        <v>0</v>
      </c>
      <c r="J2558">
        <v>0</v>
      </c>
      <c r="K2558">
        <v>0</v>
      </c>
      <c r="L2558" t="s">
        <v>3284</v>
      </c>
      <c r="M2558" t="s">
        <v>3296</v>
      </c>
      <c r="N2558" t="s">
        <v>3343</v>
      </c>
      <c r="O2558" t="s">
        <v>3349</v>
      </c>
      <c r="P2558" t="s">
        <v>3350</v>
      </c>
      <c r="Q2558" t="s">
        <v>3580</v>
      </c>
      <c r="R2558" t="s">
        <v>9539</v>
      </c>
    </row>
    <row r="2559" spans="1:18" x14ac:dyDescent="0.2">
      <c r="A2559">
        <v>1979269</v>
      </c>
      <c r="B2559" t="s">
        <v>9540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1</v>
      </c>
      <c r="J2559">
        <v>0</v>
      </c>
      <c r="K2559">
        <v>2</v>
      </c>
      <c r="L2559" t="s">
        <v>3284</v>
      </c>
      <c r="M2559" t="s">
        <v>3296</v>
      </c>
      <c r="N2559" t="s">
        <v>3343</v>
      </c>
      <c r="O2559" t="s">
        <v>3429</v>
      </c>
      <c r="P2559" t="s">
        <v>3430</v>
      </c>
      <c r="Q2559" t="s">
        <v>5416</v>
      </c>
      <c r="R2559" t="s">
        <v>9541</v>
      </c>
    </row>
    <row r="2560" spans="1:18" x14ac:dyDescent="0.2">
      <c r="A2560">
        <v>1978412</v>
      </c>
      <c r="B2560" t="s">
        <v>9542</v>
      </c>
      <c r="C2560">
        <v>0</v>
      </c>
      <c r="D2560">
        <v>0</v>
      </c>
      <c r="E2560">
        <v>0</v>
      </c>
      <c r="F2560">
        <v>1</v>
      </c>
      <c r="G2560">
        <v>0</v>
      </c>
      <c r="H2560">
        <v>0</v>
      </c>
      <c r="I2560">
        <v>0</v>
      </c>
      <c r="J2560">
        <v>0</v>
      </c>
      <c r="K2560">
        <v>0</v>
      </c>
      <c r="L2560" t="s">
        <v>3284</v>
      </c>
      <c r="M2560" t="s">
        <v>3391</v>
      </c>
      <c r="N2560" t="s">
        <v>4129</v>
      </c>
      <c r="O2560" t="s">
        <v>4130</v>
      </c>
      <c r="P2560" t="s">
        <v>4131</v>
      </c>
      <c r="Q2560" t="s">
        <v>9543</v>
      </c>
      <c r="R2560" t="s">
        <v>9544</v>
      </c>
    </row>
    <row r="2561" spans="1:18" x14ac:dyDescent="0.2">
      <c r="A2561">
        <v>1978342</v>
      </c>
      <c r="B2561" t="s">
        <v>9545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1</v>
      </c>
      <c r="J2561">
        <v>0</v>
      </c>
      <c r="K2561">
        <v>0</v>
      </c>
      <c r="L2561" t="s">
        <v>3284</v>
      </c>
      <c r="M2561" t="s">
        <v>3307</v>
      </c>
      <c r="N2561" t="s">
        <v>3308</v>
      </c>
      <c r="O2561" t="s">
        <v>3359</v>
      </c>
      <c r="P2561" t="s">
        <v>3360</v>
      </c>
      <c r="Q2561" t="s">
        <v>3515</v>
      </c>
      <c r="R2561" t="s">
        <v>9546</v>
      </c>
    </row>
    <row r="2562" spans="1:18" x14ac:dyDescent="0.2">
      <c r="A2562">
        <v>1977911</v>
      </c>
      <c r="B2562" t="s">
        <v>9547</v>
      </c>
      <c r="C2562">
        <v>1</v>
      </c>
      <c r="D2562">
        <v>1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1</v>
      </c>
      <c r="K2562">
        <v>0</v>
      </c>
      <c r="L2562" t="s">
        <v>3284</v>
      </c>
      <c r="M2562" t="s">
        <v>3296</v>
      </c>
      <c r="N2562" t="s">
        <v>3321</v>
      </c>
      <c r="O2562" t="s">
        <v>3322</v>
      </c>
      <c r="P2562" t="s">
        <v>3398</v>
      </c>
      <c r="Q2562" t="s">
        <v>4796</v>
      </c>
      <c r="R2562" t="s">
        <v>9548</v>
      </c>
    </row>
    <row r="2563" spans="1:18" x14ac:dyDescent="0.2">
      <c r="A2563">
        <v>1977910</v>
      </c>
      <c r="B2563" t="s">
        <v>9549</v>
      </c>
      <c r="C2563">
        <v>6</v>
      </c>
      <c r="D2563">
        <v>3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 t="s">
        <v>3284</v>
      </c>
      <c r="M2563" t="s">
        <v>3296</v>
      </c>
      <c r="N2563" t="s">
        <v>3321</v>
      </c>
      <c r="O2563" t="s">
        <v>3322</v>
      </c>
      <c r="P2563" t="s">
        <v>3398</v>
      </c>
      <c r="Q2563" t="s">
        <v>4796</v>
      </c>
      <c r="R2563" t="s">
        <v>9550</v>
      </c>
    </row>
    <row r="2564" spans="1:18" x14ac:dyDescent="0.2">
      <c r="A2564">
        <v>1977909</v>
      </c>
      <c r="B2564" t="s">
        <v>9551</v>
      </c>
      <c r="C2564">
        <v>0</v>
      </c>
      <c r="D2564">
        <v>1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 t="s">
        <v>3284</v>
      </c>
      <c r="M2564" t="s">
        <v>3296</v>
      </c>
      <c r="N2564" t="s">
        <v>3321</v>
      </c>
      <c r="O2564" t="s">
        <v>3322</v>
      </c>
      <c r="P2564" t="s">
        <v>3398</v>
      </c>
      <c r="Q2564" t="s">
        <v>4796</v>
      </c>
      <c r="R2564" t="s">
        <v>9552</v>
      </c>
    </row>
    <row r="2565" spans="1:18" x14ac:dyDescent="0.2">
      <c r="A2565">
        <v>1977564</v>
      </c>
      <c r="B2565" t="s">
        <v>9553</v>
      </c>
      <c r="C2565">
        <v>0</v>
      </c>
      <c r="D2565">
        <v>0</v>
      </c>
      <c r="E2565">
        <v>0</v>
      </c>
      <c r="F2565">
        <v>10</v>
      </c>
      <c r="G2565">
        <v>6</v>
      </c>
      <c r="H2565">
        <v>0</v>
      </c>
      <c r="I2565">
        <v>0</v>
      </c>
      <c r="J2565">
        <v>0</v>
      </c>
      <c r="K2565">
        <v>0</v>
      </c>
      <c r="L2565" t="s">
        <v>3284</v>
      </c>
      <c r="M2565" t="s">
        <v>3296</v>
      </c>
      <c r="N2565" t="s">
        <v>3321</v>
      </c>
      <c r="O2565" t="s">
        <v>3322</v>
      </c>
      <c r="P2565" t="s">
        <v>4143</v>
      </c>
      <c r="Q2565" t="s">
        <v>8587</v>
      </c>
      <c r="R2565" t="s">
        <v>9554</v>
      </c>
    </row>
    <row r="2566" spans="1:18" x14ac:dyDescent="0.2">
      <c r="A2566">
        <v>1977262</v>
      </c>
      <c r="B2566" t="s">
        <v>9555</v>
      </c>
      <c r="C2566">
        <v>0</v>
      </c>
      <c r="D2566">
        <v>1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 t="s">
        <v>3284</v>
      </c>
      <c r="M2566" t="s">
        <v>3296</v>
      </c>
      <c r="N2566" t="s">
        <v>3343</v>
      </c>
      <c r="O2566" t="s">
        <v>3861</v>
      </c>
      <c r="P2566" t="s">
        <v>4670</v>
      </c>
      <c r="Q2566" t="s">
        <v>4671</v>
      </c>
      <c r="R2566" t="s">
        <v>9556</v>
      </c>
    </row>
    <row r="2567" spans="1:18" x14ac:dyDescent="0.2">
      <c r="A2567">
        <v>1975676</v>
      </c>
      <c r="B2567" t="s">
        <v>9557</v>
      </c>
      <c r="C2567">
        <v>0</v>
      </c>
      <c r="D2567">
        <v>0</v>
      </c>
      <c r="E2567">
        <v>0</v>
      </c>
      <c r="F2567">
        <v>1</v>
      </c>
      <c r="G2567">
        <v>0</v>
      </c>
      <c r="H2567">
        <v>0</v>
      </c>
      <c r="I2567">
        <v>0</v>
      </c>
      <c r="J2567">
        <v>0</v>
      </c>
      <c r="K2567">
        <v>0</v>
      </c>
      <c r="L2567" t="s">
        <v>3284</v>
      </c>
      <c r="M2567" t="s">
        <v>3391</v>
      </c>
      <c r="N2567" t="s">
        <v>3411</v>
      </c>
      <c r="O2567" t="s">
        <v>3412</v>
      </c>
      <c r="P2567" t="s">
        <v>3413</v>
      </c>
      <c r="Q2567" t="s">
        <v>3414</v>
      </c>
      <c r="R2567" t="s">
        <v>9558</v>
      </c>
    </row>
    <row r="2568" spans="1:18" x14ac:dyDescent="0.2">
      <c r="A2568">
        <v>1974203</v>
      </c>
      <c r="B2568" t="s">
        <v>9559</v>
      </c>
      <c r="C2568">
        <v>0</v>
      </c>
      <c r="D2568">
        <v>0</v>
      </c>
      <c r="E2568">
        <v>0</v>
      </c>
      <c r="F2568">
        <v>0</v>
      </c>
      <c r="G2568">
        <v>1</v>
      </c>
      <c r="H2568">
        <v>0</v>
      </c>
      <c r="I2568">
        <v>0</v>
      </c>
      <c r="J2568">
        <v>0</v>
      </c>
      <c r="K2568">
        <v>0</v>
      </c>
      <c r="L2568" t="s">
        <v>3284</v>
      </c>
      <c r="M2568" t="s">
        <v>9560</v>
      </c>
      <c r="N2568" t="s">
        <v>9561</v>
      </c>
      <c r="O2568" t="s">
        <v>9562</v>
      </c>
      <c r="P2568" t="s">
        <v>9563</v>
      </c>
      <c r="Q2568" t="s">
        <v>9564</v>
      </c>
      <c r="R2568" t="s">
        <v>9565</v>
      </c>
    </row>
    <row r="2569" spans="1:18" x14ac:dyDescent="0.2">
      <c r="A2569">
        <v>1972867</v>
      </c>
      <c r="B2569" t="s">
        <v>9566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2</v>
      </c>
      <c r="J2569">
        <v>0</v>
      </c>
      <c r="K2569">
        <v>0</v>
      </c>
      <c r="L2569" t="s">
        <v>3284</v>
      </c>
      <c r="M2569" t="s">
        <v>3296</v>
      </c>
      <c r="N2569" t="s">
        <v>3343</v>
      </c>
      <c r="O2569" t="s">
        <v>3344</v>
      </c>
      <c r="P2569" t="s">
        <v>3355</v>
      </c>
      <c r="Q2569" t="s">
        <v>3546</v>
      </c>
      <c r="R2569" t="s">
        <v>9567</v>
      </c>
    </row>
    <row r="2570" spans="1:18" x14ac:dyDescent="0.2">
      <c r="A2570">
        <v>1972431</v>
      </c>
      <c r="B2570" t="s">
        <v>9568</v>
      </c>
      <c r="C2570">
        <v>0</v>
      </c>
      <c r="D2570">
        <v>0</v>
      </c>
      <c r="E2570">
        <v>0</v>
      </c>
      <c r="F2570">
        <v>1</v>
      </c>
      <c r="G2570">
        <v>1</v>
      </c>
      <c r="H2570">
        <v>0</v>
      </c>
      <c r="I2570">
        <v>0</v>
      </c>
      <c r="J2570">
        <v>0</v>
      </c>
      <c r="K2570">
        <v>0</v>
      </c>
      <c r="L2570" t="s">
        <v>3284</v>
      </c>
      <c r="M2570" t="s">
        <v>3296</v>
      </c>
      <c r="N2570" t="s">
        <v>3297</v>
      </c>
      <c r="O2570" t="s">
        <v>3298</v>
      </c>
      <c r="P2570" t="s">
        <v>3826</v>
      </c>
      <c r="Q2570" t="s">
        <v>3827</v>
      </c>
      <c r="R2570" t="s">
        <v>9569</v>
      </c>
    </row>
    <row r="2571" spans="1:18" x14ac:dyDescent="0.2">
      <c r="A2571">
        <v>1972137</v>
      </c>
      <c r="B2571" t="s">
        <v>9570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1</v>
      </c>
      <c r="J2571">
        <v>0</v>
      </c>
      <c r="K2571">
        <v>0</v>
      </c>
      <c r="L2571" t="s">
        <v>3284</v>
      </c>
      <c r="M2571" t="s">
        <v>3296</v>
      </c>
      <c r="N2571" t="s">
        <v>3343</v>
      </c>
      <c r="O2571" t="s">
        <v>3344</v>
      </c>
      <c r="P2571" t="s">
        <v>3367</v>
      </c>
      <c r="Q2571" t="s">
        <v>3368</v>
      </c>
      <c r="R2571" t="s">
        <v>9571</v>
      </c>
    </row>
    <row r="2572" spans="1:18" x14ac:dyDescent="0.2">
      <c r="A2572">
        <v>1971397</v>
      </c>
      <c r="B2572" t="s">
        <v>9572</v>
      </c>
      <c r="C2572">
        <v>17</v>
      </c>
      <c r="D2572">
        <v>24</v>
      </c>
      <c r="E2572">
        <v>1</v>
      </c>
      <c r="F2572">
        <v>1</v>
      </c>
      <c r="G2572">
        <v>3</v>
      </c>
      <c r="H2572">
        <v>0</v>
      </c>
      <c r="I2572">
        <v>0</v>
      </c>
      <c r="J2572">
        <v>1</v>
      </c>
      <c r="K2572">
        <v>0</v>
      </c>
      <c r="L2572" t="s">
        <v>3284</v>
      </c>
      <c r="M2572" t="s">
        <v>3296</v>
      </c>
      <c r="N2572" t="s">
        <v>3321</v>
      </c>
      <c r="O2572" t="s">
        <v>3322</v>
      </c>
      <c r="P2572" t="s">
        <v>3671</v>
      </c>
      <c r="Q2572" t="s">
        <v>3672</v>
      </c>
      <c r="R2572" t="s">
        <v>9573</v>
      </c>
    </row>
    <row r="2573" spans="1:18" x14ac:dyDescent="0.2">
      <c r="A2573">
        <v>1970428</v>
      </c>
      <c r="B2573" t="s">
        <v>9574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1</v>
      </c>
      <c r="J2573">
        <v>0</v>
      </c>
      <c r="K2573">
        <v>0</v>
      </c>
      <c r="L2573" t="s">
        <v>3284</v>
      </c>
      <c r="M2573" t="s">
        <v>3296</v>
      </c>
      <c r="N2573" t="s">
        <v>3321</v>
      </c>
      <c r="O2573" t="s">
        <v>3322</v>
      </c>
      <c r="P2573" t="s">
        <v>3423</v>
      </c>
      <c r="Q2573" t="s">
        <v>4394</v>
      </c>
      <c r="R2573" t="s">
        <v>9575</v>
      </c>
    </row>
    <row r="2574" spans="1:18" x14ac:dyDescent="0.2">
      <c r="A2574">
        <v>1970406</v>
      </c>
      <c r="B2574" t="s">
        <v>9576</v>
      </c>
      <c r="C2574">
        <v>1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 t="s">
        <v>3284</v>
      </c>
      <c r="M2574" t="s">
        <v>3296</v>
      </c>
      <c r="N2574" t="s">
        <v>3343</v>
      </c>
      <c r="O2574" t="s">
        <v>3349</v>
      </c>
      <c r="P2574" t="s">
        <v>3350</v>
      </c>
      <c r="Q2574" t="s">
        <v>3351</v>
      </c>
      <c r="R2574" t="s">
        <v>9577</v>
      </c>
    </row>
    <row r="2575" spans="1:18" x14ac:dyDescent="0.2">
      <c r="A2575">
        <v>1970093</v>
      </c>
      <c r="B2575" t="s">
        <v>9578</v>
      </c>
      <c r="C2575">
        <v>0</v>
      </c>
      <c r="D2575">
        <v>1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 t="s">
        <v>3284</v>
      </c>
      <c r="M2575" t="s">
        <v>3327</v>
      </c>
      <c r="N2575" t="s">
        <v>3328</v>
      </c>
      <c r="O2575" t="s">
        <v>3329</v>
      </c>
      <c r="P2575" t="s">
        <v>3330</v>
      </c>
      <c r="Q2575" t="s">
        <v>3331</v>
      </c>
      <c r="R2575" t="s">
        <v>9579</v>
      </c>
    </row>
    <row r="2576" spans="1:18" x14ac:dyDescent="0.2">
      <c r="A2576">
        <v>1969834</v>
      </c>
      <c r="B2576" t="s">
        <v>9580</v>
      </c>
      <c r="C2576">
        <v>0</v>
      </c>
      <c r="D2576">
        <v>1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 t="s">
        <v>3284</v>
      </c>
      <c r="M2576" t="s">
        <v>3327</v>
      </c>
      <c r="N2576" t="s">
        <v>3328</v>
      </c>
      <c r="O2576" t="s">
        <v>3329</v>
      </c>
      <c r="P2576" t="s">
        <v>4329</v>
      </c>
      <c r="Q2576" t="s">
        <v>4330</v>
      </c>
      <c r="R2576" t="s">
        <v>9581</v>
      </c>
    </row>
    <row r="2577" spans="1:18" x14ac:dyDescent="0.2">
      <c r="A2577">
        <v>1969726</v>
      </c>
      <c r="B2577" t="s">
        <v>9582</v>
      </c>
      <c r="C2577">
        <v>0</v>
      </c>
      <c r="D2577">
        <v>0</v>
      </c>
      <c r="E2577">
        <v>0</v>
      </c>
      <c r="F2577">
        <v>1</v>
      </c>
      <c r="G2577">
        <v>0</v>
      </c>
      <c r="H2577">
        <v>0</v>
      </c>
      <c r="I2577">
        <v>0</v>
      </c>
      <c r="J2577">
        <v>0</v>
      </c>
      <c r="K2577">
        <v>0</v>
      </c>
      <c r="L2577" t="s">
        <v>3284</v>
      </c>
      <c r="M2577" t="s">
        <v>4226</v>
      </c>
      <c r="N2577" t="s">
        <v>4227</v>
      </c>
      <c r="O2577" t="s">
        <v>4228</v>
      </c>
      <c r="P2577" t="s">
        <v>9583</v>
      </c>
      <c r="Q2577" t="s">
        <v>9584</v>
      </c>
      <c r="R2577" t="s">
        <v>9585</v>
      </c>
    </row>
    <row r="2578" spans="1:18" x14ac:dyDescent="0.2">
      <c r="A2578">
        <v>1969481</v>
      </c>
      <c r="B2578" t="s">
        <v>9586</v>
      </c>
      <c r="C2578">
        <v>3</v>
      </c>
      <c r="D2578">
        <v>1</v>
      </c>
      <c r="E2578">
        <v>0</v>
      </c>
      <c r="F2578">
        <v>0</v>
      </c>
      <c r="G2578">
        <v>0</v>
      </c>
      <c r="H2578">
        <v>0</v>
      </c>
      <c r="I2578">
        <v>1</v>
      </c>
      <c r="J2578">
        <v>1</v>
      </c>
      <c r="K2578">
        <v>0</v>
      </c>
      <c r="L2578" t="s">
        <v>3284</v>
      </c>
      <c r="M2578" t="s">
        <v>3307</v>
      </c>
      <c r="N2578" t="s">
        <v>3308</v>
      </c>
      <c r="O2578" t="s">
        <v>3359</v>
      </c>
      <c r="P2578" t="s">
        <v>3360</v>
      </c>
      <c r="Q2578" t="s">
        <v>9587</v>
      </c>
      <c r="R2578" t="s">
        <v>9588</v>
      </c>
    </row>
    <row r="2579" spans="1:18" x14ac:dyDescent="0.2">
      <c r="A2579">
        <v>1968843</v>
      </c>
      <c r="B2579" t="s">
        <v>9589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2</v>
      </c>
      <c r="J2579">
        <v>0</v>
      </c>
      <c r="K2579">
        <v>0</v>
      </c>
      <c r="L2579" t="s">
        <v>3284</v>
      </c>
      <c r="M2579" t="s">
        <v>3296</v>
      </c>
      <c r="N2579" t="s">
        <v>3343</v>
      </c>
      <c r="O2579" t="s">
        <v>3349</v>
      </c>
      <c r="P2579" t="s">
        <v>3350</v>
      </c>
      <c r="Q2579" t="s">
        <v>7439</v>
      </c>
      <c r="R2579" t="s">
        <v>9590</v>
      </c>
    </row>
    <row r="2580" spans="1:18" x14ac:dyDescent="0.2">
      <c r="A2580">
        <v>1968840</v>
      </c>
      <c r="B2580" t="s">
        <v>9591</v>
      </c>
      <c r="C2580">
        <v>0</v>
      </c>
      <c r="D2580">
        <v>3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 t="s">
        <v>3284</v>
      </c>
      <c r="M2580" t="s">
        <v>3327</v>
      </c>
      <c r="N2580" t="s">
        <v>3328</v>
      </c>
      <c r="O2580" t="s">
        <v>3329</v>
      </c>
      <c r="P2580" t="s">
        <v>4620</v>
      </c>
      <c r="Q2580" t="s">
        <v>9592</v>
      </c>
      <c r="R2580" t="s">
        <v>9593</v>
      </c>
    </row>
    <row r="2581" spans="1:18" x14ac:dyDescent="0.2">
      <c r="A2581">
        <v>1968839</v>
      </c>
      <c r="B2581" t="s">
        <v>9594</v>
      </c>
      <c r="C2581">
        <v>0</v>
      </c>
      <c r="D2581">
        <v>0</v>
      </c>
      <c r="E2581">
        <v>0</v>
      </c>
      <c r="F2581">
        <v>1</v>
      </c>
      <c r="G2581">
        <v>0</v>
      </c>
      <c r="H2581">
        <v>0</v>
      </c>
      <c r="I2581">
        <v>0</v>
      </c>
      <c r="J2581">
        <v>0</v>
      </c>
      <c r="K2581">
        <v>0</v>
      </c>
      <c r="L2581" t="s">
        <v>3284</v>
      </c>
      <c r="M2581" t="s">
        <v>3391</v>
      </c>
      <c r="N2581" t="s">
        <v>4129</v>
      </c>
      <c r="O2581" t="s">
        <v>4130</v>
      </c>
      <c r="P2581" t="s">
        <v>4131</v>
      </c>
      <c r="Q2581" t="s">
        <v>9595</v>
      </c>
      <c r="R2581" t="s">
        <v>9596</v>
      </c>
    </row>
    <row r="2582" spans="1:18" x14ac:dyDescent="0.2">
      <c r="A2582">
        <v>1967501</v>
      </c>
      <c r="B2582" t="s">
        <v>9597</v>
      </c>
      <c r="C2582">
        <v>0</v>
      </c>
      <c r="D2582">
        <v>0</v>
      </c>
      <c r="E2582">
        <v>0</v>
      </c>
      <c r="F2582">
        <v>0</v>
      </c>
      <c r="G2582">
        <v>1</v>
      </c>
      <c r="H2582">
        <v>0</v>
      </c>
      <c r="I2582">
        <v>0</v>
      </c>
      <c r="J2582">
        <v>0</v>
      </c>
      <c r="K2582">
        <v>0</v>
      </c>
      <c r="L2582" t="s">
        <v>3284</v>
      </c>
      <c r="M2582" t="s">
        <v>3296</v>
      </c>
      <c r="N2582" t="s">
        <v>3343</v>
      </c>
      <c r="O2582" t="s">
        <v>3344</v>
      </c>
      <c r="P2582" t="s">
        <v>3355</v>
      </c>
      <c r="Q2582" t="s">
        <v>3846</v>
      </c>
      <c r="R2582" t="s">
        <v>9598</v>
      </c>
    </row>
    <row r="2583" spans="1:18" x14ac:dyDescent="0.2">
      <c r="A2583">
        <v>1967498</v>
      </c>
      <c r="B2583" t="s">
        <v>9599</v>
      </c>
      <c r="C2583">
        <v>1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 t="s">
        <v>3284</v>
      </c>
      <c r="M2583" t="s">
        <v>3307</v>
      </c>
      <c r="N2583" t="s">
        <v>5924</v>
      </c>
      <c r="O2583" t="s">
        <v>5925</v>
      </c>
      <c r="P2583" t="s">
        <v>9600</v>
      </c>
      <c r="Q2583" t="s">
        <v>9601</v>
      </c>
      <c r="R2583" t="s">
        <v>9602</v>
      </c>
    </row>
    <row r="2584" spans="1:18" x14ac:dyDescent="0.2">
      <c r="A2584">
        <v>1966341</v>
      </c>
      <c r="B2584" t="s">
        <v>9603</v>
      </c>
      <c r="C2584">
        <v>1</v>
      </c>
      <c r="D2584">
        <v>2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 t="s">
        <v>3284</v>
      </c>
      <c r="M2584" t="s">
        <v>3296</v>
      </c>
      <c r="N2584" t="s">
        <v>3343</v>
      </c>
      <c r="O2584" t="s">
        <v>3344</v>
      </c>
      <c r="P2584" t="s">
        <v>5136</v>
      </c>
      <c r="Q2584" t="s">
        <v>5137</v>
      </c>
      <c r="R2584" t="s">
        <v>9604</v>
      </c>
    </row>
    <row r="2585" spans="1:18" x14ac:dyDescent="0.2">
      <c r="A2585">
        <v>1965587</v>
      </c>
      <c r="B2585" t="s">
        <v>9605</v>
      </c>
      <c r="C2585">
        <v>1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 t="s">
        <v>3284</v>
      </c>
      <c r="M2585" t="s">
        <v>3327</v>
      </c>
      <c r="N2585" t="s">
        <v>3328</v>
      </c>
      <c r="O2585" t="s">
        <v>3329</v>
      </c>
      <c r="P2585" t="s">
        <v>6299</v>
      </c>
      <c r="Q2585" t="s">
        <v>9606</v>
      </c>
      <c r="R2585" t="s">
        <v>9607</v>
      </c>
    </row>
    <row r="2586" spans="1:18" x14ac:dyDescent="0.2">
      <c r="A2586">
        <v>1965542</v>
      </c>
      <c r="B2586" t="s">
        <v>9608</v>
      </c>
      <c r="C2586">
        <v>0</v>
      </c>
      <c r="D2586">
        <v>1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 t="s">
        <v>3284</v>
      </c>
      <c r="M2586" t="s">
        <v>3327</v>
      </c>
      <c r="N2586" t="s">
        <v>3328</v>
      </c>
      <c r="O2586" t="s">
        <v>3329</v>
      </c>
      <c r="P2586" t="s">
        <v>3339</v>
      </c>
      <c r="Q2586" t="s">
        <v>3340</v>
      </c>
      <c r="R2586" t="s">
        <v>9609</v>
      </c>
    </row>
    <row r="2587" spans="1:18" x14ac:dyDescent="0.2">
      <c r="A2587">
        <v>1965333</v>
      </c>
      <c r="B2587" t="s">
        <v>9610</v>
      </c>
      <c r="C2587">
        <v>1</v>
      </c>
      <c r="D2587">
        <v>0</v>
      </c>
      <c r="E2587">
        <v>0</v>
      </c>
      <c r="F2587">
        <v>2</v>
      </c>
      <c r="G2587">
        <v>0</v>
      </c>
      <c r="H2587">
        <v>0</v>
      </c>
      <c r="I2587">
        <v>0</v>
      </c>
      <c r="J2587">
        <v>0</v>
      </c>
      <c r="K2587">
        <v>0</v>
      </c>
      <c r="L2587" t="s">
        <v>3284</v>
      </c>
      <c r="M2587" t="s">
        <v>3816</v>
      </c>
      <c r="N2587" t="s">
        <v>3817</v>
      </c>
      <c r="O2587" t="s">
        <v>3818</v>
      </c>
      <c r="P2587" t="s">
        <v>3819</v>
      </c>
      <c r="Q2587" t="s">
        <v>9611</v>
      </c>
      <c r="R2587" t="s">
        <v>9612</v>
      </c>
    </row>
    <row r="2588" spans="1:18" x14ac:dyDescent="0.2">
      <c r="A2588">
        <v>1965322</v>
      </c>
      <c r="B2588" t="s">
        <v>9613</v>
      </c>
      <c r="C2588">
        <v>0</v>
      </c>
      <c r="D2588">
        <v>0</v>
      </c>
      <c r="E2588">
        <v>1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 t="s">
        <v>3284</v>
      </c>
      <c r="M2588" t="s">
        <v>3296</v>
      </c>
      <c r="N2588" t="s">
        <v>3297</v>
      </c>
      <c r="O2588" t="s">
        <v>7551</v>
      </c>
      <c r="P2588" t="s">
        <v>7552</v>
      </c>
      <c r="Q2588" t="s">
        <v>9614</v>
      </c>
      <c r="R2588" t="s">
        <v>9615</v>
      </c>
    </row>
    <row r="2589" spans="1:18" x14ac:dyDescent="0.2">
      <c r="A2589">
        <v>1965305</v>
      </c>
      <c r="B2589" t="s">
        <v>9616</v>
      </c>
      <c r="C2589">
        <v>2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 t="s">
        <v>3284</v>
      </c>
      <c r="M2589" t="s">
        <v>3327</v>
      </c>
      <c r="N2589" t="s">
        <v>3328</v>
      </c>
      <c r="O2589" t="s">
        <v>4184</v>
      </c>
      <c r="P2589" t="s">
        <v>4185</v>
      </c>
      <c r="Q2589" t="s">
        <v>9617</v>
      </c>
      <c r="R2589" t="s">
        <v>9618</v>
      </c>
    </row>
    <row r="2590" spans="1:18" x14ac:dyDescent="0.2">
      <c r="A2590">
        <v>1965304</v>
      </c>
      <c r="B2590" t="s">
        <v>9619</v>
      </c>
      <c r="C2590">
        <v>0</v>
      </c>
      <c r="D2590">
        <v>1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 t="s">
        <v>3284</v>
      </c>
      <c r="M2590" t="s">
        <v>3327</v>
      </c>
      <c r="N2590" t="s">
        <v>3328</v>
      </c>
      <c r="O2590" t="s">
        <v>4184</v>
      </c>
      <c r="P2590" t="s">
        <v>4185</v>
      </c>
      <c r="Q2590" t="s">
        <v>9620</v>
      </c>
      <c r="R2590" t="s">
        <v>9621</v>
      </c>
    </row>
    <row r="2591" spans="1:18" x14ac:dyDescent="0.2">
      <c r="A2591">
        <v>1965302</v>
      </c>
      <c r="B2591" t="s">
        <v>9622</v>
      </c>
      <c r="C2591">
        <v>1</v>
      </c>
      <c r="D2591">
        <v>0</v>
      </c>
      <c r="E2591">
        <v>1</v>
      </c>
      <c r="F2591">
        <v>0</v>
      </c>
      <c r="G2591">
        <v>0</v>
      </c>
      <c r="H2591">
        <v>0</v>
      </c>
      <c r="I2591">
        <v>0</v>
      </c>
      <c r="J2591">
        <v>1</v>
      </c>
      <c r="K2591">
        <v>0</v>
      </c>
      <c r="L2591" t="s">
        <v>3284</v>
      </c>
      <c r="M2591" t="s">
        <v>3327</v>
      </c>
      <c r="N2591" t="s">
        <v>3328</v>
      </c>
      <c r="O2591" t="s">
        <v>4184</v>
      </c>
      <c r="P2591" t="s">
        <v>4185</v>
      </c>
      <c r="Q2591" t="s">
        <v>6781</v>
      </c>
      <c r="R2591" t="s">
        <v>9623</v>
      </c>
    </row>
    <row r="2592" spans="1:18" x14ac:dyDescent="0.2">
      <c r="A2592">
        <v>1965230</v>
      </c>
      <c r="B2592" t="s">
        <v>9624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1</v>
      </c>
      <c r="J2592">
        <v>0</v>
      </c>
      <c r="K2592">
        <v>0</v>
      </c>
      <c r="L2592" t="s">
        <v>3284</v>
      </c>
      <c r="M2592" t="s">
        <v>3296</v>
      </c>
      <c r="N2592" t="s">
        <v>3321</v>
      </c>
      <c r="O2592" t="s">
        <v>3322</v>
      </c>
      <c r="P2592" t="s">
        <v>9625</v>
      </c>
      <c r="Q2592" t="s">
        <v>9626</v>
      </c>
      <c r="R2592" t="s">
        <v>9627</v>
      </c>
    </row>
    <row r="2593" spans="1:18" x14ac:dyDescent="0.2">
      <c r="A2593">
        <v>1964382</v>
      </c>
      <c r="B2593" t="s">
        <v>9628</v>
      </c>
      <c r="C2593">
        <v>11</v>
      </c>
      <c r="D2593">
        <v>8</v>
      </c>
      <c r="E2593">
        <v>6</v>
      </c>
      <c r="F2593">
        <v>0</v>
      </c>
      <c r="G2593">
        <v>0</v>
      </c>
      <c r="H2593">
        <v>0</v>
      </c>
      <c r="I2593">
        <v>1</v>
      </c>
      <c r="J2593">
        <v>0</v>
      </c>
      <c r="K2593">
        <v>0</v>
      </c>
      <c r="L2593" t="s">
        <v>3284</v>
      </c>
      <c r="M2593" t="s">
        <v>3327</v>
      </c>
      <c r="N2593" t="s">
        <v>3328</v>
      </c>
      <c r="O2593" t="s">
        <v>3329</v>
      </c>
      <c r="P2593" t="s">
        <v>3330</v>
      </c>
      <c r="Q2593" t="s">
        <v>9629</v>
      </c>
      <c r="R2593" t="s">
        <v>9630</v>
      </c>
    </row>
    <row r="2594" spans="1:18" x14ac:dyDescent="0.2">
      <c r="A2594">
        <v>1963835</v>
      </c>
      <c r="B2594" t="s">
        <v>9631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1</v>
      </c>
      <c r="L2594" t="s">
        <v>3284</v>
      </c>
      <c r="M2594" t="s">
        <v>3296</v>
      </c>
      <c r="N2594" t="s">
        <v>3343</v>
      </c>
      <c r="O2594" t="s">
        <v>8419</v>
      </c>
      <c r="P2594" t="s">
        <v>8420</v>
      </c>
      <c r="Q2594" t="s">
        <v>9632</v>
      </c>
      <c r="R2594" t="s">
        <v>9633</v>
      </c>
    </row>
    <row r="2595" spans="1:18" x14ac:dyDescent="0.2">
      <c r="A2595">
        <v>1962978</v>
      </c>
      <c r="B2595" t="s">
        <v>9634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1</v>
      </c>
      <c r="J2595">
        <v>0</v>
      </c>
      <c r="K2595">
        <v>0</v>
      </c>
      <c r="L2595" t="s">
        <v>3284</v>
      </c>
      <c r="M2595" t="s">
        <v>3296</v>
      </c>
      <c r="N2595" t="s">
        <v>3297</v>
      </c>
      <c r="O2595" t="s">
        <v>7529</v>
      </c>
      <c r="P2595" t="s">
        <v>7530</v>
      </c>
      <c r="Q2595" t="s">
        <v>9635</v>
      </c>
      <c r="R2595" t="s">
        <v>9636</v>
      </c>
    </row>
    <row r="2596" spans="1:18" x14ac:dyDescent="0.2">
      <c r="A2596">
        <v>1962975</v>
      </c>
      <c r="B2596" t="s">
        <v>9637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2</v>
      </c>
      <c r="J2596">
        <v>0</v>
      </c>
      <c r="K2596">
        <v>1</v>
      </c>
      <c r="L2596" t="s">
        <v>3284</v>
      </c>
      <c r="M2596" t="s">
        <v>3296</v>
      </c>
      <c r="N2596" t="s">
        <v>3343</v>
      </c>
      <c r="O2596" t="s">
        <v>3344</v>
      </c>
      <c r="P2596" t="s">
        <v>5524</v>
      </c>
      <c r="Q2596" t="s">
        <v>5525</v>
      </c>
      <c r="R2596" t="s">
        <v>9638</v>
      </c>
    </row>
    <row r="2597" spans="1:18" x14ac:dyDescent="0.2">
      <c r="A2597">
        <v>1962973</v>
      </c>
      <c r="B2597" t="s">
        <v>9639</v>
      </c>
      <c r="C2597">
        <v>0</v>
      </c>
      <c r="D2597">
        <v>1</v>
      </c>
      <c r="E2597">
        <v>0</v>
      </c>
      <c r="F2597">
        <v>0</v>
      </c>
      <c r="G2597">
        <v>1</v>
      </c>
      <c r="H2597">
        <v>0</v>
      </c>
      <c r="I2597">
        <v>0</v>
      </c>
      <c r="J2597">
        <v>0</v>
      </c>
      <c r="K2597">
        <v>0</v>
      </c>
      <c r="L2597" t="s">
        <v>3284</v>
      </c>
      <c r="M2597" t="s">
        <v>3816</v>
      </c>
      <c r="N2597" t="s">
        <v>3817</v>
      </c>
      <c r="O2597" t="s">
        <v>3818</v>
      </c>
      <c r="P2597" t="s">
        <v>3819</v>
      </c>
      <c r="Q2597" t="s">
        <v>3820</v>
      </c>
      <c r="R2597" t="s">
        <v>9640</v>
      </c>
    </row>
    <row r="2598" spans="1:18" x14ac:dyDescent="0.2">
      <c r="A2598">
        <v>1962700</v>
      </c>
      <c r="B2598" t="s">
        <v>9641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1</v>
      </c>
      <c r="J2598">
        <v>0</v>
      </c>
      <c r="K2598">
        <v>0</v>
      </c>
      <c r="L2598" t="s">
        <v>3284</v>
      </c>
      <c r="M2598" t="s">
        <v>3296</v>
      </c>
      <c r="N2598" t="s">
        <v>3321</v>
      </c>
      <c r="O2598" t="s">
        <v>3322</v>
      </c>
      <c r="P2598" t="s">
        <v>3398</v>
      </c>
      <c r="Q2598" t="s">
        <v>3556</v>
      </c>
      <c r="R2598" t="s">
        <v>9642</v>
      </c>
    </row>
    <row r="2599" spans="1:18" x14ac:dyDescent="0.2">
      <c r="A2599">
        <v>1962403</v>
      </c>
      <c r="B2599" t="s">
        <v>9643</v>
      </c>
      <c r="C2599">
        <v>0</v>
      </c>
      <c r="D2599">
        <v>0</v>
      </c>
      <c r="E2599">
        <v>0</v>
      </c>
      <c r="F2599">
        <v>0</v>
      </c>
      <c r="G2599">
        <v>1</v>
      </c>
      <c r="H2599">
        <v>0</v>
      </c>
      <c r="I2599">
        <v>0</v>
      </c>
      <c r="J2599">
        <v>0</v>
      </c>
      <c r="K2599">
        <v>0</v>
      </c>
      <c r="L2599" t="s">
        <v>3284</v>
      </c>
      <c r="M2599" t="s">
        <v>3296</v>
      </c>
      <c r="N2599" t="s">
        <v>3343</v>
      </c>
      <c r="O2599" t="s">
        <v>3349</v>
      </c>
      <c r="P2599" t="s">
        <v>3350</v>
      </c>
      <c r="Q2599" t="s">
        <v>3351</v>
      </c>
      <c r="R2599" t="s">
        <v>9644</v>
      </c>
    </row>
    <row r="2600" spans="1:18" x14ac:dyDescent="0.2">
      <c r="A2600">
        <v>1962263</v>
      </c>
      <c r="B2600" t="s">
        <v>9645</v>
      </c>
      <c r="C2600">
        <v>2</v>
      </c>
      <c r="D2600">
        <v>0</v>
      </c>
      <c r="E2600">
        <v>1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 t="s">
        <v>3284</v>
      </c>
      <c r="M2600" t="s">
        <v>3327</v>
      </c>
      <c r="N2600" t="s">
        <v>3328</v>
      </c>
      <c r="O2600" t="s">
        <v>3329</v>
      </c>
      <c r="P2600" t="s">
        <v>3330</v>
      </c>
      <c r="Q2600" t="s">
        <v>3331</v>
      </c>
      <c r="R2600" t="s">
        <v>9646</v>
      </c>
    </row>
    <row r="2601" spans="1:18" x14ac:dyDescent="0.2">
      <c r="A2601">
        <v>1962181</v>
      </c>
      <c r="B2601" t="s">
        <v>9647</v>
      </c>
      <c r="C2601">
        <v>0</v>
      </c>
      <c r="D2601">
        <v>1</v>
      </c>
      <c r="E2601">
        <v>1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 t="s">
        <v>3284</v>
      </c>
      <c r="M2601" t="s">
        <v>3296</v>
      </c>
      <c r="N2601" t="s">
        <v>3321</v>
      </c>
      <c r="O2601" t="s">
        <v>3322</v>
      </c>
      <c r="P2601" t="s">
        <v>3671</v>
      </c>
      <c r="Q2601" t="s">
        <v>4354</v>
      </c>
      <c r="R2601" t="s">
        <v>9648</v>
      </c>
    </row>
    <row r="2602" spans="1:18" x14ac:dyDescent="0.2">
      <c r="A2602">
        <v>1962180</v>
      </c>
      <c r="B2602" t="s">
        <v>9649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1</v>
      </c>
      <c r="J2602">
        <v>0</v>
      </c>
      <c r="K2602">
        <v>0</v>
      </c>
      <c r="L2602" t="s">
        <v>3284</v>
      </c>
      <c r="M2602" t="s">
        <v>3307</v>
      </c>
      <c r="N2602" t="s">
        <v>3308</v>
      </c>
      <c r="O2602" t="s">
        <v>3699</v>
      </c>
      <c r="P2602" t="s">
        <v>3700</v>
      </c>
      <c r="Q2602" t="s">
        <v>9650</v>
      </c>
      <c r="R2602" t="s">
        <v>9651</v>
      </c>
    </row>
    <row r="2603" spans="1:18" x14ac:dyDescent="0.2">
      <c r="A2603">
        <v>1961706</v>
      </c>
      <c r="B2603" t="s">
        <v>9652</v>
      </c>
      <c r="C2603">
        <v>0</v>
      </c>
      <c r="D2603">
        <v>0</v>
      </c>
      <c r="E2603">
        <v>0</v>
      </c>
      <c r="F2603">
        <v>1</v>
      </c>
      <c r="G2603">
        <v>0</v>
      </c>
      <c r="H2603">
        <v>0</v>
      </c>
      <c r="I2603">
        <v>0</v>
      </c>
      <c r="J2603">
        <v>0</v>
      </c>
      <c r="K2603">
        <v>0</v>
      </c>
      <c r="L2603" t="s">
        <v>3284</v>
      </c>
      <c r="M2603" t="s">
        <v>3307</v>
      </c>
      <c r="N2603" t="s">
        <v>3308</v>
      </c>
      <c r="O2603" t="s">
        <v>3635</v>
      </c>
      <c r="P2603" t="s">
        <v>4011</v>
      </c>
      <c r="Q2603" t="s">
        <v>4012</v>
      </c>
      <c r="R2603" t="s">
        <v>9653</v>
      </c>
    </row>
    <row r="2604" spans="1:18" x14ac:dyDescent="0.2">
      <c r="A2604">
        <v>1961364</v>
      </c>
      <c r="B2604" t="s">
        <v>9654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1</v>
      </c>
      <c r="I2604">
        <v>0</v>
      </c>
      <c r="J2604">
        <v>0</v>
      </c>
      <c r="K2604">
        <v>0</v>
      </c>
      <c r="L2604" t="s">
        <v>3284</v>
      </c>
      <c r="M2604" t="s">
        <v>3391</v>
      </c>
      <c r="N2604" t="s">
        <v>3765</v>
      </c>
      <c r="O2604" t="s">
        <v>5659</v>
      </c>
      <c r="P2604" t="s">
        <v>9655</v>
      </c>
      <c r="Q2604" t="s">
        <v>9656</v>
      </c>
      <c r="R2604" t="s">
        <v>9657</v>
      </c>
    </row>
    <row r="2605" spans="1:18" x14ac:dyDescent="0.2">
      <c r="A2605">
        <v>1960881</v>
      </c>
      <c r="B2605" t="s">
        <v>9658</v>
      </c>
      <c r="C2605">
        <v>1</v>
      </c>
      <c r="D2605">
        <v>4</v>
      </c>
      <c r="E2605">
        <v>1</v>
      </c>
      <c r="F2605">
        <v>1</v>
      </c>
      <c r="G2605">
        <v>0</v>
      </c>
      <c r="H2605">
        <v>0</v>
      </c>
      <c r="I2605">
        <v>0</v>
      </c>
      <c r="J2605">
        <v>0</v>
      </c>
      <c r="K2605">
        <v>0</v>
      </c>
      <c r="L2605" t="s">
        <v>3284</v>
      </c>
      <c r="M2605" t="s">
        <v>3391</v>
      </c>
      <c r="N2605" t="s">
        <v>3740</v>
      </c>
      <c r="O2605" t="s">
        <v>3741</v>
      </c>
      <c r="P2605" t="s">
        <v>3742</v>
      </c>
      <c r="Q2605" t="s">
        <v>4997</v>
      </c>
      <c r="R2605" t="s">
        <v>9659</v>
      </c>
    </row>
    <row r="2606" spans="1:18" x14ac:dyDescent="0.2">
      <c r="A2606">
        <v>1960309</v>
      </c>
      <c r="B2606" t="s">
        <v>9660</v>
      </c>
      <c r="C2606">
        <v>0</v>
      </c>
      <c r="D2606">
        <v>0</v>
      </c>
      <c r="E2606">
        <v>0</v>
      </c>
      <c r="F2606">
        <v>1</v>
      </c>
      <c r="G2606">
        <v>0</v>
      </c>
      <c r="H2606">
        <v>0</v>
      </c>
      <c r="I2606">
        <v>0</v>
      </c>
      <c r="J2606">
        <v>0</v>
      </c>
      <c r="K2606">
        <v>0</v>
      </c>
      <c r="L2606" t="s">
        <v>3284</v>
      </c>
      <c r="M2606" t="s">
        <v>3307</v>
      </c>
      <c r="N2606" t="s">
        <v>3308</v>
      </c>
      <c r="O2606" t="s">
        <v>8932</v>
      </c>
      <c r="P2606" t="s">
        <v>8933</v>
      </c>
      <c r="Q2606" t="s">
        <v>9661</v>
      </c>
      <c r="R2606" t="s">
        <v>9662</v>
      </c>
    </row>
    <row r="2607" spans="1:18" x14ac:dyDescent="0.2">
      <c r="A2607">
        <v>1960278</v>
      </c>
      <c r="B2607" t="s">
        <v>9663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4</v>
      </c>
      <c r="J2607">
        <v>1</v>
      </c>
      <c r="K2607">
        <v>1</v>
      </c>
      <c r="L2607" t="s">
        <v>3284</v>
      </c>
      <c r="M2607" t="s">
        <v>3327</v>
      </c>
      <c r="N2607" t="s">
        <v>3753</v>
      </c>
      <c r="O2607" t="s">
        <v>3754</v>
      </c>
      <c r="P2607" t="s">
        <v>3755</v>
      </c>
      <c r="Q2607" t="s">
        <v>9664</v>
      </c>
      <c r="R2607" t="s">
        <v>9665</v>
      </c>
    </row>
    <row r="2608" spans="1:18" x14ac:dyDescent="0.2">
      <c r="A2608">
        <v>1960156</v>
      </c>
      <c r="B2608" t="s">
        <v>9666</v>
      </c>
      <c r="C2608">
        <v>0</v>
      </c>
      <c r="D2608">
        <v>0</v>
      </c>
      <c r="E2608">
        <v>0</v>
      </c>
      <c r="F2608">
        <v>2</v>
      </c>
      <c r="G2608">
        <v>0</v>
      </c>
      <c r="H2608">
        <v>0</v>
      </c>
      <c r="I2608">
        <v>0</v>
      </c>
      <c r="J2608">
        <v>0</v>
      </c>
      <c r="K2608">
        <v>0</v>
      </c>
      <c r="L2608" t="s">
        <v>3284</v>
      </c>
      <c r="M2608" t="s">
        <v>9667</v>
      </c>
      <c r="N2608" t="s">
        <v>9668</v>
      </c>
      <c r="O2608" t="s">
        <v>9669</v>
      </c>
      <c r="P2608" t="s">
        <v>9670</v>
      </c>
      <c r="Q2608" t="s">
        <v>9671</v>
      </c>
      <c r="R2608" t="s">
        <v>9672</v>
      </c>
    </row>
    <row r="2609" spans="1:18" x14ac:dyDescent="0.2">
      <c r="A2609">
        <v>1958780</v>
      </c>
      <c r="B2609" t="s">
        <v>9673</v>
      </c>
      <c r="C2609">
        <v>0</v>
      </c>
      <c r="D2609">
        <v>0</v>
      </c>
      <c r="E2609">
        <v>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 t="s">
        <v>3284</v>
      </c>
      <c r="M2609" t="s">
        <v>3327</v>
      </c>
      <c r="N2609" t="s">
        <v>3328</v>
      </c>
      <c r="O2609" t="s">
        <v>3329</v>
      </c>
      <c r="P2609" t="s">
        <v>3330</v>
      </c>
      <c r="Q2609" t="s">
        <v>3331</v>
      </c>
      <c r="R2609" t="s">
        <v>9674</v>
      </c>
    </row>
    <row r="2610" spans="1:18" x14ac:dyDescent="0.2">
      <c r="A2610">
        <v>1955814</v>
      </c>
      <c r="B2610" t="s">
        <v>9675</v>
      </c>
      <c r="C2610">
        <v>0</v>
      </c>
      <c r="D2610">
        <v>1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 t="s">
        <v>3284</v>
      </c>
      <c r="M2610" t="s">
        <v>3327</v>
      </c>
      <c r="N2610" t="s">
        <v>3753</v>
      </c>
      <c r="O2610" t="s">
        <v>9676</v>
      </c>
      <c r="P2610" t="s">
        <v>9677</v>
      </c>
      <c r="Q2610" t="s">
        <v>9678</v>
      </c>
      <c r="R2610" t="s">
        <v>9679</v>
      </c>
    </row>
    <row r="2611" spans="1:18" x14ac:dyDescent="0.2">
      <c r="A2611">
        <v>1955623</v>
      </c>
      <c r="B2611" t="s">
        <v>9680</v>
      </c>
      <c r="C2611">
        <v>0</v>
      </c>
      <c r="D2611">
        <v>1</v>
      </c>
      <c r="E2611">
        <v>0</v>
      </c>
      <c r="F2611">
        <v>3</v>
      </c>
      <c r="G2611">
        <v>1</v>
      </c>
      <c r="H2611">
        <v>0</v>
      </c>
      <c r="I2611">
        <v>10</v>
      </c>
      <c r="J2611">
        <v>7</v>
      </c>
      <c r="K2611">
        <v>0</v>
      </c>
      <c r="L2611" t="s">
        <v>3284</v>
      </c>
      <c r="M2611" t="s">
        <v>3307</v>
      </c>
      <c r="N2611" t="s">
        <v>3308</v>
      </c>
      <c r="O2611" t="s">
        <v>3309</v>
      </c>
      <c r="P2611" t="s">
        <v>3310</v>
      </c>
      <c r="Q2611" t="s">
        <v>3883</v>
      </c>
      <c r="R2611" t="s">
        <v>9681</v>
      </c>
    </row>
    <row r="2612" spans="1:18" x14ac:dyDescent="0.2">
      <c r="A2612">
        <v>1955250</v>
      </c>
      <c r="B2612" t="s">
        <v>9682</v>
      </c>
      <c r="C2612">
        <v>0</v>
      </c>
      <c r="D2612">
        <v>0</v>
      </c>
      <c r="E2612">
        <v>0</v>
      </c>
      <c r="F2612">
        <v>1</v>
      </c>
      <c r="G2612">
        <v>1</v>
      </c>
      <c r="H2612">
        <v>0</v>
      </c>
      <c r="I2612">
        <v>0</v>
      </c>
      <c r="J2612">
        <v>0</v>
      </c>
      <c r="K2612">
        <v>0</v>
      </c>
      <c r="L2612" t="s">
        <v>3284</v>
      </c>
      <c r="M2612" t="s">
        <v>3296</v>
      </c>
      <c r="N2612" t="s">
        <v>3343</v>
      </c>
      <c r="O2612" t="s">
        <v>3349</v>
      </c>
      <c r="P2612" t="s">
        <v>3350</v>
      </c>
      <c r="Q2612" t="s">
        <v>3351</v>
      </c>
      <c r="R2612" t="s">
        <v>9683</v>
      </c>
    </row>
    <row r="2613" spans="1:18" x14ac:dyDescent="0.2">
      <c r="A2613">
        <v>1955052</v>
      </c>
      <c r="B2613" t="s">
        <v>9684</v>
      </c>
      <c r="C2613">
        <v>0</v>
      </c>
      <c r="D2613">
        <v>0</v>
      </c>
      <c r="E2613">
        <v>0</v>
      </c>
      <c r="F2613">
        <v>2</v>
      </c>
      <c r="G2613">
        <v>3</v>
      </c>
      <c r="H2613">
        <v>0</v>
      </c>
      <c r="I2613">
        <v>2</v>
      </c>
      <c r="J2613">
        <v>0</v>
      </c>
      <c r="K2613">
        <v>0</v>
      </c>
      <c r="L2613" t="s">
        <v>3284</v>
      </c>
      <c r="M2613" t="s">
        <v>3391</v>
      </c>
      <c r="N2613" t="s">
        <v>3392</v>
      </c>
      <c r="O2613" t="s">
        <v>3393</v>
      </c>
      <c r="P2613" t="s">
        <v>3394</v>
      </c>
      <c r="Q2613" t="s">
        <v>4082</v>
      </c>
      <c r="R2613" t="s">
        <v>9685</v>
      </c>
    </row>
    <row r="2614" spans="1:18" x14ac:dyDescent="0.2">
      <c r="A2614">
        <v>1954475</v>
      </c>
      <c r="B2614" t="s">
        <v>9686</v>
      </c>
      <c r="C2614">
        <v>1</v>
      </c>
      <c r="D2614">
        <v>1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 t="s">
        <v>3284</v>
      </c>
      <c r="M2614" t="s">
        <v>3391</v>
      </c>
      <c r="N2614" t="s">
        <v>3765</v>
      </c>
      <c r="O2614" t="s">
        <v>5659</v>
      </c>
      <c r="P2614" t="s">
        <v>9655</v>
      </c>
      <c r="Q2614" t="s">
        <v>9687</v>
      </c>
      <c r="R2614" t="s">
        <v>9688</v>
      </c>
    </row>
    <row r="2615" spans="1:18" x14ac:dyDescent="0.2">
      <c r="A2615">
        <v>1954171</v>
      </c>
      <c r="B2615" t="s">
        <v>9689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1</v>
      </c>
      <c r="J2615">
        <v>0</v>
      </c>
      <c r="K2615">
        <v>0</v>
      </c>
      <c r="L2615" t="s">
        <v>3284</v>
      </c>
      <c r="M2615" t="s">
        <v>4022</v>
      </c>
      <c r="N2615" t="s">
        <v>4023</v>
      </c>
      <c r="O2615" t="s">
        <v>4289</v>
      </c>
      <c r="P2615" t="s">
        <v>4371</v>
      </c>
      <c r="Q2615" t="s">
        <v>4372</v>
      </c>
      <c r="R2615" t="s">
        <v>9690</v>
      </c>
    </row>
    <row r="2616" spans="1:18" x14ac:dyDescent="0.2">
      <c r="A2616">
        <v>1951219</v>
      </c>
      <c r="B2616" t="s">
        <v>9691</v>
      </c>
      <c r="C2616">
        <v>0</v>
      </c>
      <c r="D2616">
        <v>0</v>
      </c>
      <c r="E2616">
        <v>1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1</v>
      </c>
      <c r="L2616" t="s">
        <v>3284</v>
      </c>
      <c r="M2616" t="s">
        <v>3296</v>
      </c>
      <c r="N2616" t="s">
        <v>3343</v>
      </c>
      <c r="O2616" t="s">
        <v>3344</v>
      </c>
      <c r="P2616" t="s">
        <v>5136</v>
      </c>
      <c r="Q2616" t="s">
        <v>9692</v>
      </c>
      <c r="R2616" t="s">
        <v>9693</v>
      </c>
    </row>
    <row r="2617" spans="1:18" x14ac:dyDescent="0.2">
      <c r="A2617">
        <v>1947510</v>
      </c>
      <c r="B2617" t="s">
        <v>9694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1</v>
      </c>
      <c r="J2617">
        <v>0</v>
      </c>
      <c r="K2617">
        <v>0</v>
      </c>
      <c r="L2617" t="s">
        <v>3284</v>
      </c>
      <c r="M2617" t="s">
        <v>3391</v>
      </c>
      <c r="N2617" t="s">
        <v>3392</v>
      </c>
      <c r="O2617" t="s">
        <v>3393</v>
      </c>
      <c r="P2617" t="s">
        <v>3394</v>
      </c>
      <c r="Q2617" t="s">
        <v>4351</v>
      </c>
      <c r="R2617" t="s">
        <v>9695</v>
      </c>
    </row>
    <row r="2618" spans="1:18" x14ac:dyDescent="0.2">
      <c r="A2618">
        <v>1947505</v>
      </c>
      <c r="B2618" t="s">
        <v>9696</v>
      </c>
      <c r="C2618">
        <v>1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 t="s">
        <v>3284</v>
      </c>
      <c r="M2618" t="s">
        <v>3391</v>
      </c>
      <c r="N2618" t="s">
        <v>3392</v>
      </c>
      <c r="O2618" t="s">
        <v>3393</v>
      </c>
      <c r="P2618" t="s">
        <v>3394</v>
      </c>
      <c r="Q2618" t="s">
        <v>4351</v>
      </c>
      <c r="R2618" t="s">
        <v>9697</v>
      </c>
    </row>
    <row r="2619" spans="1:18" x14ac:dyDescent="0.2">
      <c r="A2619">
        <v>1947487</v>
      </c>
      <c r="B2619" t="s">
        <v>9698</v>
      </c>
      <c r="C2619">
        <v>0</v>
      </c>
      <c r="D2619">
        <v>1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 t="s">
        <v>3284</v>
      </c>
      <c r="M2619" t="s">
        <v>3391</v>
      </c>
      <c r="N2619" t="s">
        <v>3392</v>
      </c>
      <c r="O2619" t="s">
        <v>3393</v>
      </c>
      <c r="P2619" t="s">
        <v>3394</v>
      </c>
      <c r="Q2619" t="s">
        <v>4351</v>
      </c>
      <c r="R2619" t="s">
        <v>9699</v>
      </c>
    </row>
    <row r="2620" spans="1:18" x14ac:dyDescent="0.2">
      <c r="A2620">
        <v>1947332</v>
      </c>
      <c r="B2620" t="s">
        <v>9700</v>
      </c>
      <c r="C2620">
        <v>0</v>
      </c>
      <c r="D2620">
        <v>0</v>
      </c>
      <c r="E2620">
        <v>0</v>
      </c>
      <c r="F2620">
        <v>0</v>
      </c>
      <c r="G2620">
        <v>1</v>
      </c>
      <c r="H2620">
        <v>0</v>
      </c>
      <c r="I2620">
        <v>0</v>
      </c>
      <c r="J2620">
        <v>0</v>
      </c>
      <c r="K2620">
        <v>0</v>
      </c>
      <c r="L2620" t="s">
        <v>3284</v>
      </c>
      <c r="M2620" t="s">
        <v>3296</v>
      </c>
      <c r="N2620" t="s">
        <v>3297</v>
      </c>
      <c r="O2620" t="s">
        <v>3434</v>
      </c>
      <c r="P2620" t="s">
        <v>3435</v>
      </c>
      <c r="Q2620" t="s">
        <v>3436</v>
      </c>
      <c r="R2620" t="s">
        <v>9701</v>
      </c>
    </row>
    <row r="2621" spans="1:18" x14ac:dyDescent="0.2">
      <c r="A2621">
        <v>1947311</v>
      </c>
      <c r="B2621" t="s">
        <v>9702</v>
      </c>
      <c r="C2621">
        <v>0</v>
      </c>
      <c r="D2621">
        <v>1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 t="s">
        <v>3284</v>
      </c>
      <c r="M2621" t="s">
        <v>3296</v>
      </c>
      <c r="N2621" t="s">
        <v>3297</v>
      </c>
      <c r="O2621" t="s">
        <v>3434</v>
      </c>
      <c r="P2621" t="s">
        <v>3435</v>
      </c>
      <c r="Q2621" t="s">
        <v>3436</v>
      </c>
      <c r="R2621" t="s">
        <v>9703</v>
      </c>
    </row>
    <row r="2622" spans="1:18" x14ac:dyDescent="0.2">
      <c r="A2622">
        <v>1947074</v>
      </c>
      <c r="B2622" t="s">
        <v>9704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1</v>
      </c>
      <c r="K2622">
        <v>0</v>
      </c>
      <c r="L2622" t="s">
        <v>3284</v>
      </c>
      <c r="M2622" t="s">
        <v>3296</v>
      </c>
      <c r="N2622" t="s">
        <v>3321</v>
      </c>
      <c r="O2622" t="s">
        <v>3322</v>
      </c>
      <c r="P2622" t="s">
        <v>3398</v>
      </c>
      <c r="Q2622" t="s">
        <v>4593</v>
      </c>
      <c r="R2622" t="s">
        <v>9705</v>
      </c>
    </row>
    <row r="2623" spans="1:18" x14ac:dyDescent="0.2">
      <c r="A2623">
        <v>1947061</v>
      </c>
      <c r="B2623" t="s">
        <v>9706</v>
      </c>
      <c r="C2623">
        <v>0</v>
      </c>
      <c r="D2623">
        <v>0</v>
      </c>
      <c r="E2623">
        <v>0</v>
      </c>
      <c r="F2623">
        <v>1</v>
      </c>
      <c r="G2623">
        <v>1</v>
      </c>
      <c r="H2623">
        <v>0</v>
      </c>
      <c r="I2623">
        <v>0</v>
      </c>
      <c r="J2623">
        <v>0</v>
      </c>
      <c r="K2623">
        <v>0</v>
      </c>
      <c r="L2623" t="s">
        <v>3284</v>
      </c>
      <c r="M2623" t="s">
        <v>3391</v>
      </c>
      <c r="N2623" t="s">
        <v>3392</v>
      </c>
      <c r="O2623" t="s">
        <v>3393</v>
      </c>
      <c r="P2623" t="s">
        <v>3394</v>
      </c>
      <c r="Q2623" t="s">
        <v>3395</v>
      </c>
      <c r="R2623" t="s">
        <v>9707</v>
      </c>
    </row>
    <row r="2624" spans="1:18" x14ac:dyDescent="0.2">
      <c r="A2624">
        <v>1947060</v>
      </c>
      <c r="B2624" t="s">
        <v>9708</v>
      </c>
      <c r="C2624">
        <v>1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 t="s">
        <v>3284</v>
      </c>
      <c r="M2624" t="s">
        <v>3391</v>
      </c>
      <c r="N2624" t="s">
        <v>3392</v>
      </c>
      <c r="O2624" t="s">
        <v>3393</v>
      </c>
      <c r="P2624" t="s">
        <v>3394</v>
      </c>
      <c r="Q2624" t="s">
        <v>3395</v>
      </c>
      <c r="R2624" t="s">
        <v>9709</v>
      </c>
    </row>
    <row r="2625" spans="1:18" x14ac:dyDescent="0.2">
      <c r="A2625">
        <v>1946945</v>
      </c>
      <c r="B2625" t="s">
        <v>9710</v>
      </c>
      <c r="C2625">
        <v>0</v>
      </c>
      <c r="D2625">
        <v>0</v>
      </c>
      <c r="E2625">
        <v>0</v>
      </c>
      <c r="F2625">
        <v>0</v>
      </c>
      <c r="G2625">
        <v>1</v>
      </c>
      <c r="H2625">
        <v>0</v>
      </c>
      <c r="I2625">
        <v>0</v>
      </c>
      <c r="J2625">
        <v>0</v>
      </c>
      <c r="K2625">
        <v>0</v>
      </c>
      <c r="L2625" t="s">
        <v>3284</v>
      </c>
      <c r="M2625" t="s">
        <v>3307</v>
      </c>
      <c r="N2625" t="s">
        <v>3308</v>
      </c>
      <c r="O2625" t="s">
        <v>3359</v>
      </c>
      <c r="P2625" t="s">
        <v>3360</v>
      </c>
      <c r="Q2625" t="s">
        <v>3361</v>
      </c>
      <c r="R2625" t="s">
        <v>9711</v>
      </c>
    </row>
    <row r="2626" spans="1:18" x14ac:dyDescent="0.2">
      <c r="A2626">
        <v>1946559</v>
      </c>
      <c r="B2626" t="s">
        <v>9712</v>
      </c>
      <c r="C2626">
        <v>0</v>
      </c>
      <c r="D2626">
        <v>0</v>
      </c>
      <c r="E2626">
        <v>0</v>
      </c>
      <c r="F2626">
        <v>3</v>
      </c>
      <c r="G2626">
        <v>0</v>
      </c>
      <c r="H2626">
        <v>0</v>
      </c>
      <c r="I2626">
        <v>0</v>
      </c>
      <c r="J2626">
        <v>0</v>
      </c>
      <c r="K2626">
        <v>0</v>
      </c>
      <c r="L2626" t="s">
        <v>3284</v>
      </c>
      <c r="M2626" t="s">
        <v>3391</v>
      </c>
      <c r="N2626" t="s">
        <v>3411</v>
      </c>
      <c r="O2626" t="s">
        <v>3412</v>
      </c>
      <c r="P2626" t="s">
        <v>3413</v>
      </c>
      <c r="Q2626" t="s">
        <v>3414</v>
      </c>
      <c r="R2626" t="s">
        <v>9713</v>
      </c>
    </row>
    <row r="2627" spans="1:18" x14ac:dyDescent="0.2">
      <c r="A2627">
        <v>1946554</v>
      </c>
      <c r="B2627" t="s">
        <v>9714</v>
      </c>
      <c r="C2627">
        <v>0</v>
      </c>
      <c r="D2627">
        <v>0</v>
      </c>
      <c r="E2627">
        <v>1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 t="s">
        <v>3284</v>
      </c>
      <c r="M2627" t="s">
        <v>3391</v>
      </c>
      <c r="N2627" t="s">
        <v>3411</v>
      </c>
      <c r="O2627" t="s">
        <v>3412</v>
      </c>
      <c r="P2627" t="s">
        <v>3413</v>
      </c>
      <c r="Q2627" t="s">
        <v>3414</v>
      </c>
      <c r="R2627" t="s">
        <v>9715</v>
      </c>
    </row>
    <row r="2628" spans="1:18" x14ac:dyDescent="0.2">
      <c r="A2628">
        <v>1946548</v>
      </c>
      <c r="B2628" t="s">
        <v>9716</v>
      </c>
      <c r="C2628">
        <v>0</v>
      </c>
      <c r="D2628">
        <v>0</v>
      </c>
      <c r="E2628">
        <v>0</v>
      </c>
      <c r="F2628">
        <v>1</v>
      </c>
      <c r="G2628">
        <v>0</v>
      </c>
      <c r="H2628">
        <v>0</v>
      </c>
      <c r="I2628">
        <v>0</v>
      </c>
      <c r="J2628">
        <v>0</v>
      </c>
      <c r="K2628">
        <v>0</v>
      </c>
      <c r="L2628" t="s">
        <v>3284</v>
      </c>
      <c r="M2628" t="s">
        <v>3391</v>
      </c>
      <c r="N2628" t="s">
        <v>3411</v>
      </c>
      <c r="O2628" t="s">
        <v>3412</v>
      </c>
      <c r="P2628" t="s">
        <v>3413</v>
      </c>
      <c r="Q2628" t="s">
        <v>3414</v>
      </c>
      <c r="R2628" t="s">
        <v>9717</v>
      </c>
    </row>
    <row r="2629" spans="1:18" x14ac:dyDescent="0.2">
      <c r="A2629">
        <v>1946546</v>
      </c>
      <c r="B2629" t="s">
        <v>9718</v>
      </c>
      <c r="C2629">
        <v>0</v>
      </c>
      <c r="D2629">
        <v>1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 t="s">
        <v>3284</v>
      </c>
      <c r="M2629" t="s">
        <v>3391</v>
      </c>
      <c r="N2629" t="s">
        <v>3411</v>
      </c>
      <c r="O2629" t="s">
        <v>3412</v>
      </c>
      <c r="P2629" t="s">
        <v>3413</v>
      </c>
      <c r="Q2629" t="s">
        <v>3414</v>
      </c>
      <c r="R2629" t="s">
        <v>9719</v>
      </c>
    </row>
    <row r="2630" spans="1:18" x14ac:dyDescent="0.2">
      <c r="A2630">
        <v>1946497</v>
      </c>
      <c r="B2630" t="s">
        <v>9720</v>
      </c>
      <c r="C2630">
        <v>0</v>
      </c>
      <c r="D2630">
        <v>1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 t="s">
        <v>3284</v>
      </c>
      <c r="M2630" t="s">
        <v>3327</v>
      </c>
      <c r="N2630" t="s">
        <v>3376</v>
      </c>
      <c r="O2630" t="s">
        <v>3377</v>
      </c>
      <c r="P2630" t="s">
        <v>3271</v>
      </c>
      <c r="Q2630" t="s">
        <v>3648</v>
      </c>
      <c r="R2630" t="s">
        <v>9721</v>
      </c>
    </row>
    <row r="2631" spans="1:18" x14ac:dyDescent="0.2">
      <c r="A2631">
        <v>1946399</v>
      </c>
      <c r="B2631" t="s">
        <v>9722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1</v>
      </c>
      <c r="J2631">
        <v>0</v>
      </c>
      <c r="K2631">
        <v>2</v>
      </c>
      <c r="L2631" t="s">
        <v>3284</v>
      </c>
      <c r="M2631" t="s">
        <v>3296</v>
      </c>
      <c r="N2631" t="s">
        <v>3321</v>
      </c>
      <c r="O2631" t="s">
        <v>3322</v>
      </c>
      <c r="P2631" t="s">
        <v>3423</v>
      </c>
      <c r="Q2631" t="s">
        <v>3424</v>
      </c>
      <c r="R2631" t="s">
        <v>9723</v>
      </c>
    </row>
    <row r="2632" spans="1:18" x14ac:dyDescent="0.2">
      <c r="A2632">
        <v>1946391</v>
      </c>
      <c r="B2632" t="s">
        <v>9724</v>
      </c>
      <c r="C2632">
        <v>15</v>
      </c>
      <c r="D2632">
        <v>11</v>
      </c>
      <c r="E2632">
        <v>4</v>
      </c>
      <c r="F2632">
        <v>0</v>
      </c>
      <c r="G2632">
        <v>0</v>
      </c>
      <c r="H2632">
        <v>0</v>
      </c>
      <c r="I2632">
        <v>65</v>
      </c>
      <c r="J2632">
        <v>23</v>
      </c>
      <c r="K2632">
        <v>12</v>
      </c>
      <c r="L2632" t="s">
        <v>3284</v>
      </c>
      <c r="M2632" t="s">
        <v>3296</v>
      </c>
      <c r="N2632" t="s">
        <v>3321</v>
      </c>
      <c r="O2632" t="s">
        <v>3322</v>
      </c>
      <c r="P2632" t="s">
        <v>3398</v>
      </c>
      <c r="Q2632" t="s">
        <v>3806</v>
      </c>
      <c r="R2632" t="s">
        <v>9725</v>
      </c>
    </row>
    <row r="2633" spans="1:18" x14ac:dyDescent="0.2">
      <c r="A2633">
        <v>1946379</v>
      </c>
      <c r="B2633" t="s">
        <v>9726</v>
      </c>
      <c r="C2633">
        <v>1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 t="s">
        <v>3284</v>
      </c>
      <c r="M2633" t="s">
        <v>3327</v>
      </c>
      <c r="N2633" t="s">
        <v>3328</v>
      </c>
      <c r="O2633" t="s">
        <v>3329</v>
      </c>
      <c r="P2633" t="s">
        <v>3330</v>
      </c>
      <c r="Q2633" t="s">
        <v>3331</v>
      </c>
      <c r="R2633" t="s">
        <v>9727</v>
      </c>
    </row>
    <row r="2634" spans="1:18" x14ac:dyDescent="0.2">
      <c r="A2634">
        <v>1946377</v>
      </c>
      <c r="B2634" t="s">
        <v>9728</v>
      </c>
      <c r="C2634">
        <v>1</v>
      </c>
      <c r="D2634">
        <v>0</v>
      </c>
      <c r="E2634">
        <v>1</v>
      </c>
      <c r="F2634">
        <v>1</v>
      </c>
      <c r="G2634">
        <v>0</v>
      </c>
      <c r="H2634">
        <v>0</v>
      </c>
      <c r="I2634">
        <v>0</v>
      </c>
      <c r="J2634">
        <v>0</v>
      </c>
      <c r="K2634">
        <v>0</v>
      </c>
      <c r="L2634" t="s">
        <v>3284</v>
      </c>
      <c r="M2634" t="s">
        <v>3327</v>
      </c>
      <c r="N2634" t="s">
        <v>3328</v>
      </c>
      <c r="O2634" t="s">
        <v>3329</v>
      </c>
      <c r="P2634" t="s">
        <v>3330</v>
      </c>
      <c r="Q2634" t="s">
        <v>3331</v>
      </c>
      <c r="R2634" t="s">
        <v>9729</v>
      </c>
    </row>
    <row r="2635" spans="1:18" x14ac:dyDescent="0.2">
      <c r="A2635">
        <v>1946370</v>
      </c>
      <c r="B2635" t="s">
        <v>9730</v>
      </c>
      <c r="C2635">
        <v>7</v>
      </c>
      <c r="D2635">
        <v>11</v>
      </c>
      <c r="E2635">
        <v>8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 t="s">
        <v>3284</v>
      </c>
      <c r="M2635" t="s">
        <v>3327</v>
      </c>
      <c r="N2635" t="s">
        <v>3328</v>
      </c>
      <c r="O2635" t="s">
        <v>3329</v>
      </c>
      <c r="P2635" t="s">
        <v>3330</v>
      </c>
      <c r="Q2635" t="s">
        <v>3331</v>
      </c>
      <c r="R2635" t="s">
        <v>9731</v>
      </c>
    </row>
    <row r="2636" spans="1:18" x14ac:dyDescent="0.2">
      <c r="A2636">
        <v>1946369</v>
      </c>
      <c r="B2636" t="s">
        <v>9732</v>
      </c>
      <c r="C2636">
        <v>0</v>
      </c>
      <c r="D2636">
        <v>1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 t="s">
        <v>3284</v>
      </c>
      <c r="M2636" t="s">
        <v>3327</v>
      </c>
      <c r="N2636" t="s">
        <v>3328</v>
      </c>
      <c r="O2636" t="s">
        <v>3329</v>
      </c>
      <c r="P2636" t="s">
        <v>3330</v>
      </c>
      <c r="Q2636" t="s">
        <v>3331</v>
      </c>
      <c r="R2636" t="s">
        <v>9733</v>
      </c>
    </row>
    <row r="2637" spans="1:18" x14ac:dyDescent="0.2">
      <c r="A2637">
        <v>1946368</v>
      </c>
      <c r="B2637" t="s">
        <v>9734</v>
      </c>
      <c r="C2637">
        <v>0</v>
      </c>
      <c r="D2637">
        <v>2</v>
      </c>
      <c r="E2637">
        <v>1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 t="s">
        <v>3284</v>
      </c>
      <c r="M2637" t="s">
        <v>3327</v>
      </c>
      <c r="N2637" t="s">
        <v>3328</v>
      </c>
      <c r="O2637" t="s">
        <v>3329</v>
      </c>
      <c r="P2637" t="s">
        <v>3330</v>
      </c>
      <c r="Q2637" t="s">
        <v>3331</v>
      </c>
      <c r="R2637" t="s">
        <v>9735</v>
      </c>
    </row>
    <row r="2638" spans="1:18" x14ac:dyDescent="0.2">
      <c r="A2638">
        <v>1946366</v>
      </c>
      <c r="B2638" t="s">
        <v>9736</v>
      </c>
      <c r="C2638">
        <v>1</v>
      </c>
      <c r="D2638">
        <v>4</v>
      </c>
      <c r="E2638">
        <v>1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 t="s">
        <v>3284</v>
      </c>
      <c r="M2638" t="s">
        <v>3327</v>
      </c>
      <c r="N2638" t="s">
        <v>3328</v>
      </c>
      <c r="O2638" t="s">
        <v>3329</v>
      </c>
      <c r="P2638" t="s">
        <v>3330</v>
      </c>
      <c r="Q2638" t="s">
        <v>3331</v>
      </c>
      <c r="R2638" t="s">
        <v>9737</v>
      </c>
    </row>
    <row r="2639" spans="1:18" x14ac:dyDescent="0.2">
      <c r="A2639">
        <v>1946361</v>
      </c>
      <c r="B2639" t="s">
        <v>9738</v>
      </c>
      <c r="C2639">
        <v>46</v>
      </c>
      <c r="D2639">
        <v>43</v>
      </c>
      <c r="E2639">
        <v>14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 t="s">
        <v>3284</v>
      </c>
      <c r="M2639" t="s">
        <v>3327</v>
      </c>
      <c r="N2639" t="s">
        <v>3328</v>
      </c>
      <c r="O2639" t="s">
        <v>3329</v>
      </c>
      <c r="P2639" t="s">
        <v>3330</v>
      </c>
      <c r="Q2639" t="s">
        <v>3331</v>
      </c>
      <c r="R2639" t="s">
        <v>9739</v>
      </c>
    </row>
    <row r="2640" spans="1:18" x14ac:dyDescent="0.2">
      <c r="A2640">
        <v>1946360</v>
      </c>
      <c r="B2640" t="s">
        <v>9740</v>
      </c>
      <c r="C2640">
        <v>0</v>
      </c>
      <c r="D2640">
        <v>1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 t="s">
        <v>3284</v>
      </c>
      <c r="M2640" t="s">
        <v>3327</v>
      </c>
      <c r="N2640" t="s">
        <v>3328</v>
      </c>
      <c r="O2640" t="s">
        <v>3329</v>
      </c>
      <c r="P2640" t="s">
        <v>3330</v>
      </c>
      <c r="Q2640" t="s">
        <v>3331</v>
      </c>
      <c r="R2640" t="s">
        <v>9741</v>
      </c>
    </row>
    <row r="2641" spans="1:18" x14ac:dyDescent="0.2">
      <c r="A2641">
        <v>1946353</v>
      </c>
      <c r="B2641" t="s">
        <v>9742</v>
      </c>
      <c r="C2641">
        <v>1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 t="s">
        <v>3284</v>
      </c>
      <c r="M2641" t="s">
        <v>3327</v>
      </c>
      <c r="N2641" t="s">
        <v>3328</v>
      </c>
      <c r="O2641" t="s">
        <v>3329</v>
      </c>
      <c r="P2641" t="s">
        <v>3330</v>
      </c>
      <c r="Q2641" t="s">
        <v>3331</v>
      </c>
      <c r="R2641" t="s">
        <v>9743</v>
      </c>
    </row>
    <row r="2642" spans="1:18" x14ac:dyDescent="0.2">
      <c r="A2642">
        <v>1946352</v>
      </c>
      <c r="B2642" t="s">
        <v>9744</v>
      </c>
      <c r="C2642">
        <v>0</v>
      </c>
      <c r="D2642">
        <v>1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 t="s">
        <v>3284</v>
      </c>
      <c r="M2642" t="s">
        <v>3327</v>
      </c>
      <c r="N2642" t="s">
        <v>3328</v>
      </c>
      <c r="O2642" t="s">
        <v>3329</v>
      </c>
      <c r="P2642" t="s">
        <v>3330</v>
      </c>
      <c r="Q2642" t="s">
        <v>3331</v>
      </c>
      <c r="R2642" t="s">
        <v>9745</v>
      </c>
    </row>
    <row r="2643" spans="1:18" x14ac:dyDescent="0.2">
      <c r="A2643">
        <v>1946348</v>
      </c>
      <c r="B2643" t="s">
        <v>9746</v>
      </c>
      <c r="C2643">
        <v>0</v>
      </c>
      <c r="D2643">
        <v>3</v>
      </c>
      <c r="E2643">
        <v>2</v>
      </c>
      <c r="F2643">
        <v>0</v>
      </c>
      <c r="G2643">
        <v>0</v>
      </c>
      <c r="H2643">
        <v>0</v>
      </c>
      <c r="I2643">
        <v>0</v>
      </c>
      <c r="J2643">
        <v>1</v>
      </c>
      <c r="K2643">
        <v>0</v>
      </c>
      <c r="L2643" t="s">
        <v>3284</v>
      </c>
      <c r="M2643" t="s">
        <v>3327</v>
      </c>
      <c r="N2643" t="s">
        <v>3328</v>
      </c>
      <c r="O2643" t="s">
        <v>3329</v>
      </c>
      <c r="P2643" t="s">
        <v>3330</v>
      </c>
      <c r="Q2643" t="s">
        <v>3331</v>
      </c>
      <c r="R2643" t="s">
        <v>9747</v>
      </c>
    </row>
    <row r="2644" spans="1:18" x14ac:dyDescent="0.2">
      <c r="A2644">
        <v>1946347</v>
      </c>
      <c r="B2644" t="s">
        <v>9748</v>
      </c>
      <c r="C2644">
        <v>0</v>
      </c>
      <c r="D2644">
        <v>0</v>
      </c>
      <c r="E2644">
        <v>1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 t="s">
        <v>3284</v>
      </c>
      <c r="M2644" t="s">
        <v>3327</v>
      </c>
      <c r="N2644" t="s">
        <v>3328</v>
      </c>
      <c r="O2644" t="s">
        <v>3329</v>
      </c>
      <c r="P2644" t="s">
        <v>3330</v>
      </c>
      <c r="Q2644" t="s">
        <v>3331</v>
      </c>
      <c r="R2644" t="s">
        <v>9749</v>
      </c>
    </row>
    <row r="2645" spans="1:18" x14ac:dyDescent="0.2">
      <c r="A2645">
        <v>1946138</v>
      </c>
      <c r="B2645" t="s">
        <v>9750</v>
      </c>
      <c r="C2645">
        <v>0</v>
      </c>
      <c r="D2645">
        <v>0</v>
      </c>
      <c r="E2645">
        <v>0</v>
      </c>
      <c r="F2645">
        <v>3</v>
      </c>
      <c r="G2645">
        <v>0</v>
      </c>
      <c r="H2645">
        <v>0</v>
      </c>
      <c r="I2645">
        <v>0</v>
      </c>
      <c r="J2645">
        <v>0</v>
      </c>
      <c r="K2645">
        <v>0</v>
      </c>
      <c r="L2645" t="s">
        <v>3284</v>
      </c>
      <c r="M2645" t="s">
        <v>3296</v>
      </c>
      <c r="N2645" t="s">
        <v>3343</v>
      </c>
      <c r="O2645" t="s">
        <v>3402</v>
      </c>
      <c r="P2645" t="s">
        <v>3403</v>
      </c>
      <c r="Q2645" t="s">
        <v>3536</v>
      </c>
      <c r="R2645" t="s">
        <v>9751</v>
      </c>
    </row>
    <row r="2646" spans="1:18" x14ac:dyDescent="0.2">
      <c r="A2646">
        <v>1946133</v>
      </c>
      <c r="B2646" t="s">
        <v>9752</v>
      </c>
      <c r="C2646">
        <v>0</v>
      </c>
      <c r="D2646">
        <v>0</v>
      </c>
      <c r="E2646">
        <v>1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 t="s">
        <v>3284</v>
      </c>
      <c r="M2646" t="s">
        <v>3296</v>
      </c>
      <c r="N2646" t="s">
        <v>3343</v>
      </c>
      <c r="O2646" t="s">
        <v>3402</v>
      </c>
      <c r="P2646" t="s">
        <v>3403</v>
      </c>
      <c r="Q2646" t="s">
        <v>3536</v>
      </c>
      <c r="R2646" t="s">
        <v>9753</v>
      </c>
    </row>
    <row r="2647" spans="1:18" x14ac:dyDescent="0.2">
      <c r="A2647">
        <v>1946124</v>
      </c>
      <c r="B2647" t="s">
        <v>9754</v>
      </c>
      <c r="C2647">
        <v>0</v>
      </c>
      <c r="D2647">
        <v>0</v>
      </c>
      <c r="E2647">
        <v>0</v>
      </c>
      <c r="F2647">
        <v>1</v>
      </c>
      <c r="G2647">
        <v>0</v>
      </c>
      <c r="H2647">
        <v>0</v>
      </c>
      <c r="I2647">
        <v>0</v>
      </c>
      <c r="J2647">
        <v>0</v>
      </c>
      <c r="K2647">
        <v>0</v>
      </c>
      <c r="L2647" t="s">
        <v>3284</v>
      </c>
      <c r="M2647" t="s">
        <v>3296</v>
      </c>
      <c r="N2647" t="s">
        <v>3343</v>
      </c>
      <c r="O2647" t="s">
        <v>3402</v>
      </c>
      <c r="P2647" t="s">
        <v>3403</v>
      </c>
      <c r="Q2647" t="s">
        <v>3536</v>
      </c>
      <c r="R2647" t="s">
        <v>9755</v>
      </c>
    </row>
    <row r="2648" spans="1:18" x14ac:dyDescent="0.2">
      <c r="A2648">
        <v>1946042</v>
      </c>
      <c r="B2648" t="s">
        <v>9756</v>
      </c>
      <c r="C2648">
        <v>1</v>
      </c>
      <c r="D2648">
        <v>10</v>
      </c>
      <c r="E2648">
        <v>1</v>
      </c>
      <c r="F2648">
        <v>0</v>
      </c>
      <c r="G2648">
        <v>0</v>
      </c>
      <c r="H2648">
        <v>0</v>
      </c>
      <c r="I2648">
        <v>3</v>
      </c>
      <c r="J2648">
        <v>3</v>
      </c>
      <c r="K2648">
        <v>2</v>
      </c>
      <c r="L2648" t="s">
        <v>3284</v>
      </c>
      <c r="M2648" t="s">
        <v>3296</v>
      </c>
      <c r="N2648" t="s">
        <v>3321</v>
      </c>
      <c r="O2648" t="s">
        <v>3322</v>
      </c>
      <c r="P2648" t="s">
        <v>3271</v>
      </c>
      <c r="Q2648" t="s">
        <v>4214</v>
      </c>
      <c r="R2648" t="s">
        <v>9757</v>
      </c>
    </row>
    <row r="2649" spans="1:18" x14ac:dyDescent="0.2">
      <c r="A2649">
        <v>1945864</v>
      </c>
      <c r="B2649" t="s">
        <v>9758</v>
      </c>
      <c r="C2649">
        <v>2</v>
      </c>
      <c r="D2649">
        <v>1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 t="s">
        <v>3284</v>
      </c>
      <c r="M2649" t="s">
        <v>3296</v>
      </c>
      <c r="N2649" t="s">
        <v>3321</v>
      </c>
      <c r="O2649" t="s">
        <v>3322</v>
      </c>
      <c r="P2649" t="s">
        <v>3398</v>
      </c>
      <c r="Q2649" t="s">
        <v>3841</v>
      </c>
      <c r="R2649" t="s">
        <v>9759</v>
      </c>
    </row>
    <row r="2650" spans="1:18" x14ac:dyDescent="0.2">
      <c r="A2650">
        <v>1943571</v>
      </c>
      <c r="B2650" t="s">
        <v>9760</v>
      </c>
      <c r="C2650">
        <v>2</v>
      </c>
      <c r="D2650">
        <v>3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1</v>
      </c>
      <c r="L2650" t="s">
        <v>3284</v>
      </c>
      <c r="M2650" t="s">
        <v>3296</v>
      </c>
      <c r="N2650" t="s">
        <v>3321</v>
      </c>
      <c r="O2650" t="s">
        <v>3322</v>
      </c>
      <c r="P2650" t="s">
        <v>3398</v>
      </c>
      <c r="Q2650" t="s">
        <v>3556</v>
      </c>
      <c r="R2650" t="s">
        <v>9761</v>
      </c>
    </row>
    <row r="2651" spans="1:18" x14ac:dyDescent="0.2">
      <c r="A2651">
        <v>1940612</v>
      </c>
      <c r="B2651" t="s">
        <v>9762</v>
      </c>
      <c r="C2651">
        <v>0</v>
      </c>
      <c r="D2651">
        <v>0</v>
      </c>
      <c r="E2651">
        <v>0</v>
      </c>
      <c r="F2651">
        <v>3</v>
      </c>
      <c r="G2651">
        <v>0</v>
      </c>
      <c r="H2651">
        <v>0</v>
      </c>
      <c r="I2651">
        <v>0</v>
      </c>
      <c r="J2651">
        <v>0</v>
      </c>
      <c r="K2651">
        <v>0</v>
      </c>
      <c r="L2651" t="s">
        <v>3284</v>
      </c>
      <c r="M2651" t="s">
        <v>3296</v>
      </c>
      <c r="N2651" t="s">
        <v>3321</v>
      </c>
      <c r="O2651" t="s">
        <v>3322</v>
      </c>
      <c r="P2651" t="s">
        <v>4143</v>
      </c>
      <c r="Q2651" t="s">
        <v>8587</v>
      </c>
      <c r="R2651" t="s">
        <v>9763</v>
      </c>
    </row>
    <row r="2652" spans="1:18" x14ac:dyDescent="0.2">
      <c r="A2652">
        <v>1940610</v>
      </c>
      <c r="B2652" t="s">
        <v>9764</v>
      </c>
      <c r="C2652">
        <v>0</v>
      </c>
      <c r="D2652">
        <v>0</v>
      </c>
      <c r="E2652">
        <v>0</v>
      </c>
      <c r="F2652">
        <v>0</v>
      </c>
      <c r="G2652">
        <v>1</v>
      </c>
      <c r="H2652">
        <v>0</v>
      </c>
      <c r="I2652">
        <v>0</v>
      </c>
      <c r="J2652">
        <v>0</v>
      </c>
      <c r="K2652">
        <v>0</v>
      </c>
      <c r="L2652" t="s">
        <v>3284</v>
      </c>
      <c r="M2652" t="s">
        <v>3296</v>
      </c>
      <c r="N2652" t="s">
        <v>3343</v>
      </c>
      <c r="O2652" t="s">
        <v>3344</v>
      </c>
      <c r="P2652" t="s">
        <v>5136</v>
      </c>
      <c r="Q2652" t="s">
        <v>5137</v>
      </c>
      <c r="R2652" t="s">
        <v>9765</v>
      </c>
    </row>
    <row r="2653" spans="1:18" x14ac:dyDescent="0.2">
      <c r="A2653">
        <v>1938801</v>
      </c>
      <c r="B2653" t="s">
        <v>9766</v>
      </c>
      <c r="C2653">
        <v>0</v>
      </c>
      <c r="D2653">
        <v>0</v>
      </c>
      <c r="E2653">
        <v>0</v>
      </c>
      <c r="F2653">
        <v>1</v>
      </c>
      <c r="G2653">
        <v>0</v>
      </c>
      <c r="H2653">
        <v>0</v>
      </c>
      <c r="I2653">
        <v>0</v>
      </c>
      <c r="J2653">
        <v>0</v>
      </c>
      <c r="K2653">
        <v>0</v>
      </c>
      <c r="L2653" t="s">
        <v>3284</v>
      </c>
      <c r="M2653" t="s">
        <v>3296</v>
      </c>
      <c r="N2653" t="s">
        <v>3321</v>
      </c>
      <c r="O2653" t="s">
        <v>3322</v>
      </c>
      <c r="P2653" t="s">
        <v>3423</v>
      </c>
      <c r="Q2653" t="s">
        <v>4357</v>
      </c>
      <c r="R2653" t="s">
        <v>9767</v>
      </c>
    </row>
    <row r="2654" spans="1:18" x14ac:dyDescent="0.2">
      <c r="A2654">
        <v>1938756</v>
      </c>
      <c r="B2654" t="s">
        <v>9768</v>
      </c>
      <c r="C2654">
        <v>1</v>
      </c>
      <c r="D2654">
        <v>1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 t="s">
        <v>3284</v>
      </c>
      <c r="M2654" t="s">
        <v>3296</v>
      </c>
      <c r="N2654" t="s">
        <v>3343</v>
      </c>
      <c r="O2654" t="s">
        <v>3349</v>
      </c>
      <c r="P2654" t="s">
        <v>3350</v>
      </c>
      <c r="Q2654" t="s">
        <v>3351</v>
      </c>
      <c r="R2654" t="s">
        <v>9769</v>
      </c>
    </row>
    <row r="2655" spans="1:18" x14ac:dyDescent="0.2">
      <c r="A2655">
        <v>1938605</v>
      </c>
      <c r="B2655" t="s">
        <v>9770</v>
      </c>
      <c r="C2655">
        <v>0</v>
      </c>
      <c r="D2655">
        <v>0</v>
      </c>
      <c r="E2655">
        <v>0</v>
      </c>
      <c r="F2655">
        <v>0</v>
      </c>
      <c r="G2655">
        <v>2</v>
      </c>
      <c r="H2655">
        <v>0</v>
      </c>
      <c r="I2655">
        <v>0</v>
      </c>
      <c r="J2655">
        <v>0</v>
      </c>
      <c r="K2655">
        <v>0</v>
      </c>
      <c r="L2655" t="s">
        <v>3284</v>
      </c>
      <c r="M2655" t="s">
        <v>3296</v>
      </c>
      <c r="N2655" t="s">
        <v>3343</v>
      </c>
      <c r="O2655" t="s">
        <v>3402</v>
      </c>
      <c r="P2655" t="s">
        <v>3403</v>
      </c>
      <c r="Q2655" t="s">
        <v>3536</v>
      </c>
      <c r="R2655" t="s">
        <v>9771</v>
      </c>
    </row>
    <row r="2656" spans="1:18" x14ac:dyDescent="0.2">
      <c r="A2656">
        <v>1938592</v>
      </c>
      <c r="B2656" t="s">
        <v>9772</v>
      </c>
      <c r="C2656">
        <v>0</v>
      </c>
      <c r="D2656">
        <v>0</v>
      </c>
      <c r="E2656">
        <v>0</v>
      </c>
      <c r="F2656">
        <v>1</v>
      </c>
      <c r="G2656">
        <v>0</v>
      </c>
      <c r="H2656">
        <v>0</v>
      </c>
      <c r="I2656">
        <v>0</v>
      </c>
      <c r="J2656">
        <v>0</v>
      </c>
      <c r="K2656">
        <v>0</v>
      </c>
      <c r="L2656" t="s">
        <v>3284</v>
      </c>
      <c r="M2656" t="s">
        <v>3391</v>
      </c>
      <c r="N2656" t="s">
        <v>3411</v>
      </c>
      <c r="O2656" t="s">
        <v>3412</v>
      </c>
      <c r="P2656" t="s">
        <v>3564</v>
      </c>
      <c r="Q2656" t="s">
        <v>9773</v>
      </c>
      <c r="R2656" t="s">
        <v>9774</v>
      </c>
    </row>
    <row r="2657" spans="1:18" x14ac:dyDescent="0.2">
      <c r="A2657">
        <v>1936787</v>
      </c>
      <c r="B2657" t="s">
        <v>9775</v>
      </c>
      <c r="C2657">
        <v>0</v>
      </c>
      <c r="D2657">
        <v>0</v>
      </c>
      <c r="E2657">
        <v>0</v>
      </c>
      <c r="F2657">
        <v>1</v>
      </c>
      <c r="G2657">
        <v>0</v>
      </c>
      <c r="H2657">
        <v>0</v>
      </c>
      <c r="I2657">
        <v>0</v>
      </c>
      <c r="J2657">
        <v>0</v>
      </c>
      <c r="K2657">
        <v>0</v>
      </c>
      <c r="L2657" t="s">
        <v>3284</v>
      </c>
      <c r="M2657" t="s">
        <v>3391</v>
      </c>
      <c r="N2657" t="s">
        <v>3392</v>
      </c>
      <c r="O2657" t="s">
        <v>3393</v>
      </c>
      <c r="P2657" t="s">
        <v>3394</v>
      </c>
      <c r="Q2657" t="s">
        <v>9776</v>
      </c>
      <c r="R2657" t="s">
        <v>9777</v>
      </c>
    </row>
    <row r="2658" spans="1:18" x14ac:dyDescent="0.2">
      <c r="A2658">
        <v>1936029</v>
      </c>
      <c r="B2658" t="s">
        <v>9778</v>
      </c>
      <c r="C2658">
        <v>0</v>
      </c>
      <c r="D2658">
        <v>0</v>
      </c>
      <c r="E2658">
        <v>1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 t="s">
        <v>3284</v>
      </c>
      <c r="M2658" t="s">
        <v>3307</v>
      </c>
      <c r="N2658" t="s">
        <v>3308</v>
      </c>
      <c r="O2658" t="s">
        <v>3635</v>
      </c>
      <c r="P2658" t="s">
        <v>4011</v>
      </c>
      <c r="Q2658" t="s">
        <v>4012</v>
      </c>
      <c r="R2658" t="s">
        <v>9779</v>
      </c>
    </row>
    <row r="2659" spans="1:18" x14ac:dyDescent="0.2">
      <c r="A2659">
        <v>1934313</v>
      </c>
      <c r="B2659" t="s">
        <v>9780</v>
      </c>
      <c r="C2659">
        <v>0</v>
      </c>
      <c r="D2659">
        <v>0</v>
      </c>
      <c r="E2659">
        <v>0</v>
      </c>
      <c r="F2659">
        <v>1</v>
      </c>
      <c r="G2659">
        <v>0</v>
      </c>
      <c r="H2659">
        <v>0</v>
      </c>
      <c r="I2659">
        <v>0</v>
      </c>
      <c r="J2659">
        <v>0</v>
      </c>
      <c r="K2659">
        <v>0</v>
      </c>
      <c r="L2659" t="s">
        <v>3284</v>
      </c>
      <c r="M2659" t="s">
        <v>3296</v>
      </c>
      <c r="N2659" t="s">
        <v>3321</v>
      </c>
      <c r="O2659" t="s">
        <v>5306</v>
      </c>
      <c r="P2659" t="s">
        <v>5385</v>
      </c>
      <c r="Q2659" t="s">
        <v>5386</v>
      </c>
      <c r="R2659" t="s">
        <v>9781</v>
      </c>
    </row>
    <row r="2660" spans="1:18" x14ac:dyDescent="0.2">
      <c r="A2660">
        <v>1934311</v>
      </c>
      <c r="B2660" t="s">
        <v>9782</v>
      </c>
      <c r="C2660">
        <v>0</v>
      </c>
      <c r="D2660">
        <v>0</v>
      </c>
      <c r="E2660">
        <v>0</v>
      </c>
      <c r="F2660">
        <v>6</v>
      </c>
      <c r="G2660">
        <v>5</v>
      </c>
      <c r="H2660">
        <v>2</v>
      </c>
      <c r="I2660">
        <v>0</v>
      </c>
      <c r="J2660">
        <v>0</v>
      </c>
      <c r="K2660">
        <v>0</v>
      </c>
      <c r="L2660" t="s">
        <v>3284</v>
      </c>
      <c r="M2660" t="s">
        <v>3296</v>
      </c>
      <c r="N2660" t="s">
        <v>3321</v>
      </c>
      <c r="O2660" t="s">
        <v>3322</v>
      </c>
      <c r="P2660" t="s">
        <v>3398</v>
      </c>
      <c r="Q2660" t="s">
        <v>3918</v>
      </c>
      <c r="R2660" t="s">
        <v>9783</v>
      </c>
    </row>
    <row r="2661" spans="1:18" x14ac:dyDescent="0.2">
      <c r="A2661">
        <v>1934310</v>
      </c>
      <c r="B2661" t="s">
        <v>9784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1</v>
      </c>
      <c r="J2661">
        <v>0</v>
      </c>
      <c r="K2661">
        <v>0</v>
      </c>
      <c r="L2661" t="s">
        <v>3284</v>
      </c>
      <c r="M2661" t="s">
        <v>3296</v>
      </c>
      <c r="N2661" t="s">
        <v>3321</v>
      </c>
      <c r="O2661" t="s">
        <v>3322</v>
      </c>
      <c r="P2661" t="s">
        <v>3398</v>
      </c>
      <c r="Q2661" t="s">
        <v>4955</v>
      </c>
      <c r="R2661" t="s">
        <v>9785</v>
      </c>
    </row>
    <row r="2662" spans="1:18" x14ac:dyDescent="0.2">
      <c r="A2662">
        <v>1932787</v>
      </c>
      <c r="B2662" t="s">
        <v>9786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2</v>
      </c>
      <c r="J2662">
        <v>0</v>
      </c>
      <c r="K2662">
        <v>0</v>
      </c>
      <c r="L2662" t="s">
        <v>3284</v>
      </c>
      <c r="M2662" t="s">
        <v>3307</v>
      </c>
      <c r="N2662" t="s">
        <v>3308</v>
      </c>
      <c r="O2662" t="s">
        <v>3359</v>
      </c>
      <c r="P2662" t="s">
        <v>3360</v>
      </c>
      <c r="Q2662" t="s">
        <v>8598</v>
      </c>
      <c r="R2662" t="s">
        <v>9787</v>
      </c>
    </row>
    <row r="2663" spans="1:18" x14ac:dyDescent="0.2">
      <c r="A2663">
        <v>1932778</v>
      </c>
      <c r="B2663" t="s">
        <v>9788</v>
      </c>
      <c r="C2663">
        <v>0</v>
      </c>
      <c r="D2663">
        <v>0</v>
      </c>
      <c r="E2663">
        <v>0</v>
      </c>
      <c r="F2663">
        <v>0</v>
      </c>
      <c r="G2663">
        <v>1</v>
      </c>
      <c r="H2663">
        <v>0</v>
      </c>
      <c r="I2663">
        <v>0</v>
      </c>
      <c r="J2663">
        <v>0</v>
      </c>
      <c r="K2663">
        <v>0</v>
      </c>
      <c r="L2663" t="s">
        <v>3284</v>
      </c>
      <c r="M2663" t="s">
        <v>3391</v>
      </c>
      <c r="N2663" t="s">
        <v>3392</v>
      </c>
      <c r="O2663" t="s">
        <v>3393</v>
      </c>
      <c r="P2663" t="s">
        <v>3394</v>
      </c>
      <c r="Q2663" t="s">
        <v>4082</v>
      </c>
      <c r="R2663" t="s">
        <v>9789</v>
      </c>
    </row>
    <row r="2664" spans="1:18" x14ac:dyDescent="0.2">
      <c r="A2664">
        <v>1932666</v>
      </c>
      <c r="B2664" t="s">
        <v>9790</v>
      </c>
      <c r="C2664">
        <v>2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 t="s">
        <v>3284</v>
      </c>
      <c r="M2664" t="s">
        <v>3296</v>
      </c>
      <c r="N2664" t="s">
        <v>3297</v>
      </c>
      <c r="O2664" t="s">
        <v>7551</v>
      </c>
      <c r="P2664" t="s">
        <v>9791</v>
      </c>
      <c r="Q2664" t="s">
        <v>9792</v>
      </c>
      <c r="R2664" t="s">
        <v>9793</v>
      </c>
    </row>
    <row r="2665" spans="1:18" x14ac:dyDescent="0.2">
      <c r="A2665">
        <v>1932117</v>
      </c>
      <c r="B2665" t="s">
        <v>9794</v>
      </c>
      <c r="C2665">
        <v>0</v>
      </c>
      <c r="D2665">
        <v>0</v>
      </c>
      <c r="E2665">
        <v>0</v>
      </c>
      <c r="F2665">
        <v>1</v>
      </c>
      <c r="G2665">
        <v>0</v>
      </c>
      <c r="H2665">
        <v>0</v>
      </c>
      <c r="I2665">
        <v>0</v>
      </c>
      <c r="J2665">
        <v>0</v>
      </c>
      <c r="K2665">
        <v>0</v>
      </c>
      <c r="L2665" t="s">
        <v>3284</v>
      </c>
      <c r="M2665" t="s">
        <v>3296</v>
      </c>
      <c r="N2665" t="s">
        <v>3343</v>
      </c>
      <c r="O2665" t="s">
        <v>3861</v>
      </c>
      <c r="P2665" t="s">
        <v>7264</v>
      </c>
      <c r="Q2665" t="s">
        <v>9795</v>
      </c>
      <c r="R2665" t="s">
        <v>9796</v>
      </c>
    </row>
    <row r="2666" spans="1:18" x14ac:dyDescent="0.2">
      <c r="A2666">
        <v>1930784</v>
      </c>
      <c r="B2666" t="s">
        <v>9797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2</v>
      </c>
      <c r="J2666">
        <v>0</v>
      </c>
      <c r="K2666">
        <v>0</v>
      </c>
      <c r="L2666" t="s">
        <v>3284</v>
      </c>
      <c r="M2666" t="s">
        <v>3307</v>
      </c>
      <c r="N2666" t="s">
        <v>3308</v>
      </c>
      <c r="O2666" t="s">
        <v>3359</v>
      </c>
      <c r="P2666" t="s">
        <v>3360</v>
      </c>
      <c r="Q2666" t="s">
        <v>9494</v>
      </c>
      <c r="R2666" t="s">
        <v>9798</v>
      </c>
    </row>
    <row r="2667" spans="1:18" x14ac:dyDescent="0.2">
      <c r="A2667">
        <v>1930747</v>
      </c>
      <c r="B2667" t="s">
        <v>9799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1</v>
      </c>
      <c r="K2667">
        <v>0</v>
      </c>
      <c r="L2667" t="s">
        <v>3284</v>
      </c>
      <c r="M2667" t="s">
        <v>3307</v>
      </c>
      <c r="N2667" t="s">
        <v>3308</v>
      </c>
      <c r="O2667" t="s">
        <v>3359</v>
      </c>
      <c r="P2667" t="s">
        <v>3360</v>
      </c>
      <c r="Q2667" t="s">
        <v>5690</v>
      </c>
      <c r="R2667" t="s">
        <v>9800</v>
      </c>
    </row>
    <row r="2668" spans="1:18" x14ac:dyDescent="0.2">
      <c r="A2668">
        <v>1930274</v>
      </c>
      <c r="B2668" t="s">
        <v>9801</v>
      </c>
      <c r="C2668">
        <v>1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 t="s">
        <v>3284</v>
      </c>
      <c r="M2668" t="s">
        <v>3794</v>
      </c>
      <c r="N2668" t="s">
        <v>3795</v>
      </c>
      <c r="O2668" t="s">
        <v>7746</v>
      </c>
      <c r="P2668" t="s">
        <v>7747</v>
      </c>
      <c r="Q2668" t="s">
        <v>7748</v>
      </c>
      <c r="R2668" t="s">
        <v>9802</v>
      </c>
    </row>
    <row r="2669" spans="1:18" x14ac:dyDescent="0.2">
      <c r="A2669">
        <v>1930071</v>
      </c>
      <c r="B2669" t="s">
        <v>9803</v>
      </c>
      <c r="C2669">
        <v>1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 t="s">
        <v>3284</v>
      </c>
      <c r="M2669" t="s">
        <v>3327</v>
      </c>
      <c r="N2669" t="s">
        <v>3753</v>
      </c>
      <c r="O2669" t="s">
        <v>3754</v>
      </c>
      <c r="P2669" t="s">
        <v>3755</v>
      </c>
      <c r="Q2669" t="s">
        <v>9804</v>
      </c>
      <c r="R2669" t="s">
        <v>9805</v>
      </c>
    </row>
    <row r="2670" spans="1:18" x14ac:dyDescent="0.2">
      <c r="A2670">
        <v>1929293</v>
      </c>
      <c r="B2670" t="s">
        <v>9806</v>
      </c>
      <c r="C2670">
        <v>22</v>
      </c>
      <c r="D2670">
        <v>20</v>
      </c>
      <c r="E2670">
        <v>9</v>
      </c>
      <c r="F2670">
        <v>3</v>
      </c>
      <c r="G2670">
        <v>0</v>
      </c>
      <c r="H2670">
        <v>0</v>
      </c>
      <c r="I2670">
        <v>0</v>
      </c>
      <c r="J2670">
        <v>1</v>
      </c>
      <c r="K2670">
        <v>0</v>
      </c>
      <c r="L2670" t="s">
        <v>3284</v>
      </c>
      <c r="M2670" t="s">
        <v>3296</v>
      </c>
      <c r="N2670" t="s">
        <v>3321</v>
      </c>
      <c r="O2670" t="s">
        <v>3322</v>
      </c>
      <c r="P2670" t="s">
        <v>3671</v>
      </c>
      <c r="Q2670" t="s">
        <v>4354</v>
      </c>
      <c r="R2670" t="s">
        <v>9807</v>
      </c>
    </row>
    <row r="2671" spans="1:18" x14ac:dyDescent="0.2">
      <c r="A2671">
        <v>1929291</v>
      </c>
      <c r="B2671" t="s">
        <v>9808</v>
      </c>
      <c r="C2671">
        <v>1</v>
      </c>
      <c r="D2671">
        <v>0</v>
      </c>
      <c r="E2671">
        <v>0</v>
      </c>
      <c r="F2671">
        <v>2</v>
      </c>
      <c r="G2671">
        <v>1</v>
      </c>
      <c r="H2671">
        <v>0</v>
      </c>
      <c r="I2671">
        <v>206</v>
      </c>
      <c r="J2671">
        <v>117</v>
      </c>
      <c r="K2671">
        <v>21</v>
      </c>
      <c r="L2671" t="s">
        <v>3284</v>
      </c>
      <c r="M2671" t="s">
        <v>3296</v>
      </c>
      <c r="N2671" t="s">
        <v>3343</v>
      </c>
      <c r="O2671" t="s">
        <v>3344</v>
      </c>
      <c r="P2671" t="s">
        <v>6259</v>
      </c>
      <c r="Q2671" t="s">
        <v>6260</v>
      </c>
      <c r="R2671" t="s">
        <v>9809</v>
      </c>
    </row>
    <row r="2672" spans="1:18" x14ac:dyDescent="0.2">
      <c r="A2672">
        <v>1929290</v>
      </c>
      <c r="B2672" t="s">
        <v>9810</v>
      </c>
      <c r="C2672">
        <v>1</v>
      </c>
      <c r="D2672">
        <v>1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 t="s">
        <v>3284</v>
      </c>
      <c r="M2672" t="s">
        <v>3296</v>
      </c>
      <c r="N2672" t="s">
        <v>3297</v>
      </c>
      <c r="O2672" t="s">
        <v>3469</v>
      </c>
      <c r="P2672" t="s">
        <v>3470</v>
      </c>
      <c r="Q2672" t="s">
        <v>9811</v>
      </c>
      <c r="R2672" t="s">
        <v>9812</v>
      </c>
    </row>
    <row r="2673" spans="1:18" x14ac:dyDescent="0.2">
      <c r="A2673">
        <v>1929132</v>
      </c>
      <c r="B2673" t="s">
        <v>9813</v>
      </c>
      <c r="C2673">
        <v>6</v>
      </c>
      <c r="D2673">
        <v>3</v>
      </c>
      <c r="E2673">
        <v>1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 t="s">
        <v>3284</v>
      </c>
      <c r="M2673" t="s">
        <v>3327</v>
      </c>
      <c r="N2673" t="s">
        <v>3328</v>
      </c>
      <c r="O2673" t="s">
        <v>4184</v>
      </c>
      <c r="P2673" t="s">
        <v>9429</v>
      </c>
      <c r="Q2673" t="s">
        <v>9814</v>
      </c>
      <c r="R2673" t="s">
        <v>9815</v>
      </c>
    </row>
    <row r="2674" spans="1:18" x14ac:dyDescent="0.2">
      <c r="A2674">
        <v>1928859</v>
      </c>
      <c r="B2674" t="s">
        <v>9816</v>
      </c>
      <c r="C2674">
        <v>0</v>
      </c>
      <c r="D2674">
        <v>1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 t="s">
        <v>3284</v>
      </c>
      <c r="M2674" t="s">
        <v>3296</v>
      </c>
      <c r="N2674" t="s">
        <v>3297</v>
      </c>
      <c r="O2674" t="s">
        <v>3434</v>
      </c>
      <c r="P2674" t="s">
        <v>4646</v>
      </c>
      <c r="Q2674" t="s">
        <v>4647</v>
      </c>
      <c r="R2674" t="s">
        <v>9817</v>
      </c>
    </row>
    <row r="2675" spans="1:18" x14ac:dyDescent="0.2">
      <c r="A2675">
        <v>1928617</v>
      </c>
      <c r="B2675" t="s">
        <v>9818</v>
      </c>
      <c r="C2675">
        <v>1</v>
      </c>
      <c r="D2675">
        <v>1</v>
      </c>
      <c r="E2675">
        <v>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 t="s">
        <v>3284</v>
      </c>
      <c r="M2675" t="s">
        <v>3327</v>
      </c>
      <c r="N2675" t="s">
        <v>3376</v>
      </c>
      <c r="O2675" t="s">
        <v>3377</v>
      </c>
      <c r="P2675" t="s">
        <v>3378</v>
      </c>
      <c r="Q2675" t="s">
        <v>3379</v>
      </c>
      <c r="R2675" t="s">
        <v>9819</v>
      </c>
    </row>
    <row r="2676" spans="1:18" x14ac:dyDescent="0.2">
      <c r="A2676">
        <v>1927959</v>
      </c>
      <c r="B2676" t="s">
        <v>9820</v>
      </c>
      <c r="C2676">
        <v>1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 t="s">
        <v>3284</v>
      </c>
      <c r="M2676" t="s">
        <v>3296</v>
      </c>
      <c r="N2676" t="s">
        <v>3297</v>
      </c>
      <c r="O2676" t="s">
        <v>3469</v>
      </c>
      <c r="P2676" t="s">
        <v>5200</v>
      </c>
      <c r="Q2676" t="s">
        <v>5201</v>
      </c>
      <c r="R2676" t="s">
        <v>9821</v>
      </c>
    </row>
    <row r="2677" spans="1:18" x14ac:dyDescent="0.2">
      <c r="A2677">
        <v>1926878</v>
      </c>
      <c r="B2677" t="s">
        <v>9822</v>
      </c>
      <c r="C2677">
        <v>0</v>
      </c>
      <c r="D2677">
        <v>0</v>
      </c>
      <c r="E2677">
        <v>0</v>
      </c>
      <c r="F2677">
        <v>1</v>
      </c>
      <c r="G2677">
        <v>0</v>
      </c>
      <c r="H2677">
        <v>0</v>
      </c>
      <c r="I2677">
        <v>0</v>
      </c>
      <c r="J2677">
        <v>0</v>
      </c>
      <c r="K2677">
        <v>0</v>
      </c>
      <c r="L2677" t="s">
        <v>3284</v>
      </c>
      <c r="M2677" t="s">
        <v>3296</v>
      </c>
      <c r="N2677" t="s">
        <v>3321</v>
      </c>
      <c r="O2677" t="s">
        <v>3322</v>
      </c>
      <c r="P2677" t="s">
        <v>3423</v>
      </c>
      <c r="Q2677" t="s">
        <v>4170</v>
      </c>
      <c r="R2677" t="s">
        <v>9823</v>
      </c>
    </row>
    <row r="2678" spans="1:18" x14ac:dyDescent="0.2">
      <c r="A2678">
        <v>1926871</v>
      </c>
      <c r="B2678" t="s">
        <v>9824</v>
      </c>
      <c r="C2678">
        <v>0</v>
      </c>
      <c r="D2678">
        <v>1</v>
      </c>
      <c r="E2678">
        <v>0</v>
      </c>
      <c r="F2678">
        <v>1</v>
      </c>
      <c r="G2678">
        <v>2</v>
      </c>
      <c r="H2678">
        <v>0</v>
      </c>
      <c r="I2678">
        <v>1</v>
      </c>
      <c r="J2678">
        <v>0</v>
      </c>
      <c r="K2678">
        <v>1</v>
      </c>
      <c r="L2678" t="s">
        <v>3284</v>
      </c>
      <c r="M2678" t="s">
        <v>3391</v>
      </c>
      <c r="N2678" t="s">
        <v>3392</v>
      </c>
      <c r="O2678" t="s">
        <v>3393</v>
      </c>
      <c r="P2678" t="s">
        <v>3394</v>
      </c>
      <c r="Q2678" t="s">
        <v>3395</v>
      </c>
      <c r="R2678" t="s">
        <v>9825</v>
      </c>
    </row>
    <row r="2679" spans="1:18" x14ac:dyDescent="0.2">
      <c r="A2679">
        <v>1926868</v>
      </c>
      <c r="B2679" t="s">
        <v>9826</v>
      </c>
      <c r="C2679">
        <v>1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 t="s">
        <v>3284</v>
      </c>
      <c r="M2679" t="s">
        <v>3296</v>
      </c>
      <c r="N2679" t="s">
        <v>3321</v>
      </c>
      <c r="O2679" t="s">
        <v>3322</v>
      </c>
      <c r="P2679" t="s">
        <v>3398</v>
      </c>
      <c r="Q2679" t="s">
        <v>9827</v>
      </c>
      <c r="R2679" t="s">
        <v>9828</v>
      </c>
    </row>
    <row r="2680" spans="1:18" x14ac:dyDescent="0.2">
      <c r="A2680">
        <v>1926587</v>
      </c>
      <c r="B2680" t="s">
        <v>9829</v>
      </c>
      <c r="C2680">
        <v>0</v>
      </c>
      <c r="D2680">
        <v>0</v>
      </c>
      <c r="E2680">
        <v>0</v>
      </c>
      <c r="F2680">
        <v>1</v>
      </c>
      <c r="G2680">
        <v>0</v>
      </c>
      <c r="H2680">
        <v>0</v>
      </c>
      <c r="I2680">
        <v>0</v>
      </c>
      <c r="J2680">
        <v>0</v>
      </c>
      <c r="K2680">
        <v>0</v>
      </c>
      <c r="L2680" t="s">
        <v>3284</v>
      </c>
      <c r="M2680" t="s">
        <v>3327</v>
      </c>
      <c r="N2680" t="s">
        <v>3376</v>
      </c>
      <c r="O2680" t="s">
        <v>3377</v>
      </c>
      <c r="P2680" t="s">
        <v>3604</v>
      </c>
      <c r="Q2680" t="s">
        <v>3668</v>
      </c>
      <c r="R2680" t="s">
        <v>9830</v>
      </c>
    </row>
    <row r="2681" spans="1:18" x14ac:dyDescent="0.2">
      <c r="A2681">
        <v>1926292</v>
      </c>
      <c r="B2681" t="s">
        <v>9831</v>
      </c>
      <c r="C2681">
        <v>0</v>
      </c>
      <c r="D2681">
        <v>0</v>
      </c>
      <c r="E2681">
        <v>0</v>
      </c>
      <c r="F2681">
        <v>67</v>
      </c>
      <c r="G2681">
        <v>36</v>
      </c>
      <c r="H2681">
        <v>0</v>
      </c>
      <c r="I2681">
        <v>2</v>
      </c>
      <c r="J2681">
        <v>0</v>
      </c>
      <c r="K2681">
        <v>0</v>
      </c>
      <c r="L2681" t="s">
        <v>3284</v>
      </c>
      <c r="M2681" t="s">
        <v>3296</v>
      </c>
      <c r="N2681" t="s">
        <v>3343</v>
      </c>
      <c r="O2681" t="s">
        <v>3344</v>
      </c>
      <c r="P2681" t="s">
        <v>3937</v>
      </c>
      <c r="Q2681" t="s">
        <v>7974</v>
      </c>
      <c r="R2681" t="s">
        <v>9832</v>
      </c>
    </row>
    <row r="2682" spans="1:18" x14ac:dyDescent="0.2">
      <c r="A2682">
        <v>1926290</v>
      </c>
      <c r="B2682" t="s">
        <v>9833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1</v>
      </c>
      <c r="K2682">
        <v>0</v>
      </c>
      <c r="L2682" t="s">
        <v>3284</v>
      </c>
      <c r="M2682" t="s">
        <v>3307</v>
      </c>
      <c r="N2682" t="s">
        <v>3308</v>
      </c>
      <c r="O2682" t="s">
        <v>3359</v>
      </c>
      <c r="P2682" t="s">
        <v>3360</v>
      </c>
      <c r="Q2682" t="s">
        <v>4793</v>
      </c>
      <c r="R2682" t="s">
        <v>9834</v>
      </c>
    </row>
    <row r="2683" spans="1:18" x14ac:dyDescent="0.2">
      <c r="A2683">
        <v>1926289</v>
      </c>
      <c r="B2683" t="s">
        <v>9835</v>
      </c>
      <c r="C2683">
        <v>0</v>
      </c>
      <c r="D2683">
        <v>0</v>
      </c>
      <c r="E2683">
        <v>0</v>
      </c>
      <c r="F2683">
        <v>1</v>
      </c>
      <c r="G2683">
        <v>0</v>
      </c>
      <c r="H2683">
        <v>0</v>
      </c>
      <c r="I2683">
        <v>0</v>
      </c>
      <c r="J2683">
        <v>0</v>
      </c>
      <c r="K2683">
        <v>0</v>
      </c>
      <c r="L2683" t="s">
        <v>3284</v>
      </c>
      <c r="M2683" t="s">
        <v>3296</v>
      </c>
      <c r="N2683" t="s">
        <v>3321</v>
      </c>
      <c r="O2683" t="s">
        <v>3322</v>
      </c>
      <c r="P2683" t="s">
        <v>3323</v>
      </c>
      <c r="Q2683" t="s">
        <v>8972</v>
      </c>
      <c r="R2683" t="s">
        <v>9836</v>
      </c>
    </row>
    <row r="2684" spans="1:18" x14ac:dyDescent="0.2">
      <c r="A2684">
        <v>1926288</v>
      </c>
      <c r="B2684" t="s">
        <v>9837</v>
      </c>
      <c r="C2684">
        <v>0</v>
      </c>
      <c r="D2684">
        <v>0</v>
      </c>
      <c r="E2684">
        <v>0</v>
      </c>
      <c r="F2684">
        <v>2</v>
      </c>
      <c r="G2684">
        <v>1</v>
      </c>
      <c r="H2684">
        <v>0</v>
      </c>
      <c r="I2684">
        <v>0</v>
      </c>
      <c r="J2684">
        <v>0</v>
      </c>
      <c r="K2684">
        <v>0</v>
      </c>
      <c r="L2684" t="s">
        <v>3284</v>
      </c>
      <c r="M2684" t="s">
        <v>3296</v>
      </c>
      <c r="N2684" t="s">
        <v>3321</v>
      </c>
      <c r="O2684" t="s">
        <v>3322</v>
      </c>
      <c r="P2684" t="s">
        <v>3323</v>
      </c>
      <c r="Q2684" t="s">
        <v>9838</v>
      </c>
      <c r="R2684" t="s">
        <v>9839</v>
      </c>
    </row>
    <row r="2685" spans="1:18" x14ac:dyDescent="0.2">
      <c r="A2685">
        <v>1926287</v>
      </c>
      <c r="B2685" t="s">
        <v>9840</v>
      </c>
      <c r="C2685">
        <v>0</v>
      </c>
      <c r="D2685">
        <v>0</v>
      </c>
      <c r="E2685">
        <v>0</v>
      </c>
      <c r="F2685">
        <v>2</v>
      </c>
      <c r="G2685">
        <v>1</v>
      </c>
      <c r="H2685">
        <v>0</v>
      </c>
      <c r="I2685">
        <v>0</v>
      </c>
      <c r="J2685">
        <v>0</v>
      </c>
      <c r="K2685">
        <v>0</v>
      </c>
      <c r="L2685" t="s">
        <v>3284</v>
      </c>
      <c r="M2685" t="s">
        <v>3296</v>
      </c>
      <c r="N2685" t="s">
        <v>3321</v>
      </c>
      <c r="O2685" t="s">
        <v>3322</v>
      </c>
      <c r="P2685" t="s">
        <v>3323</v>
      </c>
      <c r="Q2685" t="s">
        <v>6159</v>
      </c>
      <c r="R2685" t="s">
        <v>9841</v>
      </c>
    </row>
    <row r="2686" spans="1:18" x14ac:dyDescent="0.2">
      <c r="A2686">
        <v>1924988</v>
      </c>
      <c r="B2686" t="s">
        <v>9842</v>
      </c>
      <c r="C2686">
        <v>1</v>
      </c>
      <c r="D2686">
        <v>2</v>
      </c>
      <c r="E2686">
        <v>0</v>
      </c>
      <c r="F2686">
        <v>1</v>
      </c>
      <c r="G2686">
        <v>0</v>
      </c>
      <c r="H2686">
        <v>0</v>
      </c>
      <c r="I2686">
        <v>0</v>
      </c>
      <c r="J2686">
        <v>0</v>
      </c>
      <c r="K2686">
        <v>0</v>
      </c>
      <c r="L2686" t="s">
        <v>3284</v>
      </c>
      <c r="M2686" t="s">
        <v>3296</v>
      </c>
      <c r="N2686" t="s">
        <v>3321</v>
      </c>
      <c r="O2686" t="s">
        <v>3322</v>
      </c>
      <c r="P2686" t="s">
        <v>3398</v>
      </c>
      <c r="Q2686" t="s">
        <v>3556</v>
      </c>
      <c r="R2686" t="s">
        <v>9843</v>
      </c>
    </row>
    <row r="2687" spans="1:18" x14ac:dyDescent="0.2">
      <c r="A2687">
        <v>1923877</v>
      </c>
      <c r="B2687" t="s">
        <v>9844</v>
      </c>
      <c r="C2687">
        <v>0</v>
      </c>
      <c r="D2687">
        <v>0</v>
      </c>
      <c r="E2687">
        <v>1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 t="s">
        <v>3284</v>
      </c>
      <c r="M2687" t="s">
        <v>3327</v>
      </c>
      <c r="N2687" t="s">
        <v>3376</v>
      </c>
      <c r="O2687" t="s">
        <v>3377</v>
      </c>
      <c r="P2687" t="s">
        <v>9845</v>
      </c>
      <c r="Q2687" t="s">
        <v>9846</v>
      </c>
      <c r="R2687" t="s">
        <v>9847</v>
      </c>
    </row>
    <row r="2688" spans="1:18" x14ac:dyDescent="0.2">
      <c r="A2688">
        <v>1921566</v>
      </c>
      <c r="B2688" t="s">
        <v>9848</v>
      </c>
      <c r="C2688">
        <v>0</v>
      </c>
      <c r="D2688">
        <v>0</v>
      </c>
      <c r="E2688">
        <v>0</v>
      </c>
      <c r="F2688">
        <v>1</v>
      </c>
      <c r="G2688">
        <v>0</v>
      </c>
      <c r="H2688">
        <v>0</v>
      </c>
      <c r="I2688">
        <v>0</v>
      </c>
      <c r="J2688">
        <v>0</v>
      </c>
      <c r="K2688">
        <v>0</v>
      </c>
      <c r="L2688" t="s">
        <v>3284</v>
      </c>
      <c r="M2688" t="s">
        <v>3307</v>
      </c>
      <c r="N2688" t="s">
        <v>3308</v>
      </c>
      <c r="O2688" t="s">
        <v>3309</v>
      </c>
      <c r="P2688" t="s">
        <v>3310</v>
      </c>
      <c r="Q2688" t="s">
        <v>3311</v>
      </c>
      <c r="R2688" t="s">
        <v>9849</v>
      </c>
    </row>
    <row r="2689" spans="1:18" x14ac:dyDescent="0.2">
      <c r="A2689">
        <v>1920516</v>
      </c>
      <c r="B2689" t="s">
        <v>9850</v>
      </c>
      <c r="C2689">
        <v>1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 t="s">
        <v>3284</v>
      </c>
      <c r="M2689" t="s">
        <v>3307</v>
      </c>
      <c r="N2689" t="s">
        <v>3308</v>
      </c>
      <c r="O2689" t="s">
        <v>9851</v>
      </c>
      <c r="P2689" t="s">
        <v>9852</v>
      </c>
      <c r="Q2689" t="s">
        <v>9853</v>
      </c>
      <c r="R2689" t="s">
        <v>9854</v>
      </c>
    </row>
    <row r="2690" spans="1:18" x14ac:dyDescent="0.2">
      <c r="A2690">
        <v>1920426</v>
      </c>
      <c r="B2690" t="s">
        <v>9855</v>
      </c>
      <c r="C2690">
        <v>0</v>
      </c>
      <c r="D2690">
        <v>0</v>
      </c>
      <c r="E2690">
        <v>0</v>
      </c>
      <c r="F2690">
        <v>3</v>
      </c>
      <c r="G2690">
        <v>3</v>
      </c>
      <c r="H2690">
        <v>0</v>
      </c>
      <c r="I2690">
        <v>0</v>
      </c>
      <c r="J2690">
        <v>0</v>
      </c>
      <c r="K2690">
        <v>0</v>
      </c>
      <c r="L2690" t="s">
        <v>3284</v>
      </c>
      <c r="M2690" t="s">
        <v>3391</v>
      </c>
      <c r="N2690" t="s">
        <v>3411</v>
      </c>
      <c r="O2690" t="s">
        <v>3412</v>
      </c>
      <c r="P2690" t="s">
        <v>3413</v>
      </c>
      <c r="Q2690" t="s">
        <v>3414</v>
      </c>
      <c r="R2690" t="s">
        <v>9856</v>
      </c>
    </row>
    <row r="2691" spans="1:18" x14ac:dyDescent="0.2">
      <c r="A2691">
        <v>1920422</v>
      </c>
      <c r="B2691" t="s">
        <v>9857</v>
      </c>
      <c r="C2691">
        <v>0</v>
      </c>
      <c r="D2691">
        <v>1</v>
      </c>
      <c r="E2691">
        <v>3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 t="s">
        <v>3284</v>
      </c>
      <c r="M2691" t="s">
        <v>3327</v>
      </c>
      <c r="N2691" t="s">
        <v>3376</v>
      </c>
      <c r="O2691" t="s">
        <v>3377</v>
      </c>
      <c r="P2691" t="s">
        <v>3604</v>
      </c>
      <c r="Q2691" t="s">
        <v>3668</v>
      </c>
      <c r="R2691" t="s">
        <v>9858</v>
      </c>
    </row>
    <row r="2692" spans="1:18" x14ac:dyDescent="0.2">
      <c r="A2692">
        <v>1920191</v>
      </c>
      <c r="B2692" t="s">
        <v>9859</v>
      </c>
      <c r="C2692">
        <v>1</v>
      </c>
      <c r="D2692">
        <v>0</v>
      </c>
      <c r="E2692">
        <v>0</v>
      </c>
      <c r="F2692">
        <v>4</v>
      </c>
      <c r="G2692">
        <v>0</v>
      </c>
      <c r="H2692">
        <v>6</v>
      </c>
      <c r="I2692">
        <v>37</v>
      </c>
      <c r="J2692">
        <v>21</v>
      </c>
      <c r="K2692">
        <v>19</v>
      </c>
      <c r="L2692" t="s">
        <v>3284</v>
      </c>
      <c r="M2692" t="s">
        <v>3296</v>
      </c>
      <c r="N2692" t="s">
        <v>3321</v>
      </c>
      <c r="O2692" t="s">
        <v>3322</v>
      </c>
      <c r="P2692" t="s">
        <v>3398</v>
      </c>
      <c r="Q2692" t="s">
        <v>3439</v>
      </c>
      <c r="R2692" t="s">
        <v>9860</v>
      </c>
    </row>
    <row r="2693" spans="1:18" x14ac:dyDescent="0.2">
      <c r="A2693">
        <v>1917973</v>
      </c>
      <c r="B2693" t="s">
        <v>9861</v>
      </c>
      <c r="C2693">
        <v>0</v>
      </c>
      <c r="D2693">
        <v>0</v>
      </c>
      <c r="E2693">
        <v>0</v>
      </c>
      <c r="F2693">
        <v>1</v>
      </c>
      <c r="G2693">
        <v>0</v>
      </c>
      <c r="H2693">
        <v>0</v>
      </c>
      <c r="I2693">
        <v>0</v>
      </c>
      <c r="J2693">
        <v>0</v>
      </c>
      <c r="K2693">
        <v>0</v>
      </c>
      <c r="L2693" t="s">
        <v>3284</v>
      </c>
      <c r="M2693" t="s">
        <v>3296</v>
      </c>
      <c r="N2693" t="s">
        <v>3343</v>
      </c>
      <c r="O2693" t="s">
        <v>3349</v>
      </c>
      <c r="P2693" t="s">
        <v>3350</v>
      </c>
      <c r="Q2693" t="s">
        <v>3580</v>
      </c>
      <c r="R2693" t="s">
        <v>9862</v>
      </c>
    </row>
    <row r="2694" spans="1:18" x14ac:dyDescent="0.2">
      <c r="A2694">
        <v>1917967</v>
      </c>
      <c r="B2694" t="s">
        <v>9863</v>
      </c>
      <c r="C2694">
        <v>3</v>
      </c>
      <c r="D2694">
        <v>10</v>
      </c>
      <c r="E2694">
        <v>2</v>
      </c>
      <c r="F2694">
        <v>5</v>
      </c>
      <c r="G2694">
        <v>2</v>
      </c>
      <c r="H2694">
        <v>0</v>
      </c>
      <c r="I2694">
        <v>0</v>
      </c>
      <c r="J2694">
        <v>2</v>
      </c>
      <c r="K2694">
        <v>0</v>
      </c>
      <c r="L2694" t="s">
        <v>3284</v>
      </c>
      <c r="M2694" t="s">
        <v>3296</v>
      </c>
      <c r="N2694" t="s">
        <v>3321</v>
      </c>
      <c r="O2694" t="s">
        <v>3322</v>
      </c>
      <c r="P2694" t="s">
        <v>3398</v>
      </c>
      <c r="Q2694" t="s">
        <v>3696</v>
      </c>
      <c r="R2694" t="s">
        <v>9864</v>
      </c>
    </row>
    <row r="2695" spans="1:18" x14ac:dyDescent="0.2">
      <c r="A2695">
        <v>1917965</v>
      </c>
      <c r="B2695" t="s">
        <v>9865</v>
      </c>
      <c r="C2695">
        <v>0</v>
      </c>
      <c r="D2695">
        <v>0</v>
      </c>
      <c r="E2695">
        <v>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 t="s">
        <v>3284</v>
      </c>
      <c r="M2695" t="s">
        <v>3296</v>
      </c>
      <c r="N2695" t="s">
        <v>3343</v>
      </c>
      <c r="O2695" t="s">
        <v>3371</v>
      </c>
      <c r="P2695" t="s">
        <v>3688</v>
      </c>
      <c r="Q2695" t="s">
        <v>9866</v>
      </c>
      <c r="R2695" t="s">
        <v>9867</v>
      </c>
    </row>
    <row r="2696" spans="1:18" x14ac:dyDescent="0.2">
      <c r="A2696">
        <v>1917889</v>
      </c>
      <c r="B2696" t="s">
        <v>9868</v>
      </c>
      <c r="C2696">
        <v>1</v>
      </c>
      <c r="D2696">
        <v>0</v>
      </c>
      <c r="E2696">
        <v>4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 t="s">
        <v>3284</v>
      </c>
      <c r="M2696" t="s">
        <v>3327</v>
      </c>
      <c r="N2696" t="s">
        <v>3376</v>
      </c>
      <c r="O2696" t="s">
        <v>3377</v>
      </c>
      <c r="P2696" t="s">
        <v>3378</v>
      </c>
      <c r="Q2696" t="s">
        <v>7727</v>
      </c>
      <c r="R2696" t="s">
        <v>9869</v>
      </c>
    </row>
    <row r="2697" spans="1:18" x14ac:dyDescent="0.2">
      <c r="A2697">
        <v>1917865</v>
      </c>
      <c r="B2697" t="s">
        <v>9870</v>
      </c>
      <c r="C2697">
        <v>2</v>
      </c>
      <c r="D2697">
        <v>0</v>
      </c>
      <c r="E2697">
        <v>1</v>
      </c>
      <c r="F2697">
        <v>1</v>
      </c>
      <c r="G2697">
        <v>0</v>
      </c>
      <c r="H2697">
        <v>0</v>
      </c>
      <c r="I2697">
        <v>0</v>
      </c>
      <c r="J2697">
        <v>0</v>
      </c>
      <c r="K2697">
        <v>0</v>
      </c>
      <c r="L2697" t="s">
        <v>3284</v>
      </c>
      <c r="M2697" t="s">
        <v>3391</v>
      </c>
      <c r="N2697" t="s">
        <v>4129</v>
      </c>
      <c r="O2697" t="s">
        <v>4130</v>
      </c>
      <c r="P2697" t="s">
        <v>4131</v>
      </c>
      <c r="Q2697" t="s">
        <v>9543</v>
      </c>
      <c r="R2697" t="s">
        <v>9871</v>
      </c>
    </row>
    <row r="2698" spans="1:18" x14ac:dyDescent="0.2">
      <c r="A2698">
        <v>1917219</v>
      </c>
      <c r="B2698" t="s">
        <v>9872</v>
      </c>
      <c r="C2698">
        <v>4</v>
      </c>
      <c r="D2698">
        <v>6</v>
      </c>
      <c r="E2698">
        <v>1</v>
      </c>
      <c r="F2698">
        <v>8</v>
      </c>
      <c r="G2698">
        <v>10</v>
      </c>
      <c r="H2698">
        <v>0</v>
      </c>
      <c r="I2698">
        <v>4</v>
      </c>
      <c r="J2698">
        <v>0</v>
      </c>
      <c r="K2698">
        <v>2</v>
      </c>
      <c r="L2698" t="s">
        <v>3284</v>
      </c>
      <c r="M2698" t="s">
        <v>3391</v>
      </c>
      <c r="N2698" t="s">
        <v>3411</v>
      </c>
      <c r="O2698" t="s">
        <v>3412</v>
      </c>
      <c r="P2698" t="s">
        <v>7008</v>
      </c>
      <c r="Q2698" t="s">
        <v>7940</v>
      </c>
      <c r="R2698" t="s">
        <v>9873</v>
      </c>
    </row>
    <row r="2699" spans="1:18" x14ac:dyDescent="0.2">
      <c r="A2699">
        <v>1917217</v>
      </c>
      <c r="B2699" t="s">
        <v>9874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2</v>
      </c>
      <c r="J2699">
        <v>0</v>
      </c>
      <c r="K2699">
        <v>3</v>
      </c>
      <c r="L2699" t="s">
        <v>3284</v>
      </c>
      <c r="M2699" t="s">
        <v>3296</v>
      </c>
      <c r="N2699" t="s">
        <v>3343</v>
      </c>
      <c r="O2699" t="s">
        <v>3861</v>
      </c>
      <c r="P2699" t="s">
        <v>3862</v>
      </c>
      <c r="Q2699" t="s">
        <v>9534</v>
      </c>
      <c r="R2699" t="s">
        <v>9875</v>
      </c>
    </row>
    <row r="2700" spans="1:18" x14ac:dyDescent="0.2">
      <c r="A2700">
        <v>1917215</v>
      </c>
      <c r="B2700" t="s">
        <v>9876</v>
      </c>
      <c r="C2700">
        <v>1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 t="s">
        <v>3284</v>
      </c>
      <c r="M2700" t="s">
        <v>3296</v>
      </c>
      <c r="N2700" t="s">
        <v>3343</v>
      </c>
      <c r="O2700" t="s">
        <v>3861</v>
      </c>
      <c r="P2700" t="s">
        <v>7264</v>
      </c>
      <c r="Q2700" t="s">
        <v>9877</v>
      </c>
      <c r="R2700" t="s">
        <v>9878</v>
      </c>
    </row>
    <row r="2701" spans="1:18" x14ac:dyDescent="0.2">
      <c r="A2701">
        <v>1917182</v>
      </c>
      <c r="B2701" t="s">
        <v>9879</v>
      </c>
      <c r="C2701">
        <v>0</v>
      </c>
      <c r="D2701">
        <v>0</v>
      </c>
      <c r="E2701">
        <v>0</v>
      </c>
      <c r="F2701">
        <v>1</v>
      </c>
      <c r="G2701">
        <v>0</v>
      </c>
      <c r="H2701">
        <v>0</v>
      </c>
      <c r="I2701">
        <v>0</v>
      </c>
      <c r="J2701">
        <v>0</v>
      </c>
      <c r="K2701">
        <v>0</v>
      </c>
      <c r="L2701" t="s">
        <v>3284</v>
      </c>
      <c r="M2701" t="s">
        <v>3296</v>
      </c>
      <c r="N2701" t="s">
        <v>3321</v>
      </c>
      <c r="O2701" t="s">
        <v>3322</v>
      </c>
      <c r="P2701" t="s">
        <v>4143</v>
      </c>
      <c r="Q2701" t="s">
        <v>9880</v>
      </c>
      <c r="R2701" t="s">
        <v>9881</v>
      </c>
    </row>
    <row r="2702" spans="1:18" x14ac:dyDescent="0.2">
      <c r="A2702">
        <v>1916917</v>
      </c>
      <c r="B2702" t="s">
        <v>9882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1</v>
      </c>
      <c r="K2702">
        <v>0</v>
      </c>
      <c r="L2702" t="s">
        <v>3284</v>
      </c>
      <c r="M2702" t="s">
        <v>3307</v>
      </c>
      <c r="N2702" t="s">
        <v>3308</v>
      </c>
      <c r="O2702" t="s">
        <v>3359</v>
      </c>
      <c r="P2702" t="s">
        <v>3360</v>
      </c>
      <c r="Q2702" t="s">
        <v>3361</v>
      </c>
      <c r="R2702" t="s">
        <v>9883</v>
      </c>
    </row>
    <row r="2703" spans="1:18" x14ac:dyDescent="0.2">
      <c r="A2703">
        <v>1916663</v>
      </c>
      <c r="B2703" t="s">
        <v>9884</v>
      </c>
      <c r="C2703">
        <v>0</v>
      </c>
      <c r="D2703">
        <v>0</v>
      </c>
      <c r="E2703">
        <v>0</v>
      </c>
      <c r="F2703">
        <v>0</v>
      </c>
      <c r="G2703">
        <v>1</v>
      </c>
      <c r="H2703">
        <v>1</v>
      </c>
      <c r="I2703">
        <v>0</v>
      </c>
      <c r="J2703">
        <v>0</v>
      </c>
      <c r="K2703">
        <v>0</v>
      </c>
      <c r="L2703" t="s">
        <v>3284</v>
      </c>
      <c r="M2703" t="s">
        <v>3296</v>
      </c>
      <c r="N2703" t="s">
        <v>3343</v>
      </c>
      <c r="O2703" t="s">
        <v>3349</v>
      </c>
      <c r="P2703" t="s">
        <v>5827</v>
      </c>
      <c r="Q2703" t="s">
        <v>9885</v>
      </c>
      <c r="R2703" t="s">
        <v>9886</v>
      </c>
    </row>
    <row r="2704" spans="1:18" x14ac:dyDescent="0.2">
      <c r="A2704">
        <v>1915409</v>
      </c>
      <c r="B2704" t="s">
        <v>9887</v>
      </c>
      <c r="C2704">
        <v>1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 t="s">
        <v>3284</v>
      </c>
      <c r="M2704" t="s">
        <v>3391</v>
      </c>
      <c r="N2704" t="s">
        <v>4129</v>
      </c>
      <c r="O2704" t="s">
        <v>4130</v>
      </c>
      <c r="P2704" t="s">
        <v>4131</v>
      </c>
      <c r="Q2704" t="s">
        <v>9888</v>
      </c>
      <c r="R2704" t="s">
        <v>9889</v>
      </c>
    </row>
    <row r="2705" spans="1:18" x14ac:dyDescent="0.2">
      <c r="A2705">
        <v>1915057</v>
      </c>
      <c r="B2705" t="s">
        <v>9890</v>
      </c>
      <c r="C2705">
        <v>0</v>
      </c>
      <c r="D2705">
        <v>0</v>
      </c>
      <c r="E2705">
        <v>0</v>
      </c>
      <c r="F2705">
        <v>2</v>
      </c>
      <c r="G2705">
        <v>0</v>
      </c>
      <c r="H2705">
        <v>0</v>
      </c>
      <c r="I2705">
        <v>8</v>
      </c>
      <c r="J2705">
        <v>3</v>
      </c>
      <c r="K2705">
        <v>3</v>
      </c>
      <c r="L2705" t="s">
        <v>3284</v>
      </c>
      <c r="M2705" t="s">
        <v>3307</v>
      </c>
      <c r="N2705" t="s">
        <v>3308</v>
      </c>
      <c r="O2705" t="s">
        <v>3359</v>
      </c>
      <c r="P2705" t="s">
        <v>3360</v>
      </c>
      <c r="Q2705" t="s">
        <v>4121</v>
      </c>
      <c r="R2705" t="s">
        <v>9891</v>
      </c>
    </row>
    <row r="2706" spans="1:18" x14ac:dyDescent="0.2">
      <c r="A2706">
        <v>1914993</v>
      </c>
      <c r="B2706" t="s">
        <v>9892</v>
      </c>
      <c r="C2706">
        <v>0</v>
      </c>
      <c r="D2706">
        <v>0</v>
      </c>
      <c r="E2706">
        <v>0</v>
      </c>
      <c r="F2706">
        <v>2</v>
      </c>
      <c r="G2706">
        <v>0</v>
      </c>
      <c r="H2706">
        <v>0</v>
      </c>
      <c r="I2706">
        <v>0</v>
      </c>
      <c r="J2706">
        <v>0</v>
      </c>
      <c r="K2706">
        <v>0</v>
      </c>
      <c r="L2706" t="s">
        <v>3284</v>
      </c>
      <c r="M2706" t="s">
        <v>3296</v>
      </c>
      <c r="N2706" t="s">
        <v>3321</v>
      </c>
      <c r="O2706" t="s">
        <v>3322</v>
      </c>
      <c r="P2706" t="s">
        <v>3398</v>
      </c>
      <c r="Q2706" t="s">
        <v>3399</v>
      </c>
      <c r="R2706" t="s">
        <v>9893</v>
      </c>
    </row>
    <row r="2707" spans="1:18" x14ac:dyDescent="0.2">
      <c r="A2707">
        <v>1914977</v>
      </c>
      <c r="B2707" t="s">
        <v>9894</v>
      </c>
      <c r="C2707">
        <v>0</v>
      </c>
      <c r="D2707">
        <v>0</v>
      </c>
      <c r="E2707">
        <v>0</v>
      </c>
      <c r="F2707">
        <v>1</v>
      </c>
      <c r="G2707">
        <v>1</v>
      </c>
      <c r="H2707">
        <v>0</v>
      </c>
      <c r="I2707">
        <v>0</v>
      </c>
      <c r="J2707">
        <v>0</v>
      </c>
      <c r="K2707">
        <v>0</v>
      </c>
      <c r="L2707" t="s">
        <v>3284</v>
      </c>
      <c r="M2707" t="s">
        <v>3296</v>
      </c>
      <c r="N2707" t="s">
        <v>3321</v>
      </c>
      <c r="O2707" t="s">
        <v>3322</v>
      </c>
      <c r="P2707" t="s">
        <v>3323</v>
      </c>
      <c r="Q2707" t="s">
        <v>7058</v>
      </c>
      <c r="R2707" t="s">
        <v>9895</v>
      </c>
    </row>
    <row r="2708" spans="1:18" x14ac:dyDescent="0.2">
      <c r="A2708">
        <v>1914756</v>
      </c>
      <c r="B2708" t="s">
        <v>9896</v>
      </c>
      <c r="C2708">
        <v>0</v>
      </c>
      <c r="D2708">
        <v>0</v>
      </c>
      <c r="E2708">
        <v>0</v>
      </c>
      <c r="F2708">
        <v>1</v>
      </c>
      <c r="G2708">
        <v>1</v>
      </c>
      <c r="H2708">
        <v>0</v>
      </c>
      <c r="I2708">
        <v>1</v>
      </c>
      <c r="J2708">
        <v>0</v>
      </c>
      <c r="K2708">
        <v>0</v>
      </c>
      <c r="L2708" t="s">
        <v>3284</v>
      </c>
      <c r="M2708" t="s">
        <v>3296</v>
      </c>
      <c r="N2708" t="s">
        <v>3343</v>
      </c>
      <c r="O2708" t="s">
        <v>3402</v>
      </c>
      <c r="P2708" t="s">
        <v>3403</v>
      </c>
      <c r="Q2708" t="s">
        <v>5337</v>
      </c>
      <c r="R2708" t="s">
        <v>9897</v>
      </c>
    </row>
    <row r="2709" spans="1:18" x14ac:dyDescent="0.2">
      <c r="A2709">
        <v>1914536</v>
      </c>
      <c r="B2709" t="s">
        <v>9898</v>
      </c>
      <c r="C2709">
        <v>1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 t="s">
        <v>3284</v>
      </c>
      <c r="M2709" t="s">
        <v>3327</v>
      </c>
      <c r="N2709" t="s">
        <v>3376</v>
      </c>
      <c r="O2709" t="s">
        <v>3377</v>
      </c>
      <c r="P2709" t="s">
        <v>3271</v>
      </c>
      <c r="Q2709" t="s">
        <v>3648</v>
      </c>
      <c r="R2709" t="s">
        <v>9899</v>
      </c>
    </row>
    <row r="2710" spans="1:18" x14ac:dyDescent="0.2">
      <c r="A2710">
        <v>1914288</v>
      </c>
      <c r="B2710" t="s">
        <v>9900</v>
      </c>
      <c r="C2710">
        <v>1</v>
      </c>
      <c r="D2710">
        <v>0</v>
      </c>
      <c r="E2710">
        <v>0</v>
      </c>
      <c r="F2710">
        <v>1</v>
      </c>
      <c r="G2710">
        <v>0</v>
      </c>
      <c r="H2710">
        <v>0</v>
      </c>
      <c r="I2710">
        <v>0</v>
      </c>
      <c r="J2710">
        <v>0</v>
      </c>
      <c r="K2710">
        <v>0</v>
      </c>
      <c r="L2710" t="s">
        <v>3284</v>
      </c>
      <c r="M2710" t="s">
        <v>3391</v>
      </c>
      <c r="N2710" t="s">
        <v>3740</v>
      </c>
      <c r="O2710" t="s">
        <v>3741</v>
      </c>
      <c r="P2710" t="s">
        <v>3742</v>
      </c>
      <c r="Q2710" t="s">
        <v>4598</v>
      </c>
      <c r="R2710" t="s">
        <v>9901</v>
      </c>
    </row>
    <row r="2711" spans="1:18" x14ac:dyDescent="0.2">
      <c r="A2711">
        <v>1914230</v>
      </c>
      <c r="B2711" t="s">
        <v>9902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1</v>
      </c>
      <c r="J2711">
        <v>0</v>
      </c>
      <c r="K2711">
        <v>0</v>
      </c>
      <c r="L2711" t="s">
        <v>3284</v>
      </c>
      <c r="M2711" t="s">
        <v>3296</v>
      </c>
      <c r="N2711" t="s">
        <v>3343</v>
      </c>
      <c r="O2711" t="s">
        <v>3861</v>
      </c>
      <c r="P2711" t="s">
        <v>4670</v>
      </c>
      <c r="Q2711" t="s">
        <v>9903</v>
      </c>
      <c r="R2711" t="s">
        <v>9904</v>
      </c>
    </row>
    <row r="2712" spans="1:18" x14ac:dyDescent="0.2">
      <c r="A2712">
        <v>1913981</v>
      </c>
      <c r="B2712" t="s">
        <v>9905</v>
      </c>
      <c r="C2712">
        <v>0</v>
      </c>
      <c r="D2712">
        <v>1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 t="s">
        <v>3284</v>
      </c>
      <c r="M2712" t="s">
        <v>3391</v>
      </c>
      <c r="N2712" t="s">
        <v>4129</v>
      </c>
      <c r="O2712" t="s">
        <v>4130</v>
      </c>
      <c r="P2712" t="s">
        <v>4131</v>
      </c>
      <c r="Q2712" t="s">
        <v>6337</v>
      </c>
      <c r="R2712" t="s">
        <v>9906</v>
      </c>
    </row>
    <row r="2713" spans="1:18" x14ac:dyDescent="0.2">
      <c r="A2713">
        <v>1913979</v>
      </c>
      <c r="B2713" t="s">
        <v>9907</v>
      </c>
      <c r="C2713">
        <v>4</v>
      </c>
      <c r="D2713">
        <v>2</v>
      </c>
      <c r="E2713">
        <v>1</v>
      </c>
      <c r="F2713">
        <v>0</v>
      </c>
      <c r="G2713">
        <v>0</v>
      </c>
      <c r="H2713">
        <v>0</v>
      </c>
      <c r="I2713">
        <v>0</v>
      </c>
      <c r="J2713">
        <v>1</v>
      </c>
      <c r="K2713">
        <v>0</v>
      </c>
      <c r="L2713" t="s">
        <v>3284</v>
      </c>
      <c r="M2713" t="s">
        <v>3307</v>
      </c>
      <c r="N2713" t="s">
        <v>3308</v>
      </c>
      <c r="O2713" t="s">
        <v>3359</v>
      </c>
      <c r="P2713" t="s">
        <v>3360</v>
      </c>
      <c r="Q2713" t="s">
        <v>5474</v>
      </c>
      <c r="R2713" t="s">
        <v>9908</v>
      </c>
    </row>
    <row r="2714" spans="1:18" x14ac:dyDescent="0.2">
      <c r="A2714">
        <v>1912891</v>
      </c>
      <c r="B2714" t="s">
        <v>9909</v>
      </c>
      <c r="C2714">
        <v>0</v>
      </c>
      <c r="D2714">
        <v>0</v>
      </c>
      <c r="E2714">
        <v>0</v>
      </c>
      <c r="F2714">
        <v>6</v>
      </c>
      <c r="G2714">
        <v>3</v>
      </c>
      <c r="H2714">
        <v>1</v>
      </c>
      <c r="I2714">
        <v>1</v>
      </c>
      <c r="J2714">
        <v>0</v>
      </c>
      <c r="K2714">
        <v>0</v>
      </c>
      <c r="L2714" t="s">
        <v>3284</v>
      </c>
      <c r="M2714" t="s">
        <v>3296</v>
      </c>
      <c r="N2714" t="s">
        <v>3343</v>
      </c>
      <c r="O2714" t="s">
        <v>3349</v>
      </c>
      <c r="P2714" t="s">
        <v>3350</v>
      </c>
      <c r="Q2714" t="s">
        <v>4175</v>
      </c>
      <c r="R2714" t="s">
        <v>9910</v>
      </c>
    </row>
    <row r="2715" spans="1:18" x14ac:dyDescent="0.2">
      <c r="A2715">
        <v>1912859</v>
      </c>
      <c r="B2715" t="s">
        <v>9911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8</v>
      </c>
      <c r="J2715">
        <v>4</v>
      </c>
      <c r="K2715">
        <v>0</v>
      </c>
      <c r="L2715" t="s">
        <v>3284</v>
      </c>
      <c r="M2715" t="s">
        <v>3307</v>
      </c>
      <c r="N2715" t="s">
        <v>3989</v>
      </c>
      <c r="O2715" t="s">
        <v>3990</v>
      </c>
      <c r="P2715" t="s">
        <v>3991</v>
      </c>
      <c r="Q2715" t="s">
        <v>3992</v>
      </c>
      <c r="R2715" t="s">
        <v>9912</v>
      </c>
    </row>
    <row r="2716" spans="1:18" x14ac:dyDescent="0.2">
      <c r="A2716">
        <v>1912221</v>
      </c>
      <c r="B2716" t="s">
        <v>9913</v>
      </c>
      <c r="C2716">
        <v>0</v>
      </c>
      <c r="D2716">
        <v>1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 t="s">
        <v>3284</v>
      </c>
      <c r="M2716" t="s">
        <v>3307</v>
      </c>
      <c r="N2716" t="s">
        <v>3308</v>
      </c>
      <c r="O2716" t="s">
        <v>3309</v>
      </c>
      <c r="P2716" t="s">
        <v>6036</v>
      </c>
      <c r="Q2716" t="s">
        <v>9914</v>
      </c>
      <c r="R2716" t="s">
        <v>9915</v>
      </c>
    </row>
    <row r="2717" spans="1:18" x14ac:dyDescent="0.2">
      <c r="A2717">
        <v>1912214</v>
      </c>
      <c r="B2717" t="s">
        <v>9916</v>
      </c>
      <c r="C2717">
        <v>0</v>
      </c>
      <c r="D2717">
        <v>0</v>
      </c>
      <c r="E2717">
        <v>1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 t="s">
        <v>3284</v>
      </c>
      <c r="M2717" t="s">
        <v>3327</v>
      </c>
      <c r="N2717" t="s">
        <v>3376</v>
      </c>
      <c r="O2717" t="s">
        <v>3377</v>
      </c>
      <c r="P2717" t="s">
        <v>3378</v>
      </c>
      <c r="Q2717" t="s">
        <v>3379</v>
      </c>
      <c r="R2717" t="s">
        <v>9917</v>
      </c>
    </row>
    <row r="2718" spans="1:18" x14ac:dyDescent="0.2">
      <c r="A2718">
        <v>1911585</v>
      </c>
      <c r="B2718" t="s">
        <v>9918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1</v>
      </c>
      <c r="I2718">
        <v>0</v>
      </c>
      <c r="J2718">
        <v>0</v>
      </c>
      <c r="K2718">
        <v>0</v>
      </c>
      <c r="L2718" t="s">
        <v>3284</v>
      </c>
      <c r="M2718" t="s">
        <v>3296</v>
      </c>
      <c r="N2718" t="s">
        <v>3343</v>
      </c>
      <c r="O2718" t="s">
        <v>3344</v>
      </c>
      <c r="P2718" t="s">
        <v>3355</v>
      </c>
      <c r="Q2718" t="s">
        <v>3525</v>
      </c>
      <c r="R2718" t="s">
        <v>9919</v>
      </c>
    </row>
    <row r="2719" spans="1:18" x14ac:dyDescent="0.2">
      <c r="A2719">
        <v>1911578</v>
      </c>
      <c r="B2719" t="s">
        <v>9920</v>
      </c>
      <c r="C2719">
        <v>1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 t="s">
        <v>3284</v>
      </c>
      <c r="M2719" t="s">
        <v>3296</v>
      </c>
      <c r="N2719" t="s">
        <v>3321</v>
      </c>
      <c r="O2719" t="s">
        <v>4147</v>
      </c>
      <c r="P2719" t="s">
        <v>4164</v>
      </c>
      <c r="Q2719" t="s">
        <v>9921</v>
      </c>
      <c r="R2719" t="s">
        <v>9922</v>
      </c>
    </row>
    <row r="2720" spans="1:18" x14ac:dyDescent="0.2">
      <c r="A2720">
        <v>1911079</v>
      </c>
      <c r="B2720" t="s">
        <v>9923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1</v>
      </c>
      <c r="L2720" t="s">
        <v>3284</v>
      </c>
      <c r="M2720" t="s">
        <v>3296</v>
      </c>
      <c r="N2720" t="s">
        <v>3343</v>
      </c>
      <c r="O2720" t="s">
        <v>3344</v>
      </c>
      <c r="P2720" t="s">
        <v>6791</v>
      </c>
      <c r="Q2720" t="s">
        <v>7770</v>
      </c>
      <c r="R2720" t="s">
        <v>9924</v>
      </c>
    </row>
    <row r="2721" spans="1:18" x14ac:dyDescent="0.2">
      <c r="A2721">
        <v>1909423</v>
      </c>
      <c r="B2721" t="s">
        <v>9925</v>
      </c>
      <c r="C2721">
        <v>0</v>
      </c>
      <c r="D2721">
        <v>0</v>
      </c>
      <c r="E2721">
        <v>0</v>
      </c>
      <c r="F2721">
        <v>1</v>
      </c>
      <c r="G2721">
        <v>0</v>
      </c>
      <c r="H2721">
        <v>0</v>
      </c>
      <c r="I2721">
        <v>0</v>
      </c>
      <c r="J2721">
        <v>0</v>
      </c>
      <c r="K2721">
        <v>0</v>
      </c>
      <c r="L2721" t="s">
        <v>3284</v>
      </c>
      <c r="M2721" t="s">
        <v>3307</v>
      </c>
      <c r="N2721" t="s">
        <v>3308</v>
      </c>
      <c r="O2721" t="s">
        <v>3359</v>
      </c>
      <c r="P2721" t="s">
        <v>3588</v>
      </c>
      <c r="Q2721" t="s">
        <v>4970</v>
      </c>
      <c r="R2721" t="s">
        <v>9926</v>
      </c>
    </row>
    <row r="2722" spans="1:18" x14ac:dyDescent="0.2">
      <c r="A2722">
        <v>1908690</v>
      </c>
      <c r="B2722" t="s">
        <v>9927</v>
      </c>
      <c r="C2722">
        <v>2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 t="s">
        <v>3284</v>
      </c>
      <c r="M2722" t="s">
        <v>3794</v>
      </c>
      <c r="N2722" t="s">
        <v>3795</v>
      </c>
      <c r="O2722" t="s">
        <v>9928</v>
      </c>
      <c r="P2722" t="s">
        <v>9929</v>
      </c>
      <c r="Q2722" t="s">
        <v>9930</v>
      </c>
      <c r="R2722" t="s">
        <v>9931</v>
      </c>
    </row>
    <row r="2723" spans="1:18" x14ac:dyDescent="0.2">
      <c r="A2723">
        <v>1908524</v>
      </c>
      <c r="B2723" t="s">
        <v>9932</v>
      </c>
      <c r="C2723">
        <v>0</v>
      </c>
      <c r="D2723">
        <v>0</v>
      </c>
      <c r="E2723">
        <v>0</v>
      </c>
      <c r="F2723">
        <v>2</v>
      </c>
      <c r="G2723">
        <v>0</v>
      </c>
      <c r="H2723">
        <v>1</v>
      </c>
      <c r="I2723">
        <v>0</v>
      </c>
      <c r="J2723">
        <v>0</v>
      </c>
      <c r="K2723">
        <v>0</v>
      </c>
      <c r="L2723" t="s">
        <v>3284</v>
      </c>
      <c r="M2723" t="s">
        <v>3296</v>
      </c>
      <c r="N2723" t="s">
        <v>3343</v>
      </c>
      <c r="O2723" t="s">
        <v>3349</v>
      </c>
      <c r="P2723" t="s">
        <v>3350</v>
      </c>
      <c r="Q2723" t="s">
        <v>3351</v>
      </c>
      <c r="R2723" t="s">
        <v>9933</v>
      </c>
    </row>
    <row r="2724" spans="1:18" x14ac:dyDescent="0.2">
      <c r="A2724">
        <v>1908523</v>
      </c>
      <c r="B2724" t="s">
        <v>9934</v>
      </c>
      <c r="C2724">
        <v>0</v>
      </c>
      <c r="D2724">
        <v>0</v>
      </c>
      <c r="E2724">
        <v>0</v>
      </c>
      <c r="F2724">
        <v>0</v>
      </c>
      <c r="G2724">
        <v>1</v>
      </c>
      <c r="H2724">
        <v>0</v>
      </c>
      <c r="I2724">
        <v>0</v>
      </c>
      <c r="J2724">
        <v>0</v>
      </c>
      <c r="K2724">
        <v>0</v>
      </c>
      <c r="L2724" t="s">
        <v>3284</v>
      </c>
      <c r="M2724" t="s">
        <v>3296</v>
      </c>
      <c r="N2724" t="s">
        <v>3343</v>
      </c>
      <c r="O2724" t="s">
        <v>3349</v>
      </c>
      <c r="P2724" t="s">
        <v>3350</v>
      </c>
      <c r="Q2724" t="s">
        <v>3351</v>
      </c>
      <c r="R2724" t="s">
        <v>9935</v>
      </c>
    </row>
    <row r="2725" spans="1:18" x14ac:dyDescent="0.2">
      <c r="A2725">
        <v>1908389</v>
      </c>
      <c r="B2725" t="s">
        <v>9936</v>
      </c>
      <c r="C2725">
        <v>0</v>
      </c>
      <c r="D2725">
        <v>0</v>
      </c>
      <c r="E2725">
        <v>1</v>
      </c>
      <c r="F2725">
        <v>1</v>
      </c>
      <c r="G2725">
        <v>1</v>
      </c>
      <c r="H2725">
        <v>3</v>
      </c>
      <c r="I2725">
        <v>0</v>
      </c>
      <c r="J2725">
        <v>0</v>
      </c>
      <c r="K2725">
        <v>3</v>
      </c>
      <c r="L2725" t="s">
        <v>3284</v>
      </c>
      <c r="M2725" t="s">
        <v>3391</v>
      </c>
      <c r="N2725" t="s">
        <v>3411</v>
      </c>
      <c r="O2725" t="s">
        <v>3412</v>
      </c>
      <c r="P2725" t="s">
        <v>3413</v>
      </c>
      <c r="Q2725" t="s">
        <v>3785</v>
      </c>
      <c r="R2725" t="s">
        <v>9937</v>
      </c>
    </row>
    <row r="2726" spans="1:18" x14ac:dyDescent="0.2">
      <c r="A2726">
        <v>1908241</v>
      </c>
      <c r="B2726" t="s">
        <v>9938</v>
      </c>
      <c r="C2726">
        <v>0</v>
      </c>
      <c r="D2726">
        <v>0</v>
      </c>
      <c r="E2726">
        <v>0</v>
      </c>
      <c r="F2726">
        <v>1</v>
      </c>
      <c r="G2726">
        <v>0</v>
      </c>
      <c r="H2726">
        <v>0</v>
      </c>
      <c r="I2726">
        <v>0</v>
      </c>
      <c r="J2726">
        <v>0</v>
      </c>
      <c r="K2726">
        <v>0</v>
      </c>
      <c r="L2726" t="s">
        <v>3284</v>
      </c>
      <c r="M2726" t="s">
        <v>3391</v>
      </c>
      <c r="N2726" t="s">
        <v>3392</v>
      </c>
      <c r="O2726" t="s">
        <v>3393</v>
      </c>
      <c r="P2726" t="s">
        <v>3394</v>
      </c>
      <c r="Q2726" t="s">
        <v>3395</v>
      </c>
      <c r="R2726" t="s">
        <v>9939</v>
      </c>
    </row>
    <row r="2727" spans="1:18" x14ac:dyDescent="0.2">
      <c r="A2727">
        <v>1908240</v>
      </c>
      <c r="B2727" t="s">
        <v>9940</v>
      </c>
      <c r="C2727">
        <v>0</v>
      </c>
      <c r="D2727">
        <v>0</v>
      </c>
      <c r="E2727">
        <v>0</v>
      </c>
      <c r="F2727">
        <v>1</v>
      </c>
      <c r="G2727">
        <v>2</v>
      </c>
      <c r="H2727">
        <v>0</v>
      </c>
      <c r="I2727">
        <v>1</v>
      </c>
      <c r="J2727">
        <v>0</v>
      </c>
      <c r="K2727">
        <v>0</v>
      </c>
      <c r="L2727" t="s">
        <v>3284</v>
      </c>
      <c r="M2727" t="s">
        <v>3391</v>
      </c>
      <c r="N2727" t="s">
        <v>3392</v>
      </c>
      <c r="O2727" t="s">
        <v>3393</v>
      </c>
      <c r="P2727" t="s">
        <v>3394</v>
      </c>
      <c r="Q2727" t="s">
        <v>3395</v>
      </c>
      <c r="R2727" t="s">
        <v>9941</v>
      </c>
    </row>
    <row r="2728" spans="1:18" x14ac:dyDescent="0.2">
      <c r="A2728">
        <v>1908239</v>
      </c>
      <c r="B2728" t="s">
        <v>9942</v>
      </c>
      <c r="C2728">
        <v>0</v>
      </c>
      <c r="D2728">
        <v>0</v>
      </c>
      <c r="E2728">
        <v>0</v>
      </c>
      <c r="F2728">
        <v>1</v>
      </c>
      <c r="G2728">
        <v>1</v>
      </c>
      <c r="H2728">
        <v>1</v>
      </c>
      <c r="I2728">
        <v>0</v>
      </c>
      <c r="J2728">
        <v>1</v>
      </c>
      <c r="K2728">
        <v>0</v>
      </c>
      <c r="L2728" t="s">
        <v>3284</v>
      </c>
      <c r="M2728" t="s">
        <v>3391</v>
      </c>
      <c r="N2728" t="s">
        <v>3392</v>
      </c>
      <c r="O2728" t="s">
        <v>3393</v>
      </c>
      <c r="P2728" t="s">
        <v>3394</v>
      </c>
      <c r="Q2728" t="s">
        <v>3395</v>
      </c>
      <c r="R2728" t="s">
        <v>9943</v>
      </c>
    </row>
    <row r="2729" spans="1:18" x14ac:dyDescent="0.2">
      <c r="A2729">
        <v>1908238</v>
      </c>
      <c r="B2729" t="s">
        <v>9944</v>
      </c>
      <c r="C2729">
        <v>0</v>
      </c>
      <c r="D2729">
        <v>0</v>
      </c>
      <c r="E2729">
        <v>0</v>
      </c>
      <c r="F2729">
        <v>3</v>
      </c>
      <c r="G2729">
        <v>3</v>
      </c>
      <c r="H2729">
        <v>0</v>
      </c>
      <c r="I2729">
        <v>0</v>
      </c>
      <c r="J2729">
        <v>0</v>
      </c>
      <c r="K2729">
        <v>0</v>
      </c>
      <c r="L2729" t="s">
        <v>3284</v>
      </c>
      <c r="M2729" t="s">
        <v>3391</v>
      </c>
      <c r="N2729" t="s">
        <v>3392</v>
      </c>
      <c r="O2729" t="s">
        <v>3393</v>
      </c>
      <c r="P2729" t="s">
        <v>3394</v>
      </c>
      <c r="Q2729" t="s">
        <v>3395</v>
      </c>
      <c r="R2729" t="s">
        <v>9945</v>
      </c>
    </row>
    <row r="2730" spans="1:18" x14ac:dyDescent="0.2">
      <c r="A2730">
        <v>1908236</v>
      </c>
      <c r="B2730" t="s">
        <v>9946</v>
      </c>
      <c r="C2730">
        <v>0</v>
      </c>
      <c r="D2730">
        <v>0</v>
      </c>
      <c r="E2730">
        <v>0</v>
      </c>
      <c r="F2730">
        <v>1</v>
      </c>
      <c r="G2730">
        <v>0</v>
      </c>
      <c r="H2730">
        <v>0</v>
      </c>
      <c r="I2730">
        <v>0</v>
      </c>
      <c r="J2730">
        <v>0</v>
      </c>
      <c r="K2730">
        <v>0</v>
      </c>
      <c r="L2730" t="s">
        <v>3284</v>
      </c>
      <c r="M2730" t="s">
        <v>3391</v>
      </c>
      <c r="N2730" t="s">
        <v>3740</v>
      </c>
      <c r="O2730" t="s">
        <v>3741</v>
      </c>
      <c r="P2730" t="s">
        <v>4993</v>
      </c>
      <c r="Q2730" t="s">
        <v>4994</v>
      </c>
      <c r="R2730" t="s">
        <v>9947</v>
      </c>
    </row>
    <row r="2731" spans="1:18" x14ac:dyDescent="0.2">
      <c r="A2731">
        <v>1908224</v>
      </c>
      <c r="B2731" t="s">
        <v>9948</v>
      </c>
      <c r="C2731">
        <v>0</v>
      </c>
      <c r="D2731">
        <v>0</v>
      </c>
      <c r="E2731">
        <v>0</v>
      </c>
      <c r="F2731">
        <v>1</v>
      </c>
      <c r="G2731">
        <v>1</v>
      </c>
      <c r="H2731">
        <v>0</v>
      </c>
      <c r="I2731">
        <v>1</v>
      </c>
      <c r="J2731">
        <v>0</v>
      </c>
      <c r="K2731">
        <v>0</v>
      </c>
      <c r="L2731" t="s">
        <v>3284</v>
      </c>
      <c r="M2731" t="s">
        <v>3296</v>
      </c>
      <c r="N2731" t="s">
        <v>3343</v>
      </c>
      <c r="O2731" t="s">
        <v>3349</v>
      </c>
      <c r="P2731" t="s">
        <v>3350</v>
      </c>
      <c r="Q2731" t="s">
        <v>5444</v>
      </c>
      <c r="R2731" t="s">
        <v>9949</v>
      </c>
    </row>
    <row r="2732" spans="1:18" x14ac:dyDescent="0.2">
      <c r="A2732">
        <v>1907725</v>
      </c>
      <c r="B2732" t="s">
        <v>9950</v>
      </c>
      <c r="C2732">
        <v>56</v>
      </c>
      <c r="D2732">
        <v>52</v>
      </c>
      <c r="E2732">
        <v>20</v>
      </c>
      <c r="F2732">
        <v>2</v>
      </c>
      <c r="G2732">
        <v>0</v>
      </c>
      <c r="H2732">
        <v>0</v>
      </c>
      <c r="I2732">
        <v>0</v>
      </c>
      <c r="J2732">
        <v>0</v>
      </c>
      <c r="K2732">
        <v>0</v>
      </c>
      <c r="L2732" t="s">
        <v>3284</v>
      </c>
      <c r="M2732" t="s">
        <v>3296</v>
      </c>
      <c r="N2732" t="s">
        <v>3321</v>
      </c>
      <c r="O2732" t="s">
        <v>3322</v>
      </c>
      <c r="P2732" t="s">
        <v>3398</v>
      </c>
      <c r="Q2732" t="s">
        <v>4796</v>
      </c>
      <c r="R2732" t="s">
        <v>9951</v>
      </c>
    </row>
    <row r="2733" spans="1:18" x14ac:dyDescent="0.2">
      <c r="A2733">
        <v>1907416</v>
      </c>
      <c r="B2733" t="s">
        <v>9952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1</v>
      </c>
      <c r="J2733">
        <v>0</v>
      </c>
      <c r="K2733">
        <v>0</v>
      </c>
      <c r="L2733" t="s">
        <v>3284</v>
      </c>
      <c r="M2733" t="s">
        <v>3296</v>
      </c>
      <c r="N2733" t="s">
        <v>3297</v>
      </c>
      <c r="O2733" t="s">
        <v>4112</v>
      </c>
      <c r="P2733" t="s">
        <v>4113</v>
      </c>
      <c r="Q2733" t="s">
        <v>4114</v>
      </c>
      <c r="R2733" t="s">
        <v>9953</v>
      </c>
    </row>
    <row r="2734" spans="1:18" x14ac:dyDescent="0.2">
      <c r="A2734">
        <v>1907415</v>
      </c>
      <c r="B2734" t="s">
        <v>9954</v>
      </c>
      <c r="C2734">
        <v>0</v>
      </c>
      <c r="D2734">
        <v>0</v>
      </c>
      <c r="E2734">
        <v>0</v>
      </c>
      <c r="F2734">
        <v>1</v>
      </c>
      <c r="G2734">
        <v>0</v>
      </c>
      <c r="H2734">
        <v>0</v>
      </c>
      <c r="I2734">
        <v>0</v>
      </c>
      <c r="J2734">
        <v>0</v>
      </c>
      <c r="K2734">
        <v>0</v>
      </c>
      <c r="L2734" t="s">
        <v>3284</v>
      </c>
      <c r="M2734" t="s">
        <v>3296</v>
      </c>
      <c r="N2734" t="s">
        <v>3343</v>
      </c>
      <c r="O2734" t="s">
        <v>3344</v>
      </c>
      <c r="P2734" t="s">
        <v>3355</v>
      </c>
      <c r="Q2734" t="s">
        <v>3356</v>
      </c>
      <c r="R2734" t="s">
        <v>9955</v>
      </c>
    </row>
    <row r="2735" spans="1:18" x14ac:dyDescent="0.2">
      <c r="A2735">
        <v>1907408</v>
      </c>
      <c r="B2735" t="s">
        <v>9956</v>
      </c>
      <c r="C2735">
        <v>0</v>
      </c>
      <c r="D2735">
        <v>0</v>
      </c>
      <c r="E2735">
        <v>0</v>
      </c>
      <c r="F2735">
        <v>4</v>
      </c>
      <c r="G2735">
        <v>1</v>
      </c>
      <c r="H2735">
        <v>0</v>
      </c>
      <c r="I2735">
        <v>0</v>
      </c>
      <c r="J2735">
        <v>0</v>
      </c>
      <c r="K2735">
        <v>1</v>
      </c>
      <c r="L2735" t="s">
        <v>3284</v>
      </c>
      <c r="M2735" t="s">
        <v>3296</v>
      </c>
      <c r="N2735" t="s">
        <v>3343</v>
      </c>
      <c r="O2735" t="s">
        <v>3344</v>
      </c>
      <c r="P2735" t="s">
        <v>3367</v>
      </c>
      <c r="Q2735" t="s">
        <v>3368</v>
      </c>
      <c r="R2735" t="s">
        <v>9957</v>
      </c>
    </row>
    <row r="2736" spans="1:18" x14ac:dyDescent="0.2">
      <c r="A2736">
        <v>1907403</v>
      </c>
      <c r="B2736" t="s">
        <v>9958</v>
      </c>
      <c r="C2736">
        <v>0</v>
      </c>
      <c r="D2736">
        <v>0</v>
      </c>
      <c r="E2736">
        <v>0</v>
      </c>
      <c r="F2736">
        <v>5</v>
      </c>
      <c r="G2736">
        <v>1</v>
      </c>
      <c r="H2736">
        <v>0</v>
      </c>
      <c r="I2736">
        <v>0</v>
      </c>
      <c r="J2736">
        <v>0</v>
      </c>
      <c r="K2736">
        <v>0</v>
      </c>
      <c r="L2736" t="s">
        <v>3284</v>
      </c>
      <c r="M2736" t="s">
        <v>3296</v>
      </c>
      <c r="N2736" t="s">
        <v>3321</v>
      </c>
      <c r="O2736" t="s">
        <v>3322</v>
      </c>
      <c r="P2736" t="s">
        <v>3398</v>
      </c>
      <c r="Q2736" t="s">
        <v>3918</v>
      </c>
      <c r="R2736" t="s">
        <v>9959</v>
      </c>
    </row>
    <row r="2737" spans="1:18" x14ac:dyDescent="0.2">
      <c r="A2737">
        <v>1907391</v>
      </c>
      <c r="B2737" t="s">
        <v>9960</v>
      </c>
      <c r="C2737">
        <v>0</v>
      </c>
      <c r="D2737">
        <v>0</v>
      </c>
      <c r="E2737">
        <v>0</v>
      </c>
      <c r="F2737">
        <v>1</v>
      </c>
      <c r="G2737">
        <v>1</v>
      </c>
      <c r="H2737">
        <v>0</v>
      </c>
      <c r="I2737">
        <v>0</v>
      </c>
      <c r="J2737">
        <v>0</v>
      </c>
      <c r="K2737">
        <v>0</v>
      </c>
      <c r="L2737" t="s">
        <v>3284</v>
      </c>
      <c r="M2737" t="s">
        <v>3307</v>
      </c>
      <c r="N2737" t="s">
        <v>3308</v>
      </c>
      <c r="O2737" t="s">
        <v>3359</v>
      </c>
      <c r="P2737" t="s">
        <v>3360</v>
      </c>
      <c r="Q2737" t="s">
        <v>3361</v>
      </c>
      <c r="R2737" t="s">
        <v>9961</v>
      </c>
    </row>
    <row r="2738" spans="1:18" x14ac:dyDescent="0.2">
      <c r="A2738">
        <v>1907390</v>
      </c>
      <c r="B2738" t="s">
        <v>9962</v>
      </c>
      <c r="C2738">
        <v>1</v>
      </c>
      <c r="D2738">
        <v>1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 t="s">
        <v>3284</v>
      </c>
      <c r="M2738" t="s">
        <v>3307</v>
      </c>
      <c r="N2738" t="s">
        <v>3308</v>
      </c>
      <c r="O2738" t="s">
        <v>3359</v>
      </c>
      <c r="P2738" t="s">
        <v>3360</v>
      </c>
      <c r="Q2738" t="s">
        <v>3361</v>
      </c>
      <c r="R2738" t="s">
        <v>9963</v>
      </c>
    </row>
    <row r="2739" spans="1:18" x14ac:dyDescent="0.2">
      <c r="A2739">
        <v>1905334</v>
      </c>
      <c r="B2739" t="s">
        <v>9964</v>
      </c>
      <c r="C2739">
        <v>1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 t="s">
        <v>3284</v>
      </c>
      <c r="M2739" t="s">
        <v>3296</v>
      </c>
      <c r="N2739" t="s">
        <v>3321</v>
      </c>
      <c r="O2739" t="s">
        <v>4147</v>
      </c>
      <c r="P2739" t="s">
        <v>4148</v>
      </c>
      <c r="Q2739" t="s">
        <v>4149</v>
      </c>
      <c r="R2739" t="s">
        <v>9965</v>
      </c>
    </row>
    <row r="2740" spans="1:18" x14ac:dyDescent="0.2">
      <c r="A2740">
        <v>1904966</v>
      </c>
      <c r="B2740" t="s">
        <v>9966</v>
      </c>
      <c r="C2740">
        <v>0</v>
      </c>
      <c r="D2740">
        <v>0</v>
      </c>
      <c r="E2740">
        <v>0</v>
      </c>
      <c r="F2740">
        <v>0</v>
      </c>
      <c r="G2740">
        <v>1</v>
      </c>
      <c r="H2740">
        <v>0</v>
      </c>
      <c r="I2740">
        <v>0</v>
      </c>
      <c r="J2740">
        <v>0</v>
      </c>
      <c r="K2740">
        <v>0</v>
      </c>
      <c r="L2740" t="s">
        <v>3284</v>
      </c>
      <c r="M2740" t="s">
        <v>3307</v>
      </c>
      <c r="N2740" t="s">
        <v>3308</v>
      </c>
      <c r="O2740" t="s">
        <v>3359</v>
      </c>
      <c r="P2740" t="s">
        <v>5871</v>
      </c>
      <c r="Q2740" t="s">
        <v>5872</v>
      </c>
      <c r="R2740" t="s">
        <v>9967</v>
      </c>
    </row>
    <row r="2741" spans="1:18" x14ac:dyDescent="0.2">
      <c r="A2741">
        <v>1904639</v>
      </c>
      <c r="B2741" t="s">
        <v>9968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1</v>
      </c>
      <c r="J2741">
        <v>0</v>
      </c>
      <c r="K2741">
        <v>0</v>
      </c>
      <c r="L2741" t="s">
        <v>3284</v>
      </c>
      <c r="M2741" t="s">
        <v>3296</v>
      </c>
      <c r="N2741" t="s">
        <v>3297</v>
      </c>
      <c r="O2741" t="s">
        <v>7551</v>
      </c>
      <c r="P2741" t="s">
        <v>9969</v>
      </c>
      <c r="Q2741" t="s">
        <v>9970</v>
      </c>
      <c r="R2741" t="s">
        <v>9971</v>
      </c>
    </row>
    <row r="2742" spans="1:18" x14ac:dyDescent="0.2">
      <c r="A2742">
        <v>1904254</v>
      </c>
      <c r="B2742" t="s">
        <v>9972</v>
      </c>
      <c r="C2742">
        <v>249</v>
      </c>
      <c r="D2742">
        <v>252</v>
      </c>
      <c r="E2742">
        <v>95</v>
      </c>
      <c r="F2742">
        <v>6</v>
      </c>
      <c r="G2742">
        <v>4</v>
      </c>
      <c r="H2742">
        <v>0</v>
      </c>
      <c r="I2742">
        <v>2</v>
      </c>
      <c r="J2742">
        <v>0</v>
      </c>
      <c r="K2742">
        <v>1</v>
      </c>
      <c r="L2742" t="s">
        <v>3284</v>
      </c>
      <c r="M2742" t="s">
        <v>3296</v>
      </c>
      <c r="N2742" t="s">
        <v>3321</v>
      </c>
      <c r="O2742" t="s">
        <v>3322</v>
      </c>
      <c r="P2742" t="s">
        <v>3398</v>
      </c>
      <c r="Q2742" t="s">
        <v>3841</v>
      </c>
      <c r="R2742" t="s">
        <v>9973</v>
      </c>
    </row>
    <row r="2743" spans="1:18" x14ac:dyDescent="0.2">
      <c r="A2743">
        <v>1904252</v>
      </c>
      <c r="B2743" t="s">
        <v>9974</v>
      </c>
      <c r="C2743">
        <v>0</v>
      </c>
      <c r="D2743">
        <v>4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 t="s">
        <v>3284</v>
      </c>
      <c r="M2743" t="s">
        <v>3296</v>
      </c>
      <c r="N2743" t="s">
        <v>3321</v>
      </c>
      <c r="O2743" t="s">
        <v>5306</v>
      </c>
      <c r="P2743" t="s">
        <v>5307</v>
      </c>
      <c r="Q2743" t="s">
        <v>5308</v>
      </c>
      <c r="R2743" t="s">
        <v>9975</v>
      </c>
    </row>
    <row r="2744" spans="1:18" x14ac:dyDescent="0.2">
      <c r="A2744">
        <v>1903157</v>
      </c>
      <c r="B2744" t="s">
        <v>9976</v>
      </c>
      <c r="C2744">
        <v>0</v>
      </c>
      <c r="D2744">
        <v>1</v>
      </c>
      <c r="E2744">
        <v>1</v>
      </c>
      <c r="F2744">
        <v>0</v>
      </c>
      <c r="G2744">
        <v>1</v>
      </c>
      <c r="H2744">
        <v>0</v>
      </c>
      <c r="I2744">
        <v>0</v>
      </c>
      <c r="J2744">
        <v>0</v>
      </c>
      <c r="K2744">
        <v>0</v>
      </c>
      <c r="L2744" t="s">
        <v>3284</v>
      </c>
      <c r="M2744" t="s">
        <v>3296</v>
      </c>
      <c r="N2744" t="s">
        <v>3321</v>
      </c>
      <c r="O2744" t="s">
        <v>3322</v>
      </c>
      <c r="P2744" t="s">
        <v>3671</v>
      </c>
      <c r="Q2744" t="s">
        <v>4930</v>
      </c>
      <c r="R2744" t="s">
        <v>9977</v>
      </c>
    </row>
    <row r="2745" spans="1:18" x14ac:dyDescent="0.2">
      <c r="A2745">
        <v>1902408</v>
      </c>
      <c r="B2745" t="s">
        <v>9978</v>
      </c>
      <c r="C2745">
        <v>0</v>
      </c>
      <c r="D2745">
        <v>0</v>
      </c>
      <c r="E2745">
        <v>0</v>
      </c>
      <c r="F2745">
        <v>1</v>
      </c>
      <c r="G2745">
        <v>0</v>
      </c>
      <c r="H2745">
        <v>0</v>
      </c>
      <c r="I2745">
        <v>0</v>
      </c>
      <c r="J2745">
        <v>0</v>
      </c>
      <c r="K2745">
        <v>0</v>
      </c>
      <c r="L2745" t="s">
        <v>3284</v>
      </c>
      <c r="M2745" t="s">
        <v>3296</v>
      </c>
      <c r="N2745" t="s">
        <v>3343</v>
      </c>
      <c r="O2745" t="s">
        <v>3349</v>
      </c>
      <c r="P2745" t="s">
        <v>3350</v>
      </c>
      <c r="Q2745" t="s">
        <v>8349</v>
      </c>
      <c r="R2745" t="s">
        <v>9979</v>
      </c>
    </row>
    <row r="2746" spans="1:18" x14ac:dyDescent="0.2">
      <c r="A2746">
        <v>1898978</v>
      </c>
      <c r="B2746" t="s">
        <v>9980</v>
      </c>
      <c r="C2746">
        <v>0</v>
      </c>
      <c r="D2746">
        <v>0</v>
      </c>
      <c r="E2746">
        <v>0</v>
      </c>
      <c r="F2746">
        <v>1</v>
      </c>
      <c r="G2746">
        <v>0</v>
      </c>
      <c r="H2746">
        <v>0</v>
      </c>
      <c r="I2746">
        <v>0</v>
      </c>
      <c r="J2746">
        <v>0</v>
      </c>
      <c r="K2746">
        <v>0</v>
      </c>
      <c r="L2746" t="s">
        <v>3284</v>
      </c>
      <c r="M2746" t="s">
        <v>3391</v>
      </c>
      <c r="N2746" t="s">
        <v>3740</v>
      </c>
      <c r="O2746" t="s">
        <v>3741</v>
      </c>
      <c r="P2746" t="s">
        <v>4993</v>
      </c>
      <c r="Q2746" t="s">
        <v>4994</v>
      </c>
      <c r="R2746" t="s">
        <v>9981</v>
      </c>
    </row>
    <row r="2747" spans="1:18" x14ac:dyDescent="0.2">
      <c r="A2747">
        <v>1898957</v>
      </c>
      <c r="B2747" t="s">
        <v>9982</v>
      </c>
      <c r="C2747">
        <v>74</v>
      </c>
      <c r="D2747">
        <v>80</v>
      </c>
      <c r="E2747">
        <v>11</v>
      </c>
      <c r="F2747">
        <v>1</v>
      </c>
      <c r="G2747">
        <v>0</v>
      </c>
      <c r="H2747">
        <v>0</v>
      </c>
      <c r="I2747">
        <v>1</v>
      </c>
      <c r="J2747">
        <v>0</v>
      </c>
      <c r="K2747">
        <v>0</v>
      </c>
      <c r="L2747" t="s">
        <v>3284</v>
      </c>
      <c r="M2747" t="s">
        <v>3296</v>
      </c>
      <c r="N2747" t="s">
        <v>3343</v>
      </c>
      <c r="O2747" t="s">
        <v>3371</v>
      </c>
      <c r="P2747" t="s">
        <v>3688</v>
      </c>
      <c r="Q2747" t="s">
        <v>4278</v>
      </c>
      <c r="R2747" t="s">
        <v>9983</v>
      </c>
    </row>
    <row r="2748" spans="1:18" x14ac:dyDescent="0.2">
      <c r="A2748">
        <v>1898956</v>
      </c>
      <c r="B2748" t="s">
        <v>9984</v>
      </c>
      <c r="C2748">
        <v>6</v>
      </c>
      <c r="D2748">
        <v>4</v>
      </c>
      <c r="E2748">
        <v>0</v>
      </c>
      <c r="F2748">
        <v>2</v>
      </c>
      <c r="G2748">
        <v>0</v>
      </c>
      <c r="H2748">
        <v>0</v>
      </c>
      <c r="I2748">
        <v>0</v>
      </c>
      <c r="J2748">
        <v>0</v>
      </c>
      <c r="K2748">
        <v>0</v>
      </c>
      <c r="L2748" t="s">
        <v>3284</v>
      </c>
      <c r="M2748" t="s">
        <v>3296</v>
      </c>
      <c r="N2748" t="s">
        <v>3321</v>
      </c>
      <c r="O2748" t="s">
        <v>3322</v>
      </c>
      <c r="P2748" t="s">
        <v>3398</v>
      </c>
      <c r="Q2748" t="s">
        <v>6530</v>
      </c>
      <c r="R2748" t="s">
        <v>9985</v>
      </c>
    </row>
    <row r="2749" spans="1:18" x14ac:dyDescent="0.2">
      <c r="A2749">
        <v>1898743</v>
      </c>
      <c r="B2749" t="s">
        <v>9986</v>
      </c>
      <c r="C2749">
        <v>0</v>
      </c>
      <c r="D2749">
        <v>0</v>
      </c>
      <c r="E2749">
        <v>0</v>
      </c>
      <c r="F2749">
        <v>1</v>
      </c>
      <c r="G2749">
        <v>0</v>
      </c>
      <c r="H2749">
        <v>0</v>
      </c>
      <c r="I2749">
        <v>0</v>
      </c>
      <c r="J2749">
        <v>0</v>
      </c>
      <c r="K2749">
        <v>0</v>
      </c>
      <c r="L2749" t="s">
        <v>3284</v>
      </c>
      <c r="M2749" t="s">
        <v>3307</v>
      </c>
      <c r="N2749" t="s">
        <v>3308</v>
      </c>
      <c r="O2749" t="s">
        <v>3359</v>
      </c>
      <c r="P2749" t="s">
        <v>3360</v>
      </c>
      <c r="Q2749" t="s">
        <v>3528</v>
      </c>
      <c r="R2749" t="s">
        <v>9987</v>
      </c>
    </row>
    <row r="2750" spans="1:18" x14ac:dyDescent="0.2">
      <c r="A2750">
        <v>1898731</v>
      </c>
      <c r="B2750" t="s">
        <v>9988</v>
      </c>
      <c r="C2750">
        <v>0</v>
      </c>
      <c r="D2750">
        <v>0</v>
      </c>
      <c r="E2750">
        <v>0</v>
      </c>
      <c r="F2750">
        <v>0</v>
      </c>
      <c r="G2750">
        <v>1</v>
      </c>
      <c r="H2750">
        <v>0</v>
      </c>
      <c r="I2750">
        <v>0</v>
      </c>
      <c r="J2750">
        <v>0</v>
      </c>
      <c r="K2750">
        <v>0</v>
      </c>
      <c r="L2750" t="s">
        <v>3284</v>
      </c>
      <c r="M2750" t="s">
        <v>3307</v>
      </c>
      <c r="N2750" t="s">
        <v>3308</v>
      </c>
      <c r="O2750" t="s">
        <v>3359</v>
      </c>
      <c r="P2750" t="s">
        <v>3360</v>
      </c>
      <c r="Q2750" t="s">
        <v>3528</v>
      </c>
      <c r="R2750" t="s">
        <v>9989</v>
      </c>
    </row>
    <row r="2751" spans="1:18" x14ac:dyDescent="0.2">
      <c r="A2751">
        <v>1897478</v>
      </c>
      <c r="B2751" t="s">
        <v>9990</v>
      </c>
      <c r="C2751">
        <v>1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 t="s">
        <v>4270</v>
      </c>
      <c r="M2751" t="s">
        <v>4271</v>
      </c>
      <c r="N2751" t="s">
        <v>9991</v>
      </c>
      <c r="O2751" t="s">
        <v>9992</v>
      </c>
      <c r="P2751" t="s">
        <v>9993</v>
      </c>
      <c r="Q2751" t="s">
        <v>9994</v>
      </c>
      <c r="R2751" t="s">
        <v>9995</v>
      </c>
    </row>
    <row r="2752" spans="1:18" x14ac:dyDescent="0.2">
      <c r="A2752">
        <v>1897060</v>
      </c>
      <c r="B2752" t="s">
        <v>9996</v>
      </c>
      <c r="C2752">
        <v>0</v>
      </c>
      <c r="D2752">
        <v>0</v>
      </c>
      <c r="E2752">
        <v>0</v>
      </c>
      <c r="F2752">
        <v>1</v>
      </c>
      <c r="G2752">
        <v>0</v>
      </c>
      <c r="H2752">
        <v>0</v>
      </c>
      <c r="I2752">
        <v>0</v>
      </c>
      <c r="J2752">
        <v>0</v>
      </c>
      <c r="K2752">
        <v>0</v>
      </c>
      <c r="L2752" t="s">
        <v>3284</v>
      </c>
      <c r="M2752" t="s">
        <v>3307</v>
      </c>
      <c r="N2752" t="s">
        <v>3308</v>
      </c>
      <c r="O2752" t="s">
        <v>3359</v>
      </c>
      <c r="P2752" t="s">
        <v>3360</v>
      </c>
      <c r="Q2752" t="s">
        <v>4793</v>
      </c>
      <c r="R2752" t="s">
        <v>9997</v>
      </c>
    </row>
    <row r="2753" spans="1:18" x14ac:dyDescent="0.2">
      <c r="A2753">
        <v>1896973</v>
      </c>
      <c r="B2753" t="s">
        <v>9998</v>
      </c>
      <c r="C2753">
        <v>0</v>
      </c>
      <c r="D2753">
        <v>0</v>
      </c>
      <c r="E2753">
        <v>1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 t="s">
        <v>3284</v>
      </c>
      <c r="M2753" t="s">
        <v>3391</v>
      </c>
      <c r="N2753" t="s">
        <v>3765</v>
      </c>
      <c r="O2753" t="s">
        <v>3766</v>
      </c>
      <c r="P2753" t="s">
        <v>9999</v>
      </c>
      <c r="Q2753" t="s">
        <v>10000</v>
      </c>
      <c r="R2753" t="s">
        <v>10001</v>
      </c>
    </row>
    <row r="2754" spans="1:18" x14ac:dyDescent="0.2">
      <c r="A2754">
        <v>1896206</v>
      </c>
      <c r="B2754" t="s">
        <v>10002</v>
      </c>
      <c r="C2754">
        <v>0</v>
      </c>
      <c r="D2754">
        <v>0</v>
      </c>
      <c r="E2754">
        <v>0</v>
      </c>
      <c r="F2754">
        <v>1</v>
      </c>
      <c r="G2754">
        <v>1</v>
      </c>
      <c r="H2754">
        <v>0</v>
      </c>
      <c r="I2754">
        <v>0</v>
      </c>
      <c r="J2754">
        <v>0</v>
      </c>
      <c r="K2754">
        <v>0</v>
      </c>
      <c r="L2754" t="s">
        <v>3284</v>
      </c>
      <c r="M2754" t="s">
        <v>10003</v>
      </c>
      <c r="N2754" t="s">
        <v>10004</v>
      </c>
      <c r="O2754" t="s">
        <v>10005</v>
      </c>
      <c r="P2754" t="s">
        <v>10006</v>
      </c>
      <c r="Q2754" t="s">
        <v>10007</v>
      </c>
      <c r="R2754" t="s">
        <v>10008</v>
      </c>
    </row>
    <row r="2755" spans="1:18" x14ac:dyDescent="0.2">
      <c r="A2755">
        <v>1895848</v>
      </c>
      <c r="B2755" t="s">
        <v>10009</v>
      </c>
      <c r="C2755">
        <v>0</v>
      </c>
      <c r="D2755">
        <v>0</v>
      </c>
      <c r="E2755">
        <v>0</v>
      </c>
      <c r="F2755">
        <v>0</v>
      </c>
      <c r="G2755">
        <v>1</v>
      </c>
      <c r="H2755">
        <v>0</v>
      </c>
      <c r="I2755">
        <v>0</v>
      </c>
      <c r="J2755">
        <v>0</v>
      </c>
      <c r="K2755">
        <v>0</v>
      </c>
      <c r="L2755" t="s">
        <v>3284</v>
      </c>
      <c r="M2755" t="s">
        <v>3296</v>
      </c>
      <c r="N2755" t="s">
        <v>3343</v>
      </c>
      <c r="O2755" t="s">
        <v>3349</v>
      </c>
      <c r="P2755" t="s">
        <v>3350</v>
      </c>
      <c r="Q2755" t="s">
        <v>3580</v>
      </c>
      <c r="R2755" t="s">
        <v>10010</v>
      </c>
    </row>
    <row r="2756" spans="1:18" x14ac:dyDescent="0.2">
      <c r="A2756">
        <v>1895847</v>
      </c>
      <c r="B2756" t="s">
        <v>10011</v>
      </c>
      <c r="C2756">
        <v>0</v>
      </c>
      <c r="D2756">
        <v>0</v>
      </c>
      <c r="E2756">
        <v>0</v>
      </c>
      <c r="F2756">
        <v>0</v>
      </c>
      <c r="G2756">
        <v>2</v>
      </c>
      <c r="H2756">
        <v>0</v>
      </c>
      <c r="I2756">
        <v>0</v>
      </c>
      <c r="J2756">
        <v>1</v>
      </c>
      <c r="K2756">
        <v>0</v>
      </c>
      <c r="L2756" t="s">
        <v>3284</v>
      </c>
      <c r="M2756" t="s">
        <v>3296</v>
      </c>
      <c r="N2756" t="s">
        <v>3343</v>
      </c>
      <c r="O2756" t="s">
        <v>3349</v>
      </c>
      <c r="P2756" t="s">
        <v>3350</v>
      </c>
      <c r="Q2756" t="s">
        <v>3580</v>
      </c>
      <c r="R2756" t="s">
        <v>10012</v>
      </c>
    </row>
    <row r="2757" spans="1:18" x14ac:dyDescent="0.2">
      <c r="A2757">
        <v>1895756</v>
      </c>
      <c r="B2757" t="s">
        <v>10013</v>
      </c>
      <c r="C2757">
        <v>0</v>
      </c>
      <c r="D2757">
        <v>0</v>
      </c>
      <c r="E2757">
        <v>0</v>
      </c>
      <c r="F2757">
        <v>1</v>
      </c>
      <c r="G2757">
        <v>0</v>
      </c>
      <c r="H2757">
        <v>0</v>
      </c>
      <c r="I2757">
        <v>1</v>
      </c>
      <c r="J2757">
        <v>0</v>
      </c>
      <c r="K2757">
        <v>0</v>
      </c>
      <c r="L2757" t="s">
        <v>3284</v>
      </c>
      <c r="M2757" t="s">
        <v>3391</v>
      </c>
      <c r="N2757" t="s">
        <v>3740</v>
      </c>
      <c r="O2757" t="s">
        <v>3741</v>
      </c>
      <c r="P2757" t="s">
        <v>3742</v>
      </c>
      <c r="Q2757" t="s">
        <v>4598</v>
      </c>
      <c r="R2757" t="s">
        <v>10014</v>
      </c>
    </row>
    <row r="2758" spans="1:18" x14ac:dyDescent="0.2">
      <c r="A2758">
        <v>1895753</v>
      </c>
      <c r="B2758" t="s">
        <v>10015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1</v>
      </c>
      <c r="J2758">
        <v>0</v>
      </c>
      <c r="K2758">
        <v>0</v>
      </c>
      <c r="L2758" t="s">
        <v>3284</v>
      </c>
      <c r="M2758" t="s">
        <v>3296</v>
      </c>
      <c r="N2758" t="s">
        <v>3343</v>
      </c>
      <c r="O2758" t="s">
        <v>3344</v>
      </c>
      <c r="P2758" t="s">
        <v>3345</v>
      </c>
      <c r="Q2758" t="s">
        <v>3346</v>
      </c>
      <c r="R2758" t="s">
        <v>10016</v>
      </c>
    </row>
    <row r="2759" spans="1:18" x14ac:dyDescent="0.2">
      <c r="A2759">
        <v>1894999</v>
      </c>
      <c r="B2759" t="s">
        <v>10017</v>
      </c>
      <c r="C2759">
        <v>0</v>
      </c>
      <c r="D2759">
        <v>0</v>
      </c>
      <c r="E2759">
        <v>0</v>
      </c>
      <c r="F2759">
        <v>0</v>
      </c>
      <c r="G2759">
        <v>1</v>
      </c>
      <c r="H2759">
        <v>0</v>
      </c>
      <c r="I2759">
        <v>0</v>
      </c>
      <c r="J2759">
        <v>0</v>
      </c>
      <c r="K2759">
        <v>0</v>
      </c>
      <c r="L2759" t="s">
        <v>3284</v>
      </c>
      <c r="M2759" t="s">
        <v>3296</v>
      </c>
      <c r="N2759" t="s">
        <v>3343</v>
      </c>
      <c r="O2759" t="s">
        <v>3344</v>
      </c>
      <c r="P2759" t="s">
        <v>3271</v>
      </c>
      <c r="Q2759" t="s">
        <v>10018</v>
      </c>
      <c r="R2759" t="s">
        <v>10019</v>
      </c>
    </row>
    <row r="2760" spans="1:18" x14ac:dyDescent="0.2">
      <c r="A2760">
        <v>1892843</v>
      </c>
      <c r="B2760" t="s">
        <v>10020</v>
      </c>
      <c r="C2760">
        <v>0</v>
      </c>
      <c r="D2760">
        <v>0</v>
      </c>
      <c r="E2760">
        <v>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 t="s">
        <v>3284</v>
      </c>
      <c r="M2760" t="s">
        <v>3327</v>
      </c>
      <c r="N2760" t="s">
        <v>3328</v>
      </c>
      <c r="O2760" t="s">
        <v>4017</v>
      </c>
      <c r="P2760" t="s">
        <v>10021</v>
      </c>
      <c r="Q2760" t="s">
        <v>10022</v>
      </c>
      <c r="R2760" t="s">
        <v>10023</v>
      </c>
    </row>
    <row r="2761" spans="1:18" x14ac:dyDescent="0.2">
      <c r="A2761">
        <v>1891289</v>
      </c>
      <c r="B2761" t="s">
        <v>10024</v>
      </c>
      <c r="C2761">
        <v>0</v>
      </c>
      <c r="D2761">
        <v>1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 t="s">
        <v>3284</v>
      </c>
      <c r="M2761" t="s">
        <v>3327</v>
      </c>
      <c r="N2761" t="s">
        <v>4384</v>
      </c>
      <c r="O2761" t="s">
        <v>4605</v>
      </c>
      <c r="P2761" t="s">
        <v>10025</v>
      </c>
      <c r="Q2761" t="s">
        <v>10026</v>
      </c>
      <c r="R2761" t="s">
        <v>10027</v>
      </c>
    </row>
    <row r="2762" spans="1:18" x14ac:dyDescent="0.2">
      <c r="A2762">
        <v>1890675</v>
      </c>
      <c r="B2762" t="s">
        <v>10028</v>
      </c>
      <c r="C2762">
        <v>1</v>
      </c>
      <c r="D2762">
        <v>0</v>
      </c>
      <c r="E2762">
        <v>0</v>
      </c>
      <c r="F2762">
        <v>1</v>
      </c>
      <c r="G2762">
        <v>1</v>
      </c>
      <c r="H2762">
        <v>0</v>
      </c>
      <c r="I2762">
        <v>0</v>
      </c>
      <c r="J2762">
        <v>0</v>
      </c>
      <c r="K2762">
        <v>0</v>
      </c>
      <c r="L2762" t="s">
        <v>3284</v>
      </c>
      <c r="M2762" t="s">
        <v>3296</v>
      </c>
      <c r="N2762" t="s">
        <v>3321</v>
      </c>
      <c r="O2762" t="s">
        <v>3322</v>
      </c>
      <c r="P2762" t="s">
        <v>3323</v>
      </c>
      <c r="Q2762" t="s">
        <v>3518</v>
      </c>
      <c r="R2762" t="s">
        <v>10029</v>
      </c>
    </row>
    <row r="2763" spans="1:18" x14ac:dyDescent="0.2">
      <c r="A2763">
        <v>1890302</v>
      </c>
      <c r="B2763" t="s">
        <v>10030</v>
      </c>
      <c r="C2763">
        <v>1</v>
      </c>
      <c r="D2763">
        <v>1</v>
      </c>
      <c r="E2763">
        <v>3</v>
      </c>
      <c r="F2763">
        <v>0</v>
      </c>
      <c r="G2763">
        <v>0</v>
      </c>
      <c r="H2763">
        <v>0</v>
      </c>
      <c r="I2763">
        <v>120</v>
      </c>
      <c r="J2763">
        <v>55</v>
      </c>
      <c r="K2763">
        <v>114</v>
      </c>
      <c r="L2763" t="s">
        <v>3284</v>
      </c>
      <c r="M2763" t="s">
        <v>3327</v>
      </c>
      <c r="N2763" t="s">
        <v>3376</v>
      </c>
      <c r="O2763" t="s">
        <v>3377</v>
      </c>
      <c r="P2763" t="s">
        <v>3378</v>
      </c>
      <c r="Q2763" t="s">
        <v>3379</v>
      </c>
      <c r="R2763" t="s">
        <v>10031</v>
      </c>
    </row>
    <row r="2764" spans="1:18" x14ac:dyDescent="0.2">
      <c r="A2764">
        <v>1889883</v>
      </c>
      <c r="B2764" t="s">
        <v>10032</v>
      </c>
      <c r="C2764">
        <v>0</v>
      </c>
      <c r="D2764">
        <v>2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 t="s">
        <v>3284</v>
      </c>
      <c r="M2764" t="s">
        <v>3327</v>
      </c>
      <c r="N2764" t="s">
        <v>3328</v>
      </c>
      <c r="O2764" t="s">
        <v>3329</v>
      </c>
      <c r="P2764" t="s">
        <v>3271</v>
      </c>
      <c r="Q2764" t="s">
        <v>9115</v>
      </c>
      <c r="R2764" t="s">
        <v>10033</v>
      </c>
    </row>
    <row r="2765" spans="1:18" x14ac:dyDescent="0.2">
      <c r="A2765">
        <v>1888893</v>
      </c>
      <c r="B2765" t="s">
        <v>10034</v>
      </c>
      <c r="C2765">
        <v>0</v>
      </c>
      <c r="D2765">
        <v>0</v>
      </c>
      <c r="E2765">
        <v>0</v>
      </c>
      <c r="F2765">
        <v>1</v>
      </c>
      <c r="G2765">
        <v>0</v>
      </c>
      <c r="H2765">
        <v>0</v>
      </c>
      <c r="I2765">
        <v>0</v>
      </c>
      <c r="J2765">
        <v>0</v>
      </c>
      <c r="K2765">
        <v>1</v>
      </c>
      <c r="L2765" t="s">
        <v>3284</v>
      </c>
      <c r="M2765" t="s">
        <v>3296</v>
      </c>
      <c r="N2765" t="s">
        <v>3321</v>
      </c>
      <c r="O2765" t="s">
        <v>3322</v>
      </c>
      <c r="P2765" t="s">
        <v>4143</v>
      </c>
      <c r="Q2765" t="s">
        <v>10035</v>
      </c>
      <c r="R2765" t="s">
        <v>10036</v>
      </c>
    </row>
    <row r="2766" spans="1:18" x14ac:dyDescent="0.2">
      <c r="A2766">
        <v>1888892</v>
      </c>
      <c r="B2766" t="s">
        <v>10037</v>
      </c>
      <c r="C2766">
        <v>0</v>
      </c>
      <c r="D2766">
        <v>0</v>
      </c>
      <c r="E2766">
        <v>0</v>
      </c>
      <c r="F2766">
        <v>1</v>
      </c>
      <c r="G2766">
        <v>0</v>
      </c>
      <c r="H2766">
        <v>0</v>
      </c>
      <c r="I2766">
        <v>0</v>
      </c>
      <c r="J2766">
        <v>0</v>
      </c>
      <c r="K2766">
        <v>0</v>
      </c>
      <c r="L2766" t="s">
        <v>3284</v>
      </c>
      <c r="M2766" t="s">
        <v>3296</v>
      </c>
      <c r="N2766" t="s">
        <v>3343</v>
      </c>
      <c r="O2766" t="s">
        <v>3349</v>
      </c>
      <c r="P2766" t="s">
        <v>3350</v>
      </c>
      <c r="Q2766" t="s">
        <v>3580</v>
      </c>
      <c r="R2766" t="s">
        <v>10038</v>
      </c>
    </row>
    <row r="2767" spans="1:18" x14ac:dyDescent="0.2">
      <c r="A2767">
        <v>1888891</v>
      </c>
      <c r="B2767" t="s">
        <v>10039</v>
      </c>
      <c r="C2767">
        <v>1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 t="s">
        <v>3284</v>
      </c>
      <c r="M2767" t="s">
        <v>3327</v>
      </c>
      <c r="N2767" t="s">
        <v>3328</v>
      </c>
      <c r="O2767" t="s">
        <v>3329</v>
      </c>
      <c r="P2767" t="s">
        <v>4329</v>
      </c>
      <c r="Q2767" t="s">
        <v>4330</v>
      </c>
      <c r="R2767" t="s">
        <v>10040</v>
      </c>
    </row>
    <row r="2768" spans="1:18" x14ac:dyDescent="0.2">
      <c r="A2768">
        <v>1886786</v>
      </c>
      <c r="B2768" t="s">
        <v>10041</v>
      </c>
      <c r="C2768">
        <v>0</v>
      </c>
      <c r="D2768">
        <v>0</v>
      </c>
      <c r="E2768">
        <v>0</v>
      </c>
      <c r="F2768">
        <v>1</v>
      </c>
      <c r="G2768">
        <v>1</v>
      </c>
      <c r="H2768">
        <v>0</v>
      </c>
      <c r="I2768">
        <v>0</v>
      </c>
      <c r="J2768">
        <v>0</v>
      </c>
      <c r="K2768">
        <v>0</v>
      </c>
      <c r="L2768" t="s">
        <v>3284</v>
      </c>
      <c r="M2768" t="s">
        <v>3296</v>
      </c>
      <c r="N2768" t="s">
        <v>3343</v>
      </c>
      <c r="O2768" t="s">
        <v>3349</v>
      </c>
      <c r="P2768" t="s">
        <v>3350</v>
      </c>
      <c r="Q2768" t="s">
        <v>4175</v>
      </c>
      <c r="R2768" t="s">
        <v>10042</v>
      </c>
    </row>
    <row r="2769" spans="1:18" x14ac:dyDescent="0.2">
      <c r="A2769">
        <v>1886785</v>
      </c>
      <c r="B2769" t="s">
        <v>10043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1</v>
      </c>
      <c r="J2769">
        <v>0</v>
      </c>
      <c r="K2769">
        <v>0</v>
      </c>
      <c r="L2769" t="s">
        <v>3284</v>
      </c>
      <c r="M2769" t="s">
        <v>3296</v>
      </c>
      <c r="N2769" t="s">
        <v>3321</v>
      </c>
      <c r="O2769" t="s">
        <v>3322</v>
      </c>
      <c r="P2769" t="s">
        <v>3323</v>
      </c>
      <c r="Q2769" t="s">
        <v>3324</v>
      </c>
      <c r="R2769" t="s">
        <v>10044</v>
      </c>
    </row>
    <row r="2770" spans="1:18" x14ac:dyDescent="0.2">
      <c r="A2770">
        <v>1886782</v>
      </c>
      <c r="B2770" t="s">
        <v>10045</v>
      </c>
      <c r="C2770">
        <v>0</v>
      </c>
      <c r="D2770">
        <v>0</v>
      </c>
      <c r="E2770">
        <v>0</v>
      </c>
      <c r="F2770">
        <v>1</v>
      </c>
      <c r="G2770">
        <v>0</v>
      </c>
      <c r="H2770">
        <v>0</v>
      </c>
      <c r="I2770">
        <v>0</v>
      </c>
      <c r="J2770">
        <v>0</v>
      </c>
      <c r="K2770">
        <v>0</v>
      </c>
      <c r="L2770" t="s">
        <v>3284</v>
      </c>
      <c r="M2770" t="s">
        <v>3391</v>
      </c>
      <c r="N2770" t="s">
        <v>3411</v>
      </c>
      <c r="O2770" t="s">
        <v>3412</v>
      </c>
      <c r="P2770" t="s">
        <v>3413</v>
      </c>
      <c r="Q2770" t="s">
        <v>3414</v>
      </c>
      <c r="R2770" t="s">
        <v>10046</v>
      </c>
    </row>
    <row r="2771" spans="1:18" x14ac:dyDescent="0.2">
      <c r="A2771">
        <v>1886637</v>
      </c>
      <c r="B2771" t="s">
        <v>10047</v>
      </c>
      <c r="C2771">
        <v>0</v>
      </c>
      <c r="D2771">
        <v>0</v>
      </c>
      <c r="E2771">
        <v>0</v>
      </c>
      <c r="F2771">
        <v>1</v>
      </c>
      <c r="G2771">
        <v>0</v>
      </c>
      <c r="H2771">
        <v>0</v>
      </c>
      <c r="I2771">
        <v>0</v>
      </c>
      <c r="J2771">
        <v>0</v>
      </c>
      <c r="K2771">
        <v>0</v>
      </c>
      <c r="L2771" t="s">
        <v>3284</v>
      </c>
      <c r="M2771" t="s">
        <v>3296</v>
      </c>
      <c r="N2771" t="s">
        <v>3321</v>
      </c>
      <c r="O2771" t="s">
        <v>3322</v>
      </c>
      <c r="P2771" t="s">
        <v>3398</v>
      </c>
      <c r="Q2771" t="s">
        <v>3439</v>
      </c>
      <c r="R2771" t="s">
        <v>10048</v>
      </c>
    </row>
    <row r="2772" spans="1:18" x14ac:dyDescent="0.2">
      <c r="A2772">
        <v>1885674</v>
      </c>
      <c r="B2772" t="s">
        <v>10049</v>
      </c>
      <c r="C2772">
        <v>1</v>
      </c>
      <c r="D2772">
        <v>0</v>
      </c>
      <c r="E2772">
        <v>0</v>
      </c>
      <c r="F2772">
        <v>1</v>
      </c>
      <c r="G2772">
        <v>0</v>
      </c>
      <c r="H2772">
        <v>0</v>
      </c>
      <c r="I2772">
        <v>0</v>
      </c>
      <c r="J2772">
        <v>0</v>
      </c>
      <c r="K2772">
        <v>0</v>
      </c>
      <c r="L2772" t="s">
        <v>3284</v>
      </c>
      <c r="M2772" t="s">
        <v>3296</v>
      </c>
      <c r="N2772" t="s">
        <v>3297</v>
      </c>
      <c r="O2772" t="s">
        <v>3469</v>
      </c>
      <c r="P2772" t="s">
        <v>3470</v>
      </c>
      <c r="Q2772" t="s">
        <v>5246</v>
      </c>
      <c r="R2772" t="s">
        <v>10050</v>
      </c>
    </row>
    <row r="2773" spans="1:18" x14ac:dyDescent="0.2">
      <c r="A2773">
        <v>1884793</v>
      </c>
      <c r="B2773" t="s">
        <v>10051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1</v>
      </c>
      <c r="K2773">
        <v>0</v>
      </c>
      <c r="L2773" t="s">
        <v>3284</v>
      </c>
      <c r="M2773" t="s">
        <v>3391</v>
      </c>
      <c r="N2773" t="s">
        <v>4129</v>
      </c>
      <c r="O2773" t="s">
        <v>4130</v>
      </c>
      <c r="P2773" t="s">
        <v>4131</v>
      </c>
      <c r="Q2773" t="s">
        <v>10052</v>
      </c>
      <c r="R2773" t="s">
        <v>10053</v>
      </c>
    </row>
    <row r="2774" spans="1:18" x14ac:dyDescent="0.2">
      <c r="A2774">
        <v>1884386</v>
      </c>
      <c r="B2774" t="s">
        <v>10054</v>
      </c>
      <c r="C2774">
        <v>0</v>
      </c>
      <c r="D2774">
        <v>1</v>
      </c>
      <c r="E2774">
        <v>0</v>
      </c>
      <c r="F2774">
        <v>0</v>
      </c>
      <c r="G2774">
        <v>1</v>
      </c>
      <c r="H2774">
        <v>0</v>
      </c>
      <c r="I2774">
        <v>0</v>
      </c>
      <c r="J2774">
        <v>0</v>
      </c>
      <c r="K2774">
        <v>0</v>
      </c>
      <c r="L2774" t="s">
        <v>3284</v>
      </c>
      <c r="M2774" t="s">
        <v>3296</v>
      </c>
      <c r="N2774" t="s">
        <v>3321</v>
      </c>
      <c r="O2774" t="s">
        <v>3322</v>
      </c>
      <c r="P2774" t="s">
        <v>3398</v>
      </c>
      <c r="Q2774" t="s">
        <v>3399</v>
      </c>
      <c r="R2774" t="s">
        <v>10055</v>
      </c>
    </row>
    <row r="2775" spans="1:18" x14ac:dyDescent="0.2">
      <c r="A2775">
        <v>1884385</v>
      </c>
      <c r="B2775" t="s">
        <v>10056</v>
      </c>
      <c r="C2775">
        <v>0</v>
      </c>
      <c r="D2775">
        <v>0</v>
      </c>
      <c r="E2775">
        <v>0</v>
      </c>
      <c r="F2775">
        <v>0</v>
      </c>
      <c r="G2775">
        <v>2</v>
      </c>
      <c r="H2775">
        <v>0</v>
      </c>
      <c r="I2775">
        <v>0</v>
      </c>
      <c r="J2775">
        <v>0</v>
      </c>
      <c r="K2775">
        <v>0</v>
      </c>
      <c r="L2775" t="s">
        <v>3284</v>
      </c>
      <c r="M2775" t="s">
        <v>3296</v>
      </c>
      <c r="N2775" t="s">
        <v>3321</v>
      </c>
      <c r="O2775" t="s">
        <v>3322</v>
      </c>
      <c r="P2775" t="s">
        <v>3398</v>
      </c>
      <c r="Q2775" t="s">
        <v>3399</v>
      </c>
      <c r="R2775" t="s">
        <v>10057</v>
      </c>
    </row>
    <row r="2776" spans="1:18" x14ac:dyDescent="0.2">
      <c r="A2776">
        <v>1884383</v>
      </c>
      <c r="B2776" t="s">
        <v>10058</v>
      </c>
      <c r="C2776">
        <v>0</v>
      </c>
      <c r="D2776">
        <v>0</v>
      </c>
      <c r="E2776">
        <v>0</v>
      </c>
      <c r="F2776">
        <v>1</v>
      </c>
      <c r="G2776">
        <v>0</v>
      </c>
      <c r="H2776">
        <v>0</v>
      </c>
      <c r="I2776">
        <v>0</v>
      </c>
      <c r="J2776">
        <v>0</v>
      </c>
      <c r="K2776">
        <v>0</v>
      </c>
      <c r="L2776" t="s">
        <v>3284</v>
      </c>
      <c r="M2776" t="s">
        <v>3296</v>
      </c>
      <c r="N2776" t="s">
        <v>3321</v>
      </c>
      <c r="O2776" t="s">
        <v>3322</v>
      </c>
      <c r="P2776" t="s">
        <v>3398</v>
      </c>
      <c r="Q2776" t="s">
        <v>3399</v>
      </c>
      <c r="R2776" t="s">
        <v>10059</v>
      </c>
    </row>
    <row r="2777" spans="1:18" x14ac:dyDescent="0.2">
      <c r="A2777">
        <v>1884369</v>
      </c>
      <c r="B2777" t="s">
        <v>10060</v>
      </c>
      <c r="C2777">
        <v>0</v>
      </c>
      <c r="D2777">
        <v>0</v>
      </c>
      <c r="E2777">
        <v>0</v>
      </c>
      <c r="F2777">
        <v>0</v>
      </c>
      <c r="G2777">
        <v>1</v>
      </c>
      <c r="H2777">
        <v>0</v>
      </c>
      <c r="I2777">
        <v>1</v>
      </c>
      <c r="J2777">
        <v>0</v>
      </c>
      <c r="K2777">
        <v>0</v>
      </c>
      <c r="L2777" t="s">
        <v>3284</v>
      </c>
      <c r="M2777" t="s">
        <v>3296</v>
      </c>
      <c r="N2777" t="s">
        <v>3343</v>
      </c>
      <c r="O2777" t="s">
        <v>3349</v>
      </c>
      <c r="P2777" t="s">
        <v>3350</v>
      </c>
      <c r="Q2777" t="s">
        <v>4175</v>
      </c>
      <c r="R2777" t="s">
        <v>10061</v>
      </c>
    </row>
    <row r="2778" spans="1:18" x14ac:dyDescent="0.2">
      <c r="A2778">
        <v>1884368</v>
      </c>
      <c r="B2778" t="s">
        <v>10062</v>
      </c>
      <c r="C2778">
        <v>0</v>
      </c>
      <c r="D2778">
        <v>0</v>
      </c>
      <c r="E2778">
        <v>0</v>
      </c>
      <c r="F2778">
        <v>1</v>
      </c>
      <c r="G2778">
        <v>1</v>
      </c>
      <c r="H2778">
        <v>0</v>
      </c>
      <c r="I2778">
        <v>0</v>
      </c>
      <c r="J2778">
        <v>0</v>
      </c>
      <c r="K2778">
        <v>0</v>
      </c>
      <c r="L2778" t="s">
        <v>3284</v>
      </c>
      <c r="M2778" t="s">
        <v>3296</v>
      </c>
      <c r="N2778" t="s">
        <v>3321</v>
      </c>
      <c r="O2778" t="s">
        <v>3322</v>
      </c>
      <c r="P2778" t="s">
        <v>3323</v>
      </c>
      <c r="Q2778" t="s">
        <v>5058</v>
      </c>
      <c r="R2778" t="s">
        <v>10063</v>
      </c>
    </row>
    <row r="2779" spans="1:18" x14ac:dyDescent="0.2">
      <c r="A2779">
        <v>1884367</v>
      </c>
      <c r="B2779" t="s">
        <v>10064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1</v>
      </c>
      <c r="J2779">
        <v>0</v>
      </c>
      <c r="K2779">
        <v>0</v>
      </c>
      <c r="L2779" t="s">
        <v>3284</v>
      </c>
      <c r="M2779" t="s">
        <v>3391</v>
      </c>
      <c r="N2779" t="s">
        <v>4129</v>
      </c>
      <c r="O2779" t="s">
        <v>4130</v>
      </c>
      <c r="P2779" t="s">
        <v>4131</v>
      </c>
      <c r="Q2779" t="s">
        <v>4132</v>
      </c>
      <c r="R2779" t="s">
        <v>10065</v>
      </c>
    </row>
    <row r="2780" spans="1:18" x14ac:dyDescent="0.2">
      <c r="A2780">
        <v>1884365</v>
      </c>
      <c r="B2780" t="s">
        <v>10066</v>
      </c>
      <c r="C2780">
        <v>0</v>
      </c>
      <c r="D2780">
        <v>0</v>
      </c>
      <c r="E2780">
        <v>0</v>
      </c>
      <c r="F2780">
        <v>2</v>
      </c>
      <c r="G2780">
        <v>1</v>
      </c>
      <c r="H2780">
        <v>0</v>
      </c>
      <c r="I2780">
        <v>1</v>
      </c>
      <c r="J2780">
        <v>0</v>
      </c>
      <c r="K2780">
        <v>0</v>
      </c>
      <c r="L2780" t="s">
        <v>3284</v>
      </c>
      <c r="M2780" t="s">
        <v>3296</v>
      </c>
      <c r="N2780" t="s">
        <v>3343</v>
      </c>
      <c r="O2780" t="s">
        <v>3349</v>
      </c>
      <c r="P2780" t="s">
        <v>3350</v>
      </c>
      <c r="Q2780" t="s">
        <v>4175</v>
      </c>
      <c r="R2780" t="s">
        <v>10067</v>
      </c>
    </row>
    <row r="2781" spans="1:18" x14ac:dyDescent="0.2">
      <c r="A2781">
        <v>1884364</v>
      </c>
      <c r="B2781" t="s">
        <v>10068</v>
      </c>
      <c r="C2781">
        <v>0</v>
      </c>
      <c r="D2781">
        <v>0</v>
      </c>
      <c r="E2781">
        <v>0</v>
      </c>
      <c r="F2781">
        <v>2</v>
      </c>
      <c r="G2781">
        <v>0</v>
      </c>
      <c r="H2781">
        <v>0</v>
      </c>
      <c r="I2781">
        <v>0</v>
      </c>
      <c r="J2781">
        <v>0</v>
      </c>
      <c r="K2781">
        <v>0</v>
      </c>
      <c r="L2781" t="s">
        <v>3284</v>
      </c>
      <c r="M2781" t="s">
        <v>3296</v>
      </c>
      <c r="N2781" t="s">
        <v>3343</v>
      </c>
      <c r="O2781" t="s">
        <v>3349</v>
      </c>
      <c r="P2781" t="s">
        <v>3350</v>
      </c>
      <c r="Q2781" t="s">
        <v>3351</v>
      </c>
      <c r="R2781" t="s">
        <v>10069</v>
      </c>
    </row>
    <row r="2782" spans="1:18" x14ac:dyDescent="0.2">
      <c r="A2782">
        <v>1883445</v>
      </c>
      <c r="B2782" t="s">
        <v>10070</v>
      </c>
      <c r="C2782">
        <v>0</v>
      </c>
      <c r="D2782">
        <v>0</v>
      </c>
      <c r="E2782">
        <v>0</v>
      </c>
      <c r="F2782">
        <v>1</v>
      </c>
      <c r="G2782">
        <v>0</v>
      </c>
      <c r="H2782">
        <v>0</v>
      </c>
      <c r="I2782">
        <v>0</v>
      </c>
      <c r="J2782">
        <v>0</v>
      </c>
      <c r="K2782">
        <v>0</v>
      </c>
      <c r="L2782" t="s">
        <v>3284</v>
      </c>
      <c r="M2782" t="s">
        <v>3296</v>
      </c>
      <c r="N2782" t="s">
        <v>3321</v>
      </c>
      <c r="O2782" t="s">
        <v>3322</v>
      </c>
      <c r="P2782" t="s">
        <v>3423</v>
      </c>
      <c r="Q2782" t="s">
        <v>10071</v>
      </c>
      <c r="R2782" t="s">
        <v>10072</v>
      </c>
    </row>
    <row r="2783" spans="1:18" x14ac:dyDescent="0.2">
      <c r="A2783">
        <v>1883407</v>
      </c>
      <c r="B2783" t="s">
        <v>10073</v>
      </c>
      <c r="C2783">
        <v>0</v>
      </c>
      <c r="D2783">
        <v>1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 t="s">
        <v>3284</v>
      </c>
      <c r="M2783" t="s">
        <v>3327</v>
      </c>
      <c r="N2783" t="s">
        <v>3376</v>
      </c>
      <c r="O2783" t="s">
        <v>3377</v>
      </c>
      <c r="P2783" t="s">
        <v>3378</v>
      </c>
      <c r="Q2783" t="s">
        <v>10074</v>
      </c>
      <c r="R2783" t="s">
        <v>10075</v>
      </c>
    </row>
    <row r="2784" spans="1:18" x14ac:dyDescent="0.2">
      <c r="A2784">
        <v>1882828</v>
      </c>
      <c r="B2784" t="s">
        <v>10076</v>
      </c>
      <c r="C2784">
        <v>0</v>
      </c>
      <c r="D2784">
        <v>0</v>
      </c>
      <c r="E2784">
        <v>0</v>
      </c>
      <c r="F2784">
        <v>1</v>
      </c>
      <c r="G2784">
        <v>0</v>
      </c>
      <c r="H2784">
        <v>0</v>
      </c>
      <c r="I2784">
        <v>0</v>
      </c>
      <c r="J2784">
        <v>1</v>
      </c>
      <c r="K2784">
        <v>0</v>
      </c>
      <c r="L2784" t="s">
        <v>3284</v>
      </c>
      <c r="M2784" t="s">
        <v>3296</v>
      </c>
      <c r="N2784" t="s">
        <v>3321</v>
      </c>
      <c r="O2784" t="s">
        <v>3322</v>
      </c>
      <c r="P2784" t="s">
        <v>3398</v>
      </c>
      <c r="Q2784" t="s">
        <v>3399</v>
      </c>
      <c r="R2784" t="s">
        <v>10077</v>
      </c>
    </row>
    <row r="2785" spans="1:18" x14ac:dyDescent="0.2">
      <c r="A2785">
        <v>1882827</v>
      </c>
      <c r="B2785" t="s">
        <v>10078</v>
      </c>
      <c r="C2785">
        <v>0</v>
      </c>
      <c r="D2785">
        <v>0</v>
      </c>
      <c r="E2785">
        <v>0</v>
      </c>
      <c r="F2785">
        <v>0</v>
      </c>
      <c r="G2785">
        <v>2</v>
      </c>
      <c r="H2785">
        <v>0</v>
      </c>
      <c r="I2785">
        <v>0</v>
      </c>
      <c r="J2785">
        <v>0</v>
      </c>
      <c r="K2785">
        <v>0</v>
      </c>
      <c r="L2785" t="s">
        <v>3284</v>
      </c>
      <c r="M2785" t="s">
        <v>3296</v>
      </c>
      <c r="N2785" t="s">
        <v>3321</v>
      </c>
      <c r="O2785" t="s">
        <v>3322</v>
      </c>
      <c r="P2785" t="s">
        <v>3398</v>
      </c>
      <c r="Q2785" t="s">
        <v>3399</v>
      </c>
      <c r="R2785" t="s">
        <v>10079</v>
      </c>
    </row>
    <row r="2786" spans="1:18" x14ac:dyDescent="0.2">
      <c r="A2786">
        <v>1882825</v>
      </c>
      <c r="B2786" t="s">
        <v>10080</v>
      </c>
      <c r="C2786">
        <v>0</v>
      </c>
      <c r="D2786">
        <v>0</v>
      </c>
      <c r="E2786">
        <v>0</v>
      </c>
      <c r="F2786">
        <v>3</v>
      </c>
      <c r="G2786">
        <v>0</v>
      </c>
      <c r="H2786">
        <v>0</v>
      </c>
      <c r="I2786">
        <v>0</v>
      </c>
      <c r="J2786">
        <v>0</v>
      </c>
      <c r="K2786">
        <v>0</v>
      </c>
      <c r="L2786" t="s">
        <v>3284</v>
      </c>
      <c r="M2786" t="s">
        <v>3296</v>
      </c>
      <c r="N2786" t="s">
        <v>3321</v>
      </c>
      <c r="O2786" t="s">
        <v>3322</v>
      </c>
      <c r="P2786" t="s">
        <v>3398</v>
      </c>
      <c r="Q2786" t="s">
        <v>3399</v>
      </c>
      <c r="R2786" t="s">
        <v>10081</v>
      </c>
    </row>
    <row r="2787" spans="1:18" x14ac:dyDescent="0.2">
      <c r="A2787">
        <v>1882774</v>
      </c>
      <c r="B2787" t="s">
        <v>10082</v>
      </c>
      <c r="C2787">
        <v>0</v>
      </c>
      <c r="D2787">
        <v>0</v>
      </c>
      <c r="E2787">
        <v>0</v>
      </c>
      <c r="F2787">
        <v>4</v>
      </c>
      <c r="G2787">
        <v>0</v>
      </c>
      <c r="H2787">
        <v>0</v>
      </c>
      <c r="I2787">
        <v>0</v>
      </c>
      <c r="J2787">
        <v>0</v>
      </c>
      <c r="K2787">
        <v>0</v>
      </c>
      <c r="L2787" t="s">
        <v>3284</v>
      </c>
      <c r="M2787" t="s">
        <v>3296</v>
      </c>
      <c r="N2787" t="s">
        <v>3321</v>
      </c>
      <c r="O2787" t="s">
        <v>3322</v>
      </c>
      <c r="P2787" t="s">
        <v>3398</v>
      </c>
      <c r="Q2787" t="s">
        <v>3399</v>
      </c>
      <c r="R2787" t="s">
        <v>10083</v>
      </c>
    </row>
    <row r="2788" spans="1:18" x14ac:dyDescent="0.2">
      <c r="A2788">
        <v>1882752</v>
      </c>
      <c r="B2788" t="s">
        <v>10084</v>
      </c>
      <c r="C2788">
        <v>1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 t="s">
        <v>3284</v>
      </c>
      <c r="M2788" t="s">
        <v>3794</v>
      </c>
      <c r="N2788" t="s">
        <v>3795</v>
      </c>
      <c r="O2788" t="s">
        <v>7421</v>
      </c>
      <c r="P2788" t="s">
        <v>7422</v>
      </c>
      <c r="Q2788" t="s">
        <v>10085</v>
      </c>
      <c r="R2788" t="s">
        <v>10086</v>
      </c>
    </row>
    <row r="2789" spans="1:18" x14ac:dyDescent="0.2">
      <c r="A2789">
        <v>1882741</v>
      </c>
      <c r="B2789" t="s">
        <v>10087</v>
      </c>
      <c r="C2789">
        <v>0</v>
      </c>
      <c r="D2789">
        <v>0</v>
      </c>
      <c r="E2789">
        <v>1</v>
      </c>
      <c r="F2789">
        <v>1</v>
      </c>
      <c r="G2789">
        <v>2</v>
      </c>
      <c r="H2789">
        <v>0</v>
      </c>
      <c r="I2789">
        <v>0</v>
      </c>
      <c r="J2789">
        <v>0</v>
      </c>
      <c r="K2789">
        <v>0</v>
      </c>
      <c r="L2789" t="s">
        <v>3284</v>
      </c>
      <c r="M2789" t="s">
        <v>3296</v>
      </c>
      <c r="N2789" t="s">
        <v>3321</v>
      </c>
      <c r="O2789" t="s">
        <v>3322</v>
      </c>
      <c r="P2789" t="s">
        <v>3398</v>
      </c>
      <c r="Q2789" t="s">
        <v>3696</v>
      </c>
      <c r="R2789" t="s">
        <v>10088</v>
      </c>
    </row>
    <row r="2790" spans="1:18" x14ac:dyDescent="0.2">
      <c r="A2790">
        <v>1882682</v>
      </c>
      <c r="B2790" t="s">
        <v>10089</v>
      </c>
      <c r="C2790">
        <v>0</v>
      </c>
      <c r="D2790">
        <v>1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 t="s">
        <v>3284</v>
      </c>
      <c r="M2790" t="s">
        <v>3296</v>
      </c>
      <c r="N2790" t="s">
        <v>3343</v>
      </c>
      <c r="O2790" t="s">
        <v>3344</v>
      </c>
      <c r="P2790" t="s">
        <v>6089</v>
      </c>
      <c r="Q2790" t="s">
        <v>6090</v>
      </c>
      <c r="R2790" t="s">
        <v>10090</v>
      </c>
    </row>
    <row r="2791" spans="1:18" x14ac:dyDescent="0.2">
      <c r="A2791">
        <v>1882438</v>
      </c>
      <c r="B2791" t="s">
        <v>10091</v>
      </c>
      <c r="C2791">
        <v>0</v>
      </c>
      <c r="D2791">
        <v>0</v>
      </c>
      <c r="E2791">
        <v>0</v>
      </c>
      <c r="F2791">
        <v>22</v>
      </c>
      <c r="G2791">
        <v>15</v>
      </c>
      <c r="H2791">
        <v>2</v>
      </c>
      <c r="I2791">
        <v>1</v>
      </c>
      <c r="J2791">
        <v>1</v>
      </c>
      <c r="K2791">
        <v>1</v>
      </c>
      <c r="L2791" t="s">
        <v>3284</v>
      </c>
      <c r="M2791" t="s">
        <v>3391</v>
      </c>
      <c r="N2791" t="s">
        <v>3392</v>
      </c>
      <c r="O2791" t="s">
        <v>3393</v>
      </c>
      <c r="P2791" t="s">
        <v>3394</v>
      </c>
      <c r="Q2791" t="s">
        <v>4082</v>
      </c>
      <c r="R2791" t="s">
        <v>10092</v>
      </c>
    </row>
    <row r="2792" spans="1:18" x14ac:dyDescent="0.2">
      <c r="A2792">
        <v>1882437</v>
      </c>
      <c r="B2792" t="s">
        <v>10093</v>
      </c>
      <c r="C2792">
        <v>0</v>
      </c>
      <c r="D2792">
        <v>0</v>
      </c>
      <c r="E2792">
        <v>0</v>
      </c>
      <c r="F2792">
        <v>1</v>
      </c>
      <c r="G2792">
        <v>0</v>
      </c>
      <c r="H2792">
        <v>0</v>
      </c>
      <c r="I2792">
        <v>0</v>
      </c>
      <c r="J2792">
        <v>0</v>
      </c>
      <c r="K2792">
        <v>0</v>
      </c>
      <c r="L2792" t="s">
        <v>3284</v>
      </c>
      <c r="M2792" t="s">
        <v>3296</v>
      </c>
      <c r="N2792" t="s">
        <v>3321</v>
      </c>
      <c r="O2792" t="s">
        <v>3322</v>
      </c>
      <c r="P2792" t="s">
        <v>3323</v>
      </c>
      <c r="Q2792" t="s">
        <v>3324</v>
      </c>
      <c r="R2792" t="s">
        <v>10094</v>
      </c>
    </row>
    <row r="2793" spans="1:18" x14ac:dyDescent="0.2">
      <c r="A2793">
        <v>1882399</v>
      </c>
      <c r="B2793" t="s">
        <v>10095</v>
      </c>
      <c r="C2793">
        <v>1</v>
      </c>
      <c r="D2793">
        <v>1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 t="s">
        <v>3284</v>
      </c>
      <c r="M2793" t="s">
        <v>3296</v>
      </c>
      <c r="N2793" t="s">
        <v>3321</v>
      </c>
      <c r="O2793" t="s">
        <v>3322</v>
      </c>
      <c r="P2793" t="s">
        <v>3398</v>
      </c>
      <c r="Q2793" t="s">
        <v>3841</v>
      </c>
      <c r="R2793" t="s">
        <v>10096</v>
      </c>
    </row>
    <row r="2794" spans="1:18" x14ac:dyDescent="0.2">
      <c r="A2794">
        <v>1881060</v>
      </c>
      <c r="B2794" t="s">
        <v>10097</v>
      </c>
      <c r="C2794">
        <v>1</v>
      </c>
      <c r="D2794">
        <v>2</v>
      </c>
      <c r="E2794">
        <v>1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 t="s">
        <v>3284</v>
      </c>
      <c r="M2794" t="s">
        <v>3327</v>
      </c>
      <c r="N2794" t="s">
        <v>3328</v>
      </c>
      <c r="O2794" t="s">
        <v>3329</v>
      </c>
      <c r="P2794" t="s">
        <v>3330</v>
      </c>
      <c r="Q2794" t="s">
        <v>3331</v>
      </c>
      <c r="R2794" t="s">
        <v>10098</v>
      </c>
    </row>
    <row r="2795" spans="1:18" x14ac:dyDescent="0.2">
      <c r="A2795">
        <v>1881048</v>
      </c>
      <c r="B2795" t="s">
        <v>10099</v>
      </c>
      <c r="C2795">
        <v>0</v>
      </c>
      <c r="D2795">
        <v>0</v>
      </c>
      <c r="E2795">
        <v>0</v>
      </c>
      <c r="F2795">
        <v>2</v>
      </c>
      <c r="G2795">
        <v>2</v>
      </c>
      <c r="H2795">
        <v>0</v>
      </c>
      <c r="I2795">
        <v>0</v>
      </c>
      <c r="J2795">
        <v>0</v>
      </c>
      <c r="K2795">
        <v>0</v>
      </c>
      <c r="L2795" t="s">
        <v>3284</v>
      </c>
      <c r="M2795" t="s">
        <v>3391</v>
      </c>
      <c r="N2795" t="s">
        <v>3392</v>
      </c>
      <c r="O2795" t="s">
        <v>3393</v>
      </c>
      <c r="P2795" t="s">
        <v>3394</v>
      </c>
      <c r="Q2795" t="s">
        <v>4082</v>
      </c>
      <c r="R2795" t="s">
        <v>10100</v>
      </c>
    </row>
    <row r="2796" spans="1:18" x14ac:dyDescent="0.2">
      <c r="A2796">
        <v>1881043</v>
      </c>
      <c r="B2796" t="s">
        <v>10101</v>
      </c>
      <c r="C2796">
        <v>0</v>
      </c>
      <c r="D2796">
        <v>0</v>
      </c>
      <c r="E2796">
        <v>0</v>
      </c>
      <c r="F2796">
        <v>1</v>
      </c>
      <c r="G2796">
        <v>0</v>
      </c>
      <c r="H2796">
        <v>0</v>
      </c>
      <c r="I2796">
        <v>0</v>
      </c>
      <c r="J2796">
        <v>0</v>
      </c>
      <c r="K2796">
        <v>0</v>
      </c>
      <c r="L2796" t="s">
        <v>3284</v>
      </c>
      <c r="M2796" t="s">
        <v>3296</v>
      </c>
      <c r="N2796" t="s">
        <v>3297</v>
      </c>
      <c r="O2796" t="s">
        <v>3469</v>
      </c>
      <c r="P2796" t="s">
        <v>3470</v>
      </c>
      <c r="Q2796" t="s">
        <v>6962</v>
      </c>
      <c r="R2796" t="s">
        <v>10102</v>
      </c>
    </row>
    <row r="2797" spans="1:18" x14ac:dyDescent="0.2">
      <c r="A2797">
        <v>1881031</v>
      </c>
      <c r="B2797" t="s">
        <v>10103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1</v>
      </c>
      <c r="J2797">
        <v>0</v>
      </c>
      <c r="K2797">
        <v>0</v>
      </c>
      <c r="L2797" t="s">
        <v>3284</v>
      </c>
      <c r="M2797" t="s">
        <v>3307</v>
      </c>
      <c r="N2797" t="s">
        <v>3308</v>
      </c>
      <c r="O2797" t="s">
        <v>3359</v>
      </c>
      <c r="P2797" t="s">
        <v>3360</v>
      </c>
      <c r="Q2797" t="s">
        <v>3364</v>
      </c>
      <c r="R2797" t="s">
        <v>10104</v>
      </c>
    </row>
    <row r="2798" spans="1:18" x14ac:dyDescent="0.2">
      <c r="A2798">
        <v>1880898</v>
      </c>
      <c r="B2798" t="s">
        <v>10105</v>
      </c>
      <c r="C2798">
        <v>0</v>
      </c>
      <c r="D2798">
        <v>0</v>
      </c>
      <c r="E2798">
        <v>0</v>
      </c>
      <c r="F2798">
        <v>0</v>
      </c>
      <c r="G2798">
        <v>1</v>
      </c>
      <c r="H2798">
        <v>0</v>
      </c>
      <c r="I2798">
        <v>0</v>
      </c>
      <c r="J2798">
        <v>0</v>
      </c>
      <c r="K2798">
        <v>0</v>
      </c>
      <c r="L2798" t="s">
        <v>3284</v>
      </c>
      <c r="M2798" t="s">
        <v>3296</v>
      </c>
      <c r="N2798" t="s">
        <v>3321</v>
      </c>
      <c r="O2798" t="s">
        <v>3322</v>
      </c>
      <c r="P2798" t="s">
        <v>3323</v>
      </c>
      <c r="Q2798" t="s">
        <v>3665</v>
      </c>
      <c r="R2798" t="s">
        <v>10106</v>
      </c>
    </row>
    <row r="2799" spans="1:18" x14ac:dyDescent="0.2">
      <c r="A2799">
        <v>1874826</v>
      </c>
      <c r="B2799" t="s">
        <v>10107</v>
      </c>
      <c r="C2799">
        <v>1</v>
      </c>
      <c r="D2799">
        <v>4</v>
      </c>
      <c r="E2799">
        <v>0</v>
      </c>
      <c r="F2799">
        <v>7</v>
      </c>
      <c r="G2799">
        <v>5</v>
      </c>
      <c r="H2799">
        <v>0</v>
      </c>
      <c r="I2799">
        <v>0</v>
      </c>
      <c r="J2799">
        <v>0</v>
      </c>
      <c r="K2799">
        <v>0</v>
      </c>
      <c r="L2799" t="s">
        <v>3284</v>
      </c>
      <c r="M2799" t="s">
        <v>3296</v>
      </c>
      <c r="N2799" t="s">
        <v>3343</v>
      </c>
      <c r="O2799" t="s">
        <v>3349</v>
      </c>
      <c r="P2799" t="s">
        <v>3350</v>
      </c>
      <c r="Q2799" t="s">
        <v>3351</v>
      </c>
      <c r="R2799" t="s">
        <v>10108</v>
      </c>
    </row>
    <row r="2800" spans="1:18" x14ac:dyDescent="0.2">
      <c r="A2800">
        <v>1873499</v>
      </c>
      <c r="B2800" t="s">
        <v>10109</v>
      </c>
      <c r="C2800">
        <v>1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 t="s">
        <v>3284</v>
      </c>
      <c r="M2800" t="s">
        <v>3296</v>
      </c>
      <c r="N2800" t="s">
        <v>3321</v>
      </c>
      <c r="O2800" t="s">
        <v>3322</v>
      </c>
      <c r="P2800" t="s">
        <v>3398</v>
      </c>
      <c r="Q2800" t="s">
        <v>6144</v>
      </c>
      <c r="R2800" t="s">
        <v>10110</v>
      </c>
    </row>
    <row r="2801" spans="1:18" x14ac:dyDescent="0.2">
      <c r="A2801">
        <v>1873425</v>
      </c>
      <c r="B2801" t="s">
        <v>10111</v>
      </c>
      <c r="C2801">
        <v>0</v>
      </c>
      <c r="D2801">
        <v>0</v>
      </c>
      <c r="E2801">
        <v>0</v>
      </c>
      <c r="F2801">
        <v>1</v>
      </c>
      <c r="G2801">
        <v>1</v>
      </c>
      <c r="H2801">
        <v>0</v>
      </c>
      <c r="I2801">
        <v>0</v>
      </c>
      <c r="J2801">
        <v>0</v>
      </c>
      <c r="K2801">
        <v>0</v>
      </c>
      <c r="L2801" t="s">
        <v>3284</v>
      </c>
      <c r="M2801" t="s">
        <v>3327</v>
      </c>
      <c r="N2801" t="s">
        <v>3376</v>
      </c>
      <c r="O2801" t="s">
        <v>3377</v>
      </c>
      <c r="P2801" t="s">
        <v>3604</v>
      </c>
      <c r="Q2801" t="s">
        <v>3668</v>
      </c>
      <c r="R2801" t="s">
        <v>10112</v>
      </c>
    </row>
    <row r="2802" spans="1:18" x14ac:dyDescent="0.2">
      <c r="A2802">
        <v>1873136</v>
      </c>
      <c r="B2802" t="s">
        <v>10113</v>
      </c>
      <c r="C2802">
        <v>1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 t="s">
        <v>3284</v>
      </c>
      <c r="M2802" t="s">
        <v>3296</v>
      </c>
      <c r="N2802" t="s">
        <v>3343</v>
      </c>
      <c r="O2802" t="s">
        <v>3344</v>
      </c>
      <c r="P2802" t="s">
        <v>6089</v>
      </c>
      <c r="Q2802" t="s">
        <v>6090</v>
      </c>
      <c r="R2802" t="s">
        <v>10114</v>
      </c>
    </row>
    <row r="2803" spans="1:18" x14ac:dyDescent="0.2">
      <c r="A2803">
        <v>1872668</v>
      </c>
      <c r="B2803" t="s">
        <v>10115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1</v>
      </c>
      <c r="K2803">
        <v>0</v>
      </c>
      <c r="L2803" t="s">
        <v>3284</v>
      </c>
      <c r="M2803" t="s">
        <v>3296</v>
      </c>
      <c r="N2803" t="s">
        <v>3321</v>
      </c>
      <c r="O2803" t="s">
        <v>4147</v>
      </c>
      <c r="P2803" t="s">
        <v>7177</v>
      </c>
      <c r="Q2803" t="s">
        <v>7178</v>
      </c>
      <c r="R2803" t="s">
        <v>10116</v>
      </c>
    </row>
    <row r="2804" spans="1:18" x14ac:dyDescent="0.2">
      <c r="A2804">
        <v>1872648</v>
      </c>
      <c r="B2804" t="s">
        <v>10117</v>
      </c>
      <c r="C2804">
        <v>0</v>
      </c>
      <c r="D2804">
        <v>0</v>
      </c>
      <c r="E2804">
        <v>0</v>
      </c>
      <c r="F2804">
        <v>3</v>
      </c>
      <c r="G2804">
        <v>2</v>
      </c>
      <c r="H2804">
        <v>0</v>
      </c>
      <c r="I2804">
        <v>1</v>
      </c>
      <c r="J2804">
        <v>0</v>
      </c>
      <c r="K2804">
        <v>0</v>
      </c>
      <c r="L2804" t="s">
        <v>3284</v>
      </c>
      <c r="M2804" t="s">
        <v>3296</v>
      </c>
      <c r="N2804" t="s">
        <v>3343</v>
      </c>
      <c r="O2804" t="s">
        <v>3402</v>
      </c>
      <c r="P2804" t="s">
        <v>3403</v>
      </c>
      <c r="Q2804" t="s">
        <v>4884</v>
      </c>
      <c r="R2804" t="s">
        <v>10118</v>
      </c>
    </row>
    <row r="2805" spans="1:18" x14ac:dyDescent="0.2">
      <c r="A2805">
        <v>1872644</v>
      </c>
      <c r="B2805" t="s">
        <v>10119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1</v>
      </c>
      <c r="J2805">
        <v>0</v>
      </c>
      <c r="K2805">
        <v>0</v>
      </c>
      <c r="L2805" t="s">
        <v>3284</v>
      </c>
      <c r="M2805" t="s">
        <v>3296</v>
      </c>
      <c r="N2805" t="s">
        <v>3343</v>
      </c>
      <c r="O2805" t="s">
        <v>3371</v>
      </c>
      <c r="P2805" t="s">
        <v>3688</v>
      </c>
      <c r="Q2805" t="s">
        <v>10120</v>
      </c>
      <c r="R2805" t="s">
        <v>10121</v>
      </c>
    </row>
    <row r="2806" spans="1:18" x14ac:dyDescent="0.2">
      <c r="A2806">
        <v>1872638</v>
      </c>
      <c r="B2806" t="s">
        <v>10122</v>
      </c>
      <c r="C2806">
        <v>0</v>
      </c>
      <c r="D2806">
        <v>0</v>
      </c>
      <c r="E2806">
        <v>0</v>
      </c>
      <c r="F2806">
        <v>1</v>
      </c>
      <c r="G2806">
        <v>0</v>
      </c>
      <c r="H2806">
        <v>0</v>
      </c>
      <c r="I2806">
        <v>0</v>
      </c>
      <c r="J2806">
        <v>0</v>
      </c>
      <c r="K2806">
        <v>0</v>
      </c>
      <c r="L2806" t="s">
        <v>3284</v>
      </c>
      <c r="M2806" t="s">
        <v>8802</v>
      </c>
      <c r="N2806" t="s">
        <v>8803</v>
      </c>
      <c r="O2806" t="s">
        <v>10123</v>
      </c>
      <c r="P2806" t="s">
        <v>10124</v>
      </c>
      <c r="Q2806" t="s">
        <v>10125</v>
      </c>
      <c r="R2806" t="s">
        <v>10126</v>
      </c>
    </row>
    <row r="2807" spans="1:18" x14ac:dyDescent="0.2">
      <c r="A2807">
        <v>1872635</v>
      </c>
      <c r="B2807" t="s">
        <v>10127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1</v>
      </c>
      <c r="L2807" t="s">
        <v>3284</v>
      </c>
      <c r="M2807" t="s">
        <v>3296</v>
      </c>
      <c r="N2807" t="s">
        <v>3297</v>
      </c>
      <c r="O2807" t="s">
        <v>3469</v>
      </c>
      <c r="P2807" t="s">
        <v>3470</v>
      </c>
      <c r="Q2807" t="s">
        <v>5553</v>
      </c>
      <c r="R2807" t="s">
        <v>10128</v>
      </c>
    </row>
    <row r="2808" spans="1:18" x14ac:dyDescent="0.2">
      <c r="A2808">
        <v>1872627</v>
      </c>
      <c r="B2808" t="s">
        <v>10129</v>
      </c>
      <c r="C2808">
        <v>0</v>
      </c>
      <c r="D2808">
        <v>0</v>
      </c>
      <c r="E2808">
        <v>0</v>
      </c>
      <c r="F2808">
        <v>1</v>
      </c>
      <c r="G2808">
        <v>1</v>
      </c>
      <c r="H2808">
        <v>0</v>
      </c>
      <c r="I2808">
        <v>0</v>
      </c>
      <c r="J2808">
        <v>0</v>
      </c>
      <c r="K2808">
        <v>0</v>
      </c>
      <c r="L2808" t="s">
        <v>3284</v>
      </c>
      <c r="M2808" t="s">
        <v>5163</v>
      </c>
      <c r="N2808" t="s">
        <v>5164</v>
      </c>
      <c r="O2808" t="s">
        <v>5165</v>
      </c>
      <c r="P2808" t="s">
        <v>10130</v>
      </c>
      <c r="Q2808" t="s">
        <v>10131</v>
      </c>
      <c r="R2808" t="s">
        <v>10132</v>
      </c>
    </row>
    <row r="2809" spans="1:18" x14ac:dyDescent="0.2">
      <c r="A2809">
        <v>1872623</v>
      </c>
      <c r="B2809" t="s">
        <v>10133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1</v>
      </c>
      <c r="I2809">
        <v>0</v>
      </c>
      <c r="J2809">
        <v>0</v>
      </c>
      <c r="K2809">
        <v>0</v>
      </c>
      <c r="L2809" t="s">
        <v>3284</v>
      </c>
      <c r="M2809" t="s">
        <v>3296</v>
      </c>
      <c r="N2809" t="s">
        <v>3321</v>
      </c>
      <c r="O2809" t="s">
        <v>5306</v>
      </c>
      <c r="P2809" t="s">
        <v>5307</v>
      </c>
      <c r="Q2809" t="s">
        <v>10134</v>
      </c>
      <c r="R2809" t="s">
        <v>10135</v>
      </c>
    </row>
    <row r="2810" spans="1:18" x14ac:dyDescent="0.2">
      <c r="A2810">
        <v>1872588</v>
      </c>
      <c r="B2810" t="s">
        <v>10136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1</v>
      </c>
      <c r="J2810">
        <v>0</v>
      </c>
      <c r="K2810">
        <v>1</v>
      </c>
      <c r="L2810" t="s">
        <v>3284</v>
      </c>
      <c r="M2810" t="s">
        <v>3296</v>
      </c>
      <c r="N2810" t="s">
        <v>3297</v>
      </c>
      <c r="O2810" t="s">
        <v>3469</v>
      </c>
      <c r="P2810" t="s">
        <v>5200</v>
      </c>
      <c r="Q2810" t="s">
        <v>10137</v>
      </c>
      <c r="R2810" t="s">
        <v>10138</v>
      </c>
    </row>
    <row r="2811" spans="1:18" x14ac:dyDescent="0.2">
      <c r="A2811">
        <v>1872578</v>
      </c>
      <c r="B2811" t="s">
        <v>10139</v>
      </c>
      <c r="C2811">
        <v>6</v>
      </c>
      <c r="D2811">
        <v>8</v>
      </c>
      <c r="E2811">
        <v>1</v>
      </c>
      <c r="F2811">
        <v>3</v>
      </c>
      <c r="G2811">
        <v>1</v>
      </c>
      <c r="H2811">
        <v>0</v>
      </c>
      <c r="I2811">
        <v>9</v>
      </c>
      <c r="J2811">
        <v>7</v>
      </c>
      <c r="K2811">
        <v>2</v>
      </c>
      <c r="L2811" t="s">
        <v>3284</v>
      </c>
      <c r="M2811" t="s">
        <v>3296</v>
      </c>
      <c r="N2811" t="s">
        <v>3321</v>
      </c>
      <c r="O2811" t="s">
        <v>3322</v>
      </c>
      <c r="P2811" t="s">
        <v>3271</v>
      </c>
      <c r="Q2811" t="s">
        <v>4214</v>
      </c>
      <c r="R2811" t="s">
        <v>10140</v>
      </c>
    </row>
    <row r="2812" spans="1:18" x14ac:dyDescent="0.2">
      <c r="A2812">
        <v>1872532</v>
      </c>
      <c r="B2812" t="s">
        <v>10141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1</v>
      </c>
      <c r="J2812">
        <v>0</v>
      </c>
      <c r="K2812">
        <v>0</v>
      </c>
      <c r="L2812" t="s">
        <v>3284</v>
      </c>
      <c r="M2812" t="s">
        <v>3327</v>
      </c>
      <c r="N2812" t="s">
        <v>3753</v>
      </c>
      <c r="O2812" t="s">
        <v>3754</v>
      </c>
      <c r="P2812" t="s">
        <v>10142</v>
      </c>
      <c r="Q2812" t="s">
        <v>10143</v>
      </c>
      <c r="R2812" t="s">
        <v>10144</v>
      </c>
    </row>
    <row r="2813" spans="1:18" x14ac:dyDescent="0.2">
      <c r="A2813">
        <v>1872529</v>
      </c>
      <c r="B2813" t="s">
        <v>10145</v>
      </c>
      <c r="C2813">
        <v>0</v>
      </c>
      <c r="D2813">
        <v>0</v>
      </c>
      <c r="E2813">
        <v>1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 t="s">
        <v>3284</v>
      </c>
      <c r="M2813" t="s">
        <v>3327</v>
      </c>
      <c r="N2813" t="s">
        <v>3328</v>
      </c>
      <c r="O2813" t="s">
        <v>4017</v>
      </c>
      <c r="P2813" t="s">
        <v>4018</v>
      </c>
      <c r="Q2813" t="s">
        <v>7368</v>
      </c>
      <c r="R2813" t="s">
        <v>10146</v>
      </c>
    </row>
    <row r="2814" spans="1:18" x14ac:dyDescent="0.2">
      <c r="A2814">
        <v>1872527</v>
      </c>
      <c r="B2814" t="s">
        <v>10147</v>
      </c>
      <c r="C2814">
        <v>2</v>
      </c>
      <c r="D2814">
        <v>3</v>
      </c>
      <c r="E2814">
        <v>1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 t="s">
        <v>3284</v>
      </c>
      <c r="M2814" t="s">
        <v>3327</v>
      </c>
      <c r="N2814" t="s">
        <v>3328</v>
      </c>
      <c r="O2814" t="s">
        <v>4184</v>
      </c>
      <c r="P2814" t="s">
        <v>9429</v>
      </c>
      <c r="Q2814" t="s">
        <v>10148</v>
      </c>
      <c r="R2814" t="s">
        <v>10149</v>
      </c>
    </row>
    <row r="2815" spans="1:18" x14ac:dyDescent="0.2">
      <c r="A2815">
        <v>1872496</v>
      </c>
      <c r="B2815" t="s">
        <v>10150</v>
      </c>
      <c r="C2815">
        <v>0</v>
      </c>
      <c r="D2815">
        <v>0</v>
      </c>
      <c r="E2815">
        <v>0</v>
      </c>
      <c r="F2815">
        <v>0</v>
      </c>
      <c r="G2815">
        <v>1</v>
      </c>
      <c r="H2815">
        <v>0</v>
      </c>
      <c r="I2815">
        <v>0</v>
      </c>
      <c r="J2815">
        <v>0</v>
      </c>
      <c r="K2815">
        <v>0</v>
      </c>
      <c r="L2815" t="s">
        <v>3284</v>
      </c>
      <c r="M2815" t="s">
        <v>3307</v>
      </c>
      <c r="N2815" t="s">
        <v>3308</v>
      </c>
      <c r="O2815" t="s">
        <v>3359</v>
      </c>
      <c r="P2815" t="s">
        <v>3360</v>
      </c>
      <c r="Q2815" t="s">
        <v>4916</v>
      </c>
      <c r="R2815" t="s">
        <v>10151</v>
      </c>
    </row>
    <row r="2816" spans="1:18" x14ac:dyDescent="0.2">
      <c r="A2816">
        <v>1872485</v>
      </c>
      <c r="B2816" t="s">
        <v>10152</v>
      </c>
      <c r="C2816">
        <v>0</v>
      </c>
      <c r="D2816">
        <v>0</v>
      </c>
      <c r="E2816">
        <v>0</v>
      </c>
      <c r="F2816">
        <v>0</v>
      </c>
      <c r="G2816">
        <v>1</v>
      </c>
      <c r="H2816">
        <v>0</v>
      </c>
      <c r="I2816">
        <v>0</v>
      </c>
      <c r="J2816">
        <v>0</v>
      </c>
      <c r="K2816">
        <v>0</v>
      </c>
      <c r="L2816" t="s">
        <v>3284</v>
      </c>
      <c r="M2816" t="s">
        <v>3296</v>
      </c>
      <c r="N2816" t="s">
        <v>3343</v>
      </c>
      <c r="O2816" t="s">
        <v>3371</v>
      </c>
      <c r="P2816" t="s">
        <v>3688</v>
      </c>
      <c r="Q2816" t="s">
        <v>10153</v>
      </c>
      <c r="R2816" t="s">
        <v>10154</v>
      </c>
    </row>
    <row r="2817" spans="1:18" x14ac:dyDescent="0.2">
      <c r="A2817">
        <v>1872435</v>
      </c>
      <c r="B2817" t="s">
        <v>10155</v>
      </c>
      <c r="C2817">
        <v>0</v>
      </c>
      <c r="D2817">
        <v>1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 t="s">
        <v>3284</v>
      </c>
      <c r="M2817" t="s">
        <v>3391</v>
      </c>
      <c r="N2817" t="s">
        <v>3740</v>
      </c>
      <c r="O2817" t="s">
        <v>3741</v>
      </c>
      <c r="P2817" t="s">
        <v>4388</v>
      </c>
      <c r="Q2817" t="s">
        <v>4389</v>
      </c>
      <c r="R2817" t="s">
        <v>10156</v>
      </c>
    </row>
    <row r="2818" spans="1:18" x14ac:dyDescent="0.2">
      <c r="A2818">
        <v>1872424</v>
      </c>
      <c r="B2818" t="s">
        <v>10157</v>
      </c>
      <c r="C2818">
        <v>1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 t="s">
        <v>3284</v>
      </c>
      <c r="M2818" t="s">
        <v>3296</v>
      </c>
      <c r="N2818" t="s">
        <v>3343</v>
      </c>
      <c r="O2818" t="s">
        <v>3371</v>
      </c>
      <c r="P2818" t="s">
        <v>3688</v>
      </c>
      <c r="Q2818" t="s">
        <v>10158</v>
      </c>
      <c r="R2818" t="s">
        <v>10159</v>
      </c>
    </row>
    <row r="2819" spans="1:18" x14ac:dyDescent="0.2">
      <c r="A2819">
        <v>1872416</v>
      </c>
      <c r="B2819" t="s">
        <v>10160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1</v>
      </c>
      <c r="J2819">
        <v>2</v>
      </c>
      <c r="K2819">
        <v>0</v>
      </c>
      <c r="L2819" t="s">
        <v>3284</v>
      </c>
      <c r="M2819" t="s">
        <v>3307</v>
      </c>
      <c r="N2819" t="s">
        <v>3308</v>
      </c>
      <c r="O2819" t="s">
        <v>3359</v>
      </c>
      <c r="P2819" t="s">
        <v>3360</v>
      </c>
      <c r="Q2819" t="s">
        <v>10161</v>
      </c>
      <c r="R2819" t="s">
        <v>10162</v>
      </c>
    </row>
    <row r="2820" spans="1:18" x14ac:dyDescent="0.2">
      <c r="A2820">
        <v>1872138</v>
      </c>
      <c r="B2820" t="s">
        <v>10163</v>
      </c>
      <c r="C2820">
        <v>1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 t="s">
        <v>3284</v>
      </c>
      <c r="M2820" t="s">
        <v>3307</v>
      </c>
      <c r="N2820" t="s">
        <v>3308</v>
      </c>
      <c r="O2820" t="s">
        <v>3382</v>
      </c>
      <c r="P2820" t="s">
        <v>3383</v>
      </c>
      <c r="Q2820" t="s">
        <v>10164</v>
      </c>
      <c r="R2820" t="s">
        <v>10165</v>
      </c>
    </row>
    <row r="2821" spans="1:18" x14ac:dyDescent="0.2">
      <c r="A2821">
        <v>1872125</v>
      </c>
      <c r="B2821" t="s">
        <v>10166</v>
      </c>
      <c r="C2821">
        <v>0</v>
      </c>
      <c r="D2821">
        <v>1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 t="s">
        <v>3284</v>
      </c>
      <c r="M2821" t="s">
        <v>3296</v>
      </c>
      <c r="N2821" t="s">
        <v>3343</v>
      </c>
      <c r="O2821" t="s">
        <v>3371</v>
      </c>
      <c r="P2821" t="s">
        <v>3372</v>
      </c>
      <c r="Q2821" t="s">
        <v>6786</v>
      </c>
      <c r="R2821" t="s">
        <v>10167</v>
      </c>
    </row>
    <row r="2822" spans="1:18" x14ac:dyDescent="0.2">
      <c r="A2822">
        <v>1872122</v>
      </c>
      <c r="B2822" t="s">
        <v>10168</v>
      </c>
      <c r="C2822">
        <v>22</v>
      </c>
      <c r="D2822">
        <v>19</v>
      </c>
      <c r="E2822">
        <v>6</v>
      </c>
      <c r="F2822">
        <v>64</v>
      </c>
      <c r="G2822">
        <v>56</v>
      </c>
      <c r="H2822">
        <v>16</v>
      </c>
      <c r="I2822">
        <v>7</v>
      </c>
      <c r="J2822">
        <v>3</v>
      </c>
      <c r="K2822">
        <v>0</v>
      </c>
      <c r="L2822" t="s">
        <v>3284</v>
      </c>
      <c r="M2822" t="s">
        <v>3296</v>
      </c>
      <c r="N2822" t="s">
        <v>3321</v>
      </c>
      <c r="O2822" t="s">
        <v>3322</v>
      </c>
      <c r="P2822" t="s">
        <v>3398</v>
      </c>
      <c r="Q2822" t="s">
        <v>3556</v>
      </c>
      <c r="R2822" t="s">
        <v>10169</v>
      </c>
    </row>
    <row r="2823" spans="1:18" x14ac:dyDescent="0.2">
      <c r="A2823">
        <v>1872102</v>
      </c>
      <c r="B2823" t="s">
        <v>10170</v>
      </c>
      <c r="C2823">
        <v>0</v>
      </c>
      <c r="D2823">
        <v>1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 t="s">
        <v>3284</v>
      </c>
      <c r="M2823" t="s">
        <v>3327</v>
      </c>
      <c r="N2823" t="s">
        <v>3328</v>
      </c>
      <c r="O2823" t="s">
        <v>4184</v>
      </c>
      <c r="P2823" t="s">
        <v>10171</v>
      </c>
      <c r="Q2823" t="s">
        <v>10172</v>
      </c>
      <c r="R2823" t="s">
        <v>10173</v>
      </c>
    </row>
    <row r="2824" spans="1:18" x14ac:dyDescent="0.2">
      <c r="A2824">
        <v>1872092</v>
      </c>
      <c r="B2824" t="s">
        <v>10174</v>
      </c>
      <c r="C2824">
        <v>0</v>
      </c>
      <c r="D2824">
        <v>4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 t="s">
        <v>3284</v>
      </c>
      <c r="M2824" t="s">
        <v>3327</v>
      </c>
      <c r="N2824" t="s">
        <v>3328</v>
      </c>
      <c r="O2824" t="s">
        <v>3329</v>
      </c>
      <c r="P2824" t="s">
        <v>4620</v>
      </c>
      <c r="Q2824" t="s">
        <v>8537</v>
      </c>
      <c r="R2824" t="s">
        <v>10175</v>
      </c>
    </row>
    <row r="2825" spans="1:18" x14ac:dyDescent="0.2">
      <c r="A2825">
        <v>1872086</v>
      </c>
      <c r="B2825" t="s">
        <v>10176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2</v>
      </c>
      <c r="I2825">
        <v>0</v>
      </c>
      <c r="J2825">
        <v>0</v>
      </c>
      <c r="K2825">
        <v>0</v>
      </c>
      <c r="L2825" t="s">
        <v>3284</v>
      </c>
      <c r="M2825" t="s">
        <v>3296</v>
      </c>
      <c r="N2825" t="s">
        <v>3343</v>
      </c>
      <c r="O2825" t="s">
        <v>3344</v>
      </c>
      <c r="P2825" t="s">
        <v>3355</v>
      </c>
      <c r="Q2825" t="s">
        <v>3525</v>
      </c>
      <c r="R2825" t="s">
        <v>10177</v>
      </c>
    </row>
    <row r="2826" spans="1:18" x14ac:dyDescent="0.2">
      <c r="A2826">
        <v>1871628</v>
      </c>
      <c r="B2826" t="s">
        <v>10178</v>
      </c>
      <c r="C2826">
        <v>0</v>
      </c>
      <c r="D2826">
        <v>0</v>
      </c>
      <c r="E2826">
        <v>0</v>
      </c>
      <c r="F2826">
        <v>0</v>
      </c>
      <c r="G2826">
        <v>1</v>
      </c>
      <c r="H2826">
        <v>0</v>
      </c>
      <c r="I2826">
        <v>0</v>
      </c>
      <c r="J2826">
        <v>0</v>
      </c>
      <c r="K2826">
        <v>0</v>
      </c>
      <c r="L2826" t="s">
        <v>3284</v>
      </c>
      <c r="M2826" t="s">
        <v>3296</v>
      </c>
      <c r="N2826" t="s">
        <v>3343</v>
      </c>
      <c r="O2826" t="s">
        <v>3344</v>
      </c>
      <c r="P2826" t="s">
        <v>3367</v>
      </c>
      <c r="Q2826" t="s">
        <v>3368</v>
      </c>
      <c r="R2826" t="s">
        <v>10179</v>
      </c>
    </row>
    <row r="2827" spans="1:18" x14ac:dyDescent="0.2">
      <c r="A2827">
        <v>1871330</v>
      </c>
      <c r="B2827" t="s">
        <v>10180</v>
      </c>
      <c r="C2827">
        <v>3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 t="s">
        <v>3284</v>
      </c>
      <c r="M2827" t="s">
        <v>3327</v>
      </c>
      <c r="N2827" t="s">
        <v>3328</v>
      </c>
      <c r="O2827" t="s">
        <v>3329</v>
      </c>
      <c r="P2827" t="s">
        <v>3330</v>
      </c>
      <c r="Q2827" t="s">
        <v>10181</v>
      </c>
      <c r="R2827" t="s">
        <v>10182</v>
      </c>
    </row>
    <row r="2828" spans="1:18" x14ac:dyDescent="0.2">
      <c r="A2828">
        <v>1871186</v>
      </c>
      <c r="B2828" t="s">
        <v>10183</v>
      </c>
      <c r="C2828">
        <v>0</v>
      </c>
      <c r="D2828">
        <v>0</v>
      </c>
      <c r="E2828">
        <v>0</v>
      </c>
      <c r="F2828">
        <v>113</v>
      </c>
      <c r="G2828">
        <v>75</v>
      </c>
      <c r="H2828">
        <v>82</v>
      </c>
      <c r="I2828">
        <v>2</v>
      </c>
      <c r="J2828">
        <v>2</v>
      </c>
      <c r="K2828">
        <v>0</v>
      </c>
      <c r="L2828" t="s">
        <v>3284</v>
      </c>
      <c r="M2828" t="s">
        <v>3307</v>
      </c>
      <c r="N2828" t="s">
        <v>3308</v>
      </c>
      <c r="O2828" t="s">
        <v>3359</v>
      </c>
      <c r="P2828" t="s">
        <v>3360</v>
      </c>
      <c r="Q2828" t="s">
        <v>3561</v>
      </c>
      <c r="R2828" t="s">
        <v>10184</v>
      </c>
    </row>
    <row r="2829" spans="1:18" x14ac:dyDescent="0.2">
      <c r="A2829">
        <v>1871086</v>
      </c>
      <c r="B2829" t="s">
        <v>10185</v>
      </c>
      <c r="C2829">
        <v>4</v>
      </c>
      <c r="D2829">
        <v>3</v>
      </c>
      <c r="E2829">
        <v>1</v>
      </c>
      <c r="F2829">
        <v>142</v>
      </c>
      <c r="G2829">
        <v>98</v>
      </c>
      <c r="H2829">
        <v>120</v>
      </c>
      <c r="I2829">
        <v>2</v>
      </c>
      <c r="J2829">
        <v>2</v>
      </c>
      <c r="K2829">
        <v>0</v>
      </c>
      <c r="L2829" t="s">
        <v>3284</v>
      </c>
      <c r="M2829" t="s">
        <v>3296</v>
      </c>
      <c r="N2829" t="s">
        <v>3343</v>
      </c>
      <c r="O2829" t="s">
        <v>3402</v>
      </c>
      <c r="P2829" t="s">
        <v>3403</v>
      </c>
      <c r="Q2829" t="s">
        <v>3536</v>
      </c>
      <c r="R2829" t="s">
        <v>10186</v>
      </c>
    </row>
    <row r="2830" spans="1:18" x14ac:dyDescent="0.2">
      <c r="A2830">
        <v>1871066</v>
      </c>
      <c r="B2830" t="s">
        <v>10187</v>
      </c>
      <c r="C2830">
        <v>0</v>
      </c>
      <c r="D2830">
        <v>0</v>
      </c>
      <c r="E2830">
        <v>0</v>
      </c>
      <c r="F2830">
        <v>1</v>
      </c>
      <c r="G2830">
        <v>2</v>
      </c>
      <c r="H2830">
        <v>0</v>
      </c>
      <c r="I2830">
        <v>8</v>
      </c>
      <c r="J2830">
        <v>3</v>
      </c>
      <c r="K2830">
        <v>0</v>
      </c>
      <c r="L2830" t="s">
        <v>3284</v>
      </c>
      <c r="M2830" t="s">
        <v>3296</v>
      </c>
      <c r="N2830" t="s">
        <v>3343</v>
      </c>
      <c r="O2830" t="s">
        <v>3344</v>
      </c>
      <c r="P2830" t="s">
        <v>3898</v>
      </c>
      <c r="Q2830" t="s">
        <v>3899</v>
      </c>
      <c r="R2830" t="s">
        <v>10188</v>
      </c>
    </row>
    <row r="2831" spans="1:18" x14ac:dyDescent="0.2">
      <c r="A2831">
        <v>1871063</v>
      </c>
      <c r="B2831" t="s">
        <v>10189</v>
      </c>
      <c r="C2831">
        <v>0</v>
      </c>
      <c r="D2831">
        <v>0</v>
      </c>
      <c r="E2831">
        <v>0</v>
      </c>
      <c r="F2831">
        <v>3</v>
      </c>
      <c r="G2831">
        <v>1</v>
      </c>
      <c r="H2831">
        <v>0</v>
      </c>
      <c r="I2831">
        <v>0</v>
      </c>
      <c r="J2831">
        <v>0</v>
      </c>
      <c r="K2831">
        <v>0</v>
      </c>
      <c r="L2831" t="s">
        <v>3284</v>
      </c>
      <c r="M2831" t="s">
        <v>3307</v>
      </c>
      <c r="N2831" t="s">
        <v>3308</v>
      </c>
      <c r="O2831" t="s">
        <v>3309</v>
      </c>
      <c r="P2831" t="s">
        <v>3310</v>
      </c>
      <c r="Q2831" t="s">
        <v>7210</v>
      </c>
      <c r="R2831" t="s">
        <v>10190</v>
      </c>
    </row>
    <row r="2832" spans="1:18" x14ac:dyDescent="0.2">
      <c r="A2832">
        <v>1871053</v>
      </c>
      <c r="B2832" t="s">
        <v>10191</v>
      </c>
      <c r="C2832">
        <v>1</v>
      </c>
      <c r="D2832">
        <v>3</v>
      </c>
      <c r="E2832">
        <v>0</v>
      </c>
      <c r="F2832">
        <v>34</v>
      </c>
      <c r="G2832">
        <v>19</v>
      </c>
      <c r="H2832">
        <v>1</v>
      </c>
      <c r="I2832">
        <v>3</v>
      </c>
      <c r="J2832">
        <v>2</v>
      </c>
      <c r="K2832">
        <v>1</v>
      </c>
      <c r="L2832" t="s">
        <v>3284</v>
      </c>
      <c r="M2832" t="s">
        <v>3296</v>
      </c>
      <c r="N2832" t="s">
        <v>3343</v>
      </c>
      <c r="O2832" t="s">
        <v>3402</v>
      </c>
      <c r="P2832" t="s">
        <v>3403</v>
      </c>
      <c r="Q2832" t="s">
        <v>5337</v>
      </c>
      <c r="R2832" t="s">
        <v>10192</v>
      </c>
    </row>
    <row r="2833" spans="1:18" x14ac:dyDescent="0.2">
      <c r="A2833">
        <v>1871050</v>
      </c>
      <c r="B2833" t="s">
        <v>10193</v>
      </c>
      <c r="C2833">
        <v>7</v>
      </c>
      <c r="D2833">
        <v>6</v>
      </c>
      <c r="E2833">
        <v>1</v>
      </c>
      <c r="F2833">
        <v>6</v>
      </c>
      <c r="G2833">
        <v>1</v>
      </c>
      <c r="H2833">
        <v>0</v>
      </c>
      <c r="I2833">
        <v>15</v>
      </c>
      <c r="J2833">
        <v>6</v>
      </c>
      <c r="K2833">
        <v>1</v>
      </c>
      <c r="L2833" t="s">
        <v>3284</v>
      </c>
      <c r="M2833" t="s">
        <v>3296</v>
      </c>
      <c r="N2833" t="s">
        <v>3343</v>
      </c>
      <c r="O2833" t="s">
        <v>3344</v>
      </c>
      <c r="P2833" t="s">
        <v>3367</v>
      </c>
      <c r="Q2833" t="s">
        <v>3368</v>
      </c>
      <c r="R2833" t="s">
        <v>10194</v>
      </c>
    </row>
    <row r="2834" spans="1:18" x14ac:dyDescent="0.2">
      <c r="A2834">
        <v>1871049</v>
      </c>
      <c r="B2834" t="s">
        <v>10195</v>
      </c>
      <c r="C2834">
        <v>1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 t="s">
        <v>3284</v>
      </c>
      <c r="M2834" t="s">
        <v>3296</v>
      </c>
      <c r="N2834" t="s">
        <v>3297</v>
      </c>
      <c r="O2834" t="s">
        <v>3469</v>
      </c>
      <c r="P2834" t="s">
        <v>3470</v>
      </c>
      <c r="Q2834" t="s">
        <v>6962</v>
      </c>
      <c r="R2834" t="s">
        <v>10196</v>
      </c>
    </row>
    <row r="2835" spans="1:18" x14ac:dyDescent="0.2">
      <c r="A2835">
        <v>1871048</v>
      </c>
      <c r="B2835" t="s">
        <v>10197</v>
      </c>
      <c r="C2835">
        <v>0</v>
      </c>
      <c r="D2835">
        <v>2</v>
      </c>
      <c r="E2835">
        <v>0</v>
      </c>
      <c r="F2835">
        <v>2</v>
      </c>
      <c r="G2835">
        <v>2</v>
      </c>
      <c r="H2835">
        <v>0</v>
      </c>
      <c r="I2835">
        <v>2</v>
      </c>
      <c r="J2835">
        <v>3</v>
      </c>
      <c r="K2835">
        <v>2</v>
      </c>
      <c r="L2835" t="s">
        <v>3284</v>
      </c>
      <c r="M2835" t="s">
        <v>3296</v>
      </c>
      <c r="N2835" t="s">
        <v>3343</v>
      </c>
      <c r="O2835" t="s">
        <v>3344</v>
      </c>
      <c r="P2835" t="s">
        <v>3345</v>
      </c>
      <c r="Q2835" t="s">
        <v>3346</v>
      </c>
      <c r="R2835" t="s">
        <v>10198</v>
      </c>
    </row>
    <row r="2836" spans="1:18" x14ac:dyDescent="0.2">
      <c r="A2836">
        <v>1871047</v>
      </c>
      <c r="B2836" t="s">
        <v>10199</v>
      </c>
      <c r="C2836">
        <v>15</v>
      </c>
      <c r="D2836">
        <v>12</v>
      </c>
      <c r="E2836">
        <v>1</v>
      </c>
      <c r="F2836">
        <v>0</v>
      </c>
      <c r="G2836">
        <v>1</v>
      </c>
      <c r="H2836">
        <v>0</v>
      </c>
      <c r="I2836">
        <v>0</v>
      </c>
      <c r="J2836">
        <v>0</v>
      </c>
      <c r="K2836">
        <v>1</v>
      </c>
      <c r="L2836" t="s">
        <v>3284</v>
      </c>
      <c r="M2836" t="s">
        <v>3391</v>
      </c>
      <c r="N2836" t="s">
        <v>3411</v>
      </c>
      <c r="O2836" t="s">
        <v>3412</v>
      </c>
      <c r="P2836" t="s">
        <v>3564</v>
      </c>
      <c r="Q2836" t="s">
        <v>3803</v>
      </c>
      <c r="R2836" t="s">
        <v>10200</v>
      </c>
    </row>
    <row r="2837" spans="1:18" x14ac:dyDescent="0.2">
      <c r="A2837">
        <v>1871045</v>
      </c>
      <c r="B2837" t="s">
        <v>10201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1</v>
      </c>
      <c r="J2837">
        <v>1</v>
      </c>
      <c r="K2837">
        <v>0</v>
      </c>
      <c r="L2837" t="s">
        <v>3284</v>
      </c>
      <c r="M2837" t="s">
        <v>3307</v>
      </c>
      <c r="N2837" t="s">
        <v>3308</v>
      </c>
      <c r="O2837" t="s">
        <v>3359</v>
      </c>
      <c r="P2837" t="s">
        <v>3360</v>
      </c>
      <c r="Q2837" t="s">
        <v>4893</v>
      </c>
      <c r="R2837" t="s">
        <v>10202</v>
      </c>
    </row>
    <row r="2838" spans="1:18" x14ac:dyDescent="0.2">
      <c r="A2838">
        <v>1871043</v>
      </c>
      <c r="B2838" t="s">
        <v>10203</v>
      </c>
      <c r="C2838">
        <v>1</v>
      </c>
      <c r="D2838">
        <v>0</v>
      </c>
      <c r="E2838">
        <v>0</v>
      </c>
      <c r="F2838">
        <v>5</v>
      </c>
      <c r="G2838">
        <v>2</v>
      </c>
      <c r="H2838">
        <v>0</v>
      </c>
      <c r="I2838">
        <v>0</v>
      </c>
      <c r="J2838">
        <v>0</v>
      </c>
      <c r="K2838">
        <v>0</v>
      </c>
      <c r="L2838" t="s">
        <v>3284</v>
      </c>
      <c r="M2838" t="s">
        <v>3296</v>
      </c>
      <c r="N2838" t="s">
        <v>3321</v>
      </c>
      <c r="O2838" t="s">
        <v>3322</v>
      </c>
      <c r="P2838" t="s">
        <v>3398</v>
      </c>
      <c r="Q2838" t="s">
        <v>3399</v>
      </c>
      <c r="R2838" t="s">
        <v>10204</v>
      </c>
    </row>
    <row r="2839" spans="1:18" x14ac:dyDescent="0.2">
      <c r="A2839">
        <v>1871024</v>
      </c>
      <c r="B2839" t="s">
        <v>10205</v>
      </c>
      <c r="C2839">
        <v>1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 t="s">
        <v>3284</v>
      </c>
      <c r="M2839" t="s">
        <v>3327</v>
      </c>
      <c r="N2839" t="s">
        <v>3328</v>
      </c>
      <c r="O2839" t="s">
        <v>3329</v>
      </c>
      <c r="P2839" t="s">
        <v>3330</v>
      </c>
      <c r="Q2839" t="s">
        <v>10206</v>
      </c>
      <c r="R2839" t="s">
        <v>10207</v>
      </c>
    </row>
    <row r="2840" spans="1:18" x14ac:dyDescent="0.2">
      <c r="A2840">
        <v>1871005</v>
      </c>
      <c r="B2840" t="s">
        <v>10208</v>
      </c>
      <c r="C2840">
        <v>0</v>
      </c>
      <c r="D2840">
        <v>1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 t="s">
        <v>3284</v>
      </c>
      <c r="M2840" t="s">
        <v>3327</v>
      </c>
      <c r="N2840" t="s">
        <v>4384</v>
      </c>
      <c r="O2840" t="s">
        <v>4605</v>
      </c>
      <c r="P2840" t="s">
        <v>10025</v>
      </c>
      <c r="Q2840" t="s">
        <v>10209</v>
      </c>
      <c r="R2840" t="s">
        <v>10210</v>
      </c>
    </row>
    <row r="2841" spans="1:18" x14ac:dyDescent="0.2">
      <c r="A2841">
        <v>1870990</v>
      </c>
      <c r="B2841" t="s">
        <v>10211</v>
      </c>
      <c r="C2841">
        <v>0</v>
      </c>
      <c r="D2841">
        <v>0</v>
      </c>
      <c r="E2841">
        <v>0</v>
      </c>
      <c r="F2841">
        <v>1</v>
      </c>
      <c r="G2841">
        <v>0</v>
      </c>
      <c r="H2841">
        <v>0</v>
      </c>
      <c r="I2841">
        <v>6</v>
      </c>
      <c r="J2841">
        <v>1</v>
      </c>
      <c r="K2841">
        <v>2</v>
      </c>
      <c r="L2841" t="s">
        <v>3284</v>
      </c>
      <c r="M2841" t="s">
        <v>3327</v>
      </c>
      <c r="N2841" t="s">
        <v>3376</v>
      </c>
      <c r="O2841" t="s">
        <v>3377</v>
      </c>
      <c r="P2841" t="s">
        <v>3604</v>
      </c>
      <c r="Q2841" t="s">
        <v>3668</v>
      </c>
      <c r="R2841" t="s">
        <v>10212</v>
      </c>
    </row>
    <row r="2842" spans="1:18" x14ac:dyDescent="0.2">
      <c r="A2842">
        <v>1870904</v>
      </c>
      <c r="B2842" t="s">
        <v>10213</v>
      </c>
      <c r="C2842">
        <v>0</v>
      </c>
      <c r="D2842">
        <v>0</v>
      </c>
      <c r="E2842">
        <v>0</v>
      </c>
      <c r="F2842">
        <v>17</v>
      </c>
      <c r="G2842">
        <v>7</v>
      </c>
      <c r="H2842">
        <v>8</v>
      </c>
      <c r="I2842">
        <v>9</v>
      </c>
      <c r="J2842">
        <v>2</v>
      </c>
      <c r="K2842">
        <v>4</v>
      </c>
      <c r="L2842" t="s">
        <v>3284</v>
      </c>
      <c r="M2842" t="s">
        <v>3296</v>
      </c>
      <c r="N2842" t="s">
        <v>3343</v>
      </c>
      <c r="O2842" t="s">
        <v>3344</v>
      </c>
      <c r="P2842" t="s">
        <v>3355</v>
      </c>
      <c r="Q2842" t="s">
        <v>3846</v>
      </c>
      <c r="R2842" t="s">
        <v>10214</v>
      </c>
    </row>
    <row r="2843" spans="1:18" x14ac:dyDescent="0.2">
      <c r="A2843">
        <v>1869339</v>
      </c>
      <c r="B2843" t="s">
        <v>10215</v>
      </c>
      <c r="C2843">
        <v>3</v>
      </c>
      <c r="D2843">
        <v>7</v>
      </c>
      <c r="E2843">
        <v>0</v>
      </c>
      <c r="F2843">
        <v>6</v>
      </c>
      <c r="G2843">
        <v>5</v>
      </c>
      <c r="H2843">
        <v>0</v>
      </c>
      <c r="I2843">
        <v>4</v>
      </c>
      <c r="J2843">
        <v>3</v>
      </c>
      <c r="K2843">
        <v>0</v>
      </c>
      <c r="L2843" t="s">
        <v>3284</v>
      </c>
      <c r="M2843" t="s">
        <v>3296</v>
      </c>
      <c r="N2843" t="s">
        <v>3321</v>
      </c>
      <c r="O2843" t="s">
        <v>3322</v>
      </c>
      <c r="P2843" t="s">
        <v>3398</v>
      </c>
      <c r="Q2843" t="s">
        <v>4593</v>
      </c>
      <c r="R2843" t="s">
        <v>10216</v>
      </c>
    </row>
    <row r="2844" spans="1:18" x14ac:dyDescent="0.2">
      <c r="A2844">
        <v>1869338</v>
      </c>
      <c r="B2844" t="s">
        <v>10217</v>
      </c>
      <c r="C2844">
        <v>0</v>
      </c>
      <c r="D2844">
        <v>0</v>
      </c>
      <c r="E2844">
        <v>0</v>
      </c>
      <c r="F2844">
        <v>1</v>
      </c>
      <c r="G2844">
        <v>0</v>
      </c>
      <c r="H2844">
        <v>0</v>
      </c>
      <c r="I2844">
        <v>0</v>
      </c>
      <c r="J2844">
        <v>0</v>
      </c>
      <c r="K2844">
        <v>0</v>
      </c>
      <c r="L2844" t="s">
        <v>3284</v>
      </c>
      <c r="M2844" t="s">
        <v>3296</v>
      </c>
      <c r="N2844" t="s">
        <v>3297</v>
      </c>
      <c r="O2844" t="s">
        <v>3469</v>
      </c>
      <c r="P2844" t="s">
        <v>5200</v>
      </c>
      <c r="Q2844" t="s">
        <v>5201</v>
      </c>
      <c r="R2844" t="s">
        <v>10218</v>
      </c>
    </row>
    <row r="2845" spans="1:18" x14ac:dyDescent="0.2">
      <c r="A2845">
        <v>1869229</v>
      </c>
      <c r="B2845" t="s">
        <v>10219</v>
      </c>
      <c r="C2845">
        <v>0</v>
      </c>
      <c r="D2845">
        <v>0</v>
      </c>
      <c r="E2845">
        <v>0</v>
      </c>
      <c r="F2845">
        <v>1</v>
      </c>
      <c r="G2845">
        <v>1</v>
      </c>
      <c r="H2845">
        <v>0</v>
      </c>
      <c r="I2845">
        <v>0</v>
      </c>
      <c r="J2845">
        <v>0</v>
      </c>
      <c r="K2845">
        <v>0</v>
      </c>
      <c r="L2845" t="s">
        <v>3284</v>
      </c>
      <c r="M2845" t="s">
        <v>3296</v>
      </c>
      <c r="N2845" t="s">
        <v>3297</v>
      </c>
      <c r="O2845" t="s">
        <v>3434</v>
      </c>
      <c r="P2845" t="s">
        <v>3435</v>
      </c>
      <c r="Q2845" t="s">
        <v>3436</v>
      </c>
      <c r="R2845" t="s">
        <v>10220</v>
      </c>
    </row>
    <row r="2846" spans="1:18" x14ac:dyDescent="0.2">
      <c r="A2846">
        <v>1869214</v>
      </c>
      <c r="B2846" t="s">
        <v>10221</v>
      </c>
      <c r="C2846">
        <v>2</v>
      </c>
      <c r="D2846">
        <v>7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 t="s">
        <v>3284</v>
      </c>
      <c r="M2846" t="s">
        <v>3296</v>
      </c>
      <c r="N2846" t="s">
        <v>3297</v>
      </c>
      <c r="O2846" t="s">
        <v>4124</v>
      </c>
      <c r="P2846" t="s">
        <v>4125</v>
      </c>
      <c r="Q2846" t="s">
        <v>5083</v>
      </c>
      <c r="R2846" t="s">
        <v>10222</v>
      </c>
    </row>
    <row r="2847" spans="1:18" x14ac:dyDescent="0.2">
      <c r="A2847">
        <v>1869181</v>
      </c>
      <c r="B2847" t="s">
        <v>10223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1</v>
      </c>
      <c r="K2847">
        <v>0</v>
      </c>
      <c r="L2847" t="s">
        <v>3284</v>
      </c>
      <c r="M2847" t="s">
        <v>3391</v>
      </c>
      <c r="N2847" t="s">
        <v>4129</v>
      </c>
      <c r="O2847" t="s">
        <v>4130</v>
      </c>
      <c r="P2847" t="s">
        <v>4131</v>
      </c>
      <c r="Q2847" t="s">
        <v>4132</v>
      </c>
      <c r="R2847" t="s">
        <v>10224</v>
      </c>
    </row>
    <row r="2848" spans="1:18" x14ac:dyDescent="0.2">
      <c r="A2848">
        <v>1869167</v>
      </c>
      <c r="B2848" t="s">
        <v>10225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1</v>
      </c>
      <c r="J2848">
        <v>0</v>
      </c>
      <c r="K2848">
        <v>0</v>
      </c>
      <c r="L2848" t="s">
        <v>3284</v>
      </c>
      <c r="M2848" t="s">
        <v>3307</v>
      </c>
      <c r="N2848" t="s">
        <v>3308</v>
      </c>
      <c r="O2848" t="s">
        <v>3359</v>
      </c>
      <c r="P2848" t="s">
        <v>3965</v>
      </c>
      <c r="Q2848" t="s">
        <v>10226</v>
      </c>
      <c r="R2848" t="s">
        <v>10227</v>
      </c>
    </row>
    <row r="2849" spans="1:18" x14ac:dyDescent="0.2">
      <c r="A2849">
        <v>1868655</v>
      </c>
      <c r="B2849" t="s">
        <v>10228</v>
      </c>
      <c r="C2849">
        <v>0</v>
      </c>
      <c r="D2849">
        <v>0</v>
      </c>
      <c r="E2849">
        <v>1</v>
      </c>
      <c r="F2849">
        <v>0</v>
      </c>
      <c r="G2849">
        <v>0</v>
      </c>
      <c r="H2849">
        <v>0</v>
      </c>
      <c r="I2849">
        <v>0</v>
      </c>
      <c r="J2849">
        <v>1</v>
      </c>
      <c r="K2849">
        <v>0</v>
      </c>
      <c r="L2849" t="s">
        <v>3284</v>
      </c>
      <c r="M2849" t="s">
        <v>3327</v>
      </c>
      <c r="N2849" t="s">
        <v>3376</v>
      </c>
      <c r="O2849" t="s">
        <v>3377</v>
      </c>
      <c r="P2849" t="s">
        <v>3378</v>
      </c>
      <c r="Q2849" t="s">
        <v>3379</v>
      </c>
      <c r="R2849" t="s">
        <v>10229</v>
      </c>
    </row>
    <row r="2850" spans="1:18" x14ac:dyDescent="0.2">
      <c r="A2850">
        <v>1867775</v>
      </c>
      <c r="B2850" t="s">
        <v>10230</v>
      </c>
      <c r="C2850">
        <v>0</v>
      </c>
      <c r="D2850">
        <v>0</v>
      </c>
      <c r="E2850">
        <v>0</v>
      </c>
      <c r="F2850">
        <v>0</v>
      </c>
      <c r="G2850">
        <v>1</v>
      </c>
      <c r="H2850">
        <v>0</v>
      </c>
      <c r="I2850">
        <v>0</v>
      </c>
      <c r="J2850">
        <v>0</v>
      </c>
      <c r="K2850">
        <v>0</v>
      </c>
      <c r="L2850" t="s">
        <v>3284</v>
      </c>
      <c r="M2850" t="s">
        <v>3307</v>
      </c>
      <c r="N2850" t="s">
        <v>3308</v>
      </c>
      <c r="O2850" t="s">
        <v>3309</v>
      </c>
      <c r="P2850" t="s">
        <v>3310</v>
      </c>
      <c r="Q2850" t="s">
        <v>3311</v>
      </c>
      <c r="R2850" t="s">
        <v>10231</v>
      </c>
    </row>
    <row r="2851" spans="1:18" x14ac:dyDescent="0.2">
      <c r="A2851">
        <v>1866314</v>
      </c>
      <c r="B2851" t="s">
        <v>10232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1</v>
      </c>
      <c r="K2851">
        <v>0</v>
      </c>
      <c r="L2851" t="s">
        <v>3284</v>
      </c>
      <c r="M2851" t="s">
        <v>3327</v>
      </c>
      <c r="N2851" t="s">
        <v>3376</v>
      </c>
      <c r="O2851" t="s">
        <v>3377</v>
      </c>
      <c r="P2851" t="s">
        <v>3378</v>
      </c>
      <c r="Q2851" t="s">
        <v>3379</v>
      </c>
      <c r="R2851" t="s">
        <v>10233</v>
      </c>
    </row>
    <row r="2852" spans="1:18" x14ac:dyDescent="0.2">
      <c r="A2852">
        <v>1862385</v>
      </c>
      <c r="B2852" t="s">
        <v>10234</v>
      </c>
      <c r="C2852">
        <v>0</v>
      </c>
      <c r="D2852">
        <v>1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 t="s">
        <v>3284</v>
      </c>
      <c r="M2852" t="s">
        <v>3296</v>
      </c>
      <c r="N2852" t="s">
        <v>3321</v>
      </c>
      <c r="O2852" t="s">
        <v>3322</v>
      </c>
      <c r="P2852" t="s">
        <v>3671</v>
      </c>
      <c r="Q2852" t="s">
        <v>6927</v>
      </c>
      <c r="R2852" t="s">
        <v>10235</v>
      </c>
    </row>
    <row r="2853" spans="1:18" x14ac:dyDescent="0.2">
      <c r="A2853">
        <v>1862326</v>
      </c>
      <c r="B2853" t="s">
        <v>10236</v>
      </c>
      <c r="C2853">
        <v>0</v>
      </c>
      <c r="D2853">
        <v>0</v>
      </c>
      <c r="E2853">
        <v>0</v>
      </c>
      <c r="F2853">
        <v>5</v>
      </c>
      <c r="G2853">
        <v>3</v>
      </c>
      <c r="H2853">
        <v>1</v>
      </c>
      <c r="I2853">
        <v>0</v>
      </c>
      <c r="J2853">
        <v>0</v>
      </c>
      <c r="K2853">
        <v>0</v>
      </c>
      <c r="L2853" t="s">
        <v>3284</v>
      </c>
      <c r="M2853" t="s">
        <v>3296</v>
      </c>
      <c r="N2853" t="s">
        <v>3321</v>
      </c>
      <c r="O2853" t="s">
        <v>3322</v>
      </c>
      <c r="P2853" t="s">
        <v>3398</v>
      </c>
      <c r="Q2853" t="s">
        <v>3399</v>
      </c>
      <c r="R2853" t="s">
        <v>10237</v>
      </c>
    </row>
    <row r="2854" spans="1:18" x14ac:dyDescent="0.2">
      <c r="A2854">
        <v>1862322</v>
      </c>
      <c r="B2854" t="s">
        <v>10238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2</v>
      </c>
      <c r="I2854">
        <v>7</v>
      </c>
      <c r="J2854">
        <v>2</v>
      </c>
      <c r="K2854">
        <v>10</v>
      </c>
      <c r="L2854" t="s">
        <v>3284</v>
      </c>
      <c r="M2854" t="s">
        <v>3296</v>
      </c>
      <c r="N2854" t="s">
        <v>3321</v>
      </c>
      <c r="O2854" t="s">
        <v>3322</v>
      </c>
      <c r="P2854" t="s">
        <v>3398</v>
      </c>
      <c r="Q2854" t="s">
        <v>3439</v>
      </c>
      <c r="R2854" t="s">
        <v>10239</v>
      </c>
    </row>
    <row r="2855" spans="1:18" x14ac:dyDescent="0.2">
      <c r="A2855">
        <v>1862321</v>
      </c>
      <c r="B2855" t="s">
        <v>10240</v>
      </c>
      <c r="C2855">
        <v>0</v>
      </c>
      <c r="D2855">
        <v>0</v>
      </c>
      <c r="E2855">
        <v>0</v>
      </c>
      <c r="F2855">
        <v>0</v>
      </c>
      <c r="G2855">
        <v>1</v>
      </c>
      <c r="H2855">
        <v>0</v>
      </c>
      <c r="I2855">
        <v>0</v>
      </c>
      <c r="J2855">
        <v>0</v>
      </c>
      <c r="K2855">
        <v>0</v>
      </c>
      <c r="L2855" t="s">
        <v>3284</v>
      </c>
      <c r="M2855" t="s">
        <v>3296</v>
      </c>
      <c r="N2855" t="s">
        <v>3321</v>
      </c>
      <c r="O2855" t="s">
        <v>3322</v>
      </c>
      <c r="P2855" t="s">
        <v>3423</v>
      </c>
      <c r="Q2855" t="s">
        <v>3424</v>
      </c>
      <c r="R2855" t="s">
        <v>10241</v>
      </c>
    </row>
    <row r="2856" spans="1:18" x14ac:dyDescent="0.2">
      <c r="A2856">
        <v>1862145</v>
      </c>
      <c r="B2856" t="s">
        <v>10242</v>
      </c>
      <c r="C2856">
        <v>0</v>
      </c>
      <c r="D2856">
        <v>0</v>
      </c>
      <c r="E2856">
        <v>0</v>
      </c>
      <c r="F2856">
        <v>1</v>
      </c>
      <c r="G2856">
        <v>0</v>
      </c>
      <c r="H2856">
        <v>0</v>
      </c>
      <c r="I2856">
        <v>0</v>
      </c>
      <c r="J2856">
        <v>0</v>
      </c>
      <c r="K2856">
        <v>0</v>
      </c>
      <c r="L2856" t="s">
        <v>3284</v>
      </c>
      <c r="M2856" t="s">
        <v>3296</v>
      </c>
      <c r="N2856" t="s">
        <v>3343</v>
      </c>
      <c r="O2856" t="s">
        <v>3861</v>
      </c>
      <c r="P2856" t="s">
        <v>9417</v>
      </c>
      <c r="Q2856" t="s">
        <v>10243</v>
      </c>
      <c r="R2856" t="s">
        <v>10244</v>
      </c>
    </row>
    <row r="2857" spans="1:18" x14ac:dyDescent="0.2">
      <c r="A2857">
        <v>1860097</v>
      </c>
      <c r="B2857" t="s">
        <v>10245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1</v>
      </c>
      <c r="J2857">
        <v>0</v>
      </c>
      <c r="K2857">
        <v>0</v>
      </c>
      <c r="L2857" t="s">
        <v>3284</v>
      </c>
      <c r="M2857" t="s">
        <v>3296</v>
      </c>
      <c r="N2857" t="s">
        <v>3297</v>
      </c>
      <c r="O2857" t="s">
        <v>4037</v>
      </c>
      <c r="P2857" t="s">
        <v>4038</v>
      </c>
      <c r="Q2857" t="s">
        <v>5556</v>
      </c>
      <c r="R2857" t="s">
        <v>10246</v>
      </c>
    </row>
    <row r="2858" spans="1:18" x14ac:dyDescent="0.2">
      <c r="A2858">
        <v>1859460</v>
      </c>
      <c r="B2858" t="s">
        <v>10247</v>
      </c>
      <c r="C2858">
        <v>0</v>
      </c>
      <c r="D2858">
        <v>1</v>
      </c>
      <c r="E2858">
        <v>0</v>
      </c>
      <c r="F2858">
        <v>1</v>
      </c>
      <c r="G2858">
        <v>1</v>
      </c>
      <c r="H2858">
        <v>0</v>
      </c>
      <c r="I2858">
        <v>0</v>
      </c>
      <c r="J2858">
        <v>0</v>
      </c>
      <c r="K2858">
        <v>0</v>
      </c>
      <c r="L2858" t="s">
        <v>3284</v>
      </c>
      <c r="M2858" t="s">
        <v>3816</v>
      </c>
      <c r="N2858" t="s">
        <v>3817</v>
      </c>
      <c r="O2858" t="s">
        <v>3818</v>
      </c>
      <c r="P2858" t="s">
        <v>3819</v>
      </c>
      <c r="Q2858" t="s">
        <v>3820</v>
      </c>
      <c r="R2858" t="s">
        <v>10248</v>
      </c>
    </row>
    <row r="2859" spans="1:18" x14ac:dyDescent="0.2">
      <c r="A2859">
        <v>1856685</v>
      </c>
      <c r="B2859" t="s">
        <v>10249</v>
      </c>
      <c r="C2859">
        <v>0</v>
      </c>
      <c r="D2859">
        <v>0</v>
      </c>
      <c r="E2859">
        <v>0</v>
      </c>
      <c r="F2859">
        <v>1</v>
      </c>
      <c r="G2859">
        <v>0</v>
      </c>
      <c r="H2859">
        <v>0</v>
      </c>
      <c r="I2859">
        <v>0</v>
      </c>
      <c r="J2859">
        <v>0</v>
      </c>
      <c r="K2859">
        <v>0</v>
      </c>
      <c r="L2859" t="s">
        <v>3284</v>
      </c>
      <c r="M2859" t="s">
        <v>3296</v>
      </c>
      <c r="N2859" t="s">
        <v>3297</v>
      </c>
      <c r="O2859" t="s">
        <v>3434</v>
      </c>
      <c r="P2859" t="s">
        <v>3435</v>
      </c>
      <c r="Q2859" t="s">
        <v>3436</v>
      </c>
      <c r="R2859" t="s">
        <v>10250</v>
      </c>
    </row>
    <row r="2860" spans="1:18" x14ac:dyDescent="0.2">
      <c r="A2860">
        <v>1855890</v>
      </c>
      <c r="B2860" t="s">
        <v>10251</v>
      </c>
      <c r="C2860">
        <v>2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1</v>
      </c>
      <c r="J2860">
        <v>0</v>
      </c>
      <c r="K2860">
        <v>0</v>
      </c>
      <c r="L2860" t="s">
        <v>3284</v>
      </c>
      <c r="M2860" t="s">
        <v>3296</v>
      </c>
      <c r="N2860" t="s">
        <v>3321</v>
      </c>
      <c r="O2860" t="s">
        <v>3322</v>
      </c>
      <c r="P2860" t="s">
        <v>3423</v>
      </c>
      <c r="Q2860" t="s">
        <v>4394</v>
      </c>
      <c r="R2860" t="s">
        <v>10252</v>
      </c>
    </row>
    <row r="2861" spans="1:18" x14ac:dyDescent="0.2">
      <c r="A2861">
        <v>1855883</v>
      </c>
      <c r="B2861" t="s">
        <v>10253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2</v>
      </c>
      <c r="J2861">
        <v>0</v>
      </c>
      <c r="K2861">
        <v>0</v>
      </c>
      <c r="L2861" t="s">
        <v>3284</v>
      </c>
      <c r="M2861" t="s">
        <v>3296</v>
      </c>
      <c r="N2861" t="s">
        <v>3321</v>
      </c>
      <c r="O2861" t="s">
        <v>3322</v>
      </c>
      <c r="P2861" t="s">
        <v>3423</v>
      </c>
      <c r="Q2861" t="s">
        <v>4394</v>
      </c>
      <c r="R2861" t="s">
        <v>10254</v>
      </c>
    </row>
    <row r="2862" spans="1:18" x14ac:dyDescent="0.2">
      <c r="A2862">
        <v>1855880</v>
      </c>
      <c r="B2862" t="s">
        <v>10255</v>
      </c>
      <c r="C2862">
        <v>1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1</v>
      </c>
      <c r="K2862">
        <v>0</v>
      </c>
      <c r="L2862" t="s">
        <v>3284</v>
      </c>
      <c r="M2862" t="s">
        <v>3296</v>
      </c>
      <c r="N2862" t="s">
        <v>3321</v>
      </c>
      <c r="O2862" t="s">
        <v>3322</v>
      </c>
      <c r="P2862" t="s">
        <v>3423</v>
      </c>
      <c r="Q2862" t="s">
        <v>4394</v>
      </c>
      <c r="R2862" t="s">
        <v>10256</v>
      </c>
    </row>
    <row r="2863" spans="1:18" x14ac:dyDescent="0.2">
      <c r="A2863">
        <v>1855730</v>
      </c>
      <c r="B2863" t="s">
        <v>10257</v>
      </c>
      <c r="C2863">
        <v>0</v>
      </c>
      <c r="D2863">
        <v>0</v>
      </c>
      <c r="E2863">
        <v>0</v>
      </c>
      <c r="F2863">
        <v>1</v>
      </c>
      <c r="G2863">
        <v>1</v>
      </c>
      <c r="H2863">
        <v>0</v>
      </c>
      <c r="I2863">
        <v>1</v>
      </c>
      <c r="J2863">
        <v>0</v>
      </c>
      <c r="K2863">
        <v>0</v>
      </c>
      <c r="L2863" t="s">
        <v>3284</v>
      </c>
      <c r="M2863" t="s">
        <v>3296</v>
      </c>
      <c r="N2863" t="s">
        <v>3321</v>
      </c>
      <c r="O2863" t="s">
        <v>3322</v>
      </c>
      <c r="P2863" t="s">
        <v>3671</v>
      </c>
      <c r="Q2863" t="s">
        <v>3672</v>
      </c>
      <c r="R2863" t="s">
        <v>10258</v>
      </c>
    </row>
    <row r="2864" spans="1:18" x14ac:dyDescent="0.2">
      <c r="A2864">
        <v>1855728</v>
      </c>
      <c r="B2864" t="s">
        <v>10259</v>
      </c>
      <c r="C2864">
        <v>0</v>
      </c>
      <c r="D2864">
        <v>0</v>
      </c>
      <c r="E2864">
        <v>1</v>
      </c>
      <c r="F2864">
        <v>4</v>
      </c>
      <c r="G2864">
        <v>0</v>
      </c>
      <c r="H2864">
        <v>0</v>
      </c>
      <c r="I2864">
        <v>0</v>
      </c>
      <c r="J2864">
        <v>0</v>
      </c>
      <c r="K2864">
        <v>0</v>
      </c>
      <c r="L2864" t="s">
        <v>3284</v>
      </c>
      <c r="M2864" t="s">
        <v>3296</v>
      </c>
      <c r="N2864" t="s">
        <v>3321</v>
      </c>
      <c r="O2864" t="s">
        <v>3322</v>
      </c>
      <c r="P2864" t="s">
        <v>3398</v>
      </c>
      <c r="Q2864" t="s">
        <v>3399</v>
      </c>
      <c r="R2864" t="s">
        <v>10260</v>
      </c>
    </row>
    <row r="2865" spans="1:18" x14ac:dyDescent="0.2">
      <c r="A2865">
        <v>1855725</v>
      </c>
      <c r="B2865" t="s">
        <v>10261</v>
      </c>
      <c r="C2865">
        <v>0</v>
      </c>
      <c r="D2865">
        <v>0</v>
      </c>
      <c r="E2865">
        <v>0</v>
      </c>
      <c r="F2865">
        <v>3</v>
      </c>
      <c r="G2865">
        <v>0</v>
      </c>
      <c r="H2865">
        <v>0</v>
      </c>
      <c r="I2865">
        <v>0</v>
      </c>
      <c r="J2865">
        <v>0</v>
      </c>
      <c r="K2865">
        <v>0</v>
      </c>
      <c r="L2865" t="s">
        <v>3284</v>
      </c>
      <c r="M2865" t="s">
        <v>3391</v>
      </c>
      <c r="N2865" t="s">
        <v>3392</v>
      </c>
      <c r="O2865" t="s">
        <v>3393</v>
      </c>
      <c r="P2865" t="s">
        <v>3394</v>
      </c>
      <c r="Q2865" t="s">
        <v>4082</v>
      </c>
      <c r="R2865" t="s">
        <v>10262</v>
      </c>
    </row>
    <row r="2866" spans="1:18" x14ac:dyDescent="0.2">
      <c r="A2866">
        <v>1855631</v>
      </c>
      <c r="B2866" t="s">
        <v>10263</v>
      </c>
      <c r="C2866">
        <v>0</v>
      </c>
      <c r="D2866">
        <v>1</v>
      </c>
      <c r="E2866">
        <v>0</v>
      </c>
      <c r="F2866">
        <v>0</v>
      </c>
      <c r="G2866">
        <v>0</v>
      </c>
      <c r="H2866">
        <v>0</v>
      </c>
      <c r="I2866">
        <v>1</v>
      </c>
      <c r="J2866">
        <v>0</v>
      </c>
      <c r="K2866">
        <v>0</v>
      </c>
      <c r="L2866" t="s">
        <v>3284</v>
      </c>
      <c r="M2866" t="s">
        <v>3296</v>
      </c>
      <c r="N2866" t="s">
        <v>3321</v>
      </c>
      <c r="O2866" t="s">
        <v>3322</v>
      </c>
      <c r="P2866" t="s">
        <v>3423</v>
      </c>
      <c r="Q2866" t="s">
        <v>4394</v>
      </c>
      <c r="R2866" t="s">
        <v>10264</v>
      </c>
    </row>
    <row r="2867" spans="1:18" x14ac:dyDescent="0.2">
      <c r="A2867">
        <v>1855616</v>
      </c>
      <c r="B2867" t="s">
        <v>10265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1</v>
      </c>
      <c r="J2867">
        <v>0</v>
      </c>
      <c r="K2867">
        <v>0</v>
      </c>
      <c r="L2867" t="s">
        <v>3284</v>
      </c>
      <c r="M2867" t="s">
        <v>3296</v>
      </c>
      <c r="N2867" t="s">
        <v>3321</v>
      </c>
      <c r="O2867" t="s">
        <v>3322</v>
      </c>
      <c r="P2867" t="s">
        <v>3423</v>
      </c>
      <c r="Q2867" t="s">
        <v>4394</v>
      </c>
      <c r="R2867" t="s">
        <v>10266</v>
      </c>
    </row>
    <row r="2868" spans="1:18" x14ac:dyDescent="0.2">
      <c r="A2868">
        <v>1855569</v>
      </c>
      <c r="B2868" t="s">
        <v>10267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1</v>
      </c>
      <c r="J2868">
        <v>0</v>
      </c>
      <c r="K2868">
        <v>0</v>
      </c>
      <c r="L2868" t="s">
        <v>3284</v>
      </c>
      <c r="M2868" t="s">
        <v>3296</v>
      </c>
      <c r="N2868" t="s">
        <v>3321</v>
      </c>
      <c r="O2868" t="s">
        <v>3322</v>
      </c>
      <c r="P2868" t="s">
        <v>3423</v>
      </c>
      <c r="Q2868" t="s">
        <v>4394</v>
      </c>
      <c r="R2868" t="s">
        <v>10268</v>
      </c>
    </row>
    <row r="2869" spans="1:18" x14ac:dyDescent="0.2">
      <c r="A2869">
        <v>1855377</v>
      </c>
      <c r="B2869" t="s">
        <v>10269</v>
      </c>
      <c r="C2869">
        <v>1</v>
      </c>
      <c r="D2869">
        <v>2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1</v>
      </c>
      <c r="K2869">
        <v>0</v>
      </c>
      <c r="L2869" t="s">
        <v>3284</v>
      </c>
      <c r="M2869" t="s">
        <v>3307</v>
      </c>
      <c r="N2869" t="s">
        <v>3308</v>
      </c>
      <c r="O2869" t="s">
        <v>3359</v>
      </c>
      <c r="P2869" t="s">
        <v>3360</v>
      </c>
      <c r="Q2869" t="s">
        <v>5441</v>
      </c>
      <c r="R2869" t="s">
        <v>10270</v>
      </c>
    </row>
    <row r="2870" spans="1:18" x14ac:dyDescent="0.2">
      <c r="A2870">
        <v>1855371</v>
      </c>
      <c r="B2870" t="s">
        <v>10271</v>
      </c>
      <c r="C2870">
        <v>0</v>
      </c>
      <c r="D2870">
        <v>0</v>
      </c>
      <c r="E2870">
        <v>0</v>
      </c>
      <c r="F2870">
        <v>2</v>
      </c>
      <c r="G2870">
        <v>1</v>
      </c>
      <c r="H2870">
        <v>0</v>
      </c>
      <c r="I2870">
        <v>0</v>
      </c>
      <c r="J2870">
        <v>0</v>
      </c>
      <c r="K2870">
        <v>0</v>
      </c>
      <c r="L2870" t="s">
        <v>3284</v>
      </c>
      <c r="M2870" t="s">
        <v>3296</v>
      </c>
      <c r="N2870" t="s">
        <v>3297</v>
      </c>
      <c r="O2870" t="s">
        <v>3298</v>
      </c>
      <c r="P2870" t="s">
        <v>3826</v>
      </c>
      <c r="Q2870" t="s">
        <v>3827</v>
      </c>
      <c r="R2870" t="s">
        <v>10272</v>
      </c>
    </row>
    <row r="2871" spans="1:18" x14ac:dyDescent="0.2">
      <c r="A2871">
        <v>1855317</v>
      </c>
      <c r="B2871" t="s">
        <v>10273</v>
      </c>
      <c r="C2871">
        <v>0</v>
      </c>
      <c r="D2871">
        <v>0</v>
      </c>
      <c r="E2871">
        <v>0</v>
      </c>
      <c r="F2871">
        <v>1</v>
      </c>
      <c r="G2871">
        <v>1</v>
      </c>
      <c r="H2871">
        <v>1</v>
      </c>
      <c r="I2871">
        <v>0</v>
      </c>
      <c r="J2871">
        <v>0</v>
      </c>
      <c r="K2871">
        <v>0</v>
      </c>
      <c r="L2871" t="s">
        <v>3284</v>
      </c>
      <c r="M2871" t="s">
        <v>3296</v>
      </c>
      <c r="N2871" t="s">
        <v>3321</v>
      </c>
      <c r="O2871" t="s">
        <v>3322</v>
      </c>
      <c r="P2871" t="s">
        <v>3398</v>
      </c>
      <c r="Q2871" t="s">
        <v>3399</v>
      </c>
      <c r="R2871" t="s">
        <v>10274</v>
      </c>
    </row>
    <row r="2872" spans="1:18" x14ac:dyDescent="0.2">
      <c r="A2872">
        <v>1855306</v>
      </c>
      <c r="B2872" t="s">
        <v>10275</v>
      </c>
      <c r="C2872">
        <v>0</v>
      </c>
      <c r="D2872">
        <v>0</v>
      </c>
      <c r="E2872">
        <v>0</v>
      </c>
      <c r="F2872">
        <v>1</v>
      </c>
      <c r="G2872">
        <v>0</v>
      </c>
      <c r="H2872">
        <v>0</v>
      </c>
      <c r="I2872">
        <v>0</v>
      </c>
      <c r="J2872">
        <v>0</v>
      </c>
      <c r="K2872">
        <v>0</v>
      </c>
      <c r="L2872" t="s">
        <v>3284</v>
      </c>
      <c r="M2872" t="s">
        <v>3296</v>
      </c>
      <c r="N2872" t="s">
        <v>3343</v>
      </c>
      <c r="O2872" t="s">
        <v>3344</v>
      </c>
      <c r="P2872" t="s">
        <v>3937</v>
      </c>
      <c r="Q2872" t="s">
        <v>7974</v>
      </c>
      <c r="R2872" t="s">
        <v>10276</v>
      </c>
    </row>
    <row r="2873" spans="1:18" x14ac:dyDescent="0.2">
      <c r="A2873">
        <v>1855303</v>
      </c>
      <c r="B2873" t="s">
        <v>10277</v>
      </c>
      <c r="C2873">
        <v>0</v>
      </c>
      <c r="D2873">
        <v>0</v>
      </c>
      <c r="E2873">
        <v>1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 t="s">
        <v>3284</v>
      </c>
      <c r="M2873" t="s">
        <v>3296</v>
      </c>
      <c r="N2873" t="s">
        <v>3297</v>
      </c>
      <c r="O2873" t="s">
        <v>3469</v>
      </c>
      <c r="P2873" t="s">
        <v>3470</v>
      </c>
      <c r="Q2873" t="s">
        <v>6962</v>
      </c>
      <c r="R2873" t="s">
        <v>10278</v>
      </c>
    </row>
    <row r="2874" spans="1:18" x14ac:dyDescent="0.2">
      <c r="A2874">
        <v>1855301</v>
      </c>
      <c r="B2874" t="s">
        <v>10279</v>
      </c>
      <c r="C2874">
        <v>1</v>
      </c>
      <c r="D2874">
        <v>1</v>
      </c>
      <c r="E2874">
        <v>0</v>
      </c>
      <c r="F2874">
        <v>0</v>
      </c>
      <c r="G2874">
        <v>1</v>
      </c>
      <c r="H2874">
        <v>0</v>
      </c>
      <c r="I2874">
        <v>0</v>
      </c>
      <c r="J2874">
        <v>0</v>
      </c>
      <c r="K2874">
        <v>0</v>
      </c>
      <c r="L2874" t="s">
        <v>3284</v>
      </c>
      <c r="M2874" t="s">
        <v>3296</v>
      </c>
      <c r="N2874" t="s">
        <v>3321</v>
      </c>
      <c r="O2874" t="s">
        <v>3322</v>
      </c>
      <c r="P2874" t="s">
        <v>3398</v>
      </c>
      <c r="Q2874" t="s">
        <v>4593</v>
      </c>
      <c r="R2874" t="s">
        <v>10280</v>
      </c>
    </row>
    <row r="2875" spans="1:18" x14ac:dyDescent="0.2">
      <c r="A2875">
        <v>1855297</v>
      </c>
      <c r="B2875" t="s">
        <v>10281</v>
      </c>
      <c r="C2875">
        <v>0</v>
      </c>
      <c r="D2875">
        <v>0</v>
      </c>
      <c r="E2875">
        <v>0</v>
      </c>
      <c r="F2875">
        <v>2</v>
      </c>
      <c r="G2875">
        <v>2</v>
      </c>
      <c r="H2875">
        <v>0</v>
      </c>
      <c r="I2875">
        <v>0</v>
      </c>
      <c r="J2875">
        <v>1</v>
      </c>
      <c r="K2875">
        <v>0</v>
      </c>
      <c r="L2875" t="s">
        <v>3284</v>
      </c>
      <c r="M2875" t="s">
        <v>3391</v>
      </c>
      <c r="N2875" t="s">
        <v>3392</v>
      </c>
      <c r="O2875" t="s">
        <v>3393</v>
      </c>
      <c r="P2875" t="s">
        <v>3394</v>
      </c>
      <c r="Q2875" t="s">
        <v>4082</v>
      </c>
      <c r="R2875" t="s">
        <v>10282</v>
      </c>
    </row>
    <row r="2876" spans="1:18" x14ac:dyDescent="0.2">
      <c r="A2876">
        <v>1855286</v>
      </c>
      <c r="B2876" t="s">
        <v>10283</v>
      </c>
      <c r="C2876">
        <v>0</v>
      </c>
      <c r="D2876">
        <v>0</v>
      </c>
      <c r="E2876">
        <v>0</v>
      </c>
      <c r="F2876">
        <v>1</v>
      </c>
      <c r="G2876">
        <v>0</v>
      </c>
      <c r="H2876">
        <v>0</v>
      </c>
      <c r="I2876">
        <v>0</v>
      </c>
      <c r="J2876">
        <v>0</v>
      </c>
      <c r="K2876">
        <v>0</v>
      </c>
      <c r="L2876" t="s">
        <v>3284</v>
      </c>
      <c r="M2876" t="s">
        <v>3296</v>
      </c>
      <c r="N2876" t="s">
        <v>3343</v>
      </c>
      <c r="O2876" t="s">
        <v>3344</v>
      </c>
      <c r="P2876" t="s">
        <v>3367</v>
      </c>
      <c r="Q2876" t="s">
        <v>3368</v>
      </c>
      <c r="R2876" t="s">
        <v>10284</v>
      </c>
    </row>
    <row r="2877" spans="1:18" x14ac:dyDescent="0.2">
      <c r="A2877">
        <v>1855285</v>
      </c>
      <c r="B2877" t="s">
        <v>10285</v>
      </c>
      <c r="C2877">
        <v>1</v>
      </c>
      <c r="D2877">
        <v>2</v>
      </c>
      <c r="E2877">
        <v>0</v>
      </c>
      <c r="F2877">
        <v>1</v>
      </c>
      <c r="G2877">
        <v>0</v>
      </c>
      <c r="H2877">
        <v>0</v>
      </c>
      <c r="I2877">
        <v>0</v>
      </c>
      <c r="J2877">
        <v>0</v>
      </c>
      <c r="K2877">
        <v>0</v>
      </c>
      <c r="L2877" t="s">
        <v>3284</v>
      </c>
      <c r="M2877" t="s">
        <v>3296</v>
      </c>
      <c r="N2877" t="s">
        <v>3321</v>
      </c>
      <c r="O2877" t="s">
        <v>3322</v>
      </c>
      <c r="P2877" t="s">
        <v>3398</v>
      </c>
      <c r="Q2877" t="s">
        <v>3788</v>
      </c>
      <c r="R2877" t="s">
        <v>10286</v>
      </c>
    </row>
    <row r="2878" spans="1:18" x14ac:dyDescent="0.2">
      <c r="A2878">
        <v>1854500</v>
      </c>
      <c r="B2878" t="s">
        <v>10287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1</v>
      </c>
      <c r="K2878">
        <v>0</v>
      </c>
      <c r="L2878" t="s">
        <v>3284</v>
      </c>
      <c r="M2878" t="s">
        <v>3296</v>
      </c>
      <c r="N2878" t="s">
        <v>3343</v>
      </c>
      <c r="O2878" t="s">
        <v>3429</v>
      </c>
      <c r="P2878" t="s">
        <v>3430</v>
      </c>
      <c r="Q2878" t="s">
        <v>3651</v>
      </c>
      <c r="R2878" t="s">
        <v>10288</v>
      </c>
    </row>
    <row r="2879" spans="1:18" x14ac:dyDescent="0.2">
      <c r="A2879">
        <v>1852776</v>
      </c>
      <c r="B2879" t="s">
        <v>10289</v>
      </c>
      <c r="C2879">
        <v>0</v>
      </c>
      <c r="D2879">
        <v>0</v>
      </c>
      <c r="E2879">
        <v>0</v>
      </c>
      <c r="F2879">
        <v>2</v>
      </c>
      <c r="G2879">
        <v>0</v>
      </c>
      <c r="H2879">
        <v>0</v>
      </c>
      <c r="I2879">
        <v>1</v>
      </c>
      <c r="J2879">
        <v>0</v>
      </c>
      <c r="K2879">
        <v>0</v>
      </c>
      <c r="L2879" t="s">
        <v>3284</v>
      </c>
      <c r="M2879" t="s">
        <v>3296</v>
      </c>
      <c r="N2879" t="s">
        <v>3297</v>
      </c>
      <c r="O2879" t="s">
        <v>3434</v>
      </c>
      <c r="P2879" t="s">
        <v>10290</v>
      </c>
      <c r="Q2879" t="s">
        <v>10291</v>
      </c>
      <c r="R2879" t="s">
        <v>10292</v>
      </c>
    </row>
    <row r="2880" spans="1:18" x14ac:dyDescent="0.2">
      <c r="A2880">
        <v>1852363</v>
      </c>
      <c r="B2880" t="s">
        <v>10293</v>
      </c>
      <c r="C2880">
        <v>1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 t="s">
        <v>3284</v>
      </c>
      <c r="M2880" t="s">
        <v>3327</v>
      </c>
      <c r="N2880" t="s">
        <v>3328</v>
      </c>
      <c r="O2880" t="s">
        <v>3329</v>
      </c>
      <c r="P2880" t="s">
        <v>10294</v>
      </c>
      <c r="Q2880" t="s">
        <v>10295</v>
      </c>
      <c r="R2880" t="s">
        <v>10296</v>
      </c>
    </row>
    <row r="2881" spans="1:18" x14ac:dyDescent="0.2">
      <c r="A2881">
        <v>1852019</v>
      </c>
      <c r="B2881" t="s">
        <v>10297</v>
      </c>
      <c r="C2881">
        <v>18</v>
      </c>
      <c r="D2881">
        <v>18</v>
      </c>
      <c r="E2881">
        <v>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 t="s">
        <v>3284</v>
      </c>
      <c r="M2881" t="s">
        <v>3391</v>
      </c>
      <c r="N2881" t="s">
        <v>3411</v>
      </c>
      <c r="O2881" t="s">
        <v>3412</v>
      </c>
      <c r="P2881" t="s">
        <v>3413</v>
      </c>
      <c r="Q2881" t="s">
        <v>3414</v>
      </c>
      <c r="R2881" t="s">
        <v>10298</v>
      </c>
    </row>
    <row r="2882" spans="1:18" x14ac:dyDescent="0.2">
      <c r="A2882">
        <v>1852016</v>
      </c>
      <c r="B2882" t="s">
        <v>10299</v>
      </c>
      <c r="C2882">
        <v>0</v>
      </c>
      <c r="D2882">
        <v>0</v>
      </c>
      <c r="E2882">
        <v>0</v>
      </c>
      <c r="F2882">
        <v>2</v>
      </c>
      <c r="G2882">
        <v>0</v>
      </c>
      <c r="H2882">
        <v>0</v>
      </c>
      <c r="I2882">
        <v>0</v>
      </c>
      <c r="J2882">
        <v>0</v>
      </c>
      <c r="K2882">
        <v>0</v>
      </c>
      <c r="L2882" t="s">
        <v>3284</v>
      </c>
      <c r="M2882" t="s">
        <v>3391</v>
      </c>
      <c r="N2882" t="s">
        <v>3740</v>
      </c>
      <c r="O2882" t="s">
        <v>3741</v>
      </c>
      <c r="P2882" t="s">
        <v>4388</v>
      </c>
      <c r="Q2882" t="s">
        <v>4389</v>
      </c>
      <c r="R2882" t="s">
        <v>10300</v>
      </c>
    </row>
    <row r="2883" spans="1:18" x14ac:dyDescent="0.2">
      <c r="A2883">
        <v>1851577</v>
      </c>
      <c r="B2883" t="s">
        <v>10301</v>
      </c>
      <c r="C2883">
        <v>0</v>
      </c>
      <c r="D2883">
        <v>0</v>
      </c>
      <c r="E2883">
        <v>0</v>
      </c>
      <c r="F2883">
        <v>2</v>
      </c>
      <c r="G2883">
        <v>3</v>
      </c>
      <c r="H2883">
        <v>0</v>
      </c>
      <c r="I2883">
        <v>0</v>
      </c>
      <c r="J2883">
        <v>0</v>
      </c>
      <c r="K2883">
        <v>0</v>
      </c>
      <c r="L2883" t="s">
        <v>3284</v>
      </c>
      <c r="M2883" t="s">
        <v>3296</v>
      </c>
      <c r="N2883" t="s">
        <v>3321</v>
      </c>
      <c r="O2883" t="s">
        <v>3322</v>
      </c>
      <c r="P2883" t="s">
        <v>3398</v>
      </c>
      <c r="Q2883" t="s">
        <v>3399</v>
      </c>
      <c r="R2883" t="s">
        <v>10302</v>
      </c>
    </row>
    <row r="2884" spans="1:18" x14ac:dyDescent="0.2">
      <c r="A2884">
        <v>1850373</v>
      </c>
      <c r="B2884" t="s">
        <v>10303</v>
      </c>
      <c r="C2884">
        <v>0</v>
      </c>
      <c r="D2884">
        <v>1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 t="s">
        <v>3284</v>
      </c>
      <c r="M2884" t="s">
        <v>3296</v>
      </c>
      <c r="N2884" t="s">
        <v>3343</v>
      </c>
      <c r="O2884" t="s">
        <v>3344</v>
      </c>
      <c r="P2884" t="s">
        <v>3355</v>
      </c>
      <c r="Q2884" t="s">
        <v>3356</v>
      </c>
      <c r="R2884" t="s">
        <v>10304</v>
      </c>
    </row>
    <row r="2885" spans="1:18" x14ac:dyDescent="0.2">
      <c r="A2885">
        <v>1850370</v>
      </c>
      <c r="B2885" t="s">
        <v>10305</v>
      </c>
      <c r="C2885">
        <v>1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 t="s">
        <v>3284</v>
      </c>
      <c r="M2885" t="s">
        <v>3327</v>
      </c>
      <c r="N2885" t="s">
        <v>3376</v>
      </c>
      <c r="O2885" t="s">
        <v>3377</v>
      </c>
      <c r="P2885" t="s">
        <v>3604</v>
      </c>
      <c r="Q2885" t="s">
        <v>3668</v>
      </c>
      <c r="R2885" t="s">
        <v>10306</v>
      </c>
    </row>
    <row r="2886" spans="1:18" x14ac:dyDescent="0.2">
      <c r="A2886">
        <v>1850347</v>
      </c>
      <c r="B2886" t="s">
        <v>10307</v>
      </c>
      <c r="C2886">
        <v>0</v>
      </c>
      <c r="D2886">
        <v>0</v>
      </c>
      <c r="E2886">
        <v>0</v>
      </c>
      <c r="F2886">
        <v>6</v>
      </c>
      <c r="G2886">
        <v>7</v>
      </c>
      <c r="H2886">
        <v>0</v>
      </c>
      <c r="I2886">
        <v>0</v>
      </c>
      <c r="J2886">
        <v>0</v>
      </c>
      <c r="K2886">
        <v>0</v>
      </c>
      <c r="L2886" t="s">
        <v>3284</v>
      </c>
      <c r="M2886" t="s">
        <v>3296</v>
      </c>
      <c r="N2886" t="s">
        <v>3343</v>
      </c>
      <c r="O2886" t="s">
        <v>3349</v>
      </c>
      <c r="P2886" t="s">
        <v>3350</v>
      </c>
      <c r="Q2886" t="s">
        <v>3351</v>
      </c>
      <c r="R2886" t="s">
        <v>10308</v>
      </c>
    </row>
    <row r="2887" spans="1:18" x14ac:dyDescent="0.2">
      <c r="A2887">
        <v>1850238</v>
      </c>
      <c r="B2887" t="s">
        <v>10309</v>
      </c>
      <c r="C2887">
        <v>0</v>
      </c>
      <c r="D2887">
        <v>0</v>
      </c>
      <c r="E2887">
        <v>0</v>
      </c>
      <c r="F2887">
        <v>0</v>
      </c>
      <c r="G2887">
        <v>1</v>
      </c>
      <c r="H2887">
        <v>0</v>
      </c>
      <c r="I2887">
        <v>0</v>
      </c>
      <c r="J2887">
        <v>0</v>
      </c>
      <c r="K2887">
        <v>0</v>
      </c>
      <c r="L2887" t="s">
        <v>3284</v>
      </c>
      <c r="M2887" t="s">
        <v>3296</v>
      </c>
      <c r="N2887" t="s">
        <v>3343</v>
      </c>
      <c r="O2887" t="s">
        <v>3349</v>
      </c>
      <c r="P2887" t="s">
        <v>3350</v>
      </c>
      <c r="Q2887" t="s">
        <v>7439</v>
      </c>
      <c r="R2887" t="s">
        <v>10310</v>
      </c>
    </row>
    <row r="2888" spans="1:18" x14ac:dyDescent="0.2">
      <c r="A2888">
        <v>1848973</v>
      </c>
      <c r="B2888" t="s">
        <v>10311</v>
      </c>
      <c r="C2888">
        <v>0</v>
      </c>
      <c r="D2888">
        <v>0</v>
      </c>
      <c r="E2888">
        <v>0</v>
      </c>
      <c r="F2888">
        <v>0</v>
      </c>
      <c r="G2888">
        <v>1</v>
      </c>
      <c r="H2888">
        <v>0</v>
      </c>
      <c r="I2888">
        <v>0</v>
      </c>
      <c r="J2888">
        <v>0</v>
      </c>
      <c r="K2888">
        <v>0</v>
      </c>
      <c r="L2888" t="s">
        <v>3284</v>
      </c>
      <c r="M2888" t="s">
        <v>3296</v>
      </c>
      <c r="N2888" t="s">
        <v>3343</v>
      </c>
      <c r="O2888" t="s">
        <v>3349</v>
      </c>
      <c r="P2888" t="s">
        <v>3350</v>
      </c>
      <c r="Q2888" t="s">
        <v>3580</v>
      </c>
      <c r="R2888" t="s">
        <v>10312</v>
      </c>
    </row>
    <row r="2889" spans="1:18" x14ac:dyDescent="0.2">
      <c r="A2889">
        <v>1848972</v>
      </c>
      <c r="B2889" t="s">
        <v>10313</v>
      </c>
      <c r="C2889">
        <v>0</v>
      </c>
      <c r="D2889">
        <v>0</v>
      </c>
      <c r="E2889">
        <v>0</v>
      </c>
      <c r="F2889">
        <v>0</v>
      </c>
      <c r="G2889">
        <v>1</v>
      </c>
      <c r="H2889">
        <v>0</v>
      </c>
      <c r="I2889">
        <v>0</v>
      </c>
      <c r="J2889">
        <v>0</v>
      </c>
      <c r="K2889">
        <v>0</v>
      </c>
      <c r="L2889" t="s">
        <v>3284</v>
      </c>
      <c r="M2889" t="s">
        <v>3296</v>
      </c>
      <c r="N2889" t="s">
        <v>3343</v>
      </c>
      <c r="O2889" t="s">
        <v>3344</v>
      </c>
      <c r="P2889" t="s">
        <v>3355</v>
      </c>
      <c r="Q2889" t="s">
        <v>10314</v>
      </c>
      <c r="R2889" t="s">
        <v>10315</v>
      </c>
    </row>
    <row r="2890" spans="1:18" x14ac:dyDescent="0.2">
      <c r="A2890">
        <v>1848935</v>
      </c>
      <c r="B2890" t="s">
        <v>10316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3</v>
      </c>
      <c r="J2890">
        <v>0</v>
      </c>
      <c r="K2890">
        <v>0</v>
      </c>
      <c r="L2890" t="s">
        <v>3284</v>
      </c>
      <c r="M2890" t="s">
        <v>3296</v>
      </c>
      <c r="N2890" t="s">
        <v>3297</v>
      </c>
      <c r="O2890" t="s">
        <v>4037</v>
      </c>
      <c r="P2890" t="s">
        <v>4038</v>
      </c>
      <c r="Q2890" t="s">
        <v>5556</v>
      </c>
      <c r="R2890" t="s">
        <v>10317</v>
      </c>
    </row>
    <row r="2891" spans="1:18" x14ac:dyDescent="0.2">
      <c r="A2891">
        <v>1848291</v>
      </c>
      <c r="B2891" t="s">
        <v>10318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1</v>
      </c>
      <c r="L2891" t="s">
        <v>3284</v>
      </c>
      <c r="M2891" t="s">
        <v>3296</v>
      </c>
      <c r="N2891" t="s">
        <v>3343</v>
      </c>
      <c r="O2891" t="s">
        <v>3344</v>
      </c>
      <c r="P2891" t="s">
        <v>3355</v>
      </c>
      <c r="Q2891" t="s">
        <v>3356</v>
      </c>
      <c r="R2891" t="s">
        <v>10319</v>
      </c>
    </row>
    <row r="2892" spans="1:18" x14ac:dyDescent="0.2">
      <c r="A2892">
        <v>1848199</v>
      </c>
      <c r="B2892" t="s">
        <v>10320</v>
      </c>
      <c r="C2892">
        <v>0</v>
      </c>
      <c r="D2892">
        <v>0</v>
      </c>
      <c r="E2892">
        <v>1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 t="s">
        <v>3284</v>
      </c>
      <c r="M2892" t="s">
        <v>6891</v>
      </c>
      <c r="N2892" t="s">
        <v>6892</v>
      </c>
      <c r="O2892" t="s">
        <v>6893</v>
      </c>
      <c r="P2892" t="s">
        <v>6894</v>
      </c>
      <c r="Q2892" t="s">
        <v>6895</v>
      </c>
      <c r="R2892" t="s">
        <v>10321</v>
      </c>
    </row>
    <row r="2893" spans="1:18" x14ac:dyDescent="0.2">
      <c r="A2893">
        <v>1846217</v>
      </c>
      <c r="B2893" t="s">
        <v>10322</v>
      </c>
      <c r="C2893">
        <v>0</v>
      </c>
      <c r="D2893">
        <v>1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 t="s">
        <v>3284</v>
      </c>
      <c r="M2893" t="s">
        <v>3296</v>
      </c>
      <c r="N2893" t="s">
        <v>3297</v>
      </c>
      <c r="O2893" t="s">
        <v>4124</v>
      </c>
      <c r="P2893" t="s">
        <v>4125</v>
      </c>
      <c r="Q2893" t="s">
        <v>10323</v>
      </c>
      <c r="R2893" t="s">
        <v>10324</v>
      </c>
    </row>
    <row r="2894" spans="1:18" x14ac:dyDescent="0.2">
      <c r="A2894">
        <v>1844971</v>
      </c>
      <c r="B2894" t="s">
        <v>10325</v>
      </c>
      <c r="C2894">
        <v>1</v>
      </c>
      <c r="D2894">
        <v>1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 t="s">
        <v>3284</v>
      </c>
      <c r="M2894" t="s">
        <v>3296</v>
      </c>
      <c r="N2894" t="s">
        <v>3321</v>
      </c>
      <c r="O2894" t="s">
        <v>3322</v>
      </c>
      <c r="P2894" t="s">
        <v>3398</v>
      </c>
      <c r="Q2894" t="s">
        <v>4542</v>
      </c>
      <c r="R2894" t="s">
        <v>10326</v>
      </c>
    </row>
    <row r="2895" spans="1:18" x14ac:dyDescent="0.2">
      <c r="A2895">
        <v>1844756</v>
      </c>
      <c r="B2895" t="s">
        <v>10327</v>
      </c>
      <c r="C2895">
        <v>2</v>
      </c>
      <c r="D2895">
        <v>0</v>
      </c>
      <c r="E2895">
        <v>1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 t="s">
        <v>3284</v>
      </c>
      <c r="M2895" t="s">
        <v>3327</v>
      </c>
      <c r="N2895" t="s">
        <v>3328</v>
      </c>
      <c r="O2895" t="s">
        <v>3329</v>
      </c>
      <c r="P2895" t="s">
        <v>4329</v>
      </c>
      <c r="Q2895" t="s">
        <v>5889</v>
      </c>
      <c r="R2895" t="s">
        <v>10328</v>
      </c>
    </row>
    <row r="2896" spans="1:18" x14ac:dyDescent="0.2">
      <c r="A2896">
        <v>1844708</v>
      </c>
      <c r="B2896" t="s">
        <v>10329</v>
      </c>
      <c r="C2896">
        <v>1</v>
      </c>
      <c r="D2896">
        <v>1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 t="s">
        <v>3284</v>
      </c>
      <c r="M2896" t="s">
        <v>6718</v>
      </c>
      <c r="N2896" t="s">
        <v>6719</v>
      </c>
      <c r="O2896" t="s">
        <v>6720</v>
      </c>
      <c r="P2896" t="s">
        <v>6721</v>
      </c>
      <c r="Q2896" t="s">
        <v>10330</v>
      </c>
      <c r="R2896" t="s">
        <v>10331</v>
      </c>
    </row>
    <row r="2897" spans="1:18" x14ac:dyDescent="0.2">
      <c r="A2897">
        <v>1843581</v>
      </c>
      <c r="B2897" t="s">
        <v>10332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1</v>
      </c>
      <c r="J2897">
        <v>0</v>
      </c>
      <c r="K2897">
        <v>0</v>
      </c>
      <c r="L2897" t="s">
        <v>3284</v>
      </c>
      <c r="M2897" t="s">
        <v>3296</v>
      </c>
      <c r="N2897" t="s">
        <v>3297</v>
      </c>
      <c r="O2897" t="s">
        <v>3469</v>
      </c>
      <c r="P2897" t="s">
        <v>3470</v>
      </c>
      <c r="Q2897" t="s">
        <v>5246</v>
      </c>
      <c r="R2897" t="s">
        <v>10333</v>
      </c>
    </row>
    <row r="2898" spans="1:18" x14ac:dyDescent="0.2">
      <c r="A2898">
        <v>1843237</v>
      </c>
      <c r="B2898" t="s">
        <v>10334</v>
      </c>
      <c r="C2898">
        <v>0</v>
      </c>
      <c r="D2898">
        <v>0</v>
      </c>
      <c r="E2898">
        <v>0</v>
      </c>
      <c r="F2898">
        <v>0</v>
      </c>
      <c r="G2898">
        <v>1</v>
      </c>
      <c r="H2898">
        <v>0</v>
      </c>
      <c r="I2898">
        <v>0</v>
      </c>
      <c r="J2898">
        <v>0</v>
      </c>
      <c r="K2898">
        <v>0</v>
      </c>
      <c r="L2898" t="s">
        <v>3284</v>
      </c>
      <c r="M2898" t="s">
        <v>3296</v>
      </c>
      <c r="N2898" t="s">
        <v>3343</v>
      </c>
      <c r="O2898" t="s">
        <v>3349</v>
      </c>
      <c r="P2898" t="s">
        <v>3350</v>
      </c>
      <c r="Q2898" t="s">
        <v>3580</v>
      </c>
      <c r="R2898" t="s">
        <v>10335</v>
      </c>
    </row>
    <row r="2899" spans="1:18" x14ac:dyDescent="0.2">
      <c r="A2899">
        <v>1843235</v>
      </c>
      <c r="B2899" t="s">
        <v>10336</v>
      </c>
      <c r="C2899">
        <v>0</v>
      </c>
      <c r="D2899">
        <v>0</v>
      </c>
      <c r="E2899">
        <v>0</v>
      </c>
      <c r="F2899">
        <v>1</v>
      </c>
      <c r="G2899">
        <v>0</v>
      </c>
      <c r="H2899">
        <v>0</v>
      </c>
      <c r="I2899">
        <v>0</v>
      </c>
      <c r="J2899">
        <v>0</v>
      </c>
      <c r="K2899">
        <v>0</v>
      </c>
      <c r="L2899" t="s">
        <v>3284</v>
      </c>
      <c r="M2899" t="s">
        <v>3391</v>
      </c>
      <c r="N2899" t="s">
        <v>3392</v>
      </c>
      <c r="O2899" t="s">
        <v>3393</v>
      </c>
      <c r="P2899" t="s">
        <v>3394</v>
      </c>
      <c r="Q2899" t="s">
        <v>3395</v>
      </c>
      <c r="R2899" t="s">
        <v>10337</v>
      </c>
    </row>
    <row r="2900" spans="1:18" x14ac:dyDescent="0.2">
      <c r="A2900">
        <v>1843082</v>
      </c>
      <c r="B2900" t="s">
        <v>10338</v>
      </c>
      <c r="C2900">
        <v>3</v>
      </c>
      <c r="D2900">
        <v>6</v>
      </c>
      <c r="E2900">
        <v>6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 t="s">
        <v>3284</v>
      </c>
      <c r="M2900" t="s">
        <v>3296</v>
      </c>
      <c r="N2900" t="s">
        <v>3321</v>
      </c>
      <c r="O2900" t="s">
        <v>3322</v>
      </c>
      <c r="P2900" t="s">
        <v>3398</v>
      </c>
      <c r="Q2900" t="s">
        <v>10339</v>
      </c>
      <c r="R2900" t="s">
        <v>10340</v>
      </c>
    </row>
    <row r="2901" spans="1:18" x14ac:dyDescent="0.2">
      <c r="A2901">
        <v>1842727</v>
      </c>
      <c r="B2901" t="s">
        <v>10341</v>
      </c>
      <c r="C2901">
        <v>1</v>
      </c>
      <c r="D2901">
        <v>2</v>
      </c>
      <c r="E2901">
        <v>1</v>
      </c>
      <c r="F2901">
        <v>6</v>
      </c>
      <c r="G2901">
        <v>2</v>
      </c>
      <c r="H2901">
        <v>0</v>
      </c>
      <c r="I2901">
        <v>0</v>
      </c>
      <c r="J2901">
        <v>0</v>
      </c>
      <c r="K2901">
        <v>0</v>
      </c>
      <c r="L2901" t="s">
        <v>3284</v>
      </c>
      <c r="M2901" t="s">
        <v>3296</v>
      </c>
      <c r="N2901" t="s">
        <v>3321</v>
      </c>
      <c r="O2901" t="s">
        <v>3322</v>
      </c>
      <c r="P2901" t="s">
        <v>3398</v>
      </c>
      <c r="Q2901" t="s">
        <v>3788</v>
      </c>
      <c r="R2901" t="s">
        <v>10342</v>
      </c>
    </row>
    <row r="2902" spans="1:18" x14ac:dyDescent="0.2">
      <c r="A2902">
        <v>1842539</v>
      </c>
      <c r="B2902" t="s">
        <v>10343</v>
      </c>
      <c r="C2902">
        <v>1</v>
      </c>
      <c r="D2902">
        <v>0</v>
      </c>
      <c r="E2902">
        <v>0</v>
      </c>
      <c r="F2902">
        <v>1</v>
      </c>
      <c r="G2902">
        <v>0</v>
      </c>
      <c r="H2902">
        <v>0</v>
      </c>
      <c r="I2902">
        <v>0</v>
      </c>
      <c r="J2902">
        <v>0</v>
      </c>
      <c r="K2902">
        <v>0</v>
      </c>
      <c r="L2902" t="s">
        <v>3284</v>
      </c>
      <c r="M2902" t="s">
        <v>3296</v>
      </c>
      <c r="N2902" t="s">
        <v>3343</v>
      </c>
      <c r="O2902" t="s">
        <v>3344</v>
      </c>
      <c r="P2902" t="s">
        <v>3367</v>
      </c>
      <c r="Q2902" t="s">
        <v>3368</v>
      </c>
      <c r="R2902" t="s">
        <v>10344</v>
      </c>
    </row>
    <row r="2903" spans="1:18" x14ac:dyDescent="0.2">
      <c r="A2903">
        <v>1842537</v>
      </c>
      <c r="B2903" t="s">
        <v>10345</v>
      </c>
      <c r="C2903">
        <v>1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 t="s">
        <v>3284</v>
      </c>
      <c r="M2903" t="s">
        <v>3296</v>
      </c>
      <c r="N2903" t="s">
        <v>3321</v>
      </c>
      <c r="O2903" t="s">
        <v>3322</v>
      </c>
      <c r="P2903" t="s">
        <v>3398</v>
      </c>
      <c r="Q2903" t="s">
        <v>3841</v>
      </c>
      <c r="R2903" t="s">
        <v>10346</v>
      </c>
    </row>
    <row r="2904" spans="1:18" x14ac:dyDescent="0.2">
      <c r="A2904">
        <v>1842533</v>
      </c>
      <c r="B2904" t="s">
        <v>10347</v>
      </c>
      <c r="C2904">
        <v>1</v>
      </c>
      <c r="D2904">
        <v>2</v>
      </c>
      <c r="E2904">
        <v>1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 t="s">
        <v>3284</v>
      </c>
      <c r="M2904" t="s">
        <v>3296</v>
      </c>
      <c r="N2904" t="s">
        <v>3321</v>
      </c>
      <c r="O2904" t="s">
        <v>3322</v>
      </c>
      <c r="P2904" t="s">
        <v>3398</v>
      </c>
      <c r="Q2904" t="s">
        <v>3556</v>
      </c>
      <c r="R2904" t="s">
        <v>10348</v>
      </c>
    </row>
    <row r="2905" spans="1:18" x14ac:dyDescent="0.2">
      <c r="A2905">
        <v>1841657</v>
      </c>
      <c r="B2905" t="s">
        <v>10349</v>
      </c>
      <c r="C2905">
        <v>2</v>
      </c>
      <c r="D2905">
        <v>1</v>
      </c>
      <c r="E2905">
        <v>1</v>
      </c>
      <c r="F2905">
        <v>0</v>
      </c>
      <c r="G2905">
        <v>0</v>
      </c>
      <c r="H2905">
        <v>0</v>
      </c>
      <c r="I2905">
        <v>3</v>
      </c>
      <c r="J2905">
        <v>4</v>
      </c>
      <c r="K2905">
        <v>2</v>
      </c>
      <c r="L2905" t="s">
        <v>3284</v>
      </c>
      <c r="M2905" t="s">
        <v>3296</v>
      </c>
      <c r="N2905" t="s">
        <v>3297</v>
      </c>
      <c r="O2905" t="s">
        <v>3298</v>
      </c>
      <c r="P2905" t="s">
        <v>3299</v>
      </c>
      <c r="Q2905" t="s">
        <v>3300</v>
      </c>
      <c r="R2905" t="s">
        <v>10350</v>
      </c>
    </row>
    <row r="2906" spans="1:18" x14ac:dyDescent="0.2">
      <c r="A2906">
        <v>1840217</v>
      </c>
      <c r="B2906" t="s">
        <v>10351</v>
      </c>
      <c r="C2906">
        <v>1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 t="s">
        <v>3284</v>
      </c>
      <c r="M2906" t="s">
        <v>3327</v>
      </c>
      <c r="N2906" t="s">
        <v>3328</v>
      </c>
      <c r="O2906" t="s">
        <v>3329</v>
      </c>
      <c r="P2906" t="s">
        <v>3330</v>
      </c>
      <c r="Q2906" t="s">
        <v>10352</v>
      </c>
      <c r="R2906" t="s">
        <v>10353</v>
      </c>
    </row>
    <row r="2907" spans="1:18" x14ac:dyDescent="0.2">
      <c r="A2907">
        <v>1839785</v>
      </c>
      <c r="B2907" t="s">
        <v>10354</v>
      </c>
      <c r="C2907">
        <v>0</v>
      </c>
      <c r="D2907">
        <v>0</v>
      </c>
      <c r="E2907">
        <v>1</v>
      </c>
      <c r="F2907">
        <v>0</v>
      </c>
      <c r="G2907">
        <v>1</v>
      </c>
      <c r="H2907">
        <v>0</v>
      </c>
      <c r="I2907">
        <v>0</v>
      </c>
      <c r="J2907">
        <v>0</v>
      </c>
      <c r="K2907">
        <v>0</v>
      </c>
      <c r="L2907" t="s">
        <v>3284</v>
      </c>
      <c r="M2907" t="s">
        <v>3296</v>
      </c>
      <c r="N2907" t="s">
        <v>3297</v>
      </c>
      <c r="O2907" t="s">
        <v>4037</v>
      </c>
      <c r="P2907" t="s">
        <v>4038</v>
      </c>
      <c r="Q2907" t="s">
        <v>5556</v>
      </c>
      <c r="R2907" t="s">
        <v>10355</v>
      </c>
    </row>
    <row r="2908" spans="1:18" x14ac:dyDescent="0.2">
      <c r="A2908">
        <v>1838286</v>
      </c>
      <c r="B2908" t="s">
        <v>10356</v>
      </c>
      <c r="C2908">
        <v>0</v>
      </c>
      <c r="D2908">
        <v>0</v>
      </c>
      <c r="E2908">
        <v>0</v>
      </c>
      <c r="F2908">
        <v>1</v>
      </c>
      <c r="G2908">
        <v>0</v>
      </c>
      <c r="H2908">
        <v>0</v>
      </c>
      <c r="I2908">
        <v>0</v>
      </c>
      <c r="J2908">
        <v>0</v>
      </c>
      <c r="K2908">
        <v>0</v>
      </c>
      <c r="L2908" t="s">
        <v>3284</v>
      </c>
      <c r="M2908" t="s">
        <v>3816</v>
      </c>
      <c r="N2908" t="s">
        <v>4987</v>
      </c>
      <c r="O2908" t="s">
        <v>4988</v>
      </c>
      <c r="P2908" t="s">
        <v>4989</v>
      </c>
      <c r="Q2908" t="s">
        <v>10357</v>
      </c>
      <c r="R2908" t="s">
        <v>10358</v>
      </c>
    </row>
    <row r="2909" spans="1:18" x14ac:dyDescent="0.2">
      <c r="A2909">
        <v>1837743</v>
      </c>
      <c r="B2909" t="s">
        <v>10359</v>
      </c>
      <c r="C2909">
        <v>20</v>
      </c>
      <c r="D2909">
        <v>25</v>
      </c>
      <c r="E2909">
        <v>1</v>
      </c>
      <c r="F2909">
        <v>0</v>
      </c>
      <c r="G2909">
        <v>0</v>
      </c>
      <c r="H2909">
        <v>0</v>
      </c>
      <c r="I2909">
        <v>36</v>
      </c>
      <c r="J2909">
        <v>12</v>
      </c>
      <c r="K2909">
        <v>0</v>
      </c>
      <c r="L2909" t="s">
        <v>3284</v>
      </c>
      <c r="M2909" t="s">
        <v>3307</v>
      </c>
      <c r="N2909" t="s">
        <v>3308</v>
      </c>
      <c r="O2909" t="s">
        <v>10360</v>
      </c>
      <c r="P2909" t="s">
        <v>10361</v>
      </c>
      <c r="Q2909" t="s">
        <v>10362</v>
      </c>
      <c r="R2909" t="s">
        <v>10363</v>
      </c>
    </row>
    <row r="2910" spans="1:18" x14ac:dyDescent="0.2">
      <c r="A2910">
        <v>1837342</v>
      </c>
      <c r="B2910" t="s">
        <v>10364</v>
      </c>
      <c r="C2910">
        <v>0</v>
      </c>
      <c r="D2910">
        <v>1</v>
      </c>
      <c r="E2910">
        <v>1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 t="s">
        <v>3284</v>
      </c>
      <c r="M2910" t="s">
        <v>3327</v>
      </c>
      <c r="N2910" t="s">
        <v>3376</v>
      </c>
      <c r="O2910" t="s">
        <v>3377</v>
      </c>
      <c r="P2910" t="s">
        <v>3604</v>
      </c>
      <c r="Q2910" t="s">
        <v>3668</v>
      </c>
      <c r="R2910" t="s">
        <v>10365</v>
      </c>
    </row>
    <row r="2911" spans="1:18" x14ac:dyDescent="0.2">
      <c r="A2911">
        <v>1837282</v>
      </c>
      <c r="B2911" t="s">
        <v>10366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1</v>
      </c>
      <c r="J2911">
        <v>0</v>
      </c>
      <c r="K2911">
        <v>0</v>
      </c>
      <c r="L2911" t="s">
        <v>3284</v>
      </c>
      <c r="M2911" t="s">
        <v>3307</v>
      </c>
      <c r="N2911" t="s">
        <v>3308</v>
      </c>
      <c r="O2911" t="s">
        <v>3359</v>
      </c>
      <c r="P2911" t="s">
        <v>3407</v>
      </c>
      <c r="Q2911" t="s">
        <v>10367</v>
      </c>
      <c r="R2911" t="s">
        <v>10368</v>
      </c>
    </row>
    <row r="2912" spans="1:18" x14ac:dyDescent="0.2">
      <c r="A2912">
        <v>1836200</v>
      </c>
      <c r="B2912" t="s">
        <v>10369</v>
      </c>
      <c r="C2912">
        <v>0</v>
      </c>
      <c r="D2912">
        <v>0</v>
      </c>
      <c r="E2912">
        <v>0</v>
      </c>
      <c r="F2912">
        <v>5</v>
      </c>
      <c r="G2912">
        <v>2</v>
      </c>
      <c r="H2912">
        <v>1</v>
      </c>
      <c r="I2912">
        <v>0</v>
      </c>
      <c r="J2912">
        <v>0</v>
      </c>
      <c r="K2912">
        <v>0</v>
      </c>
      <c r="L2912" t="s">
        <v>3284</v>
      </c>
      <c r="M2912" t="s">
        <v>3296</v>
      </c>
      <c r="N2912" t="s">
        <v>3321</v>
      </c>
      <c r="O2912" t="s">
        <v>3322</v>
      </c>
      <c r="P2912" t="s">
        <v>3398</v>
      </c>
      <c r="Q2912" t="s">
        <v>3399</v>
      </c>
      <c r="R2912" t="s">
        <v>10370</v>
      </c>
    </row>
    <row r="2913" spans="1:18" x14ac:dyDescent="0.2">
      <c r="A2913">
        <v>1836199</v>
      </c>
      <c r="B2913" t="s">
        <v>10371</v>
      </c>
      <c r="C2913">
        <v>0</v>
      </c>
      <c r="D2913">
        <v>0</v>
      </c>
      <c r="E2913">
        <v>0</v>
      </c>
      <c r="F2913">
        <v>5</v>
      </c>
      <c r="G2913">
        <v>2</v>
      </c>
      <c r="H2913">
        <v>0</v>
      </c>
      <c r="I2913">
        <v>0</v>
      </c>
      <c r="J2913">
        <v>0</v>
      </c>
      <c r="K2913">
        <v>0</v>
      </c>
      <c r="L2913" t="s">
        <v>3284</v>
      </c>
      <c r="M2913" t="s">
        <v>3296</v>
      </c>
      <c r="N2913" t="s">
        <v>3321</v>
      </c>
      <c r="O2913" t="s">
        <v>3322</v>
      </c>
      <c r="P2913" t="s">
        <v>3398</v>
      </c>
      <c r="Q2913" t="s">
        <v>3399</v>
      </c>
      <c r="R2913" t="s">
        <v>10372</v>
      </c>
    </row>
    <row r="2914" spans="1:18" x14ac:dyDescent="0.2">
      <c r="A2914">
        <v>1836198</v>
      </c>
      <c r="B2914" t="s">
        <v>10373</v>
      </c>
      <c r="C2914">
        <v>0</v>
      </c>
      <c r="D2914">
        <v>0</v>
      </c>
      <c r="E2914">
        <v>0</v>
      </c>
      <c r="F2914">
        <v>0</v>
      </c>
      <c r="G2914">
        <v>1</v>
      </c>
      <c r="H2914">
        <v>0</v>
      </c>
      <c r="I2914">
        <v>0</v>
      </c>
      <c r="J2914">
        <v>0</v>
      </c>
      <c r="K2914">
        <v>0</v>
      </c>
      <c r="L2914" t="s">
        <v>3284</v>
      </c>
      <c r="M2914" t="s">
        <v>3296</v>
      </c>
      <c r="N2914" t="s">
        <v>3321</v>
      </c>
      <c r="O2914" t="s">
        <v>3322</v>
      </c>
      <c r="P2914" t="s">
        <v>3398</v>
      </c>
      <c r="Q2914" t="s">
        <v>3399</v>
      </c>
      <c r="R2914" t="s">
        <v>10374</v>
      </c>
    </row>
    <row r="2915" spans="1:18" x14ac:dyDescent="0.2">
      <c r="A2915">
        <v>1835756</v>
      </c>
      <c r="B2915" t="s">
        <v>10375</v>
      </c>
      <c r="C2915">
        <v>0</v>
      </c>
      <c r="D2915">
        <v>0</v>
      </c>
      <c r="E2915">
        <v>1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 t="s">
        <v>3284</v>
      </c>
      <c r="M2915" t="s">
        <v>3296</v>
      </c>
      <c r="N2915" t="s">
        <v>3321</v>
      </c>
      <c r="O2915" t="s">
        <v>3322</v>
      </c>
      <c r="P2915" t="s">
        <v>3398</v>
      </c>
      <c r="Q2915" t="s">
        <v>4796</v>
      </c>
      <c r="R2915" t="s">
        <v>10376</v>
      </c>
    </row>
    <row r="2916" spans="1:18" x14ac:dyDescent="0.2">
      <c r="A2916">
        <v>1835606</v>
      </c>
      <c r="B2916" t="s">
        <v>10377</v>
      </c>
      <c r="C2916">
        <v>0</v>
      </c>
      <c r="D2916">
        <v>0</v>
      </c>
      <c r="E2916">
        <v>0</v>
      </c>
      <c r="F2916">
        <v>0</v>
      </c>
      <c r="G2916">
        <v>1</v>
      </c>
      <c r="H2916">
        <v>0</v>
      </c>
      <c r="I2916">
        <v>0</v>
      </c>
      <c r="J2916">
        <v>0</v>
      </c>
      <c r="K2916">
        <v>0</v>
      </c>
      <c r="L2916" t="s">
        <v>3284</v>
      </c>
      <c r="M2916" t="s">
        <v>3307</v>
      </c>
      <c r="N2916" t="s">
        <v>3308</v>
      </c>
      <c r="O2916" t="s">
        <v>3309</v>
      </c>
      <c r="P2916" t="s">
        <v>3310</v>
      </c>
      <c r="Q2916" t="s">
        <v>3311</v>
      </c>
      <c r="R2916" t="s">
        <v>10378</v>
      </c>
    </row>
    <row r="2917" spans="1:18" x14ac:dyDescent="0.2">
      <c r="A2917">
        <v>1835254</v>
      </c>
      <c r="B2917" t="s">
        <v>10379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1</v>
      </c>
      <c r="J2917">
        <v>1</v>
      </c>
      <c r="K2917">
        <v>0</v>
      </c>
      <c r="L2917" t="s">
        <v>3284</v>
      </c>
      <c r="M2917" t="s">
        <v>3296</v>
      </c>
      <c r="N2917" t="s">
        <v>3321</v>
      </c>
      <c r="O2917" t="s">
        <v>3322</v>
      </c>
      <c r="P2917" t="s">
        <v>3423</v>
      </c>
      <c r="Q2917" t="s">
        <v>4394</v>
      </c>
      <c r="R2917" t="s">
        <v>10380</v>
      </c>
    </row>
    <row r="2918" spans="1:18" x14ac:dyDescent="0.2">
      <c r="A2918">
        <v>1834436</v>
      </c>
      <c r="B2918" t="s">
        <v>10381</v>
      </c>
      <c r="C2918">
        <v>14</v>
      </c>
      <c r="D2918">
        <v>28</v>
      </c>
      <c r="E2918">
        <v>2</v>
      </c>
      <c r="F2918">
        <v>29</v>
      </c>
      <c r="G2918">
        <v>32</v>
      </c>
      <c r="H2918">
        <v>2</v>
      </c>
      <c r="I2918">
        <v>1</v>
      </c>
      <c r="J2918">
        <v>0</v>
      </c>
      <c r="K2918">
        <v>0</v>
      </c>
      <c r="L2918" t="s">
        <v>3284</v>
      </c>
      <c r="M2918" t="s">
        <v>3391</v>
      </c>
      <c r="N2918" t="s">
        <v>3411</v>
      </c>
      <c r="O2918" t="s">
        <v>3412</v>
      </c>
      <c r="P2918" t="s">
        <v>3413</v>
      </c>
      <c r="Q2918" t="s">
        <v>3414</v>
      </c>
      <c r="R2918" t="s">
        <v>10382</v>
      </c>
    </row>
    <row r="2919" spans="1:18" x14ac:dyDescent="0.2">
      <c r="A2919">
        <v>1834177</v>
      </c>
      <c r="B2919" t="s">
        <v>10383</v>
      </c>
      <c r="C2919">
        <v>6</v>
      </c>
      <c r="D2919">
        <v>6</v>
      </c>
      <c r="E2919">
        <v>3</v>
      </c>
      <c r="F2919">
        <v>0</v>
      </c>
      <c r="G2919">
        <v>0</v>
      </c>
      <c r="H2919">
        <v>0</v>
      </c>
      <c r="I2919">
        <v>0</v>
      </c>
      <c r="J2919">
        <v>1</v>
      </c>
      <c r="K2919">
        <v>0</v>
      </c>
      <c r="L2919" t="s">
        <v>3284</v>
      </c>
      <c r="M2919" t="s">
        <v>3327</v>
      </c>
      <c r="N2919" t="s">
        <v>3376</v>
      </c>
      <c r="O2919" t="s">
        <v>3718</v>
      </c>
      <c r="P2919" t="s">
        <v>6044</v>
      </c>
      <c r="Q2919" t="s">
        <v>6045</v>
      </c>
      <c r="R2919" t="s">
        <v>10384</v>
      </c>
    </row>
    <row r="2920" spans="1:18" x14ac:dyDescent="0.2">
      <c r="A2920">
        <v>1834134</v>
      </c>
      <c r="B2920" t="s">
        <v>10385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1</v>
      </c>
      <c r="J2920">
        <v>0</v>
      </c>
      <c r="K2920">
        <v>0</v>
      </c>
      <c r="L2920" t="s">
        <v>3284</v>
      </c>
      <c r="M2920" t="s">
        <v>3307</v>
      </c>
      <c r="N2920" t="s">
        <v>3308</v>
      </c>
      <c r="O2920" t="s">
        <v>3635</v>
      </c>
      <c r="P2920" t="s">
        <v>4011</v>
      </c>
      <c r="Q2920" t="s">
        <v>4012</v>
      </c>
      <c r="R2920" t="s">
        <v>10386</v>
      </c>
    </row>
    <row r="2921" spans="1:18" x14ac:dyDescent="0.2">
      <c r="A2921">
        <v>1834115</v>
      </c>
      <c r="B2921" t="s">
        <v>10387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1</v>
      </c>
      <c r="J2921">
        <v>0</v>
      </c>
      <c r="K2921">
        <v>0</v>
      </c>
      <c r="L2921" t="s">
        <v>3284</v>
      </c>
      <c r="M2921" t="s">
        <v>3307</v>
      </c>
      <c r="N2921" t="s">
        <v>3308</v>
      </c>
      <c r="O2921" t="s">
        <v>3635</v>
      </c>
      <c r="P2921" t="s">
        <v>4011</v>
      </c>
      <c r="Q2921" t="s">
        <v>4012</v>
      </c>
      <c r="R2921" t="s">
        <v>10388</v>
      </c>
    </row>
    <row r="2922" spans="1:18" x14ac:dyDescent="0.2">
      <c r="A2922">
        <v>1834106</v>
      </c>
      <c r="B2922" t="s">
        <v>10389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1</v>
      </c>
      <c r="K2922">
        <v>0</v>
      </c>
      <c r="L2922" t="s">
        <v>3284</v>
      </c>
      <c r="M2922" t="s">
        <v>3307</v>
      </c>
      <c r="N2922" t="s">
        <v>3308</v>
      </c>
      <c r="O2922" t="s">
        <v>3635</v>
      </c>
      <c r="P2922" t="s">
        <v>4011</v>
      </c>
      <c r="Q2922" t="s">
        <v>4012</v>
      </c>
      <c r="R2922" t="s">
        <v>10390</v>
      </c>
    </row>
    <row r="2923" spans="1:18" x14ac:dyDescent="0.2">
      <c r="A2923">
        <v>1834094</v>
      </c>
      <c r="B2923" t="s">
        <v>10391</v>
      </c>
      <c r="C2923">
        <v>0</v>
      </c>
      <c r="D2923">
        <v>0</v>
      </c>
      <c r="E2923">
        <v>1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 t="s">
        <v>3284</v>
      </c>
      <c r="M2923" t="s">
        <v>3307</v>
      </c>
      <c r="N2923" t="s">
        <v>3308</v>
      </c>
      <c r="O2923" t="s">
        <v>3635</v>
      </c>
      <c r="P2923" t="s">
        <v>4011</v>
      </c>
      <c r="Q2923" t="s">
        <v>4012</v>
      </c>
      <c r="R2923" t="s">
        <v>10392</v>
      </c>
    </row>
    <row r="2924" spans="1:18" x14ac:dyDescent="0.2">
      <c r="A2924">
        <v>1828685</v>
      </c>
      <c r="B2924" t="s">
        <v>10393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1</v>
      </c>
      <c r="J2924">
        <v>0</v>
      </c>
      <c r="K2924">
        <v>0</v>
      </c>
      <c r="L2924" t="s">
        <v>3284</v>
      </c>
      <c r="M2924" t="s">
        <v>4022</v>
      </c>
      <c r="N2924" t="s">
        <v>4023</v>
      </c>
      <c r="O2924" t="s">
        <v>6944</v>
      </c>
      <c r="P2924" t="s">
        <v>6945</v>
      </c>
      <c r="Q2924" t="s">
        <v>6946</v>
      </c>
      <c r="R2924" t="s">
        <v>10394</v>
      </c>
    </row>
    <row r="2925" spans="1:18" x14ac:dyDescent="0.2">
      <c r="A2925">
        <v>1828648</v>
      </c>
      <c r="B2925" t="s">
        <v>10395</v>
      </c>
      <c r="C2925">
        <v>0</v>
      </c>
      <c r="D2925">
        <v>0</v>
      </c>
      <c r="E2925">
        <v>0</v>
      </c>
      <c r="F2925">
        <v>0</v>
      </c>
      <c r="G2925">
        <v>1</v>
      </c>
      <c r="H2925">
        <v>0</v>
      </c>
      <c r="I2925">
        <v>0</v>
      </c>
      <c r="J2925">
        <v>0</v>
      </c>
      <c r="K2925">
        <v>0</v>
      </c>
      <c r="L2925" t="s">
        <v>3284</v>
      </c>
      <c r="M2925" t="s">
        <v>4022</v>
      </c>
      <c r="N2925" t="s">
        <v>4023</v>
      </c>
      <c r="O2925" t="s">
        <v>10396</v>
      </c>
      <c r="P2925" t="s">
        <v>10397</v>
      </c>
      <c r="Q2925" t="s">
        <v>10398</v>
      </c>
      <c r="R2925" t="s">
        <v>10399</v>
      </c>
    </row>
    <row r="2926" spans="1:18" x14ac:dyDescent="0.2">
      <c r="A2926">
        <v>1828640</v>
      </c>
      <c r="B2926" t="s">
        <v>10400</v>
      </c>
      <c r="C2926">
        <v>0</v>
      </c>
      <c r="D2926">
        <v>1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 t="s">
        <v>3284</v>
      </c>
      <c r="M2926" t="s">
        <v>4022</v>
      </c>
      <c r="N2926" t="s">
        <v>4023</v>
      </c>
      <c r="O2926" t="s">
        <v>4289</v>
      </c>
      <c r="P2926" t="s">
        <v>4563</v>
      </c>
      <c r="Q2926" t="s">
        <v>4564</v>
      </c>
      <c r="R2926" t="s">
        <v>10401</v>
      </c>
    </row>
    <row r="2927" spans="1:18" x14ac:dyDescent="0.2">
      <c r="A2927">
        <v>1827501</v>
      </c>
      <c r="B2927" t="s">
        <v>10402</v>
      </c>
      <c r="C2927">
        <v>0</v>
      </c>
      <c r="D2927">
        <v>0</v>
      </c>
      <c r="E2927">
        <v>0</v>
      </c>
      <c r="F2927">
        <v>1</v>
      </c>
      <c r="G2927">
        <v>0</v>
      </c>
      <c r="H2927">
        <v>0</v>
      </c>
      <c r="I2927">
        <v>0</v>
      </c>
      <c r="J2927">
        <v>0</v>
      </c>
      <c r="K2927">
        <v>0</v>
      </c>
      <c r="L2927" t="s">
        <v>3284</v>
      </c>
      <c r="M2927" t="s">
        <v>3296</v>
      </c>
      <c r="N2927" t="s">
        <v>3343</v>
      </c>
      <c r="O2927" t="s">
        <v>3344</v>
      </c>
      <c r="P2927" t="s">
        <v>3898</v>
      </c>
      <c r="Q2927" t="s">
        <v>3899</v>
      </c>
      <c r="R2927" t="s">
        <v>10403</v>
      </c>
    </row>
    <row r="2928" spans="1:18" x14ac:dyDescent="0.2">
      <c r="A2928">
        <v>1827469</v>
      </c>
      <c r="B2928" t="s">
        <v>10404</v>
      </c>
      <c r="C2928">
        <v>0</v>
      </c>
      <c r="D2928">
        <v>0</v>
      </c>
      <c r="E2928">
        <v>0</v>
      </c>
      <c r="F2928">
        <v>0</v>
      </c>
      <c r="G2928">
        <v>1</v>
      </c>
      <c r="H2928">
        <v>0</v>
      </c>
      <c r="I2928">
        <v>0</v>
      </c>
      <c r="J2928">
        <v>0</v>
      </c>
      <c r="K2928">
        <v>0</v>
      </c>
      <c r="L2928" t="s">
        <v>3284</v>
      </c>
      <c r="M2928" t="s">
        <v>3296</v>
      </c>
      <c r="N2928" t="s">
        <v>3343</v>
      </c>
      <c r="O2928" t="s">
        <v>3402</v>
      </c>
      <c r="P2928" t="s">
        <v>3403</v>
      </c>
      <c r="Q2928" t="s">
        <v>3536</v>
      </c>
      <c r="R2928" t="s">
        <v>10405</v>
      </c>
    </row>
    <row r="2929" spans="1:18" x14ac:dyDescent="0.2">
      <c r="A2929">
        <v>1827305</v>
      </c>
      <c r="B2929" t="s">
        <v>10406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1</v>
      </c>
      <c r="J2929">
        <v>1</v>
      </c>
      <c r="K2929">
        <v>0</v>
      </c>
      <c r="L2929" t="s">
        <v>3284</v>
      </c>
      <c r="M2929" t="s">
        <v>3296</v>
      </c>
      <c r="N2929" t="s">
        <v>3297</v>
      </c>
      <c r="O2929" t="s">
        <v>3469</v>
      </c>
      <c r="P2929" t="s">
        <v>3470</v>
      </c>
      <c r="Q2929" t="s">
        <v>3471</v>
      </c>
      <c r="R2929" t="s">
        <v>10407</v>
      </c>
    </row>
    <row r="2930" spans="1:18" x14ac:dyDescent="0.2">
      <c r="A2930">
        <v>1827290</v>
      </c>
      <c r="B2930" t="s">
        <v>10408</v>
      </c>
      <c r="C2930">
        <v>0</v>
      </c>
      <c r="D2930">
        <v>1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 t="s">
        <v>3284</v>
      </c>
      <c r="M2930" t="s">
        <v>3391</v>
      </c>
      <c r="N2930" t="s">
        <v>3411</v>
      </c>
      <c r="O2930" t="s">
        <v>3412</v>
      </c>
      <c r="P2930" t="s">
        <v>3564</v>
      </c>
      <c r="Q2930" t="s">
        <v>3803</v>
      </c>
      <c r="R2930" t="s">
        <v>10409</v>
      </c>
    </row>
    <row r="2931" spans="1:18" x14ac:dyDescent="0.2">
      <c r="A2931">
        <v>1827145</v>
      </c>
      <c r="B2931" t="s">
        <v>10410</v>
      </c>
      <c r="C2931">
        <v>0</v>
      </c>
      <c r="D2931">
        <v>0</v>
      </c>
      <c r="E2931">
        <v>0</v>
      </c>
      <c r="F2931">
        <v>2</v>
      </c>
      <c r="G2931">
        <v>7</v>
      </c>
      <c r="H2931">
        <v>8</v>
      </c>
      <c r="I2931">
        <v>23</v>
      </c>
      <c r="J2931">
        <v>13</v>
      </c>
      <c r="K2931">
        <v>17</v>
      </c>
      <c r="L2931" t="s">
        <v>3284</v>
      </c>
      <c r="M2931" t="s">
        <v>3296</v>
      </c>
      <c r="N2931" t="s">
        <v>3321</v>
      </c>
      <c r="O2931" t="s">
        <v>3322</v>
      </c>
      <c r="P2931" t="s">
        <v>3398</v>
      </c>
      <c r="Q2931" t="s">
        <v>3439</v>
      </c>
      <c r="R2931" t="s">
        <v>10411</v>
      </c>
    </row>
    <row r="2932" spans="1:18" x14ac:dyDescent="0.2">
      <c r="A2932">
        <v>1826168</v>
      </c>
      <c r="B2932" t="s">
        <v>10412</v>
      </c>
      <c r="C2932">
        <v>1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 t="s">
        <v>3284</v>
      </c>
      <c r="M2932" t="s">
        <v>3296</v>
      </c>
      <c r="N2932" t="s">
        <v>3321</v>
      </c>
      <c r="O2932" t="s">
        <v>3322</v>
      </c>
      <c r="P2932" t="s">
        <v>3398</v>
      </c>
      <c r="Q2932" t="s">
        <v>4796</v>
      </c>
      <c r="R2932" t="s">
        <v>10413</v>
      </c>
    </row>
    <row r="2933" spans="1:18" x14ac:dyDescent="0.2">
      <c r="A2933">
        <v>1826167</v>
      </c>
      <c r="B2933" t="s">
        <v>10414</v>
      </c>
      <c r="C2933">
        <v>1</v>
      </c>
      <c r="D2933">
        <v>1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 t="s">
        <v>3284</v>
      </c>
      <c r="M2933" t="s">
        <v>3296</v>
      </c>
      <c r="N2933" t="s">
        <v>3321</v>
      </c>
      <c r="O2933" t="s">
        <v>3322</v>
      </c>
      <c r="P2933" t="s">
        <v>3398</v>
      </c>
      <c r="Q2933" t="s">
        <v>4796</v>
      </c>
      <c r="R2933" t="s">
        <v>10415</v>
      </c>
    </row>
    <row r="2934" spans="1:18" x14ac:dyDescent="0.2">
      <c r="A2934">
        <v>1825976</v>
      </c>
      <c r="B2934" t="s">
        <v>10416</v>
      </c>
      <c r="C2934">
        <v>0</v>
      </c>
      <c r="D2934">
        <v>0</v>
      </c>
      <c r="E2934">
        <v>0</v>
      </c>
      <c r="F2934">
        <v>4</v>
      </c>
      <c r="G2934">
        <v>2</v>
      </c>
      <c r="H2934">
        <v>0</v>
      </c>
      <c r="I2934">
        <v>0</v>
      </c>
      <c r="J2934">
        <v>0</v>
      </c>
      <c r="K2934">
        <v>0</v>
      </c>
      <c r="L2934" t="s">
        <v>3284</v>
      </c>
      <c r="M2934" t="s">
        <v>3296</v>
      </c>
      <c r="N2934" t="s">
        <v>3343</v>
      </c>
      <c r="O2934" t="s">
        <v>3344</v>
      </c>
      <c r="P2934" t="s">
        <v>3355</v>
      </c>
      <c r="Q2934" t="s">
        <v>4238</v>
      </c>
      <c r="R2934" t="s">
        <v>10417</v>
      </c>
    </row>
    <row r="2935" spans="1:18" x14ac:dyDescent="0.2">
      <c r="A2935">
        <v>1825933</v>
      </c>
      <c r="B2935" t="s">
        <v>10418</v>
      </c>
      <c r="C2935">
        <v>0</v>
      </c>
      <c r="D2935">
        <v>0</v>
      </c>
      <c r="E2935">
        <v>0</v>
      </c>
      <c r="F2935">
        <v>1</v>
      </c>
      <c r="G2935">
        <v>0</v>
      </c>
      <c r="H2935">
        <v>0</v>
      </c>
      <c r="I2935">
        <v>0</v>
      </c>
      <c r="J2935">
        <v>0</v>
      </c>
      <c r="K2935">
        <v>0</v>
      </c>
      <c r="L2935" t="s">
        <v>3284</v>
      </c>
      <c r="M2935" t="s">
        <v>3296</v>
      </c>
      <c r="N2935" t="s">
        <v>3343</v>
      </c>
      <c r="O2935" t="s">
        <v>3344</v>
      </c>
      <c r="P2935" t="s">
        <v>3355</v>
      </c>
      <c r="Q2935" t="s">
        <v>3356</v>
      </c>
      <c r="R2935" t="s">
        <v>10419</v>
      </c>
    </row>
    <row r="2936" spans="1:18" x14ac:dyDescent="0.2">
      <c r="A2936">
        <v>1825928</v>
      </c>
      <c r="B2936" t="s">
        <v>10420</v>
      </c>
      <c r="C2936">
        <v>0</v>
      </c>
      <c r="D2936">
        <v>0</v>
      </c>
      <c r="E2936">
        <v>0</v>
      </c>
      <c r="F2936">
        <v>1</v>
      </c>
      <c r="G2936">
        <v>1</v>
      </c>
      <c r="H2936">
        <v>0</v>
      </c>
      <c r="I2936">
        <v>0</v>
      </c>
      <c r="J2936">
        <v>0</v>
      </c>
      <c r="K2936">
        <v>0</v>
      </c>
      <c r="L2936" t="s">
        <v>3284</v>
      </c>
      <c r="M2936" t="s">
        <v>3391</v>
      </c>
      <c r="N2936" t="s">
        <v>4129</v>
      </c>
      <c r="O2936" t="s">
        <v>4130</v>
      </c>
      <c r="P2936" t="s">
        <v>4131</v>
      </c>
      <c r="Q2936" t="s">
        <v>6011</v>
      </c>
      <c r="R2936" t="s">
        <v>10421</v>
      </c>
    </row>
    <row r="2937" spans="1:18" x14ac:dyDescent="0.2">
      <c r="A2937">
        <v>1819735</v>
      </c>
      <c r="B2937" t="s">
        <v>10422</v>
      </c>
      <c r="C2937">
        <v>1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 t="s">
        <v>3284</v>
      </c>
      <c r="M2937" t="s">
        <v>3296</v>
      </c>
      <c r="N2937" t="s">
        <v>3321</v>
      </c>
      <c r="O2937" t="s">
        <v>3322</v>
      </c>
      <c r="P2937" t="s">
        <v>3423</v>
      </c>
      <c r="Q2937" t="s">
        <v>4394</v>
      </c>
      <c r="R2937" t="s">
        <v>10423</v>
      </c>
    </row>
    <row r="2938" spans="1:18" x14ac:dyDescent="0.2">
      <c r="A2938">
        <v>1817964</v>
      </c>
      <c r="B2938" t="s">
        <v>10424</v>
      </c>
      <c r="C2938">
        <v>0</v>
      </c>
      <c r="D2938">
        <v>0</v>
      </c>
      <c r="E2938">
        <v>0</v>
      </c>
      <c r="F2938">
        <v>11</v>
      </c>
      <c r="G2938">
        <v>4</v>
      </c>
      <c r="H2938">
        <v>1</v>
      </c>
      <c r="I2938">
        <v>4</v>
      </c>
      <c r="J2938">
        <v>3</v>
      </c>
      <c r="K2938">
        <v>2</v>
      </c>
      <c r="L2938" t="s">
        <v>3284</v>
      </c>
      <c r="M2938" t="s">
        <v>3296</v>
      </c>
      <c r="N2938" t="s">
        <v>3343</v>
      </c>
      <c r="O2938" t="s">
        <v>3344</v>
      </c>
      <c r="P2938" t="s">
        <v>3355</v>
      </c>
      <c r="Q2938" t="s">
        <v>3846</v>
      </c>
      <c r="R2938" t="s">
        <v>10425</v>
      </c>
    </row>
    <row r="2939" spans="1:18" x14ac:dyDescent="0.2">
      <c r="A2939">
        <v>1817495</v>
      </c>
      <c r="B2939" t="s">
        <v>10426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1</v>
      </c>
      <c r="K2939">
        <v>0</v>
      </c>
      <c r="L2939" t="s">
        <v>3284</v>
      </c>
      <c r="M2939" t="s">
        <v>3307</v>
      </c>
      <c r="N2939" t="s">
        <v>3308</v>
      </c>
      <c r="O2939" t="s">
        <v>3359</v>
      </c>
      <c r="P2939" t="s">
        <v>3360</v>
      </c>
      <c r="Q2939" t="s">
        <v>3364</v>
      </c>
      <c r="R2939" t="s">
        <v>10427</v>
      </c>
    </row>
    <row r="2940" spans="1:18" x14ac:dyDescent="0.2">
      <c r="A2940">
        <v>1815562</v>
      </c>
      <c r="B2940" t="s">
        <v>10428</v>
      </c>
      <c r="C2940">
        <v>0</v>
      </c>
      <c r="D2940">
        <v>0</v>
      </c>
      <c r="E2940">
        <v>0</v>
      </c>
      <c r="F2940">
        <v>1</v>
      </c>
      <c r="G2940">
        <v>1</v>
      </c>
      <c r="H2940">
        <v>0</v>
      </c>
      <c r="I2940">
        <v>0</v>
      </c>
      <c r="J2940">
        <v>0</v>
      </c>
      <c r="K2940">
        <v>0</v>
      </c>
      <c r="L2940" t="s">
        <v>3284</v>
      </c>
      <c r="M2940" t="s">
        <v>3296</v>
      </c>
      <c r="N2940" t="s">
        <v>3297</v>
      </c>
      <c r="O2940" t="s">
        <v>4500</v>
      </c>
      <c r="P2940" t="s">
        <v>5719</v>
      </c>
      <c r="Q2940" t="s">
        <v>10429</v>
      </c>
      <c r="R2940" t="s">
        <v>10430</v>
      </c>
    </row>
    <row r="2941" spans="1:18" x14ac:dyDescent="0.2">
      <c r="A2941">
        <v>1815556</v>
      </c>
      <c r="B2941" t="s">
        <v>10431</v>
      </c>
      <c r="C2941">
        <v>1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 t="s">
        <v>3284</v>
      </c>
      <c r="M2941" t="s">
        <v>3296</v>
      </c>
      <c r="N2941" t="s">
        <v>3343</v>
      </c>
      <c r="O2941" t="s">
        <v>3371</v>
      </c>
      <c r="P2941" t="s">
        <v>3688</v>
      </c>
      <c r="Q2941" t="s">
        <v>4406</v>
      </c>
      <c r="R2941" t="s">
        <v>10432</v>
      </c>
    </row>
    <row r="2942" spans="1:18" x14ac:dyDescent="0.2">
      <c r="A2942">
        <v>1813946</v>
      </c>
      <c r="B2942" t="s">
        <v>10433</v>
      </c>
      <c r="C2942">
        <v>0</v>
      </c>
      <c r="D2942">
        <v>5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 t="s">
        <v>3284</v>
      </c>
      <c r="M2942" t="s">
        <v>3296</v>
      </c>
      <c r="N2942" t="s">
        <v>3321</v>
      </c>
      <c r="O2942" t="s">
        <v>3322</v>
      </c>
      <c r="P2942" t="s">
        <v>3398</v>
      </c>
      <c r="Q2942" t="s">
        <v>3556</v>
      </c>
      <c r="R2942" t="s">
        <v>10434</v>
      </c>
    </row>
    <row r="2943" spans="1:18" x14ac:dyDescent="0.2">
      <c r="A2943">
        <v>1813876</v>
      </c>
      <c r="B2943" t="s">
        <v>10435</v>
      </c>
      <c r="C2943">
        <v>0</v>
      </c>
      <c r="D2943">
        <v>0</v>
      </c>
      <c r="E2943">
        <v>0</v>
      </c>
      <c r="F2943">
        <v>2</v>
      </c>
      <c r="G2943">
        <v>0</v>
      </c>
      <c r="H2943">
        <v>0</v>
      </c>
      <c r="I2943">
        <v>0</v>
      </c>
      <c r="J2943">
        <v>0</v>
      </c>
      <c r="K2943">
        <v>0</v>
      </c>
      <c r="L2943" t="s">
        <v>3284</v>
      </c>
      <c r="M2943" t="s">
        <v>3296</v>
      </c>
      <c r="N2943" t="s">
        <v>3343</v>
      </c>
      <c r="O2943" t="s">
        <v>3402</v>
      </c>
      <c r="P2943" t="s">
        <v>3403</v>
      </c>
      <c r="Q2943" t="s">
        <v>5337</v>
      </c>
      <c r="R2943" t="s">
        <v>10436</v>
      </c>
    </row>
    <row r="2944" spans="1:18" x14ac:dyDescent="0.2">
      <c r="A2944">
        <v>1813816</v>
      </c>
      <c r="B2944" t="s">
        <v>10437</v>
      </c>
      <c r="C2944">
        <v>0</v>
      </c>
      <c r="D2944">
        <v>1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 t="s">
        <v>3284</v>
      </c>
      <c r="M2944" t="s">
        <v>3296</v>
      </c>
      <c r="N2944" t="s">
        <v>3343</v>
      </c>
      <c r="O2944" t="s">
        <v>3371</v>
      </c>
      <c r="P2944" t="s">
        <v>3372</v>
      </c>
      <c r="Q2944" t="s">
        <v>6141</v>
      </c>
      <c r="R2944" t="s">
        <v>10438</v>
      </c>
    </row>
    <row r="2945" spans="1:18" x14ac:dyDescent="0.2">
      <c r="A2945">
        <v>1813468</v>
      </c>
      <c r="B2945" t="s">
        <v>10439</v>
      </c>
      <c r="C2945">
        <v>0</v>
      </c>
      <c r="D2945">
        <v>0</v>
      </c>
      <c r="E2945">
        <v>0</v>
      </c>
      <c r="F2945">
        <v>0</v>
      </c>
      <c r="G2945">
        <v>1</v>
      </c>
      <c r="H2945">
        <v>0</v>
      </c>
      <c r="I2945">
        <v>0</v>
      </c>
      <c r="J2945">
        <v>0</v>
      </c>
      <c r="K2945">
        <v>0</v>
      </c>
      <c r="L2945" t="s">
        <v>3284</v>
      </c>
      <c r="M2945" t="s">
        <v>3296</v>
      </c>
      <c r="N2945" t="s">
        <v>3343</v>
      </c>
      <c r="O2945" t="s">
        <v>3349</v>
      </c>
      <c r="P2945" t="s">
        <v>3350</v>
      </c>
      <c r="Q2945" t="s">
        <v>3580</v>
      </c>
      <c r="R2945" t="s">
        <v>10440</v>
      </c>
    </row>
    <row r="2946" spans="1:18" x14ac:dyDescent="0.2">
      <c r="A2946">
        <v>1813451</v>
      </c>
      <c r="B2946" t="s">
        <v>10441</v>
      </c>
      <c r="C2946">
        <v>0</v>
      </c>
      <c r="D2946">
        <v>1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1</v>
      </c>
      <c r="K2946">
        <v>0</v>
      </c>
      <c r="L2946" t="s">
        <v>3284</v>
      </c>
      <c r="M2946" t="s">
        <v>3296</v>
      </c>
      <c r="N2946" t="s">
        <v>3343</v>
      </c>
      <c r="O2946" t="s">
        <v>3344</v>
      </c>
      <c r="P2946" t="s">
        <v>3355</v>
      </c>
      <c r="Q2946" t="s">
        <v>10442</v>
      </c>
      <c r="R2946" t="s">
        <v>10443</v>
      </c>
    </row>
    <row r="2947" spans="1:18" x14ac:dyDescent="0.2">
      <c r="A2947">
        <v>1812911</v>
      </c>
      <c r="B2947" t="s">
        <v>10444</v>
      </c>
      <c r="C2947">
        <v>1</v>
      </c>
      <c r="D2947">
        <v>0</v>
      </c>
      <c r="E2947">
        <v>0</v>
      </c>
      <c r="F2947">
        <v>0</v>
      </c>
      <c r="G2947">
        <v>1</v>
      </c>
      <c r="H2947">
        <v>0</v>
      </c>
      <c r="I2947">
        <v>0</v>
      </c>
      <c r="J2947">
        <v>0</v>
      </c>
      <c r="K2947">
        <v>0</v>
      </c>
      <c r="L2947" t="s">
        <v>3284</v>
      </c>
      <c r="M2947" t="s">
        <v>3391</v>
      </c>
      <c r="N2947" t="s">
        <v>4129</v>
      </c>
      <c r="O2947" t="s">
        <v>4130</v>
      </c>
      <c r="P2947" t="s">
        <v>4131</v>
      </c>
      <c r="Q2947" t="s">
        <v>6337</v>
      </c>
      <c r="R2947" t="s">
        <v>10445</v>
      </c>
    </row>
    <row r="2948" spans="1:18" x14ac:dyDescent="0.2">
      <c r="A2948">
        <v>1812858</v>
      </c>
      <c r="B2948" t="s">
        <v>10446</v>
      </c>
      <c r="C2948">
        <v>0</v>
      </c>
      <c r="D2948">
        <v>3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 t="s">
        <v>3284</v>
      </c>
      <c r="M2948" t="s">
        <v>3327</v>
      </c>
      <c r="N2948" t="s">
        <v>3328</v>
      </c>
      <c r="O2948" t="s">
        <v>4017</v>
      </c>
      <c r="P2948" t="s">
        <v>4018</v>
      </c>
      <c r="Q2948" t="s">
        <v>10447</v>
      </c>
      <c r="R2948" t="s">
        <v>10448</v>
      </c>
    </row>
    <row r="2949" spans="1:18" x14ac:dyDescent="0.2">
      <c r="A2949">
        <v>1812483</v>
      </c>
      <c r="B2949" t="s">
        <v>10449</v>
      </c>
      <c r="C2949">
        <v>0</v>
      </c>
      <c r="D2949">
        <v>0</v>
      </c>
      <c r="E2949">
        <v>0</v>
      </c>
      <c r="F2949">
        <v>1</v>
      </c>
      <c r="G2949">
        <v>1</v>
      </c>
      <c r="H2949">
        <v>0</v>
      </c>
      <c r="I2949">
        <v>3</v>
      </c>
      <c r="J2949">
        <v>1</v>
      </c>
      <c r="K2949">
        <v>1</v>
      </c>
      <c r="L2949" t="s">
        <v>3284</v>
      </c>
      <c r="M2949" t="s">
        <v>3296</v>
      </c>
      <c r="N2949" t="s">
        <v>3321</v>
      </c>
      <c r="O2949" t="s">
        <v>3322</v>
      </c>
      <c r="P2949" t="s">
        <v>3398</v>
      </c>
      <c r="Q2949" t="s">
        <v>3439</v>
      </c>
      <c r="R2949" t="s">
        <v>10450</v>
      </c>
    </row>
    <row r="2950" spans="1:18" x14ac:dyDescent="0.2">
      <c r="A2950">
        <v>1812482</v>
      </c>
      <c r="B2950" t="s">
        <v>10451</v>
      </c>
      <c r="C2950">
        <v>1</v>
      </c>
      <c r="D2950">
        <v>0</v>
      </c>
      <c r="E2950">
        <v>1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 t="s">
        <v>3284</v>
      </c>
      <c r="M2950" t="s">
        <v>3296</v>
      </c>
      <c r="N2950" t="s">
        <v>3321</v>
      </c>
      <c r="O2950" t="s">
        <v>3322</v>
      </c>
      <c r="P2950" t="s">
        <v>3398</v>
      </c>
      <c r="Q2950" t="s">
        <v>3806</v>
      </c>
      <c r="R2950" t="s">
        <v>10452</v>
      </c>
    </row>
    <row r="2951" spans="1:18" x14ac:dyDescent="0.2">
      <c r="A2951">
        <v>1812349</v>
      </c>
      <c r="B2951" t="s">
        <v>10453</v>
      </c>
      <c r="C2951">
        <v>0</v>
      </c>
      <c r="D2951">
        <v>0</v>
      </c>
      <c r="E2951">
        <v>0</v>
      </c>
      <c r="F2951">
        <v>0</v>
      </c>
      <c r="G2951">
        <v>1</v>
      </c>
      <c r="H2951">
        <v>0</v>
      </c>
      <c r="I2951">
        <v>0</v>
      </c>
      <c r="J2951">
        <v>0</v>
      </c>
      <c r="K2951">
        <v>0</v>
      </c>
      <c r="L2951" t="s">
        <v>3284</v>
      </c>
      <c r="M2951" t="s">
        <v>3391</v>
      </c>
      <c r="N2951" t="s">
        <v>3392</v>
      </c>
      <c r="O2951" t="s">
        <v>3393</v>
      </c>
      <c r="P2951" t="s">
        <v>3394</v>
      </c>
      <c r="Q2951" t="s">
        <v>4082</v>
      </c>
      <c r="R2951" t="s">
        <v>10454</v>
      </c>
    </row>
    <row r="2952" spans="1:18" x14ac:dyDescent="0.2">
      <c r="A2952">
        <v>1812100</v>
      </c>
      <c r="B2952" t="s">
        <v>10455</v>
      </c>
      <c r="C2952">
        <v>0</v>
      </c>
      <c r="D2952">
        <v>1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 t="s">
        <v>3284</v>
      </c>
      <c r="M2952" t="s">
        <v>3296</v>
      </c>
      <c r="N2952" t="s">
        <v>3321</v>
      </c>
      <c r="O2952" t="s">
        <v>3322</v>
      </c>
      <c r="P2952" t="s">
        <v>3323</v>
      </c>
      <c r="Q2952" t="s">
        <v>7058</v>
      </c>
      <c r="R2952" t="s">
        <v>10456</v>
      </c>
    </row>
    <row r="2953" spans="1:18" x14ac:dyDescent="0.2">
      <c r="A2953">
        <v>1811518</v>
      </c>
      <c r="B2953" t="s">
        <v>10457</v>
      </c>
      <c r="C2953">
        <v>0</v>
      </c>
      <c r="D2953">
        <v>0</v>
      </c>
      <c r="E2953">
        <v>1</v>
      </c>
      <c r="F2953">
        <v>1</v>
      </c>
      <c r="G2953">
        <v>0</v>
      </c>
      <c r="H2953">
        <v>0</v>
      </c>
      <c r="I2953">
        <v>0</v>
      </c>
      <c r="J2953">
        <v>0</v>
      </c>
      <c r="K2953">
        <v>0</v>
      </c>
      <c r="L2953" t="s">
        <v>3284</v>
      </c>
      <c r="M2953" t="s">
        <v>3296</v>
      </c>
      <c r="N2953" t="s">
        <v>3343</v>
      </c>
      <c r="O2953" t="s">
        <v>3344</v>
      </c>
      <c r="P2953" t="s">
        <v>3898</v>
      </c>
      <c r="Q2953" t="s">
        <v>10458</v>
      </c>
      <c r="R2953" t="s">
        <v>10459</v>
      </c>
    </row>
    <row r="2954" spans="1:18" x14ac:dyDescent="0.2">
      <c r="A2954">
        <v>1809410</v>
      </c>
      <c r="B2954" t="s">
        <v>10460</v>
      </c>
      <c r="C2954">
        <v>0</v>
      </c>
      <c r="D2954">
        <v>1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 t="s">
        <v>3284</v>
      </c>
      <c r="M2954" t="s">
        <v>3296</v>
      </c>
      <c r="N2954" t="s">
        <v>3321</v>
      </c>
      <c r="O2954" t="s">
        <v>3322</v>
      </c>
      <c r="P2954" t="s">
        <v>3323</v>
      </c>
      <c r="Q2954" t="s">
        <v>8972</v>
      </c>
      <c r="R2954" t="s">
        <v>10461</v>
      </c>
    </row>
    <row r="2955" spans="1:18" x14ac:dyDescent="0.2">
      <c r="A2955">
        <v>1806536</v>
      </c>
      <c r="B2955" t="s">
        <v>10462</v>
      </c>
      <c r="C2955">
        <v>0</v>
      </c>
      <c r="D2955">
        <v>0</v>
      </c>
      <c r="E2955">
        <v>0</v>
      </c>
      <c r="F2955">
        <v>100</v>
      </c>
      <c r="G2955">
        <v>76</v>
      </c>
      <c r="H2955">
        <v>67</v>
      </c>
      <c r="I2955">
        <v>0</v>
      </c>
      <c r="J2955">
        <v>0</v>
      </c>
      <c r="K2955">
        <v>0</v>
      </c>
      <c r="L2955" t="s">
        <v>3284</v>
      </c>
      <c r="M2955" t="s">
        <v>3296</v>
      </c>
      <c r="N2955" t="s">
        <v>3297</v>
      </c>
      <c r="O2955" t="s">
        <v>3434</v>
      </c>
      <c r="P2955" t="s">
        <v>3435</v>
      </c>
      <c r="Q2955" t="s">
        <v>3436</v>
      </c>
      <c r="R2955" t="s">
        <v>10463</v>
      </c>
    </row>
    <row r="2956" spans="1:18" x14ac:dyDescent="0.2">
      <c r="A2956">
        <v>1805971</v>
      </c>
      <c r="B2956" t="s">
        <v>10464</v>
      </c>
      <c r="C2956">
        <v>3</v>
      </c>
      <c r="D2956">
        <v>6</v>
      </c>
      <c r="E2956">
        <v>0</v>
      </c>
      <c r="F2956">
        <v>0</v>
      </c>
      <c r="G2956">
        <v>1</v>
      </c>
      <c r="H2956">
        <v>0</v>
      </c>
      <c r="I2956">
        <v>0</v>
      </c>
      <c r="J2956">
        <v>0</v>
      </c>
      <c r="K2956">
        <v>0</v>
      </c>
      <c r="L2956" t="s">
        <v>3284</v>
      </c>
      <c r="M2956" t="s">
        <v>3296</v>
      </c>
      <c r="N2956" t="s">
        <v>3321</v>
      </c>
      <c r="O2956" t="s">
        <v>3322</v>
      </c>
      <c r="P2956" t="s">
        <v>3398</v>
      </c>
      <c r="Q2956" t="s">
        <v>3841</v>
      </c>
      <c r="R2956" t="s">
        <v>10465</v>
      </c>
    </row>
    <row r="2957" spans="1:18" x14ac:dyDescent="0.2">
      <c r="A2957">
        <v>1805477</v>
      </c>
      <c r="B2957" t="s">
        <v>10466</v>
      </c>
      <c r="C2957">
        <v>0</v>
      </c>
      <c r="D2957">
        <v>1</v>
      </c>
      <c r="E2957">
        <v>1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 t="s">
        <v>3284</v>
      </c>
      <c r="M2957" t="s">
        <v>3327</v>
      </c>
      <c r="N2957" t="s">
        <v>3328</v>
      </c>
      <c r="O2957" t="s">
        <v>3329</v>
      </c>
      <c r="P2957" t="s">
        <v>3330</v>
      </c>
      <c r="Q2957" t="s">
        <v>3331</v>
      </c>
      <c r="R2957" t="s">
        <v>10467</v>
      </c>
    </row>
    <row r="2958" spans="1:18" x14ac:dyDescent="0.2">
      <c r="A2958">
        <v>1805475</v>
      </c>
      <c r="B2958" t="s">
        <v>10468</v>
      </c>
      <c r="C2958">
        <v>0</v>
      </c>
      <c r="D2958">
        <v>1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 t="s">
        <v>3284</v>
      </c>
      <c r="M2958" t="s">
        <v>3327</v>
      </c>
      <c r="N2958" t="s">
        <v>3376</v>
      </c>
      <c r="O2958" t="s">
        <v>3377</v>
      </c>
      <c r="P2958" t="s">
        <v>3378</v>
      </c>
      <c r="Q2958" t="s">
        <v>3379</v>
      </c>
      <c r="R2958" t="s">
        <v>10469</v>
      </c>
    </row>
    <row r="2959" spans="1:18" x14ac:dyDescent="0.2">
      <c r="A2959">
        <v>1805474</v>
      </c>
      <c r="B2959" t="s">
        <v>10470</v>
      </c>
      <c r="C2959">
        <v>0</v>
      </c>
      <c r="D2959">
        <v>1</v>
      </c>
      <c r="E2959">
        <v>0</v>
      </c>
      <c r="F2959">
        <v>0</v>
      </c>
      <c r="G2959">
        <v>0</v>
      </c>
      <c r="H2959">
        <v>0</v>
      </c>
      <c r="I2959">
        <v>6</v>
      </c>
      <c r="J2959">
        <v>5</v>
      </c>
      <c r="K2959">
        <v>5</v>
      </c>
      <c r="L2959" t="s">
        <v>3284</v>
      </c>
      <c r="M2959" t="s">
        <v>3327</v>
      </c>
      <c r="N2959" t="s">
        <v>3376</v>
      </c>
      <c r="O2959" t="s">
        <v>3377</v>
      </c>
      <c r="P2959" t="s">
        <v>3378</v>
      </c>
      <c r="Q2959" t="s">
        <v>3379</v>
      </c>
      <c r="R2959" t="s">
        <v>10471</v>
      </c>
    </row>
    <row r="2960" spans="1:18" x14ac:dyDescent="0.2">
      <c r="A2960">
        <v>1805473</v>
      </c>
      <c r="B2960" t="s">
        <v>10472</v>
      </c>
      <c r="C2960">
        <v>1</v>
      </c>
      <c r="D2960">
        <v>1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 t="s">
        <v>3284</v>
      </c>
      <c r="M2960" t="s">
        <v>3391</v>
      </c>
      <c r="N2960" t="s">
        <v>3411</v>
      </c>
      <c r="O2960" t="s">
        <v>3412</v>
      </c>
      <c r="P2960" t="s">
        <v>3564</v>
      </c>
      <c r="Q2960" t="s">
        <v>3803</v>
      </c>
      <c r="R2960" t="s">
        <v>10473</v>
      </c>
    </row>
    <row r="2961" spans="1:18" x14ac:dyDescent="0.2">
      <c r="A2961">
        <v>1805472</v>
      </c>
      <c r="B2961" t="s">
        <v>10474</v>
      </c>
      <c r="C2961">
        <v>2</v>
      </c>
      <c r="D2961">
        <v>2</v>
      </c>
      <c r="E2961">
        <v>2</v>
      </c>
      <c r="F2961">
        <v>0</v>
      </c>
      <c r="G2961">
        <v>0</v>
      </c>
      <c r="H2961">
        <v>0</v>
      </c>
      <c r="I2961">
        <v>0</v>
      </c>
      <c r="J2961">
        <v>1</v>
      </c>
      <c r="K2961">
        <v>0</v>
      </c>
      <c r="L2961" t="s">
        <v>3284</v>
      </c>
      <c r="M2961" t="s">
        <v>3327</v>
      </c>
      <c r="N2961" t="s">
        <v>3328</v>
      </c>
      <c r="O2961" t="s">
        <v>3329</v>
      </c>
      <c r="P2961" t="s">
        <v>3330</v>
      </c>
      <c r="Q2961" t="s">
        <v>3331</v>
      </c>
      <c r="R2961" t="s">
        <v>10475</v>
      </c>
    </row>
    <row r="2962" spans="1:18" x14ac:dyDescent="0.2">
      <c r="A2962">
        <v>1805471</v>
      </c>
      <c r="B2962" t="s">
        <v>10476</v>
      </c>
      <c r="C2962">
        <v>1</v>
      </c>
      <c r="D2962">
        <v>1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 t="s">
        <v>3284</v>
      </c>
      <c r="M2962" t="s">
        <v>3327</v>
      </c>
      <c r="N2962" t="s">
        <v>3328</v>
      </c>
      <c r="O2962" t="s">
        <v>3329</v>
      </c>
      <c r="P2962" t="s">
        <v>3330</v>
      </c>
      <c r="Q2962" t="s">
        <v>3331</v>
      </c>
      <c r="R2962" t="s">
        <v>10477</v>
      </c>
    </row>
    <row r="2963" spans="1:18" x14ac:dyDescent="0.2">
      <c r="A2963">
        <v>1805470</v>
      </c>
      <c r="B2963" t="s">
        <v>10478</v>
      </c>
      <c r="C2963">
        <v>0</v>
      </c>
      <c r="D2963">
        <v>4</v>
      </c>
      <c r="E2963">
        <v>1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 t="s">
        <v>3284</v>
      </c>
      <c r="M2963" t="s">
        <v>3327</v>
      </c>
      <c r="N2963" t="s">
        <v>3328</v>
      </c>
      <c r="O2963" t="s">
        <v>3329</v>
      </c>
      <c r="P2963" t="s">
        <v>3330</v>
      </c>
      <c r="Q2963" t="s">
        <v>3331</v>
      </c>
      <c r="R2963" t="s">
        <v>10479</v>
      </c>
    </row>
    <row r="2964" spans="1:18" x14ac:dyDescent="0.2">
      <c r="A2964">
        <v>1804624</v>
      </c>
      <c r="B2964" t="s">
        <v>10480</v>
      </c>
      <c r="C2964">
        <v>0</v>
      </c>
      <c r="D2964">
        <v>1</v>
      </c>
      <c r="E2964">
        <v>0</v>
      </c>
      <c r="F2964">
        <v>0</v>
      </c>
      <c r="G2964">
        <v>1</v>
      </c>
      <c r="H2964">
        <v>1</v>
      </c>
      <c r="I2964">
        <v>1</v>
      </c>
      <c r="J2964">
        <v>0</v>
      </c>
      <c r="K2964">
        <v>0</v>
      </c>
      <c r="L2964" t="s">
        <v>3284</v>
      </c>
      <c r="M2964" t="s">
        <v>3307</v>
      </c>
      <c r="N2964" t="s">
        <v>3308</v>
      </c>
      <c r="O2964" t="s">
        <v>3309</v>
      </c>
      <c r="P2964" t="s">
        <v>3310</v>
      </c>
      <c r="Q2964" t="s">
        <v>3311</v>
      </c>
      <c r="R2964" t="s">
        <v>10481</v>
      </c>
    </row>
    <row r="2965" spans="1:18" x14ac:dyDescent="0.2">
      <c r="A2965">
        <v>1798908</v>
      </c>
      <c r="B2965" t="s">
        <v>10482</v>
      </c>
      <c r="C2965">
        <v>0</v>
      </c>
      <c r="D2965">
        <v>0</v>
      </c>
      <c r="E2965">
        <v>0</v>
      </c>
      <c r="F2965">
        <v>0</v>
      </c>
      <c r="G2965">
        <v>1</v>
      </c>
      <c r="H2965">
        <v>0</v>
      </c>
      <c r="I2965">
        <v>0</v>
      </c>
      <c r="J2965">
        <v>0</v>
      </c>
      <c r="K2965">
        <v>0</v>
      </c>
      <c r="L2965" t="s">
        <v>3284</v>
      </c>
      <c r="M2965" t="s">
        <v>3391</v>
      </c>
      <c r="N2965" t="s">
        <v>3411</v>
      </c>
      <c r="O2965" t="s">
        <v>3412</v>
      </c>
      <c r="P2965" t="s">
        <v>3413</v>
      </c>
      <c r="Q2965" t="s">
        <v>10483</v>
      </c>
      <c r="R2965" t="s">
        <v>10484</v>
      </c>
    </row>
    <row r="2966" spans="1:18" x14ac:dyDescent="0.2">
      <c r="A2966">
        <v>1796922</v>
      </c>
      <c r="B2966" t="s">
        <v>10485</v>
      </c>
      <c r="C2966">
        <v>0</v>
      </c>
      <c r="D2966">
        <v>0</v>
      </c>
      <c r="E2966">
        <v>0</v>
      </c>
      <c r="F2966">
        <v>1</v>
      </c>
      <c r="G2966">
        <v>0</v>
      </c>
      <c r="H2966">
        <v>0</v>
      </c>
      <c r="I2966">
        <v>0</v>
      </c>
      <c r="J2966">
        <v>0</v>
      </c>
      <c r="K2966">
        <v>0</v>
      </c>
      <c r="L2966" t="s">
        <v>3284</v>
      </c>
      <c r="M2966" t="s">
        <v>3296</v>
      </c>
      <c r="N2966" t="s">
        <v>3321</v>
      </c>
      <c r="O2966" t="s">
        <v>3322</v>
      </c>
      <c r="P2966" t="s">
        <v>3671</v>
      </c>
      <c r="Q2966" t="s">
        <v>4930</v>
      </c>
      <c r="R2966" t="s">
        <v>10486</v>
      </c>
    </row>
    <row r="2967" spans="1:18" x14ac:dyDescent="0.2">
      <c r="A2967">
        <v>1796634</v>
      </c>
      <c r="B2967" t="s">
        <v>10487</v>
      </c>
      <c r="C2967">
        <v>0</v>
      </c>
      <c r="D2967">
        <v>1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 t="s">
        <v>3284</v>
      </c>
      <c r="M2967" t="s">
        <v>3327</v>
      </c>
      <c r="N2967" t="s">
        <v>3328</v>
      </c>
      <c r="O2967" t="s">
        <v>4017</v>
      </c>
      <c r="P2967" t="s">
        <v>4018</v>
      </c>
      <c r="Q2967" t="s">
        <v>10488</v>
      </c>
      <c r="R2967" t="s">
        <v>10489</v>
      </c>
    </row>
    <row r="2968" spans="1:18" x14ac:dyDescent="0.2">
      <c r="A2968">
        <v>1796619</v>
      </c>
      <c r="B2968" t="s">
        <v>10490</v>
      </c>
      <c r="C2968">
        <v>1</v>
      </c>
      <c r="D2968">
        <v>1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 t="s">
        <v>3284</v>
      </c>
      <c r="M2968" t="s">
        <v>3327</v>
      </c>
      <c r="N2968" t="s">
        <v>3328</v>
      </c>
      <c r="O2968" t="s">
        <v>3329</v>
      </c>
      <c r="P2968" t="s">
        <v>3339</v>
      </c>
      <c r="Q2968" t="s">
        <v>10491</v>
      </c>
      <c r="R2968" t="s">
        <v>10492</v>
      </c>
    </row>
    <row r="2969" spans="1:18" x14ac:dyDescent="0.2">
      <c r="A2969">
        <v>1795631</v>
      </c>
      <c r="B2969" t="s">
        <v>10493</v>
      </c>
      <c r="C2969">
        <v>0</v>
      </c>
      <c r="D2969">
        <v>0</v>
      </c>
      <c r="E2969">
        <v>0</v>
      </c>
      <c r="F2969">
        <v>8</v>
      </c>
      <c r="G2969">
        <v>7</v>
      </c>
      <c r="H2969">
        <v>2</v>
      </c>
      <c r="I2969">
        <v>0</v>
      </c>
      <c r="J2969">
        <v>0</v>
      </c>
      <c r="K2969">
        <v>0</v>
      </c>
      <c r="L2969" t="s">
        <v>3284</v>
      </c>
      <c r="M2969" t="s">
        <v>3296</v>
      </c>
      <c r="N2969" t="s">
        <v>3321</v>
      </c>
      <c r="O2969" t="s">
        <v>3322</v>
      </c>
      <c r="P2969" t="s">
        <v>3398</v>
      </c>
      <c r="Q2969" t="s">
        <v>3399</v>
      </c>
      <c r="R2969" t="s">
        <v>10494</v>
      </c>
    </row>
    <row r="2970" spans="1:18" x14ac:dyDescent="0.2">
      <c r="A2970">
        <v>1793966</v>
      </c>
      <c r="B2970" t="s">
        <v>10495</v>
      </c>
      <c r="C2970">
        <v>1</v>
      </c>
      <c r="D2970">
        <v>1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 t="s">
        <v>3284</v>
      </c>
      <c r="M2970" t="s">
        <v>3296</v>
      </c>
      <c r="N2970" t="s">
        <v>3297</v>
      </c>
      <c r="O2970" t="s">
        <v>3434</v>
      </c>
      <c r="P2970" t="s">
        <v>3435</v>
      </c>
      <c r="Q2970" t="s">
        <v>3436</v>
      </c>
      <c r="R2970" t="s">
        <v>10496</v>
      </c>
    </row>
    <row r="2971" spans="1:18" x14ac:dyDescent="0.2">
      <c r="A2971">
        <v>1792845</v>
      </c>
      <c r="B2971" t="s">
        <v>10497</v>
      </c>
      <c r="C2971">
        <v>0</v>
      </c>
      <c r="D2971">
        <v>0</v>
      </c>
      <c r="E2971">
        <v>0</v>
      </c>
      <c r="F2971">
        <v>2</v>
      </c>
      <c r="G2971">
        <v>1</v>
      </c>
      <c r="H2971">
        <v>0</v>
      </c>
      <c r="I2971">
        <v>0</v>
      </c>
      <c r="J2971">
        <v>0</v>
      </c>
      <c r="K2971">
        <v>0</v>
      </c>
      <c r="L2971" t="s">
        <v>3284</v>
      </c>
      <c r="M2971" t="s">
        <v>3391</v>
      </c>
      <c r="N2971" t="s">
        <v>3392</v>
      </c>
      <c r="O2971" t="s">
        <v>3393</v>
      </c>
      <c r="P2971" t="s">
        <v>3394</v>
      </c>
      <c r="Q2971" t="s">
        <v>4082</v>
      </c>
      <c r="R2971" t="s">
        <v>10498</v>
      </c>
    </row>
    <row r="2972" spans="1:18" x14ac:dyDescent="0.2">
      <c r="A2972">
        <v>1792543</v>
      </c>
      <c r="B2972" t="s">
        <v>10499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1</v>
      </c>
      <c r="J2972">
        <v>0</v>
      </c>
      <c r="K2972">
        <v>0</v>
      </c>
      <c r="L2972" t="s">
        <v>3284</v>
      </c>
      <c r="M2972" t="s">
        <v>3296</v>
      </c>
      <c r="N2972" t="s">
        <v>3321</v>
      </c>
      <c r="O2972" t="s">
        <v>4147</v>
      </c>
      <c r="P2972" t="s">
        <v>4148</v>
      </c>
      <c r="Q2972" t="s">
        <v>4149</v>
      </c>
      <c r="R2972" t="s">
        <v>10500</v>
      </c>
    </row>
    <row r="2973" spans="1:18" x14ac:dyDescent="0.2">
      <c r="A2973">
        <v>1792502</v>
      </c>
      <c r="B2973" t="s">
        <v>10501</v>
      </c>
      <c r="C2973">
        <v>0</v>
      </c>
      <c r="D2973">
        <v>0</v>
      </c>
      <c r="E2973">
        <v>0</v>
      </c>
      <c r="F2973">
        <v>2</v>
      </c>
      <c r="G2973">
        <v>1</v>
      </c>
      <c r="H2973">
        <v>0</v>
      </c>
      <c r="I2973">
        <v>0</v>
      </c>
      <c r="J2973">
        <v>0</v>
      </c>
      <c r="K2973">
        <v>0</v>
      </c>
      <c r="L2973" t="s">
        <v>3284</v>
      </c>
      <c r="M2973" t="s">
        <v>3391</v>
      </c>
      <c r="N2973" t="s">
        <v>4129</v>
      </c>
      <c r="O2973" t="s">
        <v>4130</v>
      </c>
      <c r="P2973" t="s">
        <v>4131</v>
      </c>
      <c r="Q2973" t="s">
        <v>9268</v>
      </c>
      <c r="R2973" t="s">
        <v>10502</v>
      </c>
    </row>
    <row r="2974" spans="1:18" x14ac:dyDescent="0.2">
      <c r="A2974">
        <v>1792498</v>
      </c>
      <c r="B2974" t="s">
        <v>10503</v>
      </c>
      <c r="C2974">
        <v>0</v>
      </c>
      <c r="D2974">
        <v>0</v>
      </c>
      <c r="E2974">
        <v>0</v>
      </c>
      <c r="F2974">
        <v>1</v>
      </c>
      <c r="G2974">
        <v>0</v>
      </c>
      <c r="H2974">
        <v>0</v>
      </c>
      <c r="I2974">
        <v>0</v>
      </c>
      <c r="J2974">
        <v>1</v>
      </c>
      <c r="K2974">
        <v>1</v>
      </c>
      <c r="L2974" t="s">
        <v>3284</v>
      </c>
      <c r="M2974" t="s">
        <v>3296</v>
      </c>
      <c r="N2974" t="s">
        <v>3321</v>
      </c>
      <c r="O2974" t="s">
        <v>3322</v>
      </c>
      <c r="P2974" t="s">
        <v>3423</v>
      </c>
      <c r="Q2974" t="s">
        <v>10504</v>
      </c>
      <c r="R2974" t="s">
        <v>10505</v>
      </c>
    </row>
    <row r="2975" spans="1:18" x14ac:dyDescent="0.2">
      <c r="A2975">
        <v>1792311</v>
      </c>
      <c r="B2975" t="s">
        <v>10506</v>
      </c>
      <c r="C2975">
        <v>2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 t="s">
        <v>3284</v>
      </c>
      <c r="M2975" t="s">
        <v>3327</v>
      </c>
      <c r="N2975" t="s">
        <v>3328</v>
      </c>
      <c r="O2975" t="s">
        <v>3329</v>
      </c>
      <c r="P2975" t="s">
        <v>4620</v>
      </c>
      <c r="Q2975" t="s">
        <v>4799</v>
      </c>
      <c r="R2975" t="s">
        <v>10507</v>
      </c>
    </row>
    <row r="2976" spans="1:18" x14ac:dyDescent="0.2">
      <c r="A2976">
        <v>1792307</v>
      </c>
      <c r="B2976" t="s">
        <v>10508</v>
      </c>
      <c r="C2976">
        <v>0</v>
      </c>
      <c r="D2976">
        <v>0</v>
      </c>
      <c r="E2976">
        <v>0</v>
      </c>
      <c r="F2976">
        <v>1</v>
      </c>
      <c r="G2976">
        <v>0</v>
      </c>
      <c r="H2976">
        <v>0</v>
      </c>
      <c r="I2976">
        <v>0</v>
      </c>
      <c r="J2976">
        <v>0</v>
      </c>
      <c r="K2976">
        <v>0</v>
      </c>
      <c r="L2976" t="s">
        <v>3284</v>
      </c>
      <c r="M2976" t="s">
        <v>3296</v>
      </c>
      <c r="N2976" t="s">
        <v>3343</v>
      </c>
      <c r="O2976" t="s">
        <v>3344</v>
      </c>
      <c r="P2976" t="s">
        <v>3367</v>
      </c>
      <c r="Q2976" t="s">
        <v>3368</v>
      </c>
      <c r="R2976" t="s">
        <v>10509</v>
      </c>
    </row>
    <row r="2977" spans="1:18" x14ac:dyDescent="0.2">
      <c r="A2977">
        <v>1785162</v>
      </c>
      <c r="B2977" t="s">
        <v>10510</v>
      </c>
      <c r="C2977">
        <v>1</v>
      </c>
      <c r="D2977">
        <v>0</v>
      </c>
      <c r="E2977">
        <v>0</v>
      </c>
      <c r="F2977">
        <v>1</v>
      </c>
      <c r="G2977">
        <v>1</v>
      </c>
      <c r="H2977">
        <v>0</v>
      </c>
      <c r="I2977">
        <v>0</v>
      </c>
      <c r="J2977">
        <v>0</v>
      </c>
      <c r="K2977">
        <v>0</v>
      </c>
      <c r="L2977" t="s">
        <v>3284</v>
      </c>
      <c r="M2977" t="s">
        <v>3296</v>
      </c>
      <c r="N2977" t="s">
        <v>3297</v>
      </c>
      <c r="O2977" t="s">
        <v>3434</v>
      </c>
      <c r="P2977" t="s">
        <v>3435</v>
      </c>
      <c r="Q2977" t="s">
        <v>3436</v>
      </c>
      <c r="R2977" t="s">
        <v>10511</v>
      </c>
    </row>
    <row r="2978" spans="1:18" x14ac:dyDescent="0.2">
      <c r="A2978">
        <v>1781167</v>
      </c>
      <c r="B2978" t="s">
        <v>10512</v>
      </c>
      <c r="C2978">
        <v>1</v>
      </c>
      <c r="D2978">
        <v>1</v>
      </c>
      <c r="E2978">
        <v>0</v>
      </c>
      <c r="F2978">
        <v>0</v>
      </c>
      <c r="G2978">
        <v>1</v>
      </c>
      <c r="H2978">
        <v>0</v>
      </c>
      <c r="I2978">
        <v>0</v>
      </c>
      <c r="J2978">
        <v>0</v>
      </c>
      <c r="K2978">
        <v>0</v>
      </c>
      <c r="L2978" t="s">
        <v>3284</v>
      </c>
      <c r="M2978" t="s">
        <v>3296</v>
      </c>
      <c r="N2978" t="s">
        <v>3321</v>
      </c>
      <c r="O2978" t="s">
        <v>3322</v>
      </c>
      <c r="P2978" t="s">
        <v>3398</v>
      </c>
      <c r="Q2978" t="s">
        <v>3696</v>
      </c>
      <c r="R2978" t="s">
        <v>10513</v>
      </c>
    </row>
    <row r="2979" spans="1:18" x14ac:dyDescent="0.2">
      <c r="A2979">
        <v>1780362</v>
      </c>
      <c r="B2979" t="s">
        <v>10514</v>
      </c>
      <c r="C2979">
        <v>73</v>
      </c>
      <c r="D2979">
        <v>99</v>
      </c>
      <c r="E2979">
        <v>3543</v>
      </c>
      <c r="F2979">
        <v>186</v>
      </c>
      <c r="G2979">
        <v>128</v>
      </c>
      <c r="H2979">
        <v>1729</v>
      </c>
      <c r="I2979">
        <v>403</v>
      </c>
      <c r="J2979">
        <v>278</v>
      </c>
      <c r="K2979">
        <v>4885</v>
      </c>
      <c r="L2979" t="s">
        <v>3284</v>
      </c>
      <c r="M2979" t="s">
        <v>4226</v>
      </c>
      <c r="N2979" t="s">
        <v>4227</v>
      </c>
      <c r="O2979" t="s">
        <v>4228</v>
      </c>
      <c r="P2979" t="s">
        <v>10515</v>
      </c>
      <c r="Q2979" t="s">
        <v>10516</v>
      </c>
      <c r="R2979" t="s">
        <v>10517</v>
      </c>
    </row>
    <row r="2980" spans="1:18" x14ac:dyDescent="0.2">
      <c r="A2980">
        <v>1778678</v>
      </c>
      <c r="B2980" t="s">
        <v>10518</v>
      </c>
      <c r="C2980">
        <v>0</v>
      </c>
      <c r="D2980">
        <v>1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 t="s">
        <v>3284</v>
      </c>
      <c r="M2980" t="s">
        <v>3327</v>
      </c>
      <c r="N2980" t="s">
        <v>3376</v>
      </c>
      <c r="O2980" t="s">
        <v>3377</v>
      </c>
      <c r="P2980" t="s">
        <v>3604</v>
      </c>
      <c r="Q2980" t="s">
        <v>3668</v>
      </c>
      <c r="R2980" t="s">
        <v>10519</v>
      </c>
    </row>
    <row r="2981" spans="1:18" x14ac:dyDescent="0.2">
      <c r="A2981">
        <v>1778672</v>
      </c>
      <c r="B2981" t="s">
        <v>10520</v>
      </c>
      <c r="C2981">
        <v>0</v>
      </c>
      <c r="D2981">
        <v>0</v>
      </c>
      <c r="E2981">
        <v>0</v>
      </c>
      <c r="F2981">
        <v>5</v>
      </c>
      <c r="G2981">
        <v>3</v>
      </c>
      <c r="H2981">
        <v>0</v>
      </c>
      <c r="I2981">
        <v>0</v>
      </c>
      <c r="J2981">
        <v>0</v>
      </c>
      <c r="K2981">
        <v>0</v>
      </c>
      <c r="L2981" t="s">
        <v>3284</v>
      </c>
      <c r="M2981" t="s">
        <v>3296</v>
      </c>
      <c r="N2981" t="s">
        <v>3343</v>
      </c>
      <c r="O2981" t="s">
        <v>3349</v>
      </c>
      <c r="P2981" t="s">
        <v>3350</v>
      </c>
      <c r="Q2981" t="s">
        <v>3351</v>
      </c>
      <c r="R2981" t="s">
        <v>10521</v>
      </c>
    </row>
    <row r="2982" spans="1:18" x14ac:dyDescent="0.2">
      <c r="A2982">
        <v>1778671</v>
      </c>
      <c r="B2982" t="s">
        <v>10522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9</v>
      </c>
      <c r="J2982">
        <v>1</v>
      </c>
      <c r="K2982">
        <v>0</v>
      </c>
      <c r="L2982" t="s">
        <v>3284</v>
      </c>
      <c r="M2982" t="s">
        <v>3296</v>
      </c>
      <c r="N2982" t="s">
        <v>3321</v>
      </c>
      <c r="O2982" t="s">
        <v>3322</v>
      </c>
      <c r="P2982" t="s">
        <v>3423</v>
      </c>
      <c r="Q2982" t="s">
        <v>9486</v>
      </c>
      <c r="R2982" t="s">
        <v>10523</v>
      </c>
    </row>
    <row r="2983" spans="1:18" x14ac:dyDescent="0.2">
      <c r="A2983">
        <v>1778540</v>
      </c>
      <c r="B2983" t="s">
        <v>10524</v>
      </c>
      <c r="C2983">
        <v>1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 t="s">
        <v>3284</v>
      </c>
      <c r="M2983" t="s">
        <v>3296</v>
      </c>
      <c r="N2983" t="s">
        <v>3297</v>
      </c>
      <c r="O2983" t="s">
        <v>3298</v>
      </c>
      <c r="P2983" t="s">
        <v>6582</v>
      </c>
      <c r="Q2983" t="s">
        <v>10525</v>
      </c>
      <c r="R2983" t="s">
        <v>10526</v>
      </c>
    </row>
    <row r="2984" spans="1:18" x14ac:dyDescent="0.2">
      <c r="A2984">
        <v>1777866</v>
      </c>
      <c r="B2984" t="s">
        <v>10527</v>
      </c>
      <c r="C2984">
        <v>0</v>
      </c>
      <c r="D2984">
        <v>0</v>
      </c>
      <c r="E2984">
        <v>0</v>
      </c>
      <c r="F2984">
        <v>0</v>
      </c>
      <c r="G2984">
        <v>1</v>
      </c>
      <c r="H2984">
        <v>0</v>
      </c>
      <c r="I2984">
        <v>0</v>
      </c>
      <c r="J2984">
        <v>0</v>
      </c>
      <c r="K2984">
        <v>0</v>
      </c>
      <c r="L2984" t="s">
        <v>3284</v>
      </c>
      <c r="M2984" t="s">
        <v>3296</v>
      </c>
      <c r="N2984" t="s">
        <v>3343</v>
      </c>
      <c r="O2984" t="s">
        <v>3344</v>
      </c>
      <c r="P2984" t="s">
        <v>3898</v>
      </c>
      <c r="Q2984" t="s">
        <v>3899</v>
      </c>
      <c r="R2984" t="s">
        <v>10528</v>
      </c>
    </row>
    <row r="2985" spans="1:18" x14ac:dyDescent="0.2">
      <c r="A2985">
        <v>1777142</v>
      </c>
      <c r="B2985" t="s">
        <v>10529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1</v>
      </c>
      <c r="I2985">
        <v>0</v>
      </c>
      <c r="J2985">
        <v>0</v>
      </c>
      <c r="K2985">
        <v>0</v>
      </c>
      <c r="L2985" t="s">
        <v>3284</v>
      </c>
      <c r="M2985" t="s">
        <v>3296</v>
      </c>
      <c r="N2985" t="s">
        <v>3321</v>
      </c>
      <c r="O2985" t="s">
        <v>3322</v>
      </c>
      <c r="P2985" t="s">
        <v>3423</v>
      </c>
      <c r="Q2985" t="s">
        <v>4923</v>
      </c>
      <c r="R2985" t="s">
        <v>10530</v>
      </c>
    </row>
    <row r="2986" spans="1:18" x14ac:dyDescent="0.2">
      <c r="A2986">
        <v>1777141</v>
      </c>
      <c r="B2986" t="s">
        <v>10531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1</v>
      </c>
      <c r="J2986">
        <v>0</v>
      </c>
      <c r="K2986">
        <v>0</v>
      </c>
      <c r="L2986" t="s">
        <v>3284</v>
      </c>
      <c r="M2986" t="s">
        <v>3296</v>
      </c>
      <c r="N2986" t="s">
        <v>3321</v>
      </c>
      <c r="O2986" t="s">
        <v>3322</v>
      </c>
      <c r="P2986" t="s">
        <v>3423</v>
      </c>
      <c r="Q2986" t="s">
        <v>4923</v>
      </c>
      <c r="R2986" t="s">
        <v>10532</v>
      </c>
    </row>
    <row r="2987" spans="1:18" x14ac:dyDescent="0.2">
      <c r="A2987">
        <v>1776857</v>
      </c>
      <c r="B2987" t="s">
        <v>10533</v>
      </c>
      <c r="C2987">
        <v>0</v>
      </c>
      <c r="D2987">
        <v>0</v>
      </c>
      <c r="E2987">
        <v>0</v>
      </c>
      <c r="F2987">
        <v>1</v>
      </c>
      <c r="G2987">
        <v>0</v>
      </c>
      <c r="H2987">
        <v>0</v>
      </c>
      <c r="I2987">
        <v>0</v>
      </c>
      <c r="J2987">
        <v>0</v>
      </c>
      <c r="K2987">
        <v>0</v>
      </c>
      <c r="L2987" t="s">
        <v>3284</v>
      </c>
      <c r="M2987" t="s">
        <v>3307</v>
      </c>
      <c r="N2987" t="s">
        <v>3308</v>
      </c>
      <c r="O2987" t="s">
        <v>3309</v>
      </c>
      <c r="P2987" t="s">
        <v>3310</v>
      </c>
      <c r="Q2987" t="s">
        <v>3311</v>
      </c>
      <c r="R2987" t="s">
        <v>10534</v>
      </c>
    </row>
    <row r="2988" spans="1:18" x14ac:dyDescent="0.2">
      <c r="A2988">
        <v>1776758</v>
      </c>
      <c r="B2988" t="s">
        <v>10535</v>
      </c>
      <c r="C2988">
        <v>7</v>
      </c>
      <c r="D2988">
        <v>5</v>
      </c>
      <c r="E2988">
        <v>1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 t="s">
        <v>3284</v>
      </c>
      <c r="M2988" t="s">
        <v>3327</v>
      </c>
      <c r="N2988" t="s">
        <v>3328</v>
      </c>
      <c r="O2988" t="s">
        <v>3329</v>
      </c>
      <c r="P2988" t="s">
        <v>3330</v>
      </c>
      <c r="Q2988" t="s">
        <v>3331</v>
      </c>
      <c r="R2988" t="s">
        <v>10536</v>
      </c>
    </row>
    <row r="2989" spans="1:18" x14ac:dyDescent="0.2">
      <c r="A2989">
        <v>1776741</v>
      </c>
      <c r="B2989" t="s">
        <v>10537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1</v>
      </c>
      <c r="J2989">
        <v>0</v>
      </c>
      <c r="K2989">
        <v>0</v>
      </c>
      <c r="L2989" t="s">
        <v>3284</v>
      </c>
      <c r="M2989" t="s">
        <v>3296</v>
      </c>
      <c r="N2989" t="s">
        <v>3297</v>
      </c>
      <c r="O2989" t="s">
        <v>4037</v>
      </c>
      <c r="P2989" t="s">
        <v>4038</v>
      </c>
      <c r="Q2989" t="s">
        <v>5556</v>
      </c>
      <c r="R2989" t="s">
        <v>10538</v>
      </c>
    </row>
    <row r="2990" spans="1:18" x14ac:dyDescent="0.2">
      <c r="A2990">
        <v>1776740</v>
      </c>
      <c r="B2990" t="s">
        <v>10539</v>
      </c>
      <c r="C2990">
        <v>0</v>
      </c>
      <c r="D2990">
        <v>1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 t="s">
        <v>3284</v>
      </c>
      <c r="M2990" t="s">
        <v>3296</v>
      </c>
      <c r="N2990" t="s">
        <v>3297</v>
      </c>
      <c r="O2990" t="s">
        <v>4037</v>
      </c>
      <c r="P2990" t="s">
        <v>4038</v>
      </c>
      <c r="Q2990" t="s">
        <v>5556</v>
      </c>
      <c r="R2990" t="s">
        <v>10540</v>
      </c>
    </row>
    <row r="2991" spans="1:18" x14ac:dyDescent="0.2">
      <c r="A2991">
        <v>1776736</v>
      </c>
      <c r="B2991" t="s">
        <v>10541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1</v>
      </c>
      <c r="J2991">
        <v>0</v>
      </c>
      <c r="K2991">
        <v>0</v>
      </c>
      <c r="L2991" t="s">
        <v>3284</v>
      </c>
      <c r="M2991" t="s">
        <v>3307</v>
      </c>
      <c r="N2991" t="s">
        <v>3308</v>
      </c>
      <c r="O2991" t="s">
        <v>3309</v>
      </c>
      <c r="P2991" t="s">
        <v>3310</v>
      </c>
      <c r="Q2991" t="s">
        <v>3311</v>
      </c>
      <c r="R2991" t="s">
        <v>10542</v>
      </c>
    </row>
    <row r="2992" spans="1:18" x14ac:dyDescent="0.2">
      <c r="A2992">
        <v>1776391</v>
      </c>
      <c r="B2992" t="s">
        <v>10543</v>
      </c>
      <c r="C2992">
        <v>2</v>
      </c>
      <c r="D2992">
        <v>1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 t="s">
        <v>3284</v>
      </c>
      <c r="M2992" t="s">
        <v>3327</v>
      </c>
      <c r="N2992" t="s">
        <v>3328</v>
      </c>
      <c r="O2992" t="s">
        <v>4184</v>
      </c>
      <c r="P2992" t="s">
        <v>4185</v>
      </c>
      <c r="Q2992" t="s">
        <v>6781</v>
      </c>
      <c r="R2992" t="s">
        <v>10544</v>
      </c>
    </row>
    <row r="2993" spans="1:18" x14ac:dyDescent="0.2">
      <c r="A2993">
        <v>1776385</v>
      </c>
      <c r="B2993" t="s">
        <v>10545</v>
      </c>
      <c r="C2993">
        <v>1</v>
      </c>
      <c r="D2993">
        <v>1</v>
      </c>
      <c r="E2993">
        <v>2</v>
      </c>
      <c r="F2993">
        <v>0</v>
      </c>
      <c r="G2993">
        <v>0</v>
      </c>
      <c r="H2993">
        <v>0</v>
      </c>
      <c r="I2993">
        <v>1</v>
      </c>
      <c r="J2993">
        <v>0</v>
      </c>
      <c r="K2993">
        <v>0</v>
      </c>
      <c r="L2993" t="s">
        <v>3284</v>
      </c>
      <c r="M2993" t="s">
        <v>3327</v>
      </c>
      <c r="N2993" t="s">
        <v>3328</v>
      </c>
      <c r="O2993" t="s">
        <v>3329</v>
      </c>
      <c r="P2993" t="s">
        <v>3330</v>
      </c>
      <c r="Q2993" t="s">
        <v>3331</v>
      </c>
      <c r="R2993" t="s">
        <v>10546</v>
      </c>
    </row>
    <row r="2994" spans="1:18" x14ac:dyDescent="0.2">
      <c r="A2994">
        <v>1776384</v>
      </c>
      <c r="B2994" t="s">
        <v>10547</v>
      </c>
      <c r="C2994">
        <v>3</v>
      </c>
      <c r="D2994">
        <v>1</v>
      </c>
      <c r="E2994">
        <v>1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 t="s">
        <v>3284</v>
      </c>
      <c r="M2994" t="s">
        <v>3327</v>
      </c>
      <c r="N2994" t="s">
        <v>3328</v>
      </c>
      <c r="O2994" t="s">
        <v>4184</v>
      </c>
      <c r="P2994" t="s">
        <v>7513</v>
      </c>
      <c r="Q2994" t="s">
        <v>10548</v>
      </c>
      <c r="R2994" t="s">
        <v>10549</v>
      </c>
    </row>
    <row r="2995" spans="1:18" x14ac:dyDescent="0.2">
      <c r="A2995">
        <v>1775956</v>
      </c>
      <c r="B2995" t="s">
        <v>10550</v>
      </c>
      <c r="C2995">
        <v>1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 t="s">
        <v>3284</v>
      </c>
      <c r="M2995" t="s">
        <v>3307</v>
      </c>
      <c r="N2995" t="s">
        <v>3308</v>
      </c>
      <c r="O2995" t="s">
        <v>3359</v>
      </c>
      <c r="P2995" t="s">
        <v>3360</v>
      </c>
      <c r="Q2995" t="s">
        <v>3361</v>
      </c>
      <c r="R2995" t="s">
        <v>10551</v>
      </c>
    </row>
    <row r="2996" spans="1:18" x14ac:dyDescent="0.2">
      <c r="A2996">
        <v>1775910</v>
      </c>
      <c r="B2996" t="s">
        <v>10552</v>
      </c>
      <c r="C2996">
        <v>0</v>
      </c>
      <c r="D2996">
        <v>0</v>
      </c>
      <c r="E2996">
        <v>0</v>
      </c>
      <c r="F2996">
        <v>0</v>
      </c>
      <c r="G2996">
        <v>1</v>
      </c>
      <c r="H2996">
        <v>0</v>
      </c>
      <c r="I2996">
        <v>0</v>
      </c>
      <c r="J2996">
        <v>0</v>
      </c>
      <c r="K2996">
        <v>0</v>
      </c>
      <c r="L2996" t="s">
        <v>3284</v>
      </c>
      <c r="M2996" t="s">
        <v>3296</v>
      </c>
      <c r="N2996" t="s">
        <v>3343</v>
      </c>
      <c r="O2996" t="s">
        <v>3344</v>
      </c>
      <c r="P2996" t="s">
        <v>6089</v>
      </c>
      <c r="Q2996" t="s">
        <v>7900</v>
      </c>
      <c r="R2996" t="s">
        <v>10553</v>
      </c>
    </row>
    <row r="2997" spans="1:18" x14ac:dyDescent="0.2">
      <c r="A2997">
        <v>1775474</v>
      </c>
      <c r="B2997" t="s">
        <v>10554</v>
      </c>
      <c r="C2997">
        <v>0</v>
      </c>
      <c r="D2997">
        <v>1</v>
      </c>
      <c r="E2997">
        <v>0</v>
      </c>
      <c r="F2997">
        <v>29</v>
      </c>
      <c r="G2997">
        <v>11</v>
      </c>
      <c r="H2997">
        <v>1</v>
      </c>
      <c r="I2997">
        <v>0</v>
      </c>
      <c r="J2997">
        <v>0</v>
      </c>
      <c r="K2997">
        <v>0</v>
      </c>
      <c r="L2997" t="s">
        <v>3284</v>
      </c>
      <c r="M2997" t="s">
        <v>3296</v>
      </c>
      <c r="N2997" t="s">
        <v>3321</v>
      </c>
      <c r="O2997" t="s">
        <v>3322</v>
      </c>
      <c r="P2997" t="s">
        <v>3398</v>
      </c>
      <c r="Q2997" t="s">
        <v>3399</v>
      </c>
      <c r="R2997" t="s">
        <v>10555</v>
      </c>
    </row>
    <row r="2998" spans="1:18" x14ac:dyDescent="0.2">
      <c r="A2998">
        <v>1774968</v>
      </c>
      <c r="B2998" t="s">
        <v>10556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1</v>
      </c>
      <c r="K2998">
        <v>0</v>
      </c>
      <c r="L2998" t="s">
        <v>3284</v>
      </c>
      <c r="M2998" t="s">
        <v>3296</v>
      </c>
      <c r="N2998" t="s">
        <v>3343</v>
      </c>
      <c r="O2998" t="s">
        <v>3344</v>
      </c>
      <c r="P2998" t="s">
        <v>3837</v>
      </c>
      <c r="Q2998" t="s">
        <v>10557</v>
      </c>
      <c r="R2998" t="s">
        <v>10558</v>
      </c>
    </row>
    <row r="2999" spans="1:18" x14ac:dyDescent="0.2">
      <c r="A2999">
        <v>1774954</v>
      </c>
      <c r="B2999" t="s">
        <v>10559</v>
      </c>
      <c r="C2999">
        <v>0</v>
      </c>
      <c r="D2999">
        <v>0</v>
      </c>
      <c r="E2999">
        <v>0</v>
      </c>
      <c r="F2999">
        <v>1</v>
      </c>
      <c r="G2999">
        <v>0</v>
      </c>
      <c r="H2999">
        <v>0</v>
      </c>
      <c r="I2999">
        <v>0</v>
      </c>
      <c r="J2999">
        <v>0</v>
      </c>
      <c r="K2999">
        <v>0</v>
      </c>
      <c r="L2999" t="s">
        <v>3284</v>
      </c>
      <c r="M2999" t="s">
        <v>3296</v>
      </c>
      <c r="N2999" t="s">
        <v>3343</v>
      </c>
      <c r="O2999" t="s">
        <v>3349</v>
      </c>
      <c r="P2999" t="s">
        <v>3350</v>
      </c>
      <c r="Q2999" t="s">
        <v>3351</v>
      </c>
      <c r="R2999" t="s">
        <v>10560</v>
      </c>
    </row>
    <row r="3000" spans="1:18" x14ac:dyDescent="0.2">
      <c r="A3000">
        <v>1772282</v>
      </c>
      <c r="B3000" t="s">
        <v>10561</v>
      </c>
      <c r="C3000">
        <v>0</v>
      </c>
      <c r="D3000">
        <v>0</v>
      </c>
      <c r="E3000">
        <v>0</v>
      </c>
      <c r="F3000">
        <v>1</v>
      </c>
      <c r="G3000">
        <v>0</v>
      </c>
      <c r="H3000">
        <v>0</v>
      </c>
      <c r="I3000">
        <v>0</v>
      </c>
      <c r="J3000">
        <v>0</v>
      </c>
      <c r="K3000">
        <v>0</v>
      </c>
      <c r="L3000" t="s">
        <v>3284</v>
      </c>
      <c r="M3000" t="s">
        <v>3307</v>
      </c>
      <c r="N3000" t="s">
        <v>3308</v>
      </c>
      <c r="O3000" t="s">
        <v>3635</v>
      </c>
      <c r="P3000" t="s">
        <v>4011</v>
      </c>
      <c r="Q3000" t="s">
        <v>4012</v>
      </c>
      <c r="R3000" t="s">
        <v>10562</v>
      </c>
    </row>
    <row r="3001" spans="1:18" x14ac:dyDescent="0.2">
      <c r="A3001">
        <v>1771310</v>
      </c>
      <c r="B3001" t="s">
        <v>10563</v>
      </c>
      <c r="C3001">
        <v>0</v>
      </c>
      <c r="D3001">
        <v>0</v>
      </c>
      <c r="E3001">
        <v>0</v>
      </c>
      <c r="F3001">
        <v>1</v>
      </c>
      <c r="G3001">
        <v>0</v>
      </c>
      <c r="H3001">
        <v>0</v>
      </c>
      <c r="I3001">
        <v>0</v>
      </c>
      <c r="J3001">
        <v>0</v>
      </c>
      <c r="K3001">
        <v>0</v>
      </c>
      <c r="L3001" t="s">
        <v>3284</v>
      </c>
      <c r="M3001" t="s">
        <v>3296</v>
      </c>
      <c r="N3001" t="s">
        <v>3343</v>
      </c>
      <c r="O3001" t="s">
        <v>3349</v>
      </c>
      <c r="P3001" t="s">
        <v>5827</v>
      </c>
      <c r="Q3001" t="s">
        <v>10564</v>
      </c>
      <c r="R3001" t="s">
        <v>10565</v>
      </c>
    </row>
    <row r="3002" spans="1:18" x14ac:dyDescent="0.2">
      <c r="A3002">
        <v>1770053</v>
      </c>
      <c r="B3002" t="s">
        <v>10566</v>
      </c>
      <c r="C3002">
        <v>0</v>
      </c>
      <c r="D3002">
        <v>0</v>
      </c>
      <c r="E3002">
        <v>0</v>
      </c>
      <c r="F3002">
        <v>1</v>
      </c>
      <c r="G3002">
        <v>0</v>
      </c>
      <c r="H3002">
        <v>0</v>
      </c>
      <c r="I3002">
        <v>0</v>
      </c>
      <c r="J3002">
        <v>0</v>
      </c>
      <c r="K3002">
        <v>0</v>
      </c>
      <c r="L3002" t="s">
        <v>3284</v>
      </c>
      <c r="M3002" t="s">
        <v>3296</v>
      </c>
      <c r="N3002" t="s">
        <v>3321</v>
      </c>
      <c r="O3002" t="s">
        <v>3322</v>
      </c>
      <c r="P3002" t="s">
        <v>3423</v>
      </c>
      <c r="Q3002" t="s">
        <v>10567</v>
      </c>
      <c r="R3002" t="s">
        <v>10568</v>
      </c>
    </row>
    <row r="3003" spans="1:18" x14ac:dyDescent="0.2">
      <c r="A3003">
        <v>1769758</v>
      </c>
      <c r="B3003" t="s">
        <v>10569</v>
      </c>
      <c r="C3003">
        <v>0</v>
      </c>
      <c r="D3003">
        <v>0</v>
      </c>
      <c r="E3003">
        <v>0</v>
      </c>
      <c r="F3003">
        <v>0</v>
      </c>
      <c r="G3003">
        <v>4</v>
      </c>
      <c r="H3003">
        <v>1</v>
      </c>
      <c r="I3003">
        <v>0</v>
      </c>
      <c r="J3003">
        <v>0</v>
      </c>
      <c r="K3003">
        <v>0</v>
      </c>
      <c r="L3003" t="s">
        <v>3284</v>
      </c>
      <c r="M3003" t="s">
        <v>3296</v>
      </c>
      <c r="N3003" t="s">
        <v>3321</v>
      </c>
      <c r="O3003" t="s">
        <v>3322</v>
      </c>
      <c r="P3003" t="s">
        <v>3398</v>
      </c>
      <c r="Q3003" t="s">
        <v>3399</v>
      </c>
      <c r="R3003" t="s">
        <v>10570</v>
      </c>
    </row>
    <row r="3004" spans="1:18" x14ac:dyDescent="0.2">
      <c r="A3004">
        <v>1769712</v>
      </c>
      <c r="B3004" t="s">
        <v>10571</v>
      </c>
      <c r="C3004">
        <v>1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 t="s">
        <v>3284</v>
      </c>
      <c r="M3004" t="s">
        <v>3327</v>
      </c>
      <c r="N3004" t="s">
        <v>3328</v>
      </c>
      <c r="O3004" t="s">
        <v>4017</v>
      </c>
      <c r="P3004" t="s">
        <v>4018</v>
      </c>
      <c r="Q3004" t="s">
        <v>10572</v>
      </c>
      <c r="R3004" t="s">
        <v>10573</v>
      </c>
    </row>
    <row r="3005" spans="1:18" x14ac:dyDescent="0.2">
      <c r="A3005">
        <v>1768789</v>
      </c>
      <c r="B3005" t="s">
        <v>10574</v>
      </c>
      <c r="C3005">
        <v>1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 t="s">
        <v>3284</v>
      </c>
      <c r="M3005" t="s">
        <v>3296</v>
      </c>
      <c r="N3005" t="s">
        <v>3343</v>
      </c>
      <c r="O3005" t="s">
        <v>3344</v>
      </c>
      <c r="P3005" t="s">
        <v>6089</v>
      </c>
      <c r="Q3005" t="s">
        <v>7900</v>
      </c>
      <c r="R3005" t="s">
        <v>10575</v>
      </c>
    </row>
    <row r="3006" spans="1:18" x14ac:dyDescent="0.2">
      <c r="A3006">
        <v>1768781</v>
      </c>
      <c r="B3006" t="s">
        <v>10576</v>
      </c>
      <c r="C3006">
        <v>0</v>
      </c>
      <c r="D3006">
        <v>0</v>
      </c>
      <c r="E3006">
        <v>0</v>
      </c>
      <c r="F3006">
        <v>1</v>
      </c>
      <c r="G3006">
        <v>1</v>
      </c>
      <c r="H3006">
        <v>0</v>
      </c>
      <c r="I3006">
        <v>0</v>
      </c>
      <c r="J3006">
        <v>0</v>
      </c>
      <c r="K3006">
        <v>0</v>
      </c>
      <c r="L3006" t="s">
        <v>3284</v>
      </c>
      <c r="M3006" t="s">
        <v>3296</v>
      </c>
      <c r="N3006" t="s">
        <v>3343</v>
      </c>
      <c r="O3006" t="s">
        <v>3349</v>
      </c>
      <c r="P3006" t="s">
        <v>3350</v>
      </c>
      <c r="Q3006" t="s">
        <v>4175</v>
      </c>
      <c r="R3006" t="s">
        <v>10577</v>
      </c>
    </row>
    <row r="3007" spans="1:18" x14ac:dyDescent="0.2">
      <c r="A3007">
        <v>1768768</v>
      </c>
      <c r="B3007" t="s">
        <v>10578</v>
      </c>
      <c r="C3007">
        <v>0</v>
      </c>
      <c r="D3007">
        <v>0</v>
      </c>
      <c r="E3007">
        <v>0</v>
      </c>
      <c r="F3007">
        <v>0</v>
      </c>
      <c r="G3007">
        <v>1</v>
      </c>
      <c r="H3007">
        <v>0</v>
      </c>
      <c r="I3007">
        <v>0</v>
      </c>
      <c r="J3007">
        <v>0</v>
      </c>
      <c r="K3007">
        <v>0</v>
      </c>
      <c r="L3007" t="s">
        <v>3284</v>
      </c>
      <c r="M3007" t="s">
        <v>3296</v>
      </c>
      <c r="N3007" t="s">
        <v>3343</v>
      </c>
      <c r="O3007" t="s">
        <v>3402</v>
      </c>
      <c r="P3007" t="s">
        <v>3403</v>
      </c>
      <c r="Q3007" t="s">
        <v>3404</v>
      </c>
      <c r="R3007" t="s">
        <v>10579</v>
      </c>
    </row>
    <row r="3008" spans="1:18" x14ac:dyDescent="0.2">
      <c r="A3008">
        <v>1768744</v>
      </c>
      <c r="B3008" t="s">
        <v>10580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1</v>
      </c>
      <c r="J3008">
        <v>0</v>
      </c>
      <c r="K3008">
        <v>3</v>
      </c>
      <c r="L3008" t="s">
        <v>3284</v>
      </c>
      <c r="M3008" t="s">
        <v>3296</v>
      </c>
      <c r="N3008" t="s">
        <v>3343</v>
      </c>
      <c r="O3008" t="s">
        <v>3349</v>
      </c>
      <c r="P3008" t="s">
        <v>3350</v>
      </c>
      <c r="Q3008" t="s">
        <v>3580</v>
      </c>
      <c r="R3008" t="s">
        <v>10581</v>
      </c>
    </row>
    <row r="3009" spans="1:18" x14ac:dyDescent="0.2">
      <c r="A3009">
        <v>1768242</v>
      </c>
      <c r="B3009" t="s">
        <v>10582</v>
      </c>
      <c r="C3009">
        <v>1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 t="s">
        <v>3284</v>
      </c>
      <c r="M3009" t="s">
        <v>3296</v>
      </c>
      <c r="N3009" t="s">
        <v>3321</v>
      </c>
      <c r="O3009" t="s">
        <v>3322</v>
      </c>
      <c r="P3009" t="s">
        <v>3671</v>
      </c>
      <c r="Q3009" t="s">
        <v>3672</v>
      </c>
      <c r="R3009" t="s">
        <v>10583</v>
      </c>
    </row>
    <row r="3010" spans="1:18" x14ac:dyDescent="0.2">
      <c r="A3010">
        <v>1766256</v>
      </c>
      <c r="B3010" t="s">
        <v>10584</v>
      </c>
      <c r="C3010">
        <v>1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 t="s">
        <v>3284</v>
      </c>
      <c r="M3010" t="s">
        <v>3327</v>
      </c>
      <c r="N3010" t="s">
        <v>3328</v>
      </c>
      <c r="O3010" t="s">
        <v>4017</v>
      </c>
      <c r="P3010" t="s">
        <v>4018</v>
      </c>
      <c r="Q3010" t="s">
        <v>10585</v>
      </c>
      <c r="R3010" t="s">
        <v>10586</v>
      </c>
    </row>
    <row r="3011" spans="1:18" x14ac:dyDescent="0.2">
      <c r="A3011">
        <v>1766203</v>
      </c>
      <c r="B3011" t="s">
        <v>10587</v>
      </c>
      <c r="C3011">
        <v>1</v>
      </c>
      <c r="D3011">
        <v>3</v>
      </c>
      <c r="E3011">
        <v>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 t="s">
        <v>3284</v>
      </c>
      <c r="M3011" t="s">
        <v>3327</v>
      </c>
      <c r="N3011" t="s">
        <v>3328</v>
      </c>
      <c r="O3011" t="s">
        <v>3329</v>
      </c>
      <c r="P3011" t="s">
        <v>3330</v>
      </c>
      <c r="Q3011" t="s">
        <v>10588</v>
      </c>
      <c r="R3011" t="s">
        <v>10589</v>
      </c>
    </row>
    <row r="3012" spans="1:18" x14ac:dyDescent="0.2">
      <c r="A3012">
        <v>1764272</v>
      </c>
      <c r="B3012" t="s">
        <v>10590</v>
      </c>
      <c r="C3012">
        <v>0</v>
      </c>
      <c r="D3012">
        <v>0</v>
      </c>
      <c r="E3012">
        <v>0</v>
      </c>
      <c r="F3012">
        <v>1</v>
      </c>
      <c r="G3012">
        <v>0</v>
      </c>
      <c r="H3012">
        <v>0</v>
      </c>
      <c r="I3012">
        <v>0</v>
      </c>
      <c r="J3012">
        <v>1</v>
      </c>
      <c r="K3012">
        <v>1</v>
      </c>
      <c r="L3012" t="s">
        <v>3284</v>
      </c>
      <c r="M3012" t="s">
        <v>3296</v>
      </c>
      <c r="N3012" t="s">
        <v>3343</v>
      </c>
      <c r="O3012" t="s">
        <v>3344</v>
      </c>
      <c r="P3012" t="s">
        <v>3355</v>
      </c>
      <c r="Q3012" t="s">
        <v>3356</v>
      </c>
      <c r="R3012" t="s">
        <v>10591</v>
      </c>
    </row>
    <row r="3013" spans="1:18" x14ac:dyDescent="0.2">
      <c r="A3013">
        <v>1763998</v>
      </c>
      <c r="B3013" t="s">
        <v>10592</v>
      </c>
      <c r="C3013">
        <v>0</v>
      </c>
      <c r="D3013">
        <v>1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 t="s">
        <v>3284</v>
      </c>
      <c r="M3013" t="s">
        <v>3296</v>
      </c>
      <c r="N3013" t="s">
        <v>3297</v>
      </c>
      <c r="O3013" t="s">
        <v>4124</v>
      </c>
      <c r="P3013" t="s">
        <v>4125</v>
      </c>
      <c r="Q3013" t="s">
        <v>5083</v>
      </c>
      <c r="R3013" t="s">
        <v>10593</v>
      </c>
    </row>
    <row r="3014" spans="1:18" x14ac:dyDescent="0.2">
      <c r="A3014">
        <v>1763816</v>
      </c>
      <c r="B3014" t="s">
        <v>10594</v>
      </c>
      <c r="C3014">
        <v>0</v>
      </c>
      <c r="D3014">
        <v>0</v>
      </c>
      <c r="E3014">
        <v>0</v>
      </c>
      <c r="F3014">
        <v>1</v>
      </c>
      <c r="G3014">
        <v>1</v>
      </c>
      <c r="H3014">
        <v>1</v>
      </c>
      <c r="I3014">
        <v>0</v>
      </c>
      <c r="J3014">
        <v>0</v>
      </c>
      <c r="K3014">
        <v>0</v>
      </c>
      <c r="L3014" t="s">
        <v>3284</v>
      </c>
      <c r="M3014" t="s">
        <v>3296</v>
      </c>
      <c r="N3014" t="s">
        <v>3343</v>
      </c>
      <c r="O3014" t="s">
        <v>3402</v>
      </c>
      <c r="P3014" t="s">
        <v>3403</v>
      </c>
      <c r="Q3014" t="s">
        <v>5337</v>
      </c>
      <c r="R3014" t="s">
        <v>10595</v>
      </c>
    </row>
    <row r="3015" spans="1:18" x14ac:dyDescent="0.2">
      <c r="A3015">
        <v>1763535</v>
      </c>
      <c r="B3015" t="s">
        <v>10596</v>
      </c>
      <c r="C3015">
        <v>2</v>
      </c>
      <c r="D3015">
        <v>0</v>
      </c>
      <c r="E3015">
        <v>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 t="s">
        <v>3284</v>
      </c>
      <c r="M3015" t="s">
        <v>3296</v>
      </c>
      <c r="N3015" t="s">
        <v>3321</v>
      </c>
      <c r="O3015" t="s">
        <v>3322</v>
      </c>
      <c r="P3015" t="s">
        <v>3398</v>
      </c>
      <c r="Q3015" t="s">
        <v>3841</v>
      </c>
      <c r="R3015" t="s">
        <v>10597</v>
      </c>
    </row>
    <row r="3016" spans="1:18" x14ac:dyDescent="0.2">
      <c r="A3016">
        <v>1763509</v>
      </c>
      <c r="B3016" t="s">
        <v>10598</v>
      </c>
      <c r="C3016">
        <v>1</v>
      </c>
      <c r="D3016">
        <v>0</v>
      </c>
      <c r="E3016">
        <v>1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 t="s">
        <v>3284</v>
      </c>
      <c r="M3016" t="s">
        <v>3327</v>
      </c>
      <c r="N3016" t="s">
        <v>3328</v>
      </c>
      <c r="O3016" t="s">
        <v>4017</v>
      </c>
      <c r="P3016" t="s">
        <v>4018</v>
      </c>
      <c r="Q3016" t="s">
        <v>8721</v>
      </c>
      <c r="R3016" t="s">
        <v>10599</v>
      </c>
    </row>
    <row r="3017" spans="1:18" x14ac:dyDescent="0.2">
      <c r="A3017">
        <v>1762962</v>
      </c>
      <c r="B3017" t="s">
        <v>10600</v>
      </c>
      <c r="C3017">
        <v>0</v>
      </c>
      <c r="D3017">
        <v>0</v>
      </c>
      <c r="E3017">
        <v>0</v>
      </c>
      <c r="F3017">
        <v>2</v>
      </c>
      <c r="G3017">
        <v>1</v>
      </c>
      <c r="H3017">
        <v>0</v>
      </c>
      <c r="I3017">
        <v>0</v>
      </c>
      <c r="J3017">
        <v>0</v>
      </c>
      <c r="K3017">
        <v>0</v>
      </c>
      <c r="L3017" t="s">
        <v>3284</v>
      </c>
      <c r="M3017" t="s">
        <v>3307</v>
      </c>
      <c r="N3017" t="s">
        <v>3308</v>
      </c>
      <c r="O3017" t="s">
        <v>3635</v>
      </c>
      <c r="P3017" t="s">
        <v>4011</v>
      </c>
      <c r="Q3017" t="s">
        <v>4012</v>
      </c>
      <c r="R3017" t="s">
        <v>10601</v>
      </c>
    </row>
    <row r="3018" spans="1:18" x14ac:dyDescent="0.2">
      <c r="A3018">
        <v>1761975</v>
      </c>
      <c r="B3018" t="s">
        <v>10602</v>
      </c>
      <c r="C3018">
        <v>0</v>
      </c>
      <c r="D3018">
        <v>0</v>
      </c>
      <c r="E3018">
        <v>0</v>
      </c>
      <c r="F3018">
        <v>0</v>
      </c>
      <c r="G3018">
        <v>1</v>
      </c>
      <c r="H3018">
        <v>0</v>
      </c>
      <c r="I3018">
        <v>0</v>
      </c>
      <c r="J3018">
        <v>0</v>
      </c>
      <c r="K3018">
        <v>0</v>
      </c>
      <c r="L3018" t="s">
        <v>3284</v>
      </c>
      <c r="M3018" t="s">
        <v>3391</v>
      </c>
      <c r="N3018" t="s">
        <v>3392</v>
      </c>
      <c r="O3018" t="s">
        <v>3393</v>
      </c>
      <c r="P3018" t="s">
        <v>3394</v>
      </c>
      <c r="Q3018" t="s">
        <v>3395</v>
      </c>
      <c r="R3018" t="s">
        <v>10603</v>
      </c>
    </row>
    <row r="3019" spans="1:18" x14ac:dyDescent="0.2">
      <c r="A3019">
        <v>1761910</v>
      </c>
      <c r="B3019" t="s">
        <v>10604</v>
      </c>
      <c r="C3019">
        <v>0</v>
      </c>
      <c r="D3019">
        <v>0</v>
      </c>
      <c r="E3019">
        <v>0</v>
      </c>
      <c r="F3019">
        <v>1</v>
      </c>
      <c r="G3019">
        <v>0</v>
      </c>
      <c r="H3019">
        <v>0</v>
      </c>
      <c r="I3019">
        <v>0</v>
      </c>
      <c r="J3019">
        <v>0</v>
      </c>
      <c r="K3019">
        <v>0</v>
      </c>
      <c r="L3019" t="s">
        <v>3284</v>
      </c>
      <c r="M3019" t="s">
        <v>3296</v>
      </c>
      <c r="N3019" t="s">
        <v>3297</v>
      </c>
      <c r="O3019" t="s">
        <v>8851</v>
      </c>
      <c r="P3019" t="s">
        <v>8852</v>
      </c>
      <c r="Q3019" t="s">
        <v>10605</v>
      </c>
      <c r="R3019" t="s">
        <v>10606</v>
      </c>
    </row>
    <row r="3020" spans="1:18" x14ac:dyDescent="0.2">
      <c r="A3020">
        <v>1761882</v>
      </c>
      <c r="B3020" t="s">
        <v>10607</v>
      </c>
      <c r="C3020">
        <v>0</v>
      </c>
      <c r="D3020">
        <v>0</v>
      </c>
      <c r="E3020">
        <v>0</v>
      </c>
      <c r="F3020">
        <v>1</v>
      </c>
      <c r="G3020">
        <v>2</v>
      </c>
      <c r="H3020">
        <v>0</v>
      </c>
      <c r="I3020">
        <v>0</v>
      </c>
      <c r="J3020">
        <v>0</v>
      </c>
      <c r="K3020">
        <v>0</v>
      </c>
      <c r="L3020" t="s">
        <v>3284</v>
      </c>
      <c r="M3020" t="s">
        <v>3391</v>
      </c>
      <c r="N3020" t="s">
        <v>3392</v>
      </c>
      <c r="O3020" t="s">
        <v>3393</v>
      </c>
      <c r="P3020" t="s">
        <v>3394</v>
      </c>
      <c r="Q3020" t="s">
        <v>3395</v>
      </c>
      <c r="R3020" t="s">
        <v>10608</v>
      </c>
    </row>
    <row r="3021" spans="1:18" x14ac:dyDescent="0.2">
      <c r="A3021">
        <v>1761803</v>
      </c>
      <c r="B3021" t="s">
        <v>10609</v>
      </c>
      <c r="C3021">
        <v>1</v>
      </c>
      <c r="D3021">
        <v>5</v>
      </c>
      <c r="E3021">
        <v>0</v>
      </c>
      <c r="F3021">
        <v>2</v>
      </c>
      <c r="G3021">
        <v>0</v>
      </c>
      <c r="H3021">
        <v>0</v>
      </c>
      <c r="I3021">
        <v>3</v>
      </c>
      <c r="J3021">
        <v>0</v>
      </c>
      <c r="K3021">
        <v>0</v>
      </c>
      <c r="L3021" t="s">
        <v>3284</v>
      </c>
      <c r="M3021" t="s">
        <v>3307</v>
      </c>
      <c r="N3021" t="s">
        <v>3308</v>
      </c>
      <c r="O3021" t="s">
        <v>3359</v>
      </c>
      <c r="P3021" t="s">
        <v>3360</v>
      </c>
      <c r="Q3021" t="s">
        <v>3361</v>
      </c>
      <c r="R3021" t="s">
        <v>10610</v>
      </c>
    </row>
    <row r="3022" spans="1:18" x14ac:dyDescent="0.2">
      <c r="A3022">
        <v>1761785</v>
      </c>
      <c r="B3022" t="s">
        <v>10611</v>
      </c>
      <c r="C3022">
        <v>0</v>
      </c>
      <c r="D3022">
        <v>0</v>
      </c>
      <c r="E3022">
        <v>0</v>
      </c>
      <c r="F3022">
        <v>1</v>
      </c>
      <c r="G3022">
        <v>1</v>
      </c>
      <c r="H3022">
        <v>0</v>
      </c>
      <c r="I3022">
        <v>0</v>
      </c>
      <c r="J3022">
        <v>0</v>
      </c>
      <c r="K3022">
        <v>0</v>
      </c>
      <c r="L3022" t="s">
        <v>3284</v>
      </c>
      <c r="M3022" t="s">
        <v>3391</v>
      </c>
      <c r="N3022" t="s">
        <v>3411</v>
      </c>
      <c r="O3022" t="s">
        <v>3412</v>
      </c>
      <c r="P3022" t="s">
        <v>3413</v>
      </c>
      <c r="Q3022" t="s">
        <v>3414</v>
      </c>
      <c r="R3022" t="s">
        <v>10612</v>
      </c>
    </row>
    <row r="3023" spans="1:18" x14ac:dyDescent="0.2">
      <c r="A3023">
        <v>1761781</v>
      </c>
      <c r="B3023" t="s">
        <v>10613</v>
      </c>
      <c r="C3023">
        <v>4</v>
      </c>
      <c r="D3023">
        <v>3</v>
      </c>
      <c r="E3023">
        <v>1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 t="s">
        <v>3284</v>
      </c>
      <c r="M3023" t="s">
        <v>3327</v>
      </c>
      <c r="N3023" t="s">
        <v>3328</v>
      </c>
      <c r="O3023" t="s">
        <v>3329</v>
      </c>
      <c r="P3023" t="s">
        <v>3330</v>
      </c>
      <c r="Q3023" t="s">
        <v>3331</v>
      </c>
      <c r="R3023" t="s">
        <v>10614</v>
      </c>
    </row>
    <row r="3024" spans="1:18" x14ac:dyDescent="0.2">
      <c r="A3024">
        <v>1761012</v>
      </c>
      <c r="B3024" t="s">
        <v>10615</v>
      </c>
      <c r="C3024">
        <v>0</v>
      </c>
      <c r="D3024">
        <v>1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 t="s">
        <v>3284</v>
      </c>
      <c r="M3024" t="s">
        <v>3327</v>
      </c>
      <c r="N3024" t="s">
        <v>3328</v>
      </c>
      <c r="O3024" t="s">
        <v>3329</v>
      </c>
      <c r="P3024" t="s">
        <v>10616</v>
      </c>
      <c r="Q3024" t="s">
        <v>10617</v>
      </c>
      <c r="R3024" t="s">
        <v>10618</v>
      </c>
    </row>
    <row r="3025" spans="1:18" x14ac:dyDescent="0.2">
      <c r="A3025">
        <v>1760811</v>
      </c>
      <c r="B3025" t="s">
        <v>10619</v>
      </c>
      <c r="C3025">
        <v>2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 t="s">
        <v>3284</v>
      </c>
      <c r="M3025" t="s">
        <v>3391</v>
      </c>
      <c r="N3025" t="s">
        <v>3765</v>
      </c>
      <c r="O3025" t="s">
        <v>3766</v>
      </c>
      <c r="P3025" t="s">
        <v>10620</v>
      </c>
      <c r="Q3025" t="s">
        <v>10621</v>
      </c>
      <c r="R3025" t="s">
        <v>10622</v>
      </c>
    </row>
    <row r="3026" spans="1:18" x14ac:dyDescent="0.2">
      <c r="A3026">
        <v>1759557</v>
      </c>
      <c r="B3026" t="s">
        <v>10623</v>
      </c>
      <c r="C3026">
        <v>0</v>
      </c>
      <c r="D3026">
        <v>0</v>
      </c>
      <c r="E3026">
        <v>1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 t="s">
        <v>3284</v>
      </c>
      <c r="M3026" t="s">
        <v>3327</v>
      </c>
      <c r="N3026" t="s">
        <v>3376</v>
      </c>
      <c r="O3026" t="s">
        <v>3377</v>
      </c>
      <c r="P3026" t="s">
        <v>5514</v>
      </c>
      <c r="Q3026" t="s">
        <v>7948</v>
      </c>
      <c r="R3026" t="s">
        <v>10624</v>
      </c>
    </row>
    <row r="3027" spans="1:18" x14ac:dyDescent="0.2">
      <c r="A3027">
        <v>1758642</v>
      </c>
      <c r="B3027" t="s">
        <v>10625</v>
      </c>
      <c r="C3027">
        <v>0</v>
      </c>
      <c r="D3027">
        <v>1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 t="s">
        <v>3284</v>
      </c>
      <c r="M3027" t="s">
        <v>3327</v>
      </c>
      <c r="N3027" t="s">
        <v>3376</v>
      </c>
      <c r="O3027" t="s">
        <v>3377</v>
      </c>
      <c r="P3027" t="s">
        <v>3378</v>
      </c>
      <c r="Q3027" t="s">
        <v>3379</v>
      </c>
      <c r="R3027" t="s">
        <v>10626</v>
      </c>
    </row>
    <row r="3028" spans="1:18" x14ac:dyDescent="0.2">
      <c r="A3028">
        <v>1758398</v>
      </c>
      <c r="B3028" t="s">
        <v>10627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1</v>
      </c>
      <c r="L3028" t="s">
        <v>3284</v>
      </c>
      <c r="M3028" t="s">
        <v>3296</v>
      </c>
      <c r="N3028" t="s">
        <v>3321</v>
      </c>
      <c r="O3028" t="s">
        <v>3322</v>
      </c>
      <c r="P3028" t="s">
        <v>3423</v>
      </c>
      <c r="Q3028" t="s">
        <v>4394</v>
      </c>
      <c r="R3028" t="s">
        <v>10628</v>
      </c>
    </row>
    <row r="3029" spans="1:18" x14ac:dyDescent="0.2">
      <c r="A3029">
        <v>1756988</v>
      </c>
      <c r="B3029" t="s">
        <v>10629</v>
      </c>
      <c r="C3029">
        <v>1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 t="s">
        <v>3284</v>
      </c>
      <c r="M3029" t="s">
        <v>3296</v>
      </c>
      <c r="N3029" t="s">
        <v>3343</v>
      </c>
      <c r="O3029" t="s">
        <v>3344</v>
      </c>
      <c r="P3029" t="s">
        <v>3898</v>
      </c>
      <c r="Q3029" t="s">
        <v>8204</v>
      </c>
      <c r="R3029" t="s">
        <v>10630</v>
      </c>
    </row>
    <row r="3030" spans="1:18" x14ac:dyDescent="0.2">
      <c r="A3030">
        <v>1756396</v>
      </c>
      <c r="B3030" t="s">
        <v>10631</v>
      </c>
      <c r="C3030">
        <v>0</v>
      </c>
      <c r="D3030">
        <v>0</v>
      </c>
      <c r="E3030">
        <v>0</v>
      </c>
      <c r="F3030">
        <v>0</v>
      </c>
      <c r="G3030">
        <v>1</v>
      </c>
      <c r="H3030">
        <v>0</v>
      </c>
      <c r="I3030">
        <v>0</v>
      </c>
      <c r="J3030">
        <v>0</v>
      </c>
      <c r="K3030">
        <v>0</v>
      </c>
      <c r="L3030" t="s">
        <v>3284</v>
      </c>
      <c r="M3030" t="s">
        <v>3391</v>
      </c>
      <c r="N3030" t="s">
        <v>3392</v>
      </c>
      <c r="O3030" t="s">
        <v>3393</v>
      </c>
      <c r="P3030" t="s">
        <v>3394</v>
      </c>
      <c r="Q3030" t="s">
        <v>3395</v>
      </c>
      <c r="R3030" t="s">
        <v>10632</v>
      </c>
    </row>
    <row r="3031" spans="1:18" x14ac:dyDescent="0.2">
      <c r="A3031">
        <v>1756384</v>
      </c>
      <c r="B3031" t="s">
        <v>10633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2</v>
      </c>
      <c r="J3031">
        <v>0</v>
      </c>
      <c r="K3031">
        <v>0</v>
      </c>
      <c r="L3031" t="s">
        <v>3284</v>
      </c>
      <c r="M3031" t="s">
        <v>3307</v>
      </c>
      <c r="N3031" t="s">
        <v>3308</v>
      </c>
      <c r="O3031" t="s">
        <v>3359</v>
      </c>
      <c r="P3031" t="s">
        <v>3360</v>
      </c>
      <c r="Q3031" t="s">
        <v>7433</v>
      </c>
      <c r="R3031" t="s">
        <v>10634</v>
      </c>
    </row>
    <row r="3032" spans="1:18" x14ac:dyDescent="0.2">
      <c r="A3032">
        <v>1756043</v>
      </c>
      <c r="B3032" t="s">
        <v>10635</v>
      </c>
      <c r="C3032">
        <v>2</v>
      </c>
      <c r="D3032">
        <v>1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 t="s">
        <v>3284</v>
      </c>
      <c r="M3032" t="s">
        <v>3296</v>
      </c>
      <c r="N3032" t="s">
        <v>3343</v>
      </c>
      <c r="O3032" t="s">
        <v>3371</v>
      </c>
      <c r="P3032" t="s">
        <v>3688</v>
      </c>
      <c r="Q3032" t="s">
        <v>6579</v>
      </c>
      <c r="R3032" t="s">
        <v>10636</v>
      </c>
    </row>
    <row r="3033" spans="1:18" x14ac:dyDescent="0.2">
      <c r="A3033">
        <v>1751150</v>
      </c>
      <c r="B3033" t="s">
        <v>10637</v>
      </c>
      <c r="C3033">
        <v>0</v>
      </c>
      <c r="D3033">
        <v>0</v>
      </c>
      <c r="E3033">
        <v>1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 t="s">
        <v>3284</v>
      </c>
      <c r="M3033" t="s">
        <v>3296</v>
      </c>
      <c r="N3033" t="s">
        <v>3321</v>
      </c>
      <c r="O3033" t="s">
        <v>3322</v>
      </c>
      <c r="P3033" t="s">
        <v>3398</v>
      </c>
      <c r="Q3033" t="s">
        <v>4796</v>
      </c>
      <c r="R3033" t="s">
        <v>10638</v>
      </c>
    </row>
    <row r="3034" spans="1:18" x14ac:dyDescent="0.2">
      <c r="A3034">
        <v>1751071</v>
      </c>
      <c r="B3034" t="s">
        <v>10639</v>
      </c>
      <c r="C3034">
        <v>0</v>
      </c>
      <c r="D3034">
        <v>1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 t="s">
        <v>3284</v>
      </c>
      <c r="M3034" t="s">
        <v>3391</v>
      </c>
      <c r="N3034" t="s">
        <v>4129</v>
      </c>
      <c r="O3034" t="s">
        <v>4130</v>
      </c>
      <c r="P3034" t="s">
        <v>4131</v>
      </c>
      <c r="Q3034" t="s">
        <v>9543</v>
      </c>
      <c r="R3034" t="s">
        <v>10640</v>
      </c>
    </row>
    <row r="3035" spans="1:18" x14ac:dyDescent="0.2">
      <c r="A3035">
        <v>1751056</v>
      </c>
      <c r="B3035" t="s">
        <v>10641</v>
      </c>
      <c r="C3035">
        <v>0</v>
      </c>
      <c r="D3035">
        <v>2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 t="s">
        <v>3284</v>
      </c>
      <c r="M3035" t="s">
        <v>3391</v>
      </c>
      <c r="N3035" t="s">
        <v>3411</v>
      </c>
      <c r="O3035" t="s">
        <v>3412</v>
      </c>
      <c r="P3035" t="s">
        <v>3413</v>
      </c>
      <c r="Q3035" t="s">
        <v>3414</v>
      </c>
      <c r="R3035" t="s">
        <v>10642</v>
      </c>
    </row>
    <row r="3036" spans="1:18" x14ac:dyDescent="0.2">
      <c r="A3036">
        <v>1750527</v>
      </c>
      <c r="B3036" t="s">
        <v>10643</v>
      </c>
      <c r="C3036">
        <v>2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2</v>
      </c>
      <c r="J3036">
        <v>0</v>
      </c>
      <c r="K3036">
        <v>0</v>
      </c>
      <c r="L3036" t="s">
        <v>3284</v>
      </c>
      <c r="M3036" t="s">
        <v>3296</v>
      </c>
      <c r="N3036" t="s">
        <v>3343</v>
      </c>
      <c r="O3036" t="s">
        <v>3429</v>
      </c>
      <c r="P3036" t="s">
        <v>3430</v>
      </c>
      <c r="Q3036" t="s">
        <v>3651</v>
      </c>
      <c r="R3036" t="s">
        <v>10644</v>
      </c>
    </row>
    <row r="3037" spans="1:18" x14ac:dyDescent="0.2">
      <c r="A3037">
        <v>1749332</v>
      </c>
      <c r="B3037" t="s">
        <v>10645</v>
      </c>
      <c r="C3037">
        <v>1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 t="s">
        <v>3284</v>
      </c>
      <c r="M3037" t="s">
        <v>3296</v>
      </c>
      <c r="N3037" t="s">
        <v>3297</v>
      </c>
      <c r="O3037" t="s">
        <v>3469</v>
      </c>
      <c r="P3037" t="s">
        <v>3470</v>
      </c>
      <c r="Q3037" t="s">
        <v>10646</v>
      </c>
      <c r="R3037" t="s">
        <v>10647</v>
      </c>
    </row>
    <row r="3038" spans="1:18" x14ac:dyDescent="0.2">
      <c r="A3038">
        <v>1749045</v>
      </c>
      <c r="B3038" t="s">
        <v>10648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1</v>
      </c>
      <c r="L3038" t="s">
        <v>3284</v>
      </c>
      <c r="M3038" t="s">
        <v>9560</v>
      </c>
      <c r="N3038" t="s">
        <v>9561</v>
      </c>
      <c r="O3038" t="s">
        <v>9562</v>
      </c>
      <c r="P3038" t="s">
        <v>9563</v>
      </c>
      <c r="Q3038" t="s">
        <v>9564</v>
      </c>
      <c r="R3038" t="s">
        <v>10649</v>
      </c>
    </row>
    <row r="3039" spans="1:18" x14ac:dyDescent="0.2">
      <c r="A3039">
        <v>1749036</v>
      </c>
      <c r="B3039" t="s">
        <v>10650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1</v>
      </c>
      <c r="J3039">
        <v>0</v>
      </c>
      <c r="K3039">
        <v>0</v>
      </c>
      <c r="L3039" t="s">
        <v>3284</v>
      </c>
      <c r="M3039" t="s">
        <v>3391</v>
      </c>
      <c r="N3039" t="s">
        <v>3740</v>
      </c>
      <c r="O3039" t="s">
        <v>3741</v>
      </c>
      <c r="P3039" t="s">
        <v>3742</v>
      </c>
      <c r="Q3039" t="s">
        <v>4598</v>
      </c>
      <c r="R3039" t="s">
        <v>10651</v>
      </c>
    </row>
    <row r="3040" spans="1:18" x14ac:dyDescent="0.2">
      <c r="A3040">
        <v>1748258</v>
      </c>
      <c r="B3040" t="s">
        <v>10652</v>
      </c>
      <c r="C3040">
        <v>4</v>
      </c>
      <c r="D3040">
        <v>1</v>
      </c>
      <c r="E3040">
        <v>1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 t="s">
        <v>3284</v>
      </c>
      <c r="M3040" t="s">
        <v>3296</v>
      </c>
      <c r="N3040" t="s">
        <v>3343</v>
      </c>
      <c r="O3040" t="s">
        <v>3344</v>
      </c>
      <c r="P3040" t="s">
        <v>4033</v>
      </c>
      <c r="Q3040" t="s">
        <v>4034</v>
      </c>
      <c r="R3040" t="s">
        <v>10653</v>
      </c>
    </row>
    <row r="3041" spans="1:18" x14ac:dyDescent="0.2">
      <c r="A3041">
        <v>1748220</v>
      </c>
      <c r="B3041" t="s">
        <v>10654</v>
      </c>
      <c r="C3041">
        <v>1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 t="s">
        <v>3284</v>
      </c>
      <c r="M3041" t="s">
        <v>3307</v>
      </c>
      <c r="N3041" t="s">
        <v>3308</v>
      </c>
      <c r="O3041" t="s">
        <v>3359</v>
      </c>
      <c r="P3041" t="s">
        <v>3965</v>
      </c>
      <c r="Q3041" t="s">
        <v>10655</v>
      </c>
      <c r="R3041" t="s">
        <v>10656</v>
      </c>
    </row>
    <row r="3042" spans="1:18" x14ac:dyDescent="0.2">
      <c r="A3042">
        <v>1746199</v>
      </c>
      <c r="B3042" t="s">
        <v>10657</v>
      </c>
      <c r="C3042">
        <v>0</v>
      </c>
      <c r="D3042">
        <v>0</v>
      </c>
      <c r="E3042">
        <v>0</v>
      </c>
      <c r="F3042">
        <v>1</v>
      </c>
      <c r="G3042">
        <v>0</v>
      </c>
      <c r="H3042">
        <v>0</v>
      </c>
      <c r="I3042">
        <v>0</v>
      </c>
      <c r="J3042">
        <v>0</v>
      </c>
      <c r="K3042">
        <v>0</v>
      </c>
      <c r="L3042" t="s">
        <v>3284</v>
      </c>
      <c r="M3042" t="s">
        <v>3296</v>
      </c>
      <c r="N3042" t="s">
        <v>3321</v>
      </c>
      <c r="O3042" t="s">
        <v>3322</v>
      </c>
      <c r="P3042" t="s">
        <v>4143</v>
      </c>
      <c r="Q3042" t="s">
        <v>6285</v>
      </c>
      <c r="R3042" t="s">
        <v>10658</v>
      </c>
    </row>
    <row r="3043" spans="1:18" x14ac:dyDescent="0.2">
      <c r="A3043">
        <v>1745966</v>
      </c>
      <c r="B3043" t="s">
        <v>10659</v>
      </c>
      <c r="C3043">
        <v>1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 t="s">
        <v>3284</v>
      </c>
      <c r="M3043" t="s">
        <v>3391</v>
      </c>
      <c r="N3043" t="s">
        <v>3740</v>
      </c>
      <c r="O3043" t="s">
        <v>3741</v>
      </c>
      <c r="P3043" t="s">
        <v>4993</v>
      </c>
      <c r="Q3043" t="s">
        <v>6750</v>
      </c>
      <c r="R3043" t="s">
        <v>10660</v>
      </c>
    </row>
    <row r="3044" spans="1:18" x14ac:dyDescent="0.2">
      <c r="A3044">
        <v>1743167</v>
      </c>
      <c r="B3044" t="s">
        <v>10661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2</v>
      </c>
      <c r="J3044">
        <v>0</v>
      </c>
      <c r="K3044">
        <v>0</v>
      </c>
      <c r="L3044" t="s">
        <v>3284</v>
      </c>
      <c r="M3044" t="s">
        <v>3296</v>
      </c>
      <c r="N3044" t="s">
        <v>3321</v>
      </c>
      <c r="O3044" t="s">
        <v>3322</v>
      </c>
      <c r="P3044" t="s">
        <v>3423</v>
      </c>
      <c r="Q3044" t="s">
        <v>4394</v>
      </c>
      <c r="R3044" t="s">
        <v>10662</v>
      </c>
    </row>
    <row r="3045" spans="1:18" x14ac:dyDescent="0.2">
      <c r="A3045">
        <v>1743166</v>
      </c>
      <c r="B3045" t="s">
        <v>10663</v>
      </c>
      <c r="C3045">
        <v>1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 t="s">
        <v>3284</v>
      </c>
      <c r="M3045" t="s">
        <v>3296</v>
      </c>
      <c r="N3045" t="s">
        <v>3321</v>
      </c>
      <c r="O3045" t="s">
        <v>3322</v>
      </c>
      <c r="P3045" t="s">
        <v>3423</v>
      </c>
      <c r="Q3045" t="s">
        <v>4394</v>
      </c>
      <c r="R3045" t="s">
        <v>10664</v>
      </c>
    </row>
    <row r="3046" spans="1:18" x14ac:dyDescent="0.2">
      <c r="A3046">
        <v>1743159</v>
      </c>
      <c r="B3046" t="s">
        <v>10665</v>
      </c>
      <c r="C3046">
        <v>1</v>
      </c>
      <c r="D3046">
        <v>1</v>
      </c>
      <c r="E3046">
        <v>0</v>
      </c>
      <c r="F3046">
        <v>0</v>
      </c>
      <c r="G3046">
        <v>0</v>
      </c>
      <c r="H3046">
        <v>0</v>
      </c>
      <c r="I3046">
        <v>57</v>
      </c>
      <c r="J3046">
        <v>22</v>
      </c>
      <c r="K3046">
        <v>6</v>
      </c>
      <c r="L3046" t="s">
        <v>3284</v>
      </c>
      <c r="M3046" t="s">
        <v>3296</v>
      </c>
      <c r="N3046" t="s">
        <v>3321</v>
      </c>
      <c r="O3046" t="s">
        <v>3322</v>
      </c>
      <c r="P3046" t="s">
        <v>3423</v>
      </c>
      <c r="Q3046" t="s">
        <v>4394</v>
      </c>
      <c r="R3046" t="s">
        <v>10666</v>
      </c>
    </row>
    <row r="3047" spans="1:18" x14ac:dyDescent="0.2">
      <c r="A3047">
        <v>1743158</v>
      </c>
      <c r="B3047" t="s">
        <v>10667</v>
      </c>
      <c r="C3047">
        <v>0</v>
      </c>
      <c r="D3047">
        <v>1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 t="s">
        <v>3284</v>
      </c>
      <c r="M3047" t="s">
        <v>3296</v>
      </c>
      <c r="N3047" t="s">
        <v>3321</v>
      </c>
      <c r="O3047" t="s">
        <v>3322</v>
      </c>
      <c r="P3047" t="s">
        <v>3423</v>
      </c>
      <c r="Q3047" t="s">
        <v>4394</v>
      </c>
      <c r="R3047" t="s">
        <v>10668</v>
      </c>
    </row>
    <row r="3048" spans="1:18" x14ac:dyDescent="0.2">
      <c r="A3048">
        <v>1743157</v>
      </c>
      <c r="B3048" t="s">
        <v>10669</v>
      </c>
      <c r="C3048">
        <v>1</v>
      </c>
      <c r="D3048">
        <v>1</v>
      </c>
      <c r="E3048">
        <v>0</v>
      </c>
      <c r="F3048">
        <v>0</v>
      </c>
      <c r="G3048">
        <v>0</v>
      </c>
      <c r="H3048">
        <v>0</v>
      </c>
      <c r="I3048">
        <v>2</v>
      </c>
      <c r="J3048">
        <v>0</v>
      </c>
      <c r="K3048">
        <v>0</v>
      </c>
      <c r="L3048" t="s">
        <v>3284</v>
      </c>
      <c r="M3048" t="s">
        <v>3296</v>
      </c>
      <c r="N3048" t="s">
        <v>3321</v>
      </c>
      <c r="O3048" t="s">
        <v>3322</v>
      </c>
      <c r="P3048" t="s">
        <v>3423</v>
      </c>
      <c r="Q3048" t="s">
        <v>4394</v>
      </c>
      <c r="R3048" t="s">
        <v>10670</v>
      </c>
    </row>
    <row r="3049" spans="1:18" x14ac:dyDescent="0.2">
      <c r="A3049">
        <v>1742858</v>
      </c>
      <c r="B3049" t="s">
        <v>10671</v>
      </c>
      <c r="C3049">
        <v>0</v>
      </c>
      <c r="D3049">
        <v>0</v>
      </c>
      <c r="E3049">
        <v>0</v>
      </c>
      <c r="F3049">
        <v>0</v>
      </c>
      <c r="G3049">
        <v>1</v>
      </c>
      <c r="H3049">
        <v>0</v>
      </c>
      <c r="I3049">
        <v>0</v>
      </c>
      <c r="J3049">
        <v>0</v>
      </c>
      <c r="K3049">
        <v>0</v>
      </c>
      <c r="L3049" t="s">
        <v>3284</v>
      </c>
      <c r="M3049" t="s">
        <v>3391</v>
      </c>
      <c r="N3049" t="s">
        <v>3411</v>
      </c>
      <c r="O3049" t="s">
        <v>3412</v>
      </c>
      <c r="P3049" t="s">
        <v>3564</v>
      </c>
      <c r="Q3049" t="s">
        <v>3803</v>
      </c>
      <c r="R3049" t="s">
        <v>10672</v>
      </c>
    </row>
    <row r="3050" spans="1:18" x14ac:dyDescent="0.2">
      <c r="A3050">
        <v>1740721</v>
      </c>
      <c r="B3050" t="s">
        <v>10673</v>
      </c>
      <c r="C3050">
        <v>1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 t="s">
        <v>3284</v>
      </c>
      <c r="M3050" t="s">
        <v>3327</v>
      </c>
      <c r="N3050" t="s">
        <v>3376</v>
      </c>
      <c r="O3050" t="s">
        <v>3377</v>
      </c>
      <c r="P3050" t="s">
        <v>3378</v>
      </c>
      <c r="Q3050" t="s">
        <v>3608</v>
      </c>
      <c r="R3050" t="s">
        <v>10674</v>
      </c>
    </row>
    <row r="3051" spans="1:18" x14ac:dyDescent="0.2">
      <c r="A3051">
        <v>1740090</v>
      </c>
      <c r="B3051" t="s">
        <v>10675</v>
      </c>
      <c r="C3051">
        <v>0</v>
      </c>
      <c r="D3051">
        <v>2</v>
      </c>
      <c r="E3051">
        <v>0</v>
      </c>
      <c r="F3051">
        <v>0</v>
      </c>
      <c r="G3051">
        <v>0</v>
      </c>
      <c r="H3051">
        <v>0</v>
      </c>
      <c r="I3051">
        <v>1</v>
      </c>
      <c r="J3051">
        <v>0</v>
      </c>
      <c r="K3051">
        <v>0</v>
      </c>
      <c r="L3051" t="s">
        <v>3284</v>
      </c>
      <c r="M3051" t="s">
        <v>3391</v>
      </c>
      <c r="N3051" t="s">
        <v>3392</v>
      </c>
      <c r="O3051" t="s">
        <v>3393</v>
      </c>
      <c r="P3051" t="s">
        <v>3394</v>
      </c>
      <c r="Q3051" t="s">
        <v>3395</v>
      </c>
      <c r="R3051" t="s">
        <v>10676</v>
      </c>
    </row>
    <row r="3052" spans="1:18" x14ac:dyDescent="0.2">
      <c r="A3052">
        <v>1738647</v>
      </c>
      <c r="B3052" t="s">
        <v>10677</v>
      </c>
      <c r="C3052">
        <v>0</v>
      </c>
      <c r="D3052">
        <v>2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 t="s">
        <v>3284</v>
      </c>
      <c r="M3052" t="s">
        <v>3327</v>
      </c>
      <c r="N3052" t="s">
        <v>3328</v>
      </c>
      <c r="O3052" t="s">
        <v>3329</v>
      </c>
      <c r="P3052" t="s">
        <v>6299</v>
      </c>
      <c r="Q3052" t="s">
        <v>6300</v>
      </c>
      <c r="R3052" t="s">
        <v>10678</v>
      </c>
    </row>
    <row r="3053" spans="1:18" x14ac:dyDescent="0.2">
      <c r="A3053">
        <v>1737568</v>
      </c>
      <c r="B3053" t="s">
        <v>10679</v>
      </c>
      <c r="C3053">
        <v>0</v>
      </c>
      <c r="D3053">
        <v>0</v>
      </c>
      <c r="E3053">
        <v>0</v>
      </c>
      <c r="F3053">
        <v>1</v>
      </c>
      <c r="G3053">
        <v>0</v>
      </c>
      <c r="H3053">
        <v>0</v>
      </c>
      <c r="I3053">
        <v>0</v>
      </c>
      <c r="J3053">
        <v>0</v>
      </c>
      <c r="K3053">
        <v>0</v>
      </c>
      <c r="L3053" t="s">
        <v>3284</v>
      </c>
      <c r="M3053" t="s">
        <v>3296</v>
      </c>
      <c r="N3053" t="s">
        <v>3343</v>
      </c>
      <c r="O3053" t="s">
        <v>3349</v>
      </c>
      <c r="P3053" t="s">
        <v>4285</v>
      </c>
      <c r="Q3053" t="s">
        <v>4286</v>
      </c>
      <c r="R3053" t="s">
        <v>10680</v>
      </c>
    </row>
    <row r="3054" spans="1:18" x14ac:dyDescent="0.2">
      <c r="A3054">
        <v>1737515</v>
      </c>
      <c r="B3054" t="s">
        <v>10681</v>
      </c>
      <c r="C3054">
        <v>15</v>
      </c>
      <c r="D3054">
        <v>20</v>
      </c>
      <c r="E3054">
        <v>32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 t="s">
        <v>3284</v>
      </c>
      <c r="M3054" t="s">
        <v>3296</v>
      </c>
      <c r="N3054" t="s">
        <v>3297</v>
      </c>
      <c r="O3054" t="s">
        <v>3298</v>
      </c>
      <c r="P3054" t="s">
        <v>3299</v>
      </c>
      <c r="Q3054" t="s">
        <v>3300</v>
      </c>
      <c r="R3054" t="s">
        <v>10682</v>
      </c>
    </row>
    <row r="3055" spans="1:18" x14ac:dyDescent="0.2">
      <c r="A3055">
        <v>1737446</v>
      </c>
      <c r="B3055" t="s">
        <v>10683</v>
      </c>
      <c r="C3055">
        <v>0</v>
      </c>
      <c r="D3055">
        <v>0</v>
      </c>
      <c r="E3055">
        <v>0</v>
      </c>
      <c r="F3055">
        <v>1</v>
      </c>
      <c r="G3055">
        <v>0</v>
      </c>
      <c r="H3055">
        <v>0</v>
      </c>
      <c r="I3055">
        <v>0</v>
      </c>
      <c r="J3055">
        <v>0</v>
      </c>
      <c r="K3055">
        <v>0</v>
      </c>
      <c r="L3055" t="s">
        <v>3284</v>
      </c>
      <c r="M3055" t="s">
        <v>3296</v>
      </c>
      <c r="N3055" t="s">
        <v>3321</v>
      </c>
      <c r="O3055" t="s">
        <v>5306</v>
      </c>
      <c r="P3055" t="s">
        <v>5385</v>
      </c>
      <c r="Q3055" t="s">
        <v>10684</v>
      </c>
      <c r="R3055" t="s">
        <v>10685</v>
      </c>
    </row>
    <row r="3056" spans="1:18" x14ac:dyDescent="0.2">
      <c r="A3056">
        <v>1737424</v>
      </c>
      <c r="B3056" t="s">
        <v>10686</v>
      </c>
      <c r="C3056">
        <v>0</v>
      </c>
      <c r="D3056">
        <v>0</v>
      </c>
      <c r="E3056">
        <v>1</v>
      </c>
      <c r="F3056">
        <v>0</v>
      </c>
      <c r="G3056">
        <v>0</v>
      </c>
      <c r="H3056">
        <v>1</v>
      </c>
      <c r="I3056">
        <v>0</v>
      </c>
      <c r="J3056">
        <v>0</v>
      </c>
      <c r="K3056">
        <v>1</v>
      </c>
      <c r="L3056" t="s">
        <v>3284</v>
      </c>
      <c r="M3056" t="s">
        <v>3327</v>
      </c>
      <c r="N3056" t="s">
        <v>3328</v>
      </c>
      <c r="O3056" t="s">
        <v>4017</v>
      </c>
      <c r="P3056" t="s">
        <v>4018</v>
      </c>
      <c r="Q3056" t="s">
        <v>10687</v>
      </c>
      <c r="R3056" t="s">
        <v>10688</v>
      </c>
    </row>
    <row r="3057" spans="1:18" x14ac:dyDescent="0.2">
      <c r="A3057">
        <v>1737356</v>
      </c>
      <c r="B3057" t="s">
        <v>10689</v>
      </c>
      <c r="C3057">
        <v>0</v>
      </c>
      <c r="D3057">
        <v>0</v>
      </c>
      <c r="E3057">
        <v>0</v>
      </c>
      <c r="F3057">
        <v>0</v>
      </c>
      <c r="G3057">
        <v>2</v>
      </c>
      <c r="H3057">
        <v>0</v>
      </c>
      <c r="I3057">
        <v>0</v>
      </c>
      <c r="J3057">
        <v>0</v>
      </c>
      <c r="K3057">
        <v>0</v>
      </c>
      <c r="L3057" t="s">
        <v>3284</v>
      </c>
      <c r="M3057" t="s">
        <v>3391</v>
      </c>
      <c r="N3057" t="s">
        <v>3392</v>
      </c>
      <c r="O3057" t="s">
        <v>3393</v>
      </c>
      <c r="P3057" t="s">
        <v>3394</v>
      </c>
      <c r="Q3057" t="s">
        <v>3395</v>
      </c>
      <c r="R3057" t="s">
        <v>10690</v>
      </c>
    </row>
    <row r="3058" spans="1:18" x14ac:dyDescent="0.2">
      <c r="A3058">
        <v>1737063</v>
      </c>
      <c r="B3058" t="s">
        <v>10691</v>
      </c>
      <c r="C3058">
        <v>0</v>
      </c>
      <c r="D3058">
        <v>0</v>
      </c>
      <c r="E3058">
        <v>0</v>
      </c>
      <c r="F3058">
        <v>1</v>
      </c>
      <c r="G3058">
        <v>0</v>
      </c>
      <c r="H3058">
        <v>0</v>
      </c>
      <c r="I3058">
        <v>0</v>
      </c>
      <c r="J3058">
        <v>0</v>
      </c>
      <c r="K3058">
        <v>0</v>
      </c>
      <c r="L3058" t="s">
        <v>3284</v>
      </c>
      <c r="M3058" t="s">
        <v>3391</v>
      </c>
      <c r="N3058" t="s">
        <v>3411</v>
      </c>
      <c r="O3058" t="s">
        <v>3412</v>
      </c>
      <c r="P3058" t="s">
        <v>7008</v>
      </c>
      <c r="Q3058" t="s">
        <v>9057</v>
      </c>
      <c r="R3058" t="s">
        <v>10692</v>
      </c>
    </row>
    <row r="3059" spans="1:18" x14ac:dyDescent="0.2">
      <c r="A3059">
        <v>1736610</v>
      </c>
      <c r="B3059" t="s">
        <v>10693</v>
      </c>
      <c r="C3059">
        <v>0</v>
      </c>
      <c r="D3059">
        <v>0</v>
      </c>
      <c r="E3059">
        <v>0</v>
      </c>
      <c r="F3059">
        <v>2</v>
      </c>
      <c r="G3059">
        <v>2</v>
      </c>
      <c r="H3059">
        <v>0</v>
      </c>
      <c r="I3059">
        <v>0</v>
      </c>
      <c r="J3059">
        <v>0</v>
      </c>
      <c r="K3059">
        <v>0</v>
      </c>
      <c r="L3059" t="s">
        <v>3284</v>
      </c>
      <c r="M3059" t="s">
        <v>3391</v>
      </c>
      <c r="N3059" t="s">
        <v>3411</v>
      </c>
      <c r="O3059" t="s">
        <v>3412</v>
      </c>
      <c r="P3059" t="s">
        <v>3413</v>
      </c>
      <c r="Q3059" t="s">
        <v>3414</v>
      </c>
      <c r="R3059" t="s">
        <v>10694</v>
      </c>
    </row>
    <row r="3060" spans="1:18" x14ac:dyDescent="0.2">
      <c r="A3060">
        <v>1736594</v>
      </c>
      <c r="B3060" t="s">
        <v>10695</v>
      </c>
      <c r="C3060">
        <v>0</v>
      </c>
      <c r="D3060">
        <v>0</v>
      </c>
      <c r="E3060">
        <v>0</v>
      </c>
      <c r="F3060">
        <v>1</v>
      </c>
      <c r="G3060">
        <v>2</v>
      </c>
      <c r="H3060">
        <v>0</v>
      </c>
      <c r="I3060">
        <v>0</v>
      </c>
      <c r="J3060">
        <v>0</v>
      </c>
      <c r="K3060">
        <v>0</v>
      </c>
      <c r="L3060" t="s">
        <v>3284</v>
      </c>
      <c r="M3060" t="s">
        <v>3296</v>
      </c>
      <c r="N3060" t="s">
        <v>3343</v>
      </c>
      <c r="O3060" t="s">
        <v>3349</v>
      </c>
      <c r="P3060" t="s">
        <v>3350</v>
      </c>
      <c r="Q3060" t="s">
        <v>3580</v>
      </c>
      <c r="R3060" t="s">
        <v>10696</v>
      </c>
    </row>
    <row r="3061" spans="1:18" x14ac:dyDescent="0.2">
      <c r="A3061">
        <v>1736590</v>
      </c>
      <c r="B3061" t="s">
        <v>10697</v>
      </c>
      <c r="C3061">
        <v>1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3</v>
      </c>
      <c r="J3061">
        <v>0</v>
      </c>
      <c r="K3061">
        <v>0</v>
      </c>
      <c r="L3061" t="s">
        <v>3284</v>
      </c>
      <c r="M3061" t="s">
        <v>3296</v>
      </c>
      <c r="N3061" t="s">
        <v>3321</v>
      </c>
      <c r="O3061" t="s">
        <v>3322</v>
      </c>
      <c r="P3061" t="s">
        <v>3398</v>
      </c>
      <c r="Q3061" t="s">
        <v>3556</v>
      </c>
      <c r="R3061" t="s">
        <v>10698</v>
      </c>
    </row>
    <row r="3062" spans="1:18" x14ac:dyDescent="0.2">
      <c r="A3062">
        <v>1736587</v>
      </c>
      <c r="B3062" t="s">
        <v>10699</v>
      </c>
      <c r="C3062">
        <v>1</v>
      </c>
      <c r="D3062">
        <v>0</v>
      </c>
      <c r="E3062">
        <v>0</v>
      </c>
      <c r="F3062">
        <v>1</v>
      </c>
      <c r="G3062">
        <v>0</v>
      </c>
      <c r="H3062">
        <v>0</v>
      </c>
      <c r="I3062">
        <v>0</v>
      </c>
      <c r="J3062">
        <v>0</v>
      </c>
      <c r="K3062">
        <v>0</v>
      </c>
      <c r="L3062" t="s">
        <v>3284</v>
      </c>
      <c r="M3062" t="s">
        <v>3296</v>
      </c>
      <c r="N3062" t="s">
        <v>3343</v>
      </c>
      <c r="O3062" t="s">
        <v>3344</v>
      </c>
      <c r="P3062" t="s">
        <v>3345</v>
      </c>
      <c r="Q3062" t="s">
        <v>3346</v>
      </c>
      <c r="R3062" t="s">
        <v>10700</v>
      </c>
    </row>
    <row r="3063" spans="1:18" x14ac:dyDescent="0.2">
      <c r="A3063">
        <v>1736583</v>
      </c>
      <c r="B3063" t="s">
        <v>10701</v>
      </c>
      <c r="C3063">
        <v>0</v>
      </c>
      <c r="D3063">
        <v>0</v>
      </c>
      <c r="E3063">
        <v>0</v>
      </c>
      <c r="F3063">
        <v>0</v>
      </c>
      <c r="G3063">
        <v>1</v>
      </c>
      <c r="H3063">
        <v>0</v>
      </c>
      <c r="I3063">
        <v>2</v>
      </c>
      <c r="J3063">
        <v>0</v>
      </c>
      <c r="K3063">
        <v>0</v>
      </c>
      <c r="L3063" t="s">
        <v>3284</v>
      </c>
      <c r="M3063" t="s">
        <v>3296</v>
      </c>
      <c r="N3063" t="s">
        <v>3343</v>
      </c>
      <c r="O3063" t="s">
        <v>3344</v>
      </c>
      <c r="P3063" t="s">
        <v>3367</v>
      </c>
      <c r="Q3063" t="s">
        <v>3368</v>
      </c>
      <c r="R3063" t="s">
        <v>10702</v>
      </c>
    </row>
    <row r="3064" spans="1:18" x14ac:dyDescent="0.2">
      <c r="A3064">
        <v>1736578</v>
      </c>
      <c r="B3064" t="s">
        <v>10703</v>
      </c>
      <c r="C3064">
        <v>0</v>
      </c>
      <c r="D3064">
        <v>0</v>
      </c>
      <c r="E3064">
        <v>0</v>
      </c>
      <c r="F3064">
        <v>1</v>
      </c>
      <c r="G3064">
        <v>0</v>
      </c>
      <c r="H3064">
        <v>0</v>
      </c>
      <c r="I3064">
        <v>0</v>
      </c>
      <c r="J3064">
        <v>0</v>
      </c>
      <c r="K3064">
        <v>0</v>
      </c>
      <c r="L3064" t="s">
        <v>3284</v>
      </c>
      <c r="M3064" t="s">
        <v>3296</v>
      </c>
      <c r="N3064" t="s">
        <v>3343</v>
      </c>
      <c r="O3064" t="s">
        <v>3402</v>
      </c>
      <c r="P3064" t="s">
        <v>3403</v>
      </c>
      <c r="Q3064" t="s">
        <v>3404</v>
      </c>
      <c r="R3064" t="s">
        <v>10704</v>
      </c>
    </row>
    <row r="3065" spans="1:18" x14ac:dyDescent="0.2">
      <c r="A3065">
        <v>1736576</v>
      </c>
      <c r="B3065" t="s">
        <v>10705</v>
      </c>
      <c r="C3065">
        <v>0</v>
      </c>
      <c r="D3065">
        <v>1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 t="s">
        <v>3284</v>
      </c>
      <c r="M3065" t="s">
        <v>3296</v>
      </c>
      <c r="N3065" t="s">
        <v>3297</v>
      </c>
      <c r="O3065" t="s">
        <v>3469</v>
      </c>
      <c r="P3065" t="s">
        <v>3470</v>
      </c>
      <c r="Q3065" t="s">
        <v>6962</v>
      </c>
      <c r="R3065" t="s">
        <v>10706</v>
      </c>
    </row>
    <row r="3066" spans="1:18" x14ac:dyDescent="0.2">
      <c r="A3066">
        <v>1736570</v>
      </c>
      <c r="B3066" t="s">
        <v>10707</v>
      </c>
      <c r="C3066">
        <v>1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1</v>
      </c>
      <c r="J3066">
        <v>0</v>
      </c>
      <c r="K3066">
        <v>0</v>
      </c>
      <c r="L3066" t="s">
        <v>3284</v>
      </c>
      <c r="M3066" t="s">
        <v>3307</v>
      </c>
      <c r="N3066" t="s">
        <v>3308</v>
      </c>
      <c r="O3066" t="s">
        <v>3359</v>
      </c>
      <c r="P3066" t="s">
        <v>3360</v>
      </c>
      <c r="Q3066" t="s">
        <v>3361</v>
      </c>
      <c r="R3066" t="s">
        <v>10708</v>
      </c>
    </row>
    <row r="3067" spans="1:18" x14ac:dyDescent="0.2">
      <c r="A3067">
        <v>1736565</v>
      </c>
      <c r="B3067" t="s">
        <v>10709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6</v>
      </c>
      <c r="J3067">
        <v>3</v>
      </c>
      <c r="K3067">
        <v>3</v>
      </c>
      <c r="L3067" t="s">
        <v>3284</v>
      </c>
      <c r="M3067" t="s">
        <v>3296</v>
      </c>
      <c r="N3067" t="s">
        <v>3321</v>
      </c>
      <c r="O3067" t="s">
        <v>3322</v>
      </c>
      <c r="P3067" t="s">
        <v>3398</v>
      </c>
      <c r="Q3067" t="s">
        <v>3556</v>
      </c>
      <c r="R3067" t="s">
        <v>10710</v>
      </c>
    </row>
    <row r="3068" spans="1:18" x14ac:dyDescent="0.2">
      <c r="A3068">
        <v>1736550</v>
      </c>
      <c r="B3068" t="s">
        <v>10711</v>
      </c>
      <c r="C3068">
        <v>0</v>
      </c>
      <c r="D3068">
        <v>0</v>
      </c>
      <c r="E3068">
        <v>0</v>
      </c>
      <c r="F3068">
        <v>1</v>
      </c>
      <c r="G3068">
        <v>1</v>
      </c>
      <c r="H3068">
        <v>0</v>
      </c>
      <c r="I3068">
        <v>0</v>
      </c>
      <c r="J3068">
        <v>0</v>
      </c>
      <c r="K3068">
        <v>0</v>
      </c>
      <c r="L3068" t="s">
        <v>3284</v>
      </c>
      <c r="M3068" t="s">
        <v>3307</v>
      </c>
      <c r="N3068" t="s">
        <v>3308</v>
      </c>
      <c r="O3068" t="s">
        <v>3309</v>
      </c>
      <c r="P3068" t="s">
        <v>3310</v>
      </c>
      <c r="Q3068" t="s">
        <v>7210</v>
      </c>
      <c r="R3068" t="s">
        <v>10712</v>
      </c>
    </row>
    <row r="3069" spans="1:18" x14ac:dyDescent="0.2">
      <c r="A3069">
        <v>1736547</v>
      </c>
      <c r="B3069" t="s">
        <v>10713</v>
      </c>
      <c r="C3069">
        <v>0</v>
      </c>
      <c r="D3069">
        <v>0</v>
      </c>
      <c r="E3069">
        <v>0</v>
      </c>
      <c r="F3069">
        <v>2</v>
      </c>
      <c r="G3069">
        <v>0</v>
      </c>
      <c r="H3069">
        <v>0</v>
      </c>
      <c r="I3069">
        <v>0</v>
      </c>
      <c r="J3069">
        <v>0</v>
      </c>
      <c r="K3069">
        <v>0</v>
      </c>
      <c r="L3069" t="s">
        <v>3284</v>
      </c>
      <c r="M3069" t="s">
        <v>3296</v>
      </c>
      <c r="N3069" t="s">
        <v>3343</v>
      </c>
      <c r="O3069" t="s">
        <v>3402</v>
      </c>
      <c r="P3069" t="s">
        <v>3403</v>
      </c>
      <c r="Q3069" t="s">
        <v>3404</v>
      </c>
      <c r="R3069" t="s">
        <v>10714</v>
      </c>
    </row>
    <row r="3070" spans="1:18" x14ac:dyDescent="0.2">
      <c r="A3070">
        <v>1736545</v>
      </c>
      <c r="B3070" t="s">
        <v>10715</v>
      </c>
      <c r="C3070">
        <v>0</v>
      </c>
      <c r="D3070">
        <v>0</v>
      </c>
      <c r="E3070">
        <v>0</v>
      </c>
      <c r="F3070">
        <v>1</v>
      </c>
      <c r="G3070">
        <v>0</v>
      </c>
      <c r="H3070">
        <v>0</v>
      </c>
      <c r="I3070">
        <v>0</v>
      </c>
      <c r="J3070">
        <v>0</v>
      </c>
      <c r="K3070">
        <v>0</v>
      </c>
      <c r="L3070" t="s">
        <v>3284</v>
      </c>
      <c r="M3070" t="s">
        <v>3296</v>
      </c>
      <c r="N3070" t="s">
        <v>3343</v>
      </c>
      <c r="O3070" t="s">
        <v>3344</v>
      </c>
      <c r="P3070" t="s">
        <v>3355</v>
      </c>
      <c r="Q3070" t="s">
        <v>3356</v>
      </c>
      <c r="R3070" t="s">
        <v>10716</v>
      </c>
    </row>
    <row r="3071" spans="1:18" x14ac:dyDescent="0.2">
      <c r="A3071">
        <v>1736541</v>
      </c>
      <c r="B3071" t="s">
        <v>10717</v>
      </c>
      <c r="C3071">
        <v>0</v>
      </c>
      <c r="D3071">
        <v>0</v>
      </c>
      <c r="E3071">
        <v>0</v>
      </c>
      <c r="F3071">
        <v>2</v>
      </c>
      <c r="G3071">
        <v>1</v>
      </c>
      <c r="H3071">
        <v>0</v>
      </c>
      <c r="I3071">
        <v>1</v>
      </c>
      <c r="J3071">
        <v>0</v>
      </c>
      <c r="K3071">
        <v>0</v>
      </c>
      <c r="L3071" t="s">
        <v>3284</v>
      </c>
      <c r="M3071" t="s">
        <v>3296</v>
      </c>
      <c r="N3071" t="s">
        <v>3321</v>
      </c>
      <c r="O3071" t="s">
        <v>3322</v>
      </c>
      <c r="P3071" t="s">
        <v>3398</v>
      </c>
      <c r="Q3071" t="s">
        <v>3399</v>
      </c>
      <c r="R3071" t="s">
        <v>10718</v>
      </c>
    </row>
    <row r="3072" spans="1:18" x14ac:dyDescent="0.2">
      <c r="A3072">
        <v>1736536</v>
      </c>
      <c r="B3072" t="s">
        <v>10719</v>
      </c>
      <c r="C3072">
        <v>0</v>
      </c>
      <c r="D3072">
        <v>0</v>
      </c>
      <c r="E3072">
        <v>0</v>
      </c>
      <c r="F3072">
        <v>1</v>
      </c>
      <c r="G3072">
        <v>0</v>
      </c>
      <c r="H3072">
        <v>0</v>
      </c>
      <c r="I3072">
        <v>1</v>
      </c>
      <c r="J3072">
        <v>0</v>
      </c>
      <c r="K3072">
        <v>0</v>
      </c>
      <c r="L3072" t="s">
        <v>3284</v>
      </c>
      <c r="M3072" t="s">
        <v>3296</v>
      </c>
      <c r="N3072" t="s">
        <v>3321</v>
      </c>
      <c r="O3072" t="s">
        <v>3322</v>
      </c>
      <c r="P3072" t="s">
        <v>3398</v>
      </c>
      <c r="Q3072" t="s">
        <v>3399</v>
      </c>
      <c r="R3072" t="s">
        <v>10720</v>
      </c>
    </row>
    <row r="3073" spans="1:18" x14ac:dyDescent="0.2">
      <c r="A3073">
        <v>1736530</v>
      </c>
      <c r="B3073" t="s">
        <v>10721</v>
      </c>
      <c r="C3073">
        <v>0</v>
      </c>
      <c r="D3073">
        <v>0</v>
      </c>
      <c r="E3073">
        <v>0</v>
      </c>
      <c r="F3073">
        <v>2</v>
      </c>
      <c r="G3073">
        <v>3</v>
      </c>
      <c r="H3073">
        <v>0</v>
      </c>
      <c r="I3073">
        <v>0</v>
      </c>
      <c r="J3073">
        <v>0</v>
      </c>
      <c r="K3073">
        <v>0</v>
      </c>
      <c r="L3073" t="s">
        <v>3284</v>
      </c>
      <c r="M3073" t="s">
        <v>3296</v>
      </c>
      <c r="N3073" t="s">
        <v>3321</v>
      </c>
      <c r="O3073" t="s">
        <v>3322</v>
      </c>
      <c r="P3073" t="s">
        <v>3398</v>
      </c>
      <c r="Q3073" t="s">
        <v>3399</v>
      </c>
      <c r="R3073" t="s">
        <v>10722</v>
      </c>
    </row>
    <row r="3074" spans="1:18" x14ac:dyDescent="0.2">
      <c r="A3074">
        <v>1736528</v>
      </c>
      <c r="B3074" t="s">
        <v>10723</v>
      </c>
      <c r="C3074">
        <v>2</v>
      </c>
      <c r="D3074">
        <v>0</v>
      </c>
      <c r="E3074">
        <v>0</v>
      </c>
      <c r="F3074">
        <v>0</v>
      </c>
      <c r="G3074">
        <v>1</v>
      </c>
      <c r="H3074">
        <v>0</v>
      </c>
      <c r="I3074">
        <v>0</v>
      </c>
      <c r="J3074">
        <v>0</v>
      </c>
      <c r="K3074">
        <v>0</v>
      </c>
      <c r="L3074" t="s">
        <v>3284</v>
      </c>
      <c r="M3074" t="s">
        <v>3296</v>
      </c>
      <c r="N3074" t="s">
        <v>3321</v>
      </c>
      <c r="O3074" t="s">
        <v>3322</v>
      </c>
      <c r="P3074" t="s">
        <v>3271</v>
      </c>
      <c r="Q3074" t="s">
        <v>10724</v>
      </c>
      <c r="R3074" t="s">
        <v>10725</v>
      </c>
    </row>
    <row r="3075" spans="1:18" x14ac:dyDescent="0.2">
      <c r="A3075">
        <v>1736527</v>
      </c>
      <c r="B3075" t="s">
        <v>10726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9</v>
      </c>
      <c r="J3075">
        <v>7</v>
      </c>
      <c r="K3075">
        <v>0</v>
      </c>
      <c r="L3075" t="s">
        <v>3284</v>
      </c>
      <c r="M3075" t="s">
        <v>3296</v>
      </c>
      <c r="N3075" t="s">
        <v>3321</v>
      </c>
      <c r="O3075" t="s">
        <v>3322</v>
      </c>
      <c r="P3075" t="s">
        <v>3398</v>
      </c>
      <c r="Q3075" t="s">
        <v>3556</v>
      </c>
      <c r="R3075" t="s">
        <v>10727</v>
      </c>
    </row>
    <row r="3076" spans="1:18" x14ac:dyDescent="0.2">
      <c r="A3076">
        <v>1736524</v>
      </c>
      <c r="B3076" t="s">
        <v>10728</v>
      </c>
      <c r="C3076">
        <v>0</v>
      </c>
      <c r="D3076">
        <v>0</v>
      </c>
      <c r="E3076">
        <v>0</v>
      </c>
      <c r="F3076">
        <v>3</v>
      </c>
      <c r="G3076">
        <v>0</v>
      </c>
      <c r="H3076">
        <v>0</v>
      </c>
      <c r="I3076">
        <v>0</v>
      </c>
      <c r="J3076">
        <v>0</v>
      </c>
      <c r="K3076">
        <v>0</v>
      </c>
      <c r="L3076" t="s">
        <v>3284</v>
      </c>
      <c r="M3076" t="s">
        <v>3296</v>
      </c>
      <c r="N3076" t="s">
        <v>3343</v>
      </c>
      <c r="O3076" t="s">
        <v>3344</v>
      </c>
      <c r="P3076" t="s">
        <v>3367</v>
      </c>
      <c r="Q3076" t="s">
        <v>3368</v>
      </c>
      <c r="R3076" t="s">
        <v>10729</v>
      </c>
    </row>
    <row r="3077" spans="1:18" x14ac:dyDescent="0.2">
      <c r="A3077">
        <v>1736520</v>
      </c>
      <c r="B3077" t="s">
        <v>10730</v>
      </c>
      <c r="C3077">
        <v>1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 t="s">
        <v>3284</v>
      </c>
      <c r="M3077" t="s">
        <v>3296</v>
      </c>
      <c r="N3077" t="s">
        <v>3343</v>
      </c>
      <c r="O3077" t="s">
        <v>3402</v>
      </c>
      <c r="P3077" t="s">
        <v>3403</v>
      </c>
      <c r="Q3077" t="s">
        <v>3404</v>
      </c>
      <c r="R3077" t="s">
        <v>10731</v>
      </c>
    </row>
    <row r="3078" spans="1:18" x14ac:dyDescent="0.2">
      <c r="A3078">
        <v>1736513</v>
      </c>
      <c r="B3078" t="s">
        <v>10732</v>
      </c>
      <c r="C3078">
        <v>1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 t="s">
        <v>3284</v>
      </c>
      <c r="M3078" t="s">
        <v>3296</v>
      </c>
      <c r="N3078" t="s">
        <v>3321</v>
      </c>
      <c r="O3078" t="s">
        <v>3322</v>
      </c>
      <c r="P3078" t="s">
        <v>3398</v>
      </c>
      <c r="Q3078" t="s">
        <v>3399</v>
      </c>
      <c r="R3078" t="s">
        <v>10733</v>
      </c>
    </row>
    <row r="3079" spans="1:18" x14ac:dyDescent="0.2">
      <c r="A3079">
        <v>1736504</v>
      </c>
      <c r="B3079" t="s">
        <v>10734</v>
      </c>
      <c r="C3079">
        <v>0</v>
      </c>
      <c r="D3079">
        <v>0</v>
      </c>
      <c r="E3079">
        <v>0</v>
      </c>
      <c r="F3079">
        <v>0</v>
      </c>
      <c r="G3079">
        <v>1</v>
      </c>
      <c r="H3079">
        <v>0</v>
      </c>
      <c r="I3079">
        <v>0</v>
      </c>
      <c r="J3079">
        <v>0</v>
      </c>
      <c r="K3079">
        <v>0</v>
      </c>
      <c r="L3079" t="s">
        <v>3284</v>
      </c>
      <c r="M3079" t="s">
        <v>3307</v>
      </c>
      <c r="N3079" t="s">
        <v>3308</v>
      </c>
      <c r="O3079" t="s">
        <v>3635</v>
      </c>
      <c r="P3079" t="s">
        <v>4011</v>
      </c>
      <c r="Q3079" t="s">
        <v>4012</v>
      </c>
      <c r="R3079" t="s">
        <v>10735</v>
      </c>
    </row>
    <row r="3080" spans="1:18" x14ac:dyDescent="0.2">
      <c r="A3080">
        <v>1736493</v>
      </c>
      <c r="B3080" t="s">
        <v>10736</v>
      </c>
      <c r="C3080">
        <v>0</v>
      </c>
      <c r="D3080">
        <v>0</v>
      </c>
      <c r="E3080">
        <v>0</v>
      </c>
      <c r="F3080">
        <v>4</v>
      </c>
      <c r="G3080">
        <v>1</v>
      </c>
      <c r="H3080">
        <v>0</v>
      </c>
      <c r="I3080">
        <v>0</v>
      </c>
      <c r="J3080">
        <v>0</v>
      </c>
      <c r="K3080">
        <v>0</v>
      </c>
      <c r="L3080" t="s">
        <v>3284</v>
      </c>
      <c r="M3080" t="s">
        <v>3296</v>
      </c>
      <c r="N3080" t="s">
        <v>3321</v>
      </c>
      <c r="O3080" t="s">
        <v>3322</v>
      </c>
      <c r="P3080" t="s">
        <v>3398</v>
      </c>
      <c r="Q3080" t="s">
        <v>3556</v>
      </c>
      <c r="R3080" t="s">
        <v>10737</v>
      </c>
    </row>
    <row r="3081" spans="1:18" x14ac:dyDescent="0.2">
      <c r="A3081">
        <v>1736492</v>
      </c>
      <c r="B3081" t="s">
        <v>10738</v>
      </c>
      <c r="C3081">
        <v>0</v>
      </c>
      <c r="D3081">
        <v>0</v>
      </c>
      <c r="E3081">
        <v>0</v>
      </c>
      <c r="F3081">
        <v>6</v>
      </c>
      <c r="G3081">
        <v>2</v>
      </c>
      <c r="H3081">
        <v>0</v>
      </c>
      <c r="I3081">
        <v>0</v>
      </c>
      <c r="J3081">
        <v>0</v>
      </c>
      <c r="K3081">
        <v>0</v>
      </c>
      <c r="L3081" t="s">
        <v>3284</v>
      </c>
      <c r="M3081" t="s">
        <v>3296</v>
      </c>
      <c r="N3081" t="s">
        <v>3321</v>
      </c>
      <c r="O3081" t="s">
        <v>3322</v>
      </c>
      <c r="P3081" t="s">
        <v>3398</v>
      </c>
      <c r="Q3081" t="s">
        <v>3556</v>
      </c>
      <c r="R3081" t="s">
        <v>10739</v>
      </c>
    </row>
    <row r="3082" spans="1:18" x14ac:dyDescent="0.2">
      <c r="A3082">
        <v>1736490</v>
      </c>
      <c r="B3082" t="s">
        <v>10740</v>
      </c>
      <c r="C3082">
        <v>2</v>
      </c>
      <c r="D3082">
        <v>0</v>
      </c>
      <c r="E3082">
        <v>1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 t="s">
        <v>3284</v>
      </c>
      <c r="M3082" t="s">
        <v>3296</v>
      </c>
      <c r="N3082" t="s">
        <v>3321</v>
      </c>
      <c r="O3082" t="s">
        <v>3322</v>
      </c>
      <c r="P3082" t="s">
        <v>3398</v>
      </c>
      <c r="Q3082" t="s">
        <v>3841</v>
      </c>
      <c r="R3082" t="s">
        <v>10741</v>
      </c>
    </row>
    <row r="3083" spans="1:18" x14ac:dyDescent="0.2">
      <c r="A3083">
        <v>1736488</v>
      </c>
      <c r="B3083" t="s">
        <v>10742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1</v>
      </c>
      <c r="J3083">
        <v>1</v>
      </c>
      <c r="K3083">
        <v>0</v>
      </c>
      <c r="L3083" t="s">
        <v>3284</v>
      </c>
      <c r="M3083" t="s">
        <v>3307</v>
      </c>
      <c r="N3083" t="s">
        <v>3308</v>
      </c>
      <c r="O3083" t="s">
        <v>3309</v>
      </c>
      <c r="P3083" t="s">
        <v>3310</v>
      </c>
      <c r="Q3083" t="s">
        <v>3311</v>
      </c>
      <c r="R3083" t="s">
        <v>10743</v>
      </c>
    </row>
    <row r="3084" spans="1:18" x14ac:dyDescent="0.2">
      <c r="A3084">
        <v>1736485</v>
      </c>
      <c r="B3084" t="s">
        <v>10744</v>
      </c>
      <c r="C3084">
        <v>0</v>
      </c>
      <c r="D3084">
        <v>0</v>
      </c>
      <c r="E3084">
        <v>0</v>
      </c>
      <c r="F3084">
        <v>1</v>
      </c>
      <c r="G3084">
        <v>2</v>
      </c>
      <c r="H3084">
        <v>0</v>
      </c>
      <c r="I3084">
        <v>0</v>
      </c>
      <c r="J3084">
        <v>0</v>
      </c>
      <c r="K3084">
        <v>0</v>
      </c>
      <c r="L3084" t="s">
        <v>3284</v>
      </c>
      <c r="M3084" t="s">
        <v>3391</v>
      </c>
      <c r="N3084" t="s">
        <v>3411</v>
      </c>
      <c r="O3084" t="s">
        <v>3412</v>
      </c>
      <c r="P3084" t="s">
        <v>3413</v>
      </c>
      <c r="Q3084" t="s">
        <v>3414</v>
      </c>
      <c r="R3084" t="s">
        <v>10745</v>
      </c>
    </row>
    <row r="3085" spans="1:18" x14ac:dyDescent="0.2">
      <c r="A3085">
        <v>1736478</v>
      </c>
      <c r="B3085" t="s">
        <v>10746</v>
      </c>
      <c r="C3085">
        <v>0</v>
      </c>
      <c r="D3085">
        <v>0</v>
      </c>
      <c r="E3085">
        <v>1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 t="s">
        <v>3284</v>
      </c>
      <c r="M3085" t="s">
        <v>3307</v>
      </c>
      <c r="N3085" t="s">
        <v>3308</v>
      </c>
      <c r="O3085" t="s">
        <v>3359</v>
      </c>
      <c r="P3085" t="s">
        <v>3360</v>
      </c>
      <c r="Q3085" t="s">
        <v>3361</v>
      </c>
      <c r="R3085" t="s">
        <v>10747</v>
      </c>
    </row>
    <row r="3086" spans="1:18" x14ac:dyDescent="0.2">
      <c r="A3086">
        <v>1736466</v>
      </c>
      <c r="B3086" t="s">
        <v>10748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1</v>
      </c>
      <c r="J3086">
        <v>0</v>
      </c>
      <c r="K3086">
        <v>0</v>
      </c>
      <c r="L3086" t="s">
        <v>3284</v>
      </c>
      <c r="M3086" t="s">
        <v>3296</v>
      </c>
      <c r="N3086" t="s">
        <v>3343</v>
      </c>
      <c r="O3086" t="s">
        <v>3344</v>
      </c>
      <c r="P3086" t="s">
        <v>3661</v>
      </c>
      <c r="Q3086" t="s">
        <v>10749</v>
      </c>
      <c r="R3086" t="s">
        <v>10750</v>
      </c>
    </row>
    <row r="3087" spans="1:18" x14ac:dyDescent="0.2">
      <c r="A3087">
        <v>1736465</v>
      </c>
      <c r="B3087" t="s">
        <v>10751</v>
      </c>
      <c r="C3087">
        <v>0</v>
      </c>
      <c r="D3087">
        <v>0</v>
      </c>
      <c r="E3087">
        <v>0</v>
      </c>
      <c r="F3087">
        <v>0</v>
      </c>
      <c r="G3087">
        <v>1</v>
      </c>
      <c r="H3087">
        <v>0</v>
      </c>
      <c r="I3087">
        <v>0</v>
      </c>
      <c r="J3087">
        <v>0</v>
      </c>
      <c r="K3087">
        <v>0</v>
      </c>
      <c r="L3087" t="s">
        <v>3284</v>
      </c>
      <c r="M3087" t="s">
        <v>3296</v>
      </c>
      <c r="N3087" t="s">
        <v>3343</v>
      </c>
      <c r="O3087" t="s">
        <v>3402</v>
      </c>
      <c r="P3087" t="s">
        <v>3403</v>
      </c>
      <c r="Q3087" t="s">
        <v>3404</v>
      </c>
      <c r="R3087" t="s">
        <v>10752</v>
      </c>
    </row>
    <row r="3088" spans="1:18" x14ac:dyDescent="0.2">
      <c r="A3088">
        <v>1736444</v>
      </c>
      <c r="B3088" t="s">
        <v>10753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1</v>
      </c>
      <c r="J3088">
        <v>0</v>
      </c>
      <c r="K3088">
        <v>0</v>
      </c>
      <c r="L3088" t="s">
        <v>3284</v>
      </c>
      <c r="M3088" t="s">
        <v>3296</v>
      </c>
      <c r="N3088" t="s">
        <v>3297</v>
      </c>
      <c r="O3088" t="s">
        <v>4037</v>
      </c>
      <c r="P3088" t="s">
        <v>4038</v>
      </c>
      <c r="Q3088" t="s">
        <v>5556</v>
      </c>
      <c r="R3088" t="s">
        <v>10754</v>
      </c>
    </row>
    <row r="3089" spans="1:18" x14ac:dyDescent="0.2">
      <c r="A3089">
        <v>1736428</v>
      </c>
      <c r="B3089" t="s">
        <v>10755</v>
      </c>
      <c r="C3089">
        <v>0</v>
      </c>
      <c r="D3089">
        <v>0</v>
      </c>
      <c r="E3089">
        <v>0</v>
      </c>
      <c r="F3089">
        <v>1</v>
      </c>
      <c r="G3089">
        <v>0</v>
      </c>
      <c r="H3089">
        <v>0</v>
      </c>
      <c r="I3089">
        <v>0</v>
      </c>
      <c r="J3089">
        <v>0</v>
      </c>
      <c r="K3089">
        <v>0</v>
      </c>
      <c r="L3089" t="s">
        <v>3284</v>
      </c>
      <c r="M3089" t="s">
        <v>3296</v>
      </c>
      <c r="N3089" t="s">
        <v>3343</v>
      </c>
      <c r="O3089" t="s">
        <v>3344</v>
      </c>
      <c r="P3089" t="s">
        <v>3355</v>
      </c>
      <c r="Q3089" t="s">
        <v>3356</v>
      </c>
      <c r="R3089" t="s">
        <v>10756</v>
      </c>
    </row>
    <row r="3090" spans="1:18" x14ac:dyDescent="0.2">
      <c r="A3090">
        <v>1736426</v>
      </c>
      <c r="B3090" t="s">
        <v>10757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1</v>
      </c>
      <c r="J3090">
        <v>0</v>
      </c>
      <c r="K3090">
        <v>0</v>
      </c>
      <c r="L3090" t="s">
        <v>3284</v>
      </c>
      <c r="M3090" t="s">
        <v>3307</v>
      </c>
      <c r="N3090" t="s">
        <v>3308</v>
      </c>
      <c r="O3090" t="s">
        <v>3359</v>
      </c>
      <c r="P3090" t="s">
        <v>3360</v>
      </c>
      <c r="Q3090" t="s">
        <v>3515</v>
      </c>
      <c r="R3090" t="s">
        <v>10758</v>
      </c>
    </row>
    <row r="3091" spans="1:18" x14ac:dyDescent="0.2">
      <c r="A3091">
        <v>1736404</v>
      </c>
      <c r="B3091" t="s">
        <v>10759</v>
      </c>
      <c r="C3091">
        <v>0</v>
      </c>
      <c r="D3091">
        <v>1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 t="s">
        <v>3284</v>
      </c>
      <c r="M3091" t="s">
        <v>3327</v>
      </c>
      <c r="N3091" t="s">
        <v>3376</v>
      </c>
      <c r="O3091" t="s">
        <v>3377</v>
      </c>
      <c r="P3091" t="s">
        <v>3604</v>
      </c>
      <c r="Q3091" t="s">
        <v>3668</v>
      </c>
      <c r="R3091" t="s">
        <v>10760</v>
      </c>
    </row>
    <row r="3092" spans="1:18" x14ac:dyDescent="0.2">
      <c r="A3092">
        <v>1736390</v>
      </c>
      <c r="B3092" t="s">
        <v>10761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1</v>
      </c>
      <c r="K3092">
        <v>0</v>
      </c>
      <c r="L3092" t="s">
        <v>3284</v>
      </c>
      <c r="M3092" t="s">
        <v>3307</v>
      </c>
      <c r="N3092" t="s">
        <v>3308</v>
      </c>
      <c r="O3092" t="s">
        <v>3359</v>
      </c>
      <c r="P3092" t="s">
        <v>3360</v>
      </c>
      <c r="Q3092" t="s">
        <v>3364</v>
      </c>
      <c r="R3092" t="s">
        <v>10762</v>
      </c>
    </row>
    <row r="3093" spans="1:18" x14ac:dyDescent="0.2">
      <c r="A3093">
        <v>1736367</v>
      </c>
      <c r="B3093" t="s">
        <v>10763</v>
      </c>
      <c r="C3093">
        <v>0</v>
      </c>
      <c r="D3093">
        <v>0</v>
      </c>
      <c r="E3093">
        <v>0</v>
      </c>
      <c r="F3093">
        <v>1</v>
      </c>
      <c r="G3093">
        <v>0</v>
      </c>
      <c r="H3093">
        <v>0</v>
      </c>
      <c r="I3093">
        <v>0</v>
      </c>
      <c r="J3093">
        <v>0</v>
      </c>
      <c r="K3093">
        <v>0</v>
      </c>
      <c r="L3093" t="s">
        <v>3284</v>
      </c>
      <c r="M3093" t="s">
        <v>3391</v>
      </c>
      <c r="N3093" t="s">
        <v>3411</v>
      </c>
      <c r="O3093" t="s">
        <v>3412</v>
      </c>
      <c r="P3093" t="s">
        <v>3564</v>
      </c>
      <c r="Q3093" t="s">
        <v>3803</v>
      </c>
      <c r="R3093" t="s">
        <v>10764</v>
      </c>
    </row>
    <row r="3094" spans="1:18" x14ac:dyDescent="0.2">
      <c r="A3094">
        <v>1736360</v>
      </c>
      <c r="B3094" t="s">
        <v>10765</v>
      </c>
      <c r="C3094">
        <v>0</v>
      </c>
      <c r="D3094">
        <v>0</v>
      </c>
      <c r="E3094">
        <v>0</v>
      </c>
      <c r="F3094">
        <v>4</v>
      </c>
      <c r="G3094">
        <v>0</v>
      </c>
      <c r="H3094">
        <v>0</v>
      </c>
      <c r="I3094">
        <v>0</v>
      </c>
      <c r="J3094">
        <v>0</v>
      </c>
      <c r="K3094">
        <v>0</v>
      </c>
      <c r="L3094" t="s">
        <v>3284</v>
      </c>
      <c r="M3094" t="s">
        <v>3296</v>
      </c>
      <c r="N3094" t="s">
        <v>3343</v>
      </c>
      <c r="O3094" t="s">
        <v>3344</v>
      </c>
      <c r="P3094" t="s">
        <v>3355</v>
      </c>
      <c r="Q3094" t="s">
        <v>3356</v>
      </c>
      <c r="R3094" t="s">
        <v>10766</v>
      </c>
    </row>
    <row r="3095" spans="1:18" x14ac:dyDescent="0.2">
      <c r="A3095">
        <v>1736353</v>
      </c>
      <c r="B3095" t="s">
        <v>10767</v>
      </c>
      <c r="C3095">
        <v>0</v>
      </c>
      <c r="D3095">
        <v>0</v>
      </c>
      <c r="E3095">
        <v>0</v>
      </c>
      <c r="F3095">
        <v>1</v>
      </c>
      <c r="G3095">
        <v>1</v>
      </c>
      <c r="H3095">
        <v>1</v>
      </c>
      <c r="I3095">
        <v>0</v>
      </c>
      <c r="J3095">
        <v>0</v>
      </c>
      <c r="K3095">
        <v>0</v>
      </c>
      <c r="L3095" t="s">
        <v>3284</v>
      </c>
      <c r="M3095" t="s">
        <v>3296</v>
      </c>
      <c r="N3095" t="s">
        <v>3343</v>
      </c>
      <c r="O3095" t="s">
        <v>3402</v>
      </c>
      <c r="P3095" t="s">
        <v>3403</v>
      </c>
      <c r="Q3095" t="s">
        <v>3536</v>
      </c>
      <c r="R3095" t="s">
        <v>10768</v>
      </c>
    </row>
    <row r="3096" spans="1:18" x14ac:dyDescent="0.2">
      <c r="A3096">
        <v>1736345</v>
      </c>
      <c r="B3096" t="s">
        <v>10769</v>
      </c>
      <c r="C3096">
        <v>0</v>
      </c>
      <c r="D3096">
        <v>0</v>
      </c>
      <c r="E3096">
        <v>0</v>
      </c>
      <c r="F3096">
        <v>1</v>
      </c>
      <c r="G3096">
        <v>0</v>
      </c>
      <c r="H3096">
        <v>0</v>
      </c>
      <c r="I3096">
        <v>0</v>
      </c>
      <c r="J3096">
        <v>0</v>
      </c>
      <c r="K3096">
        <v>0</v>
      </c>
      <c r="L3096" t="s">
        <v>3284</v>
      </c>
      <c r="M3096" t="s">
        <v>3296</v>
      </c>
      <c r="N3096" t="s">
        <v>3343</v>
      </c>
      <c r="O3096" t="s">
        <v>3349</v>
      </c>
      <c r="P3096" t="s">
        <v>3350</v>
      </c>
      <c r="Q3096" t="s">
        <v>3580</v>
      </c>
      <c r="R3096" t="s">
        <v>10770</v>
      </c>
    </row>
    <row r="3097" spans="1:18" x14ac:dyDescent="0.2">
      <c r="A3097">
        <v>1736344</v>
      </c>
      <c r="B3097" t="s">
        <v>10771</v>
      </c>
      <c r="C3097">
        <v>0</v>
      </c>
      <c r="D3097">
        <v>0</v>
      </c>
      <c r="E3097">
        <v>0</v>
      </c>
      <c r="F3097">
        <v>1</v>
      </c>
      <c r="G3097">
        <v>0</v>
      </c>
      <c r="H3097">
        <v>0</v>
      </c>
      <c r="I3097">
        <v>0</v>
      </c>
      <c r="J3097">
        <v>0</v>
      </c>
      <c r="K3097">
        <v>0</v>
      </c>
      <c r="L3097" t="s">
        <v>3284</v>
      </c>
      <c r="M3097" t="s">
        <v>3296</v>
      </c>
      <c r="N3097" t="s">
        <v>3343</v>
      </c>
      <c r="O3097" t="s">
        <v>3344</v>
      </c>
      <c r="P3097" t="s">
        <v>3355</v>
      </c>
      <c r="Q3097" t="s">
        <v>3356</v>
      </c>
      <c r="R3097" t="s">
        <v>10772</v>
      </c>
    </row>
    <row r="3098" spans="1:18" x14ac:dyDescent="0.2">
      <c r="A3098">
        <v>1736341</v>
      </c>
      <c r="B3098" t="s">
        <v>10773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1</v>
      </c>
      <c r="J3098">
        <v>0</v>
      </c>
      <c r="K3098">
        <v>0</v>
      </c>
      <c r="L3098" t="s">
        <v>3284</v>
      </c>
      <c r="M3098" t="s">
        <v>3307</v>
      </c>
      <c r="N3098" t="s">
        <v>3308</v>
      </c>
      <c r="O3098" t="s">
        <v>3359</v>
      </c>
      <c r="P3098" t="s">
        <v>3360</v>
      </c>
      <c r="Q3098" t="s">
        <v>3515</v>
      </c>
      <c r="R3098" t="s">
        <v>10774</v>
      </c>
    </row>
    <row r="3099" spans="1:18" x14ac:dyDescent="0.2">
      <c r="A3099">
        <v>1736336</v>
      </c>
      <c r="B3099" t="s">
        <v>10775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1</v>
      </c>
      <c r="J3099">
        <v>0</v>
      </c>
      <c r="K3099">
        <v>0</v>
      </c>
      <c r="L3099" t="s">
        <v>3284</v>
      </c>
      <c r="M3099" t="s">
        <v>3296</v>
      </c>
      <c r="N3099" t="s">
        <v>3343</v>
      </c>
      <c r="O3099" t="s">
        <v>3344</v>
      </c>
      <c r="P3099" t="s">
        <v>4347</v>
      </c>
      <c r="Q3099" t="s">
        <v>6412</v>
      </c>
      <c r="R3099" t="s">
        <v>10776</v>
      </c>
    </row>
    <row r="3100" spans="1:18" x14ac:dyDescent="0.2">
      <c r="A3100">
        <v>1736334</v>
      </c>
      <c r="B3100" t="s">
        <v>10777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1</v>
      </c>
      <c r="J3100">
        <v>0</v>
      </c>
      <c r="K3100">
        <v>0</v>
      </c>
      <c r="L3100" t="s">
        <v>3284</v>
      </c>
      <c r="M3100" t="s">
        <v>3307</v>
      </c>
      <c r="N3100" t="s">
        <v>3308</v>
      </c>
      <c r="O3100" t="s">
        <v>3359</v>
      </c>
      <c r="P3100" t="s">
        <v>3360</v>
      </c>
      <c r="Q3100" t="s">
        <v>3361</v>
      </c>
      <c r="R3100" t="s">
        <v>10778</v>
      </c>
    </row>
    <row r="3101" spans="1:18" x14ac:dyDescent="0.2">
      <c r="A3101">
        <v>1736330</v>
      </c>
      <c r="B3101" t="s">
        <v>10779</v>
      </c>
      <c r="C3101">
        <v>0</v>
      </c>
      <c r="D3101">
        <v>0</v>
      </c>
      <c r="E3101">
        <v>0</v>
      </c>
      <c r="F3101">
        <v>1</v>
      </c>
      <c r="G3101">
        <v>0</v>
      </c>
      <c r="H3101">
        <v>0</v>
      </c>
      <c r="I3101">
        <v>1</v>
      </c>
      <c r="J3101">
        <v>0</v>
      </c>
      <c r="K3101">
        <v>0</v>
      </c>
      <c r="L3101" t="s">
        <v>3284</v>
      </c>
      <c r="M3101" t="s">
        <v>3296</v>
      </c>
      <c r="N3101" t="s">
        <v>3343</v>
      </c>
      <c r="O3101" t="s">
        <v>3344</v>
      </c>
      <c r="P3101" t="s">
        <v>3355</v>
      </c>
      <c r="Q3101" t="s">
        <v>3356</v>
      </c>
      <c r="R3101" t="s">
        <v>10780</v>
      </c>
    </row>
    <row r="3102" spans="1:18" x14ac:dyDescent="0.2">
      <c r="A3102">
        <v>1736328</v>
      </c>
      <c r="B3102" t="s">
        <v>10781</v>
      </c>
      <c r="C3102">
        <v>0</v>
      </c>
      <c r="D3102">
        <v>1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 t="s">
        <v>3284</v>
      </c>
      <c r="M3102" t="s">
        <v>3307</v>
      </c>
      <c r="N3102" t="s">
        <v>3308</v>
      </c>
      <c r="O3102" t="s">
        <v>3359</v>
      </c>
      <c r="P3102" t="s">
        <v>3360</v>
      </c>
      <c r="Q3102" t="s">
        <v>4062</v>
      </c>
      <c r="R3102" t="s">
        <v>10782</v>
      </c>
    </row>
    <row r="3103" spans="1:18" x14ac:dyDescent="0.2">
      <c r="A3103">
        <v>1736318</v>
      </c>
      <c r="B3103" t="s">
        <v>10783</v>
      </c>
      <c r="C3103">
        <v>9</v>
      </c>
      <c r="D3103">
        <v>10</v>
      </c>
      <c r="E3103">
        <v>1</v>
      </c>
      <c r="F3103">
        <v>2</v>
      </c>
      <c r="G3103">
        <v>2</v>
      </c>
      <c r="H3103">
        <v>0</v>
      </c>
      <c r="I3103">
        <v>0</v>
      </c>
      <c r="J3103">
        <v>0</v>
      </c>
      <c r="K3103">
        <v>0</v>
      </c>
      <c r="L3103" t="s">
        <v>3284</v>
      </c>
      <c r="M3103" t="s">
        <v>3296</v>
      </c>
      <c r="N3103" t="s">
        <v>3321</v>
      </c>
      <c r="O3103" t="s">
        <v>3322</v>
      </c>
      <c r="P3103" t="s">
        <v>3398</v>
      </c>
      <c r="Q3103" t="s">
        <v>9491</v>
      </c>
      <c r="R3103" t="s">
        <v>10784</v>
      </c>
    </row>
    <row r="3104" spans="1:18" x14ac:dyDescent="0.2">
      <c r="A3104">
        <v>1736316</v>
      </c>
      <c r="B3104" t="s">
        <v>10785</v>
      </c>
      <c r="C3104">
        <v>1</v>
      </c>
      <c r="D3104">
        <v>2</v>
      </c>
      <c r="E3104">
        <v>0</v>
      </c>
      <c r="F3104">
        <v>4</v>
      </c>
      <c r="G3104">
        <v>2</v>
      </c>
      <c r="H3104">
        <v>0</v>
      </c>
      <c r="I3104">
        <v>0</v>
      </c>
      <c r="J3104">
        <v>0</v>
      </c>
      <c r="K3104">
        <v>0</v>
      </c>
      <c r="L3104" t="s">
        <v>3284</v>
      </c>
      <c r="M3104" t="s">
        <v>3296</v>
      </c>
      <c r="N3104" t="s">
        <v>3321</v>
      </c>
      <c r="O3104" t="s">
        <v>3322</v>
      </c>
      <c r="P3104" t="s">
        <v>3398</v>
      </c>
      <c r="Q3104" t="s">
        <v>9491</v>
      </c>
      <c r="R3104" t="s">
        <v>10786</v>
      </c>
    </row>
    <row r="3105" spans="1:18" x14ac:dyDescent="0.2">
      <c r="A3105">
        <v>1736315</v>
      </c>
      <c r="B3105" t="s">
        <v>10787</v>
      </c>
      <c r="C3105">
        <v>12</v>
      </c>
      <c r="D3105">
        <v>10</v>
      </c>
      <c r="E3105">
        <v>4</v>
      </c>
      <c r="F3105">
        <v>0</v>
      </c>
      <c r="G3105">
        <v>0</v>
      </c>
      <c r="H3105">
        <v>0</v>
      </c>
      <c r="I3105">
        <v>0</v>
      </c>
      <c r="J3105">
        <v>1</v>
      </c>
      <c r="K3105">
        <v>0</v>
      </c>
      <c r="L3105" t="s">
        <v>3284</v>
      </c>
      <c r="M3105" t="s">
        <v>3296</v>
      </c>
      <c r="N3105" t="s">
        <v>3321</v>
      </c>
      <c r="O3105" t="s">
        <v>3322</v>
      </c>
      <c r="P3105" t="s">
        <v>3398</v>
      </c>
      <c r="Q3105" t="s">
        <v>9491</v>
      </c>
      <c r="R3105" t="s">
        <v>10788</v>
      </c>
    </row>
    <row r="3106" spans="1:18" x14ac:dyDescent="0.2">
      <c r="A3106">
        <v>1736314</v>
      </c>
      <c r="B3106" t="s">
        <v>10789</v>
      </c>
      <c r="C3106">
        <v>0</v>
      </c>
      <c r="D3106">
        <v>0</v>
      </c>
      <c r="E3106">
        <v>0</v>
      </c>
      <c r="F3106">
        <v>0</v>
      </c>
      <c r="G3106">
        <v>2</v>
      </c>
      <c r="H3106">
        <v>1</v>
      </c>
      <c r="I3106">
        <v>0</v>
      </c>
      <c r="J3106">
        <v>0</v>
      </c>
      <c r="K3106">
        <v>0</v>
      </c>
      <c r="L3106" t="s">
        <v>3284</v>
      </c>
      <c r="M3106" t="s">
        <v>3307</v>
      </c>
      <c r="N3106" t="s">
        <v>3308</v>
      </c>
      <c r="O3106" t="s">
        <v>3359</v>
      </c>
      <c r="P3106" t="s">
        <v>3360</v>
      </c>
      <c r="Q3106" t="s">
        <v>3515</v>
      </c>
      <c r="R3106" t="s">
        <v>10790</v>
      </c>
    </row>
    <row r="3107" spans="1:18" x14ac:dyDescent="0.2">
      <c r="A3107">
        <v>1736313</v>
      </c>
      <c r="B3107" t="s">
        <v>10791</v>
      </c>
      <c r="C3107">
        <v>0</v>
      </c>
      <c r="D3107">
        <v>0</v>
      </c>
      <c r="E3107">
        <v>0</v>
      </c>
      <c r="F3107">
        <v>1</v>
      </c>
      <c r="G3107">
        <v>0</v>
      </c>
      <c r="H3107">
        <v>0</v>
      </c>
      <c r="I3107">
        <v>0</v>
      </c>
      <c r="J3107">
        <v>0</v>
      </c>
      <c r="K3107">
        <v>0</v>
      </c>
      <c r="L3107" t="s">
        <v>3284</v>
      </c>
      <c r="M3107" t="s">
        <v>3307</v>
      </c>
      <c r="N3107" t="s">
        <v>3308</v>
      </c>
      <c r="O3107" t="s">
        <v>3359</v>
      </c>
      <c r="P3107" t="s">
        <v>3360</v>
      </c>
      <c r="Q3107" t="s">
        <v>6760</v>
      </c>
      <c r="R3107" t="s">
        <v>10792</v>
      </c>
    </row>
    <row r="3108" spans="1:18" x14ac:dyDescent="0.2">
      <c r="A3108">
        <v>1736312</v>
      </c>
      <c r="B3108" t="s">
        <v>10793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1</v>
      </c>
      <c r="J3108">
        <v>0</v>
      </c>
      <c r="K3108">
        <v>0</v>
      </c>
      <c r="L3108" t="s">
        <v>3284</v>
      </c>
      <c r="M3108" t="s">
        <v>3296</v>
      </c>
      <c r="N3108" t="s">
        <v>3343</v>
      </c>
      <c r="O3108" t="s">
        <v>3344</v>
      </c>
      <c r="P3108" t="s">
        <v>3355</v>
      </c>
      <c r="Q3108" t="s">
        <v>3356</v>
      </c>
      <c r="R3108" t="s">
        <v>10794</v>
      </c>
    </row>
    <row r="3109" spans="1:18" x14ac:dyDescent="0.2">
      <c r="A3109">
        <v>1736297</v>
      </c>
      <c r="B3109" t="s">
        <v>10795</v>
      </c>
      <c r="C3109">
        <v>1</v>
      </c>
      <c r="D3109">
        <v>0</v>
      </c>
      <c r="E3109">
        <v>0</v>
      </c>
      <c r="F3109">
        <v>4</v>
      </c>
      <c r="G3109">
        <v>3</v>
      </c>
      <c r="H3109">
        <v>0</v>
      </c>
      <c r="I3109">
        <v>0</v>
      </c>
      <c r="J3109">
        <v>0</v>
      </c>
      <c r="K3109">
        <v>0</v>
      </c>
      <c r="L3109" t="s">
        <v>3284</v>
      </c>
      <c r="M3109" t="s">
        <v>3391</v>
      </c>
      <c r="N3109" t="s">
        <v>3392</v>
      </c>
      <c r="O3109" t="s">
        <v>3393</v>
      </c>
      <c r="P3109" t="s">
        <v>3394</v>
      </c>
      <c r="Q3109" t="s">
        <v>3395</v>
      </c>
      <c r="R3109" t="s">
        <v>10796</v>
      </c>
    </row>
    <row r="3110" spans="1:18" x14ac:dyDescent="0.2">
      <c r="A3110">
        <v>1736286</v>
      </c>
      <c r="B3110" t="s">
        <v>10797</v>
      </c>
      <c r="C3110">
        <v>0</v>
      </c>
      <c r="D3110">
        <v>0</v>
      </c>
      <c r="E3110">
        <v>0</v>
      </c>
      <c r="F3110">
        <v>9</v>
      </c>
      <c r="G3110">
        <v>1</v>
      </c>
      <c r="H3110">
        <v>0</v>
      </c>
      <c r="I3110">
        <v>0</v>
      </c>
      <c r="J3110">
        <v>1</v>
      </c>
      <c r="K3110">
        <v>0</v>
      </c>
      <c r="L3110" t="s">
        <v>3284</v>
      </c>
      <c r="M3110" t="s">
        <v>3391</v>
      </c>
      <c r="N3110" t="s">
        <v>3392</v>
      </c>
      <c r="O3110" t="s">
        <v>3393</v>
      </c>
      <c r="P3110" t="s">
        <v>3394</v>
      </c>
      <c r="Q3110" t="s">
        <v>3395</v>
      </c>
      <c r="R3110" t="s">
        <v>10798</v>
      </c>
    </row>
    <row r="3111" spans="1:18" x14ac:dyDescent="0.2">
      <c r="A3111">
        <v>1736281</v>
      </c>
      <c r="B3111" t="s">
        <v>10799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1</v>
      </c>
      <c r="L3111" t="s">
        <v>3284</v>
      </c>
      <c r="M3111" t="s">
        <v>3307</v>
      </c>
      <c r="N3111" t="s">
        <v>3308</v>
      </c>
      <c r="O3111" t="s">
        <v>3359</v>
      </c>
      <c r="P3111" t="s">
        <v>3360</v>
      </c>
      <c r="Q3111" t="s">
        <v>3361</v>
      </c>
      <c r="R3111" t="s">
        <v>10800</v>
      </c>
    </row>
    <row r="3112" spans="1:18" x14ac:dyDescent="0.2">
      <c r="A3112">
        <v>1736280</v>
      </c>
      <c r="B3112" t="s">
        <v>10801</v>
      </c>
      <c r="C3112">
        <v>0</v>
      </c>
      <c r="D3112">
        <v>0</v>
      </c>
      <c r="E3112">
        <v>0</v>
      </c>
      <c r="F3112">
        <v>1</v>
      </c>
      <c r="G3112">
        <v>0</v>
      </c>
      <c r="H3112">
        <v>0</v>
      </c>
      <c r="I3112">
        <v>0</v>
      </c>
      <c r="J3112">
        <v>0</v>
      </c>
      <c r="K3112">
        <v>0</v>
      </c>
      <c r="L3112" t="s">
        <v>3284</v>
      </c>
      <c r="M3112" t="s">
        <v>3296</v>
      </c>
      <c r="N3112" t="s">
        <v>3321</v>
      </c>
      <c r="O3112" t="s">
        <v>3322</v>
      </c>
      <c r="P3112" t="s">
        <v>3398</v>
      </c>
      <c r="Q3112" t="s">
        <v>3556</v>
      </c>
      <c r="R3112" t="s">
        <v>10802</v>
      </c>
    </row>
    <row r="3113" spans="1:18" x14ac:dyDescent="0.2">
      <c r="A3113">
        <v>1736266</v>
      </c>
      <c r="B3113" t="s">
        <v>10803</v>
      </c>
      <c r="C3113">
        <v>0</v>
      </c>
      <c r="D3113">
        <v>0</v>
      </c>
      <c r="E3113">
        <v>0</v>
      </c>
      <c r="F3113">
        <v>1</v>
      </c>
      <c r="G3113">
        <v>0</v>
      </c>
      <c r="H3113">
        <v>0</v>
      </c>
      <c r="I3113">
        <v>0</v>
      </c>
      <c r="J3113">
        <v>0</v>
      </c>
      <c r="K3113">
        <v>0</v>
      </c>
      <c r="L3113" t="s">
        <v>3284</v>
      </c>
      <c r="M3113" t="s">
        <v>3296</v>
      </c>
      <c r="N3113" t="s">
        <v>3321</v>
      </c>
      <c r="O3113" t="s">
        <v>3322</v>
      </c>
      <c r="P3113" t="s">
        <v>3323</v>
      </c>
      <c r="Q3113" t="s">
        <v>5058</v>
      </c>
      <c r="R3113" t="s">
        <v>10804</v>
      </c>
    </row>
    <row r="3114" spans="1:18" x14ac:dyDescent="0.2">
      <c r="A3114">
        <v>1736238</v>
      </c>
      <c r="B3114" t="s">
        <v>10805</v>
      </c>
      <c r="C3114">
        <v>0</v>
      </c>
      <c r="D3114">
        <v>0</v>
      </c>
      <c r="E3114">
        <v>0</v>
      </c>
      <c r="F3114">
        <v>2</v>
      </c>
      <c r="G3114">
        <v>0</v>
      </c>
      <c r="H3114">
        <v>0</v>
      </c>
      <c r="I3114">
        <v>0</v>
      </c>
      <c r="J3114">
        <v>0</v>
      </c>
      <c r="K3114">
        <v>0</v>
      </c>
      <c r="L3114" t="s">
        <v>3284</v>
      </c>
      <c r="M3114" t="s">
        <v>3391</v>
      </c>
      <c r="N3114" t="s">
        <v>3411</v>
      </c>
      <c r="O3114" t="s">
        <v>3412</v>
      </c>
      <c r="P3114" t="s">
        <v>3413</v>
      </c>
      <c r="Q3114" t="s">
        <v>3414</v>
      </c>
      <c r="R3114" t="s">
        <v>10806</v>
      </c>
    </row>
    <row r="3115" spans="1:18" x14ac:dyDescent="0.2">
      <c r="A3115">
        <v>1736237</v>
      </c>
      <c r="B3115" t="s">
        <v>10807</v>
      </c>
      <c r="C3115">
        <v>0</v>
      </c>
      <c r="D3115">
        <v>0</v>
      </c>
      <c r="E3115">
        <v>0</v>
      </c>
      <c r="F3115">
        <v>1</v>
      </c>
      <c r="G3115">
        <v>1</v>
      </c>
      <c r="H3115">
        <v>0</v>
      </c>
      <c r="I3115">
        <v>0</v>
      </c>
      <c r="J3115">
        <v>0</v>
      </c>
      <c r="K3115">
        <v>0</v>
      </c>
      <c r="L3115" t="s">
        <v>3284</v>
      </c>
      <c r="M3115" t="s">
        <v>3296</v>
      </c>
      <c r="N3115" t="s">
        <v>3321</v>
      </c>
      <c r="O3115" t="s">
        <v>3322</v>
      </c>
      <c r="P3115" t="s">
        <v>3398</v>
      </c>
      <c r="Q3115" t="s">
        <v>3556</v>
      </c>
      <c r="R3115" t="s">
        <v>10808</v>
      </c>
    </row>
    <row r="3116" spans="1:18" x14ac:dyDescent="0.2">
      <c r="A3116">
        <v>1736229</v>
      </c>
      <c r="B3116" t="s">
        <v>10809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2</v>
      </c>
      <c r="J3116">
        <v>0</v>
      </c>
      <c r="K3116">
        <v>0</v>
      </c>
      <c r="L3116" t="s">
        <v>3284</v>
      </c>
      <c r="M3116" t="s">
        <v>3296</v>
      </c>
      <c r="N3116" t="s">
        <v>3343</v>
      </c>
      <c r="O3116" t="s">
        <v>3344</v>
      </c>
      <c r="P3116" t="s">
        <v>3345</v>
      </c>
      <c r="Q3116" t="s">
        <v>3346</v>
      </c>
      <c r="R3116" t="s">
        <v>10810</v>
      </c>
    </row>
    <row r="3117" spans="1:18" x14ac:dyDescent="0.2">
      <c r="A3117">
        <v>1736218</v>
      </c>
      <c r="B3117" t="s">
        <v>10811</v>
      </c>
      <c r="C3117">
        <v>0</v>
      </c>
      <c r="D3117">
        <v>0</v>
      </c>
      <c r="E3117">
        <v>0</v>
      </c>
      <c r="F3117">
        <v>0</v>
      </c>
      <c r="G3117">
        <v>1</v>
      </c>
      <c r="H3117">
        <v>0</v>
      </c>
      <c r="I3117">
        <v>0</v>
      </c>
      <c r="J3117">
        <v>0</v>
      </c>
      <c r="K3117">
        <v>0</v>
      </c>
      <c r="L3117" t="s">
        <v>3284</v>
      </c>
      <c r="M3117" t="s">
        <v>3391</v>
      </c>
      <c r="N3117" t="s">
        <v>3392</v>
      </c>
      <c r="O3117" t="s">
        <v>3393</v>
      </c>
      <c r="P3117" t="s">
        <v>3394</v>
      </c>
      <c r="Q3117" t="s">
        <v>3395</v>
      </c>
      <c r="R3117" t="s">
        <v>10812</v>
      </c>
    </row>
    <row r="3118" spans="1:18" x14ac:dyDescent="0.2">
      <c r="A3118">
        <v>1736215</v>
      </c>
      <c r="B3118" t="s">
        <v>10813</v>
      </c>
      <c r="C3118">
        <v>0</v>
      </c>
      <c r="D3118">
        <v>0</v>
      </c>
      <c r="E3118">
        <v>0</v>
      </c>
      <c r="F3118">
        <v>0</v>
      </c>
      <c r="G3118">
        <v>1</v>
      </c>
      <c r="H3118">
        <v>0</v>
      </c>
      <c r="I3118">
        <v>0</v>
      </c>
      <c r="J3118">
        <v>0</v>
      </c>
      <c r="K3118">
        <v>0</v>
      </c>
      <c r="L3118" t="s">
        <v>3284</v>
      </c>
      <c r="M3118" t="s">
        <v>3296</v>
      </c>
      <c r="N3118" t="s">
        <v>3343</v>
      </c>
      <c r="O3118" t="s">
        <v>3349</v>
      </c>
      <c r="P3118" t="s">
        <v>3350</v>
      </c>
      <c r="Q3118" t="s">
        <v>3580</v>
      </c>
      <c r="R3118" t="s">
        <v>10814</v>
      </c>
    </row>
    <row r="3119" spans="1:18" x14ac:dyDescent="0.2">
      <c r="A3119">
        <v>1735693</v>
      </c>
      <c r="B3119" t="s">
        <v>10815</v>
      </c>
      <c r="C3119">
        <v>0</v>
      </c>
      <c r="D3119">
        <v>0</v>
      </c>
      <c r="E3119">
        <v>0</v>
      </c>
      <c r="F3119">
        <v>0</v>
      </c>
      <c r="G3119">
        <v>2</v>
      </c>
      <c r="H3119">
        <v>0</v>
      </c>
      <c r="I3119">
        <v>0</v>
      </c>
      <c r="J3119">
        <v>0</v>
      </c>
      <c r="K3119">
        <v>0</v>
      </c>
      <c r="L3119" t="s">
        <v>3284</v>
      </c>
      <c r="M3119" t="s">
        <v>3296</v>
      </c>
      <c r="N3119" t="s">
        <v>3343</v>
      </c>
      <c r="O3119" t="s">
        <v>3349</v>
      </c>
      <c r="P3119" t="s">
        <v>3350</v>
      </c>
      <c r="Q3119" t="s">
        <v>4175</v>
      </c>
      <c r="R3119" t="s">
        <v>10816</v>
      </c>
    </row>
    <row r="3120" spans="1:18" x14ac:dyDescent="0.2">
      <c r="A3120">
        <v>1735686</v>
      </c>
      <c r="B3120" t="s">
        <v>10817</v>
      </c>
      <c r="C3120">
        <v>0</v>
      </c>
      <c r="D3120">
        <v>1</v>
      </c>
      <c r="E3120">
        <v>0</v>
      </c>
      <c r="F3120">
        <v>1</v>
      </c>
      <c r="G3120">
        <v>1</v>
      </c>
      <c r="H3120">
        <v>0</v>
      </c>
      <c r="I3120">
        <v>0</v>
      </c>
      <c r="J3120">
        <v>0</v>
      </c>
      <c r="K3120">
        <v>0</v>
      </c>
      <c r="L3120" t="s">
        <v>3284</v>
      </c>
      <c r="M3120" t="s">
        <v>3296</v>
      </c>
      <c r="N3120" t="s">
        <v>3321</v>
      </c>
      <c r="O3120" t="s">
        <v>3322</v>
      </c>
      <c r="P3120" t="s">
        <v>3271</v>
      </c>
      <c r="Q3120" t="s">
        <v>4474</v>
      </c>
      <c r="R3120" t="s">
        <v>10818</v>
      </c>
    </row>
    <row r="3121" spans="1:18" x14ac:dyDescent="0.2">
      <c r="A3121">
        <v>1735684</v>
      </c>
      <c r="B3121" t="s">
        <v>10819</v>
      </c>
      <c r="C3121">
        <v>1</v>
      </c>
      <c r="D3121">
        <v>0</v>
      </c>
      <c r="E3121">
        <v>0</v>
      </c>
      <c r="F3121">
        <v>5</v>
      </c>
      <c r="G3121">
        <v>1</v>
      </c>
      <c r="H3121">
        <v>0</v>
      </c>
      <c r="I3121">
        <v>0</v>
      </c>
      <c r="J3121">
        <v>0</v>
      </c>
      <c r="K3121">
        <v>0</v>
      </c>
      <c r="L3121" t="s">
        <v>3284</v>
      </c>
      <c r="M3121" t="s">
        <v>3391</v>
      </c>
      <c r="N3121" t="s">
        <v>3392</v>
      </c>
      <c r="O3121" t="s">
        <v>3393</v>
      </c>
      <c r="P3121" t="s">
        <v>3394</v>
      </c>
      <c r="Q3121" t="s">
        <v>3395</v>
      </c>
      <c r="R3121" t="s">
        <v>10820</v>
      </c>
    </row>
    <row r="3122" spans="1:18" x14ac:dyDescent="0.2">
      <c r="A3122">
        <v>1735679</v>
      </c>
      <c r="B3122" t="s">
        <v>10821</v>
      </c>
      <c r="C3122">
        <v>0</v>
      </c>
      <c r="D3122">
        <v>0</v>
      </c>
      <c r="E3122">
        <v>0</v>
      </c>
      <c r="F3122">
        <v>0</v>
      </c>
      <c r="G3122">
        <v>1</v>
      </c>
      <c r="H3122">
        <v>0</v>
      </c>
      <c r="I3122">
        <v>0</v>
      </c>
      <c r="J3122">
        <v>0</v>
      </c>
      <c r="K3122">
        <v>0</v>
      </c>
      <c r="L3122" t="s">
        <v>3284</v>
      </c>
      <c r="M3122" t="s">
        <v>3296</v>
      </c>
      <c r="N3122" t="s">
        <v>3343</v>
      </c>
      <c r="O3122" t="s">
        <v>3349</v>
      </c>
      <c r="P3122" t="s">
        <v>3350</v>
      </c>
      <c r="Q3122" t="s">
        <v>3580</v>
      </c>
      <c r="R3122" t="s">
        <v>10822</v>
      </c>
    </row>
    <row r="3123" spans="1:18" x14ac:dyDescent="0.2">
      <c r="A3123">
        <v>1735670</v>
      </c>
      <c r="B3123" t="s">
        <v>10823</v>
      </c>
      <c r="C3123">
        <v>0</v>
      </c>
      <c r="D3123">
        <v>0</v>
      </c>
      <c r="E3123">
        <v>0</v>
      </c>
      <c r="F3123">
        <v>6</v>
      </c>
      <c r="G3123">
        <v>3</v>
      </c>
      <c r="H3123">
        <v>0</v>
      </c>
      <c r="I3123">
        <v>0</v>
      </c>
      <c r="J3123">
        <v>0</v>
      </c>
      <c r="K3123">
        <v>0</v>
      </c>
      <c r="L3123" t="s">
        <v>3284</v>
      </c>
      <c r="M3123" t="s">
        <v>3296</v>
      </c>
      <c r="N3123" t="s">
        <v>3343</v>
      </c>
      <c r="O3123" t="s">
        <v>3349</v>
      </c>
      <c r="P3123" t="s">
        <v>3350</v>
      </c>
      <c r="Q3123" t="s">
        <v>3351</v>
      </c>
      <c r="R3123" t="s">
        <v>10824</v>
      </c>
    </row>
    <row r="3124" spans="1:18" x14ac:dyDescent="0.2">
      <c r="A3124">
        <v>1735121</v>
      </c>
      <c r="B3124" t="s">
        <v>10825</v>
      </c>
      <c r="C3124">
        <v>0</v>
      </c>
      <c r="D3124">
        <v>0</v>
      </c>
      <c r="E3124">
        <v>0</v>
      </c>
      <c r="F3124">
        <v>2</v>
      </c>
      <c r="G3124">
        <v>0</v>
      </c>
      <c r="H3124">
        <v>0</v>
      </c>
      <c r="I3124">
        <v>0</v>
      </c>
      <c r="J3124">
        <v>0</v>
      </c>
      <c r="K3124">
        <v>0</v>
      </c>
      <c r="L3124" t="s">
        <v>3284</v>
      </c>
      <c r="M3124" t="s">
        <v>3296</v>
      </c>
      <c r="N3124" t="s">
        <v>3343</v>
      </c>
      <c r="O3124" t="s">
        <v>3349</v>
      </c>
      <c r="P3124" t="s">
        <v>3350</v>
      </c>
      <c r="Q3124" t="s">
        <v>3580</v>
      </c>
      <c r="R3124" t="s">
        <v>10826</v>
      </c>
    </row>
    <row r="3125" spans="1:18" x14ac:dyDescent="0.2">
      <c r="A3125">
        <v>1735103</v>
      </c>
      <c r="B3125" t="s">
        <v>10827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1</v>
      </c>
      <c r="I3125">
        <v>0</v>
      </c>
      <c r="J3125">
        <v>0</v>
      </c>
      <c r="K3125">
        <v>0</v>
      </c>
      <c r="L3125" t="s">
        <v>3284</v>
      </c>
      <c r="M3125" t="s">
        <v>3296</v>
      </c>
      <c r="N3125" t="s">
        <v>3343</v>
      </c>
      <c r="O3125" t="s">
        <v>3344</v>
      </c>
      <c r="P3125" t="s">
        <v>3898</v>
      </c>
      <c r="Q3125" t="s">
        <v>8204</v>
      </c>
      <c r="R3125" t="s">
        <v>10828</v>
      </c>
    </row>
    <row r="3126" spans="1:18" x14ac:dyDescent="0.2">
      <c r="A3126">
        <v>1734446</v>
      </c>
      <c r="B3126" t="s">
        <v>10829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1</v>
      </c>
      <c r="K3126">
        <v>0</v>
      </c>
      <c r="L3126" t="s">
        <v>3284</v>
      </c>
      <c r="M3126" t="s">
        <v>3307</v>
      </c>
      <c r="N3126" t="s">
        <v>3308</v>
      </c>
      <c r="O3126" t="s">
        <v>3494</v>
      </c>
      <c r="P3126" t="s">
        <v>3495</v>
      </c>
      <c r="Q3126" t="s">
        <v>10830</v>
      </c>
      <c r="R3126" t="s">
        <v>10831</v>
      </c>
    </row>
    <row r="3127" spans="1:18" x14ac:dyDescent="0.2">
      <c r="A3127">
        <v>1732569</v>
      </c>
      <c r="B3127" t="s">
        <v>10832</v>
      </c>
      <c r="C3127">
        <v>0</v>
      </c>
      <c r="D3127">
        <v>0</v>
      </c>
      <c r="E3127">
        <v>0</v>
      </c>
      <c r="F3127">
        <v>39</v>
      </c>
      <c r="G3127">
        <v>35</v>
      </c>
      <c r="H3127">
        <v>0</v>
      </c>
      <c r="I3127">
        <v>18</v>
      </c>
      <c r="J3127">
        <v>8</v>
      </c>
      <c r="K3127">
        <v>2</v>
      </c>
      <c r="L3127" t="s">
        <v>3284</v>
      </c>
      <c r="M3127" t="s">
        <v>3285</v>
      </c>
      <c r="N3127" t="s">
        <v>3286</v>
      </c>
      <c r="O3127" t="s">
        <v>3287</v>
      </c>
      <c r="P3127" t="s">
        <v>3288</v>
      </c>
      <c r="Q3127" t="s">
        <v>3289</v>
      </c>
      <c r="R3127" t="s">
        <v>10833</v>
      </c>
    </row>
    <row r="3128" spans="1:18" x14ac:dyDescent="0.2">
      <c r="A3128">
        <v>1729892</v>
      </c>
      <c r="B3128" t="s">
        <v>10834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1</v>
      </c>
      <c r="K3128">
        <v>0</v>
      </c>
      <c r="L3128" t="s">
        <v>3284</v>
      </c>
      <c r="M3128" t="s">
        <v>3296</v>
      </c>
      <c r="N3128" t="s">
        <v>3343</v>
      </c>
      <c r="O3128" t="s">
        <v>3344</v>
      </c>
      <c r="P3128" t="s">
        <v>3937</v>
      </c>
      <c r="Q3128" t="s">
        <v>3938</v>
      </c>
      <c r="R3128" t="s">
        <v>10835</v>
      </c>
    </row>
    <row r="3129" spans="1:18" x14ac:dyDescent="0.2">
      <c r="A3129">
        <v>1728934</v>
      </c>
      <c r="B3129" t="s">
        <v>10836</v>
      </c>
      <c r="C3129">
        <v>3</v>
      </c>
      <c r="D3129">
        <v>4</v>
      </c>
      <c r="E3129">
        <v>1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 t="s">
        <v>3284</v>
      </c>
      <c r="M3129" t="s">
        <v>3327</v>
      </c>
      <c r="N3129" t="s">
        <v>3328</v>
      </c>
      <c r="O3129" t="s">
        <v>3329</v>
      </c>
      <c r="P3129" t="s">
        <v>3330</v>
      </c>
      <c r="Q3129" t="s">
        <v>3331</v>
      </c>
      <c r="R3129" t="s">
        <v>10837</v>
      </c>
    </row>
    <row r="3130" spans="1:18" x14ac:dyDescent="0.2">
      <c r="A3130">
        <v>1727145</v>
      </c>
      <c r="B3130" t="s">
        <v>10838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133</v>
      </c>
      <c r="J3130">
        <v>63</v>
      </c>
      <c r="K3130">
        <v>13</v>
      </c>
      <c r="L3130" t="s">
        <v>3284</v>
      </c>
      <c r="M3130" t="s">
        <v>3327</v>
      </c>
      <c r="N3130" t="s">
        <v>3328</v>
      </c>
      <c r="O3130" t="s">
        <v>4017</v>
      </c>
      <c r="P3130" t="s">
        <v>4018</v>
      </c>
      <c r="Q3130" t="s">
        <v>4507</v>
      </c>
      <c r="R3130" t="s">
        <v>10839</v>
      </c>
    </row>
    <row r="3131" spans="1:18" x14ac:dyDescent="0.2">
      <c r="A3131">
        <v>1720313</v>
      </c>
      <c r="B3131" t="s">
        <v>10840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1</v>
      </c>
      <c r="L3131" t="s">
        <v>3284</v>
      </c>
      <c r="M3131" t="s">
        <v>3327</v>
      </c>
      <c r="N3131" t="s">
        <v>3328</v>
      </c>
      <c r="O3131" t="s">
        <v>3329</v>
      </c>
      <c r="P3131" t="s">
        <v>4620</v>
      </c>
      <c r="Q3131" t="s">
        <v>10841</v>
      </c>
      <c r="R3131" t="s">
        <v>10842</v>
      </c>
    </row>
    <row r="3132" spans="1:18" x14ac:dyDescent="0.2">
      <c r="A3132">
        <v>1719132</v>
      </c>
      <c r="B3132" t="s">
        <v>10843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2</v>
      </c>
      <c r="K3132">
        <v>0</v>
      </c>
      <c r="L3132" t="s">
        <v>3284</v>
      </c>
      <c r="M3132" t="s">
        <v>3307</v>
      </c>
      <c r="N3132" t="s">
        <v>3308</v>
      </c>
      <c r="O3132" t="s">
        <v>3635</v>
      </c>
      <c r="P3132" t="s">
        <v>4011</v>
      </c>
      <c r="Q3132" t="s">
        <v>4012</v>
      </c>
      <c r="R3132" t="s">
        <v>10844</v>
      </c>
    </row>
    <row r="3133" spans="1:18" x14ac:dyDescent="0.2">
      <c r="A3133">
        <v>1716543</v>
      </c>
      <c r="B3133" t="s">
        <v>10845</v>
      </c>
      <c r="C3133">
        <v>10</v>
      </c>
      <c r="D3133">
        <v>13</v>
      </c>
      <c r="E3133">
        <v>5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 t="s">
        <v>3284</v>
      </c>
      <c r="M3133" t="s">
        <v>3327</v>
      </c>
      <c r="N3133" t="s">
        <v>3328</v>
      </c>
      <c r="O3133" t="s">
        <v>3329</v>
      </c>
      <c r="P3133" t="s">
        <v>3330</v>
      </c>
      <c r="Q3133" t="s">
        <v>3331</v>
      </c>
      <c r="R3133" t="s">
        <v>10846</v>
      </c>
    </row>
    <row r="3134" spans="1:18" x14ac:dyDescent="0.2">
      <c r="A3134">
        <v>1715806</v>
      </c>
      <c r="B3134" t="s">
        <v>10847</v>
      </c>
      <c r="C3134">
        <v>0</v>
      </c>
      <c r="D3134">
        <v>1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 t="s">
        <v>4270</v>
      </c>
      <c r="M3134" t="s">
        <v>4271</v>
      </c>
      <c r="N3134" t="s">
        <v>4272</v>
      </c>
      <c r="O3134" t="s">
        <v>4273</v>
      </c>
      <c r="P3134" t="s">
        <v>4274</v>
      </c>
      <c r="Q3134" t="s">
        <v>10848</v>
      </c>
      <c r="R3134" t="s">
        <v>10849</v>
      </c>
    </row>
    <row r="3135" spans="1:18" x14ac:dyDescent="0.2">
      <c r="A3135">
        <v>1715720</v>
      </c>
      <c r="B3135" t="s">
        <v>10850</v>
      </c>
      <c r="C3135">
        <v>0</v>
      </c>
      <c r="D3135">
        <v>1</v>
      </c>
      <c r="E3135">
        <v>0</v>
      </c>
      <c r="F3135">
        <v>1</v>
      </c>
      <c r="G3135">
        <v>1</v>
      </c>
      <c r="H3135">
        <v>1</v>
      </c>
      <c r="I3135">
        <v>0</v>
      </c>
      <c r="J3135">
        <v>0</v>
      </c>
      <c r="K3135">
        <v>0</v>
      </c>
      <c r="L3135" t="s">
        <v>3284</v>
      </c>
      <c r="M3135" t="s">
        <v>3296</v>
      </c>
      <c r="N3135" t="s">
        <v>3321</v>
      </c>
      <c r="O3135" t="s">
        <v>3322</v>
      </c>
      <c r="P3135" t="s">
        <v>3398</v>
      </c>
      <c r="Q3135" t="s">
        <v>4955</v>
      </c>
      <c r="R3135" t="s">
        <v>10851</v>
      </c>
    </row>
    <row r="3136" spans="1:18" x14ac:dyDescent="0.2">
      <c r="A3136">
        <v>1715348</v>
      </c>
      <c r="B3136" t="s">
        <v>10852</v>
      </c>
      <c r="C3136">
        <v>0</v>
      </c>
      <c r="D3136">
        <v>1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 t="s">
        <v>3284</v>
      </c>
      <c r="M3136" t="s">
        <v>3296</v>
      </c>
      <c r="N3136" t="s">
        <v>3343</v>
      </c>
      <c r="O3136" t="s">
        <v>3349</v>
      </c>
      <c r="P3136" t="s">
        <v>5827</v>
      </c>
      <c r="Q3136" t="s">
        <v>10853</v>
      </c>
      <c r="R3136" t="s">
        <v>10854</v>
      </c>
    </row>
    <row r="3137" spans="1:18" x14ac:dyDescent="0.2">
      <c r="A3137">
        <v>1714373</v>
      </c>
      <c r="B3137" t="s">
        <v>10855</v>
      </c>
      <c r="C3137">
        <v>0</v>
      </c>
      <c r="D3137">
        <v>0</v>
      </c>
      <c r="E3137">
        <v>0</v>
      </c>
      <c r="F3137">
        <v>0</v>
      </c>
      <c r="G3137">
        <v>1</v>
      </c>
      <c r="H3137">
        <v>0</v>
      </c>
      <c r="I3137">
        <v>0</v>
      </c>
      <c r="J3137">
        <v>0</v>
      </c>
      <c r="K3137">
        <v>0</v>
      </c>
      <c r="L3137" t="s">
        <v>3284</v>
      </c>
      <c r="M3137" t="s">
        <v>3307</v>
      </c>
      <c r="N3137" t="s">
        <v>3308</v>
      </c>
      <c r="O3137" t="s">
        <v>3359</v>
      </c>
      <c r="P3137" t="s">
        <v>3360</v>
      </c>
      <c r="Q3137" t="s">
        <v>3361</v>
      </c>
      <c r="R3137" t="s">
        <v>10856</v>
      </c>
    </row>
    <row r="3138" spans="1:18" x14ac:dyDescent="0.2">
      <c r="A3138">
        <v>1714344</v>
      </c>
      <c r="B3138" t="s">
        <v>10857</v>
      </c>
      <c r="C3138">
        <v>1</v>
      </c>
      <c r="D3138">
        <v>0</v>
      </c>
      <c r="E3138">
        <v>1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 t="s">
        <v>3284</v>
      </c>
      <c r="M3138" t="s">
        <v>3296</v>
      </c>
      <c r="N3138" t="s">
        <v>3321</v>
      </c>
      <c r="O3138" t="s">
        <v>3322</v>
      </c>
      <c r="P3138" t="s">
        <v>3398</v>
      </c>
      <c r="Q3138" t="s">
        <v>4542</v>
      </c>
      <c r="R3138" t="s">
        <v>10858</v>
      </c>
    </row>
    <row r="3139" spans="1:18" x14ac:dyDescent="0.2">
      <c r="A3139">
        <v>1712872</v>
      </c>
      <c r="B3139" t="s">
        <v>10859</v>
      </c>
      <c r="C3139">
        <v>0</v>
      </c>
      <c r="D3139">
        <v>0</v>
      </c>
      <c r="E3139">
        <v>0</v>
      </c>
      <c r="F3139">
        <v>1</v>
      </c>
      <c r="G3139">
        <v>0</v>
      </c>
      <c r="H3139">
        <v>0</v>
      </c>
      <c r="I3139">
        <v>0</v>
      </c>
      <c r="J3139">
        <v>0</v>
      </c>
      <c r="K3139">
        <v>0</v>
      </c>
      <c r="L3139" t="s">
        <v>3284</v>
      </c>
      <c r="M3139" t="s">
        <v>3307</v>
      </c>
      <c r="N3139" t="s">
        <v>3308</v>
      </c>
      <c r="O3139" t="s">
        <v>3949</v>
      </c>
      <c r="P3139" t="s">
        <v>3950</v>
      </c>
      <c r="Q3139" t="s">
        <v>3951</v>
      </c>
      <c r="R3139" t="s">
        <v>10860</v>
      </c>
    </row>
    <row r="3140" spans="1:18" x14ac:dyDescent="0.2">
      <c r="A3140">
        <v>1712410</v>
      </c>
      <c r="B3140" t="s">
        <v>10861</v>
      </c>
      <c r="C3140">
        <v>1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 t="s">
        <v>3284</v>
      </c>
      <c r="M3140" t="s">
        <v>3327</v>
      </c>
      <c r="N3140" t="s">
        <v>3328</v>
      </c>
      <c r="O3140" t="s">
        <v>3329</v>
      </c>
      <c r="P3140" t="s">
        <v>10616</v>
      </c>
      <c r="Q3140" t="s">
        <v>10862</v>
      </c>
      <c r="R3140" t="s">
        <v>10863</v>
      </c>
    </row>
    <row r="3141" spans="1:18" x14ac:dyDescent="0.2">
      <c r="A3141">
        <v>1708749</v>
      </c>
      <c r="B3141" t="s">
        <v>10864</v>
      </c>
      <c r="C3141">
        <v>0</v>
      </c>
      <c r="D3141">
        <v>1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 t="s">
        <v>3284</v>
      </c>
      <c r="M3141" t="s">
        <v>3307</v>
      </c>
      <c r="N3141" t="s">
        <v>3308</v>
      </c>
      <c r="O3141" t="s">
        <v>3309</v>
      </c>
      <c r="P3141" t="s">
        <v>3310</v>
      </c>
      <c r="Q3141" t="s">
        <v>10865</v>
      </c>
      <c r="R3141" t="s">
        <v>10866</v>
      </c>
    </row>
    <row r="3142" spans="1:18" x14ac:dyDescent="0.2">
      <c r="A3142">
        <v>1706731</v>
      </c>
      <c r="B3142" t="s">
        <v>10867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1</v>
      </c>
      <c r="J3142">
        <v>0</v>
      </c>
      <c r="K3142">
        <v>0</v>
      </c>
      <c r="L3142" t="s">
        <v>3284</v>
      </c>
      <c r="M3142" t="s">
        <v>3327</v>
      </c>
      <c r="N3142" t="s">
        <v>3376</v>
      </c>
      <c r="O3142" t="s">
        <v>3377</v>
      </c>
      <c r="P3142" t="s">
        <v>3378</v>
      </c>
      <c r="Q3142" t="s">
        <v>3379</v>
      </c>
      <c r="R3142" t="s">
        <v>10868</v>
      </c>
    </row>
    <row r="3143" spans="1:18" x14ac:dyDescent="0.2">
      <c r="A3143">
        <v>1706195</v>
      </c>
      <c r="B3143" t="s">
        <v>10869</v>
      </c>
      <c r="C3143">
        <v>0</v>
      </c>
      <c r="D3143">
        <v>0</v>
      </c>
      <c r="E3143">
        <v>0</v>
      </c>
      <c r="F3143">
        <v>0</v>
      </c>
      <c r="G3143">
        <v>1</v>
      </c>
      <c r="H3143">
        <v>0</v>
      </c>
      <c r="I3143">
        <v>0</v>
      </c>
      <c r="J3143">
        <v>0</v>
      </c>
      <c r="K3143">
        <v>0</v>
      </c>
      <c r="L3143" t="s">
        <v>3284</v>
      </c>
      <c r="M3143" t="s">
        <v>3296</v>
      </c>
      <c r="N3143" t="s">
        <v>3297</v>
      </c>
      <c r="O3143" t="s">
        <v>3469</v>
      </c>
      <c r="P3143" t="s">
        <v>3470</v>
      </c>
      <c r="Q3143" t="s">
        <v>10870</v>
      </c>
      <c r="R3143" t="s">
        <v>10871</v>
      </c>
    </row>
    <row r="3144" spans="1:18" x14ac:dyDescent="0.2">
      <c r="A3144">
        <v>1705714</v>
      </c>
      <c r="B3144" t="s">
        <v>10872</v>
      </c>
      <c r="C3144">
        <v>0</v>
      </c>
      <c r="D3144">
        <v>0</v>
      </c>
      <c r="E3144">
        <v>0</v>
      </c>
      <c r="F3144">
        <v>0</v>
      </c>
      <c r="G3144">
        <v>1</v>
      </c>
      <c r="H3144">
        <v>0</v>
      </c>
      <c r="I3144">
        <v>0</v>
      </c>
      <c r="J3144">
        <v>0</v>
      </c>
      <c r="K3144">
        <v>0</v>
      </c>
      <c r="L3144" t="s">
        <v>3284</v>
      </c>
      <c r="M3144" t="s">
        <v>3296</v>
      </c>
      <c r="N3144" t="s">
        <v>3321</v>
      </c>
      <c r="O3144" t="s">
        <v>3322</v>
      </c>
      <c r="P3144" t="s">
        <v>3398</v>
      </c>
      <c r="Q3144" t="s">
        <v>3399</v>
      </c>
      <c r="R3144" t="s">
        <v>10873</v>
      </c>
    </row>
    <row r="3145" spans="1:18" x14ac:dyDescent="0.2">
      <c r="A3145">
        <v>1705357</v>
      </c>
      <c r="B3145" t="s">
        <v>10874</v>
      </c>
      <c r="C3145">
        <v>1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 t="s">
        <v>3284</v>
      </c>
      <c r="M3145" t="s">
        <v>3307</v>
      </c>
      <c r="N3145" t="s">
        <v>3308</v>
      </c>
      <c r="O3145" t="s">
        <v>3359</v>
      </c>
      <c r="P3145" t="s">
        <v>3360</v>
      </c>
      <c r="Q3145" t="s">
        <v>9494</v>
      </c>
      <c r="R3145" t="s">
        <v>10875</v>
      </c>
    </row>
    <row r="3146" spans="1:18" x14ac:dyDescent="0.2">
      <c r="A3146">
        <v>1697043</v>
      </c>
      <c r="B3146" t="s">
        <v>10876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1</v>
      </c>
      <c r="K3146">
        <v>0</v>
      </c>
      <c r="L3146" t="s">
        <v>3284</v>
      </c>
      <c r="M3146" t="s">
        <v>3296</v>
      </c>
      <c r="N3146" t="s">
        <v>3321</v>
      </c>
      <c r="O3146" t="s">
        <v>3322</v>
      </c>
      <c r="P3146" t="s">
        <v>4143</v>
      </c>
      <c r="Q3146" t="s">
        <v>6285</v>
      </c>
      <c r="R3146" t="s">
        <v>10877</v>
      </c>
    </row>
    <row r="3147" spans="1:18" x14ac:dyDescent="0.2">
      <c r="A3147">
        <v>1691940</v>
      </c>
      <c r="B3147" t="s">
        <v>10878</v>
      </c>
      <c r="C3147">
        <v>1</v>
      </c>
      <c r="D3147">
        <v>2</v>
      </c>
      <c r="E3147">
        <v>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 t="s">
        <v>3284</v>
      </c>
      <c r="M3147" t="s">
        <v>3327</v>
      </c>
      <c r="N3147" t="s">
        <v>3328</v>
      </c>
      <c r="O3147" t="s">
        <v>3329</v>
      </c>
      <c r="P3147" t="s">
        <v>3330</v>
      </c>
      <c r="Q3147" t="s">
        <v>3331</v>
      </c>
      <c r="R3147" t="s">
        <v>10879</v>
      </c>
    </row>
    <row r="3148" spans="1:18" x14ac:dyDescent="0.2">
      <c r="A3148">
        <v>1691904</v>
      </c>
      <c r="B3148" t="s">
        <v>10880</v>
      </c>
      <c r="C3148">
        <v>1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 t="s">
        <v>3284</v>
      </c>
      <c r="M3148" t="s">
        <v>3296</v>
      </c>
      <c r="N3148" t="s">
        <v>3297</v>
      </c>
      <c r="O3148" t="s">
        <v>3434</v>
      </c>
      <c r="P3148" t="s">
        <v>3435</v>
      </c>
      <c r="Q3148" t="s">
        <v>3436</v>
      </c>
      <c r="R3148" t="s">
        <v>10881</v>
      </c>
    </row>
    <row r="3149" spans="1:18" x14ac:dyDescent="0.2">
      <c r="A3149">
        <v>1689269</v>
      </c>
      <c r="B3149" t="s">
        <v>10882</v>
      </c>
      <c r="C3149">
        <v>2</v>
      </c>
      <c r="D3149">
        <v>2</v>
      </c>
      <c r="E3149">
        <v>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 t="s">
        <v>3284</v>
      </c>
      <c r="M3149" t="s">
        <v>3327</v>
      </c>
      <c r="N3149" t="s">
        <v>3376</v>
      </c>
      <c r="O3149" t="s">
        <v>3377</v>
      </c>
      <c r="P3149" t="s">
        <v>3604</v>
      </c>
      <c r="Q3149" t="s">
        <v>4094</v>
      </c>
      <c r="R3149" t="s">
        <v>10883</v>
      </c>
    </row>
    <row r="3150" spans="1:18" x14ac:dyDescent="0.2">
      <c r="A3150">
        <v>1686106</v>
      </c>
      <c r="B3150" t="s">
        <v>10884</v>
      </c>
      <c r="C3150">
        <v>0</v>
      </c>
      <c r="D3150">
        <v>1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 t="s">
        <v>3284</v>
      </c>
      <c r="M3150" t="s">
        <v>3296</v>
      </c>
      <c r="N3150" t="s">
        <v>3343</v>
      </c>
      <c r="O3150" t="s">
        <v>3349</v>
      </c>
      <c r="P3150" t="s">
        <v>3350</v>
      </c>
      <c r="Q3150" t="s">
        <v>8349</v>
      </c>
      <c r="R3150" t="s">
        <v>10885</v>
      </c>
    </row>
    <row r="3151" spans="1:18" x14ac:dyDescent="0.2">
      <c r="A3151">
        <v>1685415</v>
      </c>
      <c r="B3151" t="s">
        <v>10886</v>
      </c>
      <c r="C3151">
        <v>0</v>
      </c>
      <c r="D3151">
        <v>0</v>
      </c>
      <c r="E3151">
        <v>0</v>
      </c>
      <c r="F3151">
        <v>0</v>
      </c>
      <c r="G3151">
        <v>1</v>
      </c>
      <c r="H3151">
        <v>0</v>
      </c>
      <c r="I3151">
        <v>0</v>
      </c>
      <c r="J3151">
        <v>0</v>
      </c>
      <c r="K3151">
        <v>0</v>
      </c>
      <c r="L3151" t="s">
        <v>3284</v>
      </c>
      <c r="M3151" t="s">
        <v>3296</v>
      </c>
      <c r="N3151" t="s">
        <v>3297</v>
      </c>
      <c r="O3151" t="s">
        <v>3469</v>
      </c>
      <c r="P3151" t="s">
        <v>3470</v>
      </c>
      <c r="Q3151" t="s">
        <v>3471</v>
      </c>
      <c r="R3151" t="s">
        <v>10887</v>
      </c>
    </row>
    <row r="3152" spans="1:18" x14ac:dyDescent="0.2">
      <c r="A3152">
        <v>1685414</v>
      </c>
      <c r="B3152" t="s">
        <v>10888</v>
      </c>
      <c r="C3152">
        <v>0</v>
      </c>
      <c r="D3152">
        <v>0</v>
      </c>
      <c r="E3152">
        <v>0</v>
      </c>
      <c r="F3152">
        <v>1</v>
      </c>
      <c r="G3152">
        <v>1</v>
      </c>
      <c r="H3152">
        <v>0</v>
      </c>
      <c r="I3152">
        <v>0</v>
      </c>
      <c r="J3152">
        <v>0</v>
      </c>
      <c r="K3152">
        <v>0</v>
      </c>
      <c r="L3152" t="s">
        <v>3284</v>
      </c>
      <c r="M3152" t="s">
        <v>3391</v>
      </c>
      <c r="N3152" t="s">
        <v>3411</v>
      </c>
      <c r="O3152" t="s">
        <v>3412</v>
      </c>
      <c r="P3152" t="s">
        <v>3413</v>
      </c>
      <c r="Q3152" t="s">
        <v>3414</v>
      </c>
      <c r="R3152" t="s">
        <v>10889</v>
      </c>
    </row>
    <row r="3153" spans="1:18" x14ac:dyDescent="0.2">
      <c r="A3153">
        <v>1685379</v>
      </c>
      <c r="B3153" t="s">
        <v>10890</v>
      </c>
      <c r="C3153">
        <v>0</v>
      </c>
      <c r="D3153">
        <v>0</v>
      </c>
      <c r="E3153">
        <v>0</v>
      </c>
      <c r="F3153">
        <v>1</v>
      </c>
      <c r="G3153">
        <v>0</v>
      </c>
      <c r="H3153">
        <v>0</v>
      </c>
      <c r="I3153">
        <v>0</v>
      </c>
      <c r="J3153">
        <v>0</v>
      </c>
      <c r="K3153">
        <v>0</v>
      </c>
      <c r="L3153" t="s">
        <v>3284</v>
      </c>
      <c r="M3153" t="s">
        <v>3296</v>
      </c>
      <c r="N3153" t="s">
        <v>3343</v>
      </c>
      <c r="O3153" t="s">
        <v>3371</v>
      </c>
      <c r="P3153" t="s">
        <v>3372</v>
      </c>
      <c r="Q3153" t="s">
        <v>6439</v>
      </c>
      <c r="R3153" t="s">
        <v>10891</v>
      </c>
    </row>
    <row r="3154" spans="1:18" x14ac:dyDescent="0.2">
      <c r="A3154">
        <v>1684789</v>
      </c>
      <c r="B3154" t="s">
        <v>10892</v>
      </c>
      <c r="C3154">
        <v>0</v>
      </c>
      <c r="D3154">
        <v>0</v>
      </c>
      <c r="E3154">
        <v>1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 t="s">
        <v>3284</v>
      </c>
      <c r="M3154" t="s">
        <v>3296</v>
      </c>
      <c r="N3154" t="s">
        <v>3297</v>
      </c>
      <c r="O3154" t="s">
        <v>4500</v>
      </c>
      <c r="P3154" t="s">
        <v>4501</v>
      </c>
      <c r="Q3154" t="s">
        <v>4822</v>
      </c>
      <c r="R3154" t="s">
        <v>10893</v>
      </c>
    </row>
    <row r="3155" spans="1:18" x14ac:dyDescent="0.2">
      <c r="A3155">
        <v>1684312</v>
      </c>
      <c r="B3155" t="s">
        <v>10894</v>
      </c>
      <c r="C3155">
        <v>4</v>
      </c>
      <c r="D3155">
        <v>3</v>
      </c>
      <c r="E3155">
        <v>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 t="s">
        <v>3284</v>
      </c>
      <c r="M3155" t="s">
        <v>3327</v>
      </c>
      <c r="N3155" t="s">
        <v>3376</v>
      </c>
      <c r="O3155" t="s">
        <v>3377</v>
      </c>
      <c r="P3155" t="s">
        <v>3271</v>
      </c>
      <c r="Q3155" t="s">
        <v>3648</v>
      </c>
      <c r="R3155" t="s">
        <v>10895</v>
      </c>
    </row>
    <row r="3156" spans="1:18" x14ac:dyDescent="0.2">
      <c r="A3156">
        <v>1682113</v>
      </c>
      <c r="B3156" t="s">
        <v>10896</v>
      </c>
      <c r="C3156">
        <v>0</v>
      </c>
      <c r="D3156">
        <v>1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 t="s">
        <v>3284</v>
      </c>
      <c r="M3156" t="s">
        <v>3307</v>
      </c>
      <c r="N3156" t="s">
        <v>3308</v>
      </c>
      <c r="O3156" t="s">
        <v>3635</v>
      </c>
      <c r="P3156" t="s">
        <v>4011</v>
      </c>
      <c r="Q3156" t="s">
        <v>4012</v>
      </c>
      <c r="R3156" t="s">
        <v>10897</v>
      </c>
    </row>
    <row r="3157" spans="1:18" x14ac:dyDescent="0.2">
      <c r="A3157">
        <v>1681835</v>
      </c>
      <c r="B3157" t="s">
        <v>10898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1</v>
      </c>
      <c r="K3157">
        <v>0</v>
      </c>
      <c r="L3157" t="s">
        <v>3284</v>
      </c>
      <c r="M3157" t="s">
        <v>3391</v>
      </c>
      <c r="N3157" t="s">
        <v>3740</v>
      </c>
      <c r="O3157" t="s">
        <v>3741</v>
      </c>
      <c r="P3157" t="s">
        <v>3853</v>
      </c>
      <c r="Q3157" t="s">
        <v>3854</v>
      </c>
      <c r="R3157" t="s">
        <v>10899</v>
      </c>
    </row>
    <row r="3158" spans="1:18" x14ac:dyDescent="0.2">
      <c r="A3158">
        <v>1680159</v>
      </c>
      <c r="B3158" t="s">
        <v>10900</v>
      </c>
      <c r="C3158">
        <v>0</v>
      </c>
      <c r="D3158">
        <v>0</v>
      </c>
      <c r="E3158">
        <v>0</v>
      </c>
      <c r="F3158">
        <v>0</v>
      </c>
      <c r="G3158">
        <v>1</v>
      </c>
      <c r="H3158">
        <v>0</v>
      </c>
      <c r="I3158">
        <v>0</v>
      </c>
      <c r="J3158">
        <v>0</v>
      </c>
      <c r="K3158">
        <v>0</v>
      </c>
      <c r="L3158" t="s">
        <v>3284</v>
      </c>
      <c r="M3158" t="s">
        <v>3296</v>
      </c>
      <c r="N3158" t="s">
        <v>3343</v>
      </c>
      <c r="O3158" t="s">
        <v>3344</v>
      </c>
      <c r="P3158" t="s">
        <v>3937</v>
      </c>
      <c r="Q3158" t="s">
        <v>3938</v>
      </c>
      <c r="R3158" t="s">
        <v>10901</v>
      </c>
    </row>
    <row r="3159" spans="1:18" x14ac:dyDescent="0.2">
      <c r="A3159">
        <v>1679495</v>
      </c>
      <c r="B3159" t="s">
        <v>10902</v>
      </c>
      <c r="C3159">
        <v>0</v>
      </c>
      <c r="D3159">
        <v>0</v>
      </c>
      <c r="E3159">
        <v>0</v>
      </c>
      <c r="F3159">
        <v>1</v>
      </c>
      <c r="G3159">
        <v>1</v>
      </c>
      <c r="H3159">
        <v>0</v>
      </c>
      <c r="I3159">
        <v>0</v>
      </c>
      <c r="J3159">
        <v>0</v>
      </c>
      <c r="K3159">
        <v>0</v>
      </c>
      <c r="L3159" t="s">
        <v>3284</v>
      </c>
      <c r="M3159" t="s">
        <v>3296</v>
      </c>
      <c r="N3159" t="s">
        <v>3321</v>
      </c>
      <c r="O3159" t="s">
        <v>3322</v>
      </c>
      <c r="P3159" t="s">
        <v>3398</v>
      </c>
      <c r="Q3159" t="s">
        <v>3399</v>
      </c>
      <c r="R3159" t="s">
        <v>10903</v>
      </c>
    </row>
    <row r="3160" spans="1:18" x14ac:dyDescent="0.2">
      <c r="A3160">
        <v>1679494</v>
      </c>
      <c r="B3160" t="s">
        <v>10904</v>
      </c>
      <c r="C3160">
        <v>0</v>
      </c>
      <c r="D3160">
        <v>0</v>
      </c>
      <c r="E3160">
        <v>0</v>
      </c>
      <c r="F3160">
        <v>1</v>
      </c>
      <c r="G3160">
        <v>0</v>
      </c>
      <c r="H3160">
        <v>0</v>
      </c>
      <c r="I3160">
        <v>0</v>
      </c>
      <c r="J3160">
        <v>0</v>
      </c>
      <c r="K3160">
        <v>0</v>
      </c>
      <c r="L3160" t="s">
        <v>3284</v>
      </c>
      <c r="M3160" t="s">
        <v>3391</v>
      </c>
      <c r="N3160" t="s">
        <v>3411</v>
      </c>
      <c r="O3160" t="s">
        <v>3412</v>
      </c>
      <c r="P3160" t="s">
        <v>3564</v>
      </c>
      <c r="Q3160" t="s">
        <v>3803</v>
      </c>
      <c r="R3160" t="s">
        <v>10905</v>
      </c>
    </row>
    <row r="3161" spans="1:18" x14ac:dyDescent="0.2">
      <c r="A3161">
        <v>1679165</v>
      </c>
      <c r="B3161" t="s">
        <v>10906</v>
      </c>
      <c r="C3161">
        <v>0</v>
      </c>
      <c r="D3161">
        <v>1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 t="s">
        <v>3284</v>
      </c>
      <c r="M3161" t="s">
        <v>3327</v>
      </c>
      <c r="N3161" t="s">
        <v>3376</v>
      </c>
      <c r="O3161" t="s">
        <v>3377</v>
      </c>
      <c r="P3161" t="s">
        <v>3378</v>
      </c>
      <c r="Q3161" t="s">
        <v>3379</v>
      </c>
      <c r="R3161" t="s">
        <v>10907</v>
      </c>
    </row>
    <row r="3162" spans="1:18" x14ac:dyDescent="0.2">
      <c r="A3162">
        <v>1678237</v>
      </c>
      <c r="B3162" t="s">
        <v>10908</v>
      </c>
      <c r="C3162">
        <v>1</v>
      </c>
      <c r="D3162">
        <v>0</v>
      </c>
      <c r="E3162">
        <v>0</v>
      </c>
      <c r="F3162">
        <v>0</v>
      </c>
      <c r="G3162">
        <v>0</v>
      </c>
      <c r="H3162">
        <v>1</v>
      </c>
      <c r="I3162">
        <v>0</v>
      </c>
      <c r="J3162">
        <v>0</v>
      </c>
      <c r="K3162">
        <v>0</v>
      </c>
      <c r="L3162" t="s">
        <v>3284</v>
      </c>
      <c r="M3162" t="s">
        <v>3307</v>
      </c>
      <c r="N3162" t="s">
        <v>3308</v>
      </c>
      <c r="O3162" t="s">
        <v>3359</v>
      </c>
      <c r="P3162" t="s">
        <v>3360</v>
      </c>
      <c r="Q3162" t="s">
        <v>3361</v>
      </c>
      <c r="R3162" t="s">
        <v>10909</v>
      </c>
    </row>
    <row r="3163" spans="1:18" x14ac:dyDescent="0.2">
      <c r="A3163">
        <v>1678128</v>
      </c>
      <c r="B3163" t="s">
        <v>10910</v>
      </c>
      <c r="C3163">
        <v>3</v>
      </c>
      <c r="D3163">
        <v>6</v>
      </c>
      <c r="E3163">
        <v>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 t="s">
        <v>3284</v>
      </c>
      <c r="M3163" t="s">
        <v>3296</v>
      </c>
      <c r="N3163" t="s">
        <v>3321</v>
      </c>
      <c r="O3163" t="s">
        <v>3322</v>
      </c>
      <c r="P3163" t="s">
        <v>3398</v>
      </c>
      <c r="Q3163" t="s">
        <v>4796</v>
      </c>
      <c r="R3163" t="s">
        <v>10911</v>
      </c>
    </row>
    <row r="3164" spans="1:18" x14ac:dyDescent="0.2">
      <c r="A3164">
        <v>1678028</v>
      </c>
      <c r="B3164" t="s">
        <v>10912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3</v>
      </c>
      <c r="J3164">
        <v>0</v>
      </c>
      <c r="K3164">
        <v>0</v>
      </c>
      <c r="L3164" t="s">
        <v>3284</v>
      </c>
      <c r="M3164" t="s">
        <v>3296</v>
      </c>
      <c r="N3164" t="s">
        <v>3321</v>
      </c>
      <c r="O3164" t="s">
        <v>3322</v>
      </c>
      <c r="P3164" t="s">
        <v>3323</v>
      </c>
      <c r="Q3164" t="s">
        <v>3324</v>
      </c>
      <c r="R3164" t="s">
        <v>10913</v>
      </c>
    </row>
    <row r="3165" spans="1:18" x14ac:dyDescent="0.2">
      <c r="A3165">
        <v>1677857</v>
      </c>
      <c r="B3165" t="s">
        <v>10914</v>
      </c>
      <c r="C3165">
        <v>2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 t="s">
        <v>3284</v>
      </c>
      <c r="M3165" t="s">
        <v>3327</v>
      </c>
      <c r="N3165" t="s">
        <v>3328</v>
      </c>
      <c r="O3165" t="s">
        <v>3329</v>
      </c>
      <c r="P3165" t="s">
        <v>4620</v>
      </c>
      <c r="Q3165" t="s">
        <v>8537</v>
      </c>
      <c r="R3165" t="s">
        <v>10915</v>
      </c>
    </row>
    <row r="3166" spans="1:18" x14ac:dyDescent="0.2">
      <c r="A3166">
        <v>1675792</v>
      </c>
      <c r="B3166" t="s">
        <v>10916</v>
      </c>
      <c r="C3166">
        <v>1</v>
      </c>
      <c r="D3166">
        <v>0</v>
      </c>
      <c r="E3166">
        <v>0</v>
      </c>
      <c r="F3166">
        <v>2</v>
      </c>
      <c r="G3166">
        <v>1</v>
      </c>
      <c r="H3166">
        <v>0</v>
      </c>
      <c r="I3166">
        <v>0</v>
      </c>
      <c r="J3166">
        <v>0</v>
      </c>
      <c r="K3166">
        <v>0</v>
      </c>
      <c r="L3166" t="s">
        <v>3284</v>
      </c>
      <c r="M3166" t="s">
        <v>3296</v>
      </c>
      <c r="N3166" t="s">
        <v>3321</v>
      </c>
      <c r="O3166" t="s">
        <v>3322</v>
      </c>
      <c r="P3166" t="s">
        <v>3398</v>
      </c>
      <c r="Q3166" t="s">
        <v>3556</v>
      </c>
      <c r="R3166" t="s">
        <v>10917</v>
      </c>
    </row>
    <row r="3167" spans="1:18" x14ac:dyDescent="0.2">
      <c r="A3167">
        <v>1675788</v>
      </c>
      <c r="B3167" t="s">
        <v>10918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1</v>
      </c>
      <c r="J3167">
        <v>0</v>
      </c>
      <c r="K3167">
        <v>0</v>
      </c>
      <c r="L3167" t="s">
        <v>3284</v>
      </c>
      <c r="M3167" t="s">
        <v>3296</v>
      </c>
      <c r="N3167" t="s">
        <v>3343</v>
      </c>
      <c r="O3167" t="s">
        <v>3371</v>
      </c>
      <c r="P3167" t="s">
        <v>3688</v>
      </c>
      <c r="Q3167" t="s">
        <v>4406</v>
      </c>
      <c r="R3167" t="s">
        <v>10919</v>
      </c>
    </row>
    <row r="3168" spans="1:18" x14ac:dyDescent="0.2">
      <c r="A3168">
        <v>1674920</v>
      </c>
      <c r="B3168" t="s">
        <v>10920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1</v>
      </c>
      <c r="J3168">
        <v>0</v>
      </c>
      <c r="K3168">
        <v>0</v>
      </c>
      <c r="L3168" t="s">
        <v>3284</v>
      </c>
      <c r="M3168" t="s">
        <v>3296</v>
      </c>
      <c r="N3168" t="s">
        <v>3297</v>
      </c>
      <c r="O3168" t="s">
        <v>3434</v>
      </c>
      <c r="P3168" t="s">
        <v>3435</v>
      </c>
      <c r="Q3168" t="s">
        <v>3436</v>
      </c>
      <c r="R3168" t="s">
        <v>10921</v>
      </c>
    </row>
    <row r="3169" spans="1:18" x14ac:dyDescent="0.2">
      <c r="A3169">
        <v>1674310</v>
      </c>
      <c r="B3169" t="s">
        <v>10922</v>
      </c>
      <c r="C3169">
        <v>0</v>
      </c>
      <c r="D3169">
        <v>1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 t="s">
        <v>3284</v>
      </c>
      <c r="M3169" t="s">
        <v>3327</v>
      </c>
      <c r="N3169" t="s">
        <v>3376</v>
      </c>
      <c r="O3169" t="s">
        <v>3377</v>
      </c>
      <c r="P3169" t="s">
        <v>3378</v>
      </c>
      <c r="Q3169" t="s">
        <v>3491</v>
      </c>
      <c r="R3169" t="s">
        <v>10923</v>
      </c>
    </row>
    <row r="3170" spans="1:18" x14ac:dyDescent="0.2">
      <c r="A3170">
        <v>1674291</v>
      </c>
      <c r="B3170" t="s">
        <v>10924</v>
      </c>
      <c r="C3170">
        <v>0</v>
      </c>
      <c r="D3170">
        <v>0</v>
      </c>
      <c r="E3170">
        <v>0</v>
      </c>
      <c r="F3170">
        <v>1</v>
      </c>
      <c r="G3170">
        <v>0</v>
      </c>
      <c r="H3170">
        <v>0</v>
      </c>
      <c r="I3170">
        <v>0</v>
      </c>
      <c r="J3170">
        <v>0</v>
      </c>
      <c r="K3170">
        <v>0</v>
      </c>
      <c r="L3170" t="s">
        <v>3284</v>
      </c>
      <c r="M3170" t="s">
        <v>3391</v>
      </c>
      <c r="N3170" t="s">
        <v>3411</v>
      </c>
      <c r="O3170" t="s">
        <v>3412</v>
      </c>
      <c r="P3170" t="s">
        <v>3564</v>
      </c>
      <c r="Q3170" t="s">
        <v>3803</v>
      </c>
      <c r="R3170" t="s">
        <v>10925</v>
      </c>
    </row>
    <row r="3171" spans="1:18" x14ac:dyDescent="0.2">
      <c r="A3171">
        <v>1671927</v>
      </c>
      <c r="B3171" t="s">
        <v>10926</v>
      </c>
      <c r="C3171">
        <v>0</v>
      </c>
      <c r="D3171">
        <v>0</v>
      </c>
      <c r="E3171">
        <v>1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 t="s">
        <v>3284</v>
      </c>
      <c r="M3171" t="s">
        <v>3327</v>
      </c>
      <c r="N3171" t="s">
        <v>3328</v>
      </c>
      <c r="O3171" t="s">
        <v>4017</v>
      </c>
      <c r="P3171" t="s">
        <v>4018</v>
      </c>
      <c r="Q3171" t="s">
        <v>10927</v>
      </c>
      <c r="R3171" t="s">
        <v>10928</v>
      </c>
    </row>
    <row r="3172" spans="1:18" x14ac:dyDescent="0.2">
      <c r="A3172">
        <v>1667357</v>
      </c>
      <c r="B3172" t="s">
        <v>10929</v>
      </c>
      <c r="C3172">
        <v>2</v>
      </c>
      <c r="D3172">
        <v>0</v>
      </c>
      <c r="E3172">
        <v>1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 t="s">
        <v>3284</v>
      </c>
      <c r="M3172" t="s">
        <v>3327</v>
      </c>
      <c r="N3172" t="s">
        <v>3328</v>
      </c>
      <c r="O3172" t="s">
        <v>3329</v>
      </c>
      <c r="P3172" t="s">
        <v>3330</v>
      </c>
      <c r="Q3172" t="s">
        <v>3331</v>
      </c>
      <c r="R3172" t="s">
        <v>10930</v>
      </c>
    </row>
    <row r="3173" spans="1:18" x14ac:dyDescent="0.2">
      <c r="A3173">
        <v>1663685</v>
      </c>
      <c r="B3173" t="s">
        <v>10931</v>
      </c>
      <c r="C3173">
        <v>0</v>
      </c>
      <c r="D3173">
        <v>0</v>
      </c>
      <c r="E3173">
        <v>0</v>
      </c>
      <c r="F3173">
        <v>9</v>
      </c>
      <c r="G3173">
        <v>9</v>
      </c>
      <c r="H3173">
        <v>0</v>
      </c>
      <c r="I3173">
        <v>0</v>
      </c>
      <c r="J3173">
        <v>0</v>
      </c>
      <c r="K3173">
        <v>0</v>
      </c>
      <c r="L3173" t="s">
        <v>3284</v>
      </c>
      <c r="M3173" t="s">
        <v>3391</v>
      </c>
      <c r="N3173" t="s">
        <v>3392</v>
      </c>
      <c r="O3173" t="s">
        <v>3393</v>
      </c>
      <c r="P3173" t="s">
        <v>3394</v>
      </c>
      <c r="Q3173" t="s">
        <v>3395</v>
      </c>
      <c r="R3173" t="s">
        <v>10932</v>
      </c>
    </row>
    <row r="3174" spans="1:18" x14ac:dyDescent="0.2">
      <c r="A3174">
        <v>1662055</v>
      </c>
      <c r="B3174" t="s">
        <v>10933</v>
      </c>
      <c r="C3174">
        <v>2</v>
      </c>
      <c r="D3174">
        <v>3</v>
      </c>
      <c r="E3174">
        <v>4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 t="s">
        <v>3284</v>
      </c>
      <c r="M3174" t="s">
        <v>3327</v>
      </c>
      <c r="N3174" t="s">
        <v>3328</v>
      </c>
      <c r="O3174" t="s">
        <v>3329</v>
      </c>
      <c r="P3174" t="s">
        <v>3330</v>
      </c>
      <c r="Q3174" t="s">
        <v>3331</v>
      </c>
      <c r="R3174" t="s">
        <v>10934</v>
      </c>
    </row>
    <row r="3175" spans="1:18" x14ac:dyDescent="0.2">
      <c r="A3175">
        <v>1660142</v>
      </c>
      <c r="B3175" t="s">
        <v>10935</v>
      </c>
      <c r="C3175">
        <v>0</v>
      </c>
      <c r="D3175">
        <v>0</v>
      </c>
      <c r="E3175">
        <v>0</v>
      </c>
      <c r="F3175">
        <v>1</v>
      </c>
      <c r="G3175">
        <v>0</v>
      </c>
      <c r="H3175">
        <v>0</v>
      </c>
      <c r="I3175">
        <v>0</v>
      </c>
      <c r="J3175">
        <v>0</v>
      </c>
      <c r="K3175">
        <v>0</v>
      </c>
      <c r="L3175" t="s">
        <v>3284</v>
      </c>
      <c r="M3175" t="s">
        <v>3296</v>
      </c>
      <c r="N3175" t="s">
        <v>3343</v>
      </c>
      <c r="O3175" t="s">
        <v>3349</v>
      </c>
      <c r="P3175" t="s">
        <v>3350</v>
      </c>
      <c r="Q3175" t="s">
        <v>5444</v>
      </c>
      <c r="R3175" t="s">
        <v>10936</v>
      </c>
    </row>
    <row r="3176" spans="1:18" x14ac:dyDescent="0.2">
      <c r="A3176">
        <v>1660095</v>
      </c>
      <c r="B3176" t="s">
        <v>10937</v>
      </c>
      <c r="C3176">
        <v>1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 t="s">
        <v>3284</v>
      </c>
      <c r="M3176" t="s">
        <v>3296</v>
      </c>
      <c r="N3176" t="s">
        <v>3321</v>
      </c>
      <c r="O3176" t="s">
        <v>3322</v>
      </c>
      <c r="P3176" t="s">
        <v>3398</v>
      </c>
      <c r="Q3176" t="s">
        <v>3806</v>
      </c>
      <c r="R3176" t="s">
        <v>10938</v>
      </c>
    </row>
    <row r="3177" spans="1:18" x14ac:dyDescent="0.2">
      <c r="A3177">
        <v>1658740</v>
      </c>
      <c r="B3177" t="s">
        <v>10939</v>
      </c>
      <c r="C3177">
        <v>0</v>
      </c>
      <c r="D3177">
        <v>0</v>
      </c>
      <c r="E3177">
        <v>0</v>
      </c>
      <c r="F3177">
        <v>2</v>
      </c>
      <c r="G3177">
        <v>4</v>
      </c>
      <c r="H3177">
        <v>0</v>
      </c>
      <c r="I3177">
        <v>0</v>
      </c>
      <c r="J3177">
        <v>0</v>
      </c>
      <c r="K3177">
        <v>0</v>
      </c>
      <c r="L3177" t="s">
        <v>3284</v>
      </c>
      <c r="M3177" t="s">
        <v>3391</v>
      </c>
      <c r="N3177" t="s">
        <v>3411</v>
      </c>
      <c r="O3177" t="s">
        <v>3412</v>
      </c>
      <c r="P3177" t="s">
        <v>3413</v>
      </c>
      <c r="Q3177" t="s">
        <v>3414</v>
      </c>
      <c r="R3177" t="s">
        <v>10940</v>
      </c>
    </row>
    <row r="3178" spans="1:18" x14ac:dyDescent="0.2">
      <c r="A3178">
        <v>1658672</v>
      </c>
      <c r="B3178" t="s">
        <v>10941</v>
      </c>
      <c r="C3178">
        <v>0</v>
      </c>
      <c r="D3178">
        <v>1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 t="s">
        <v>3284</v>
      </c>
      <c r="M3178" t="s">
        <v>3296</v>
      </c>
      <c r="N3178" t="s">
        <v>3321</v>
      </c>
      <c r="O3178" t="s">
        <v>3322</v>
      </c>
      <c r="P3178" t="s">
        <v>3398</v>
      </c>
      <c r="Q3178" t="s">
        <v>6530</v>
      </c>
      <c r="R3178" t="s">
        <v>10942</v>
      </c>
    </row>
    <row r="3179" spans="1:18" x14ac:dyDescent="0.2">
      <c r="A3179">
        <v>1658110</v>
      </c>
      <c r="B3179" t="s">
        <v>10943</v>
      </c>
      <c r="C3179">
        <v>6</v>
      </c>
      <c r="D3179">
        <v>3</v>
      </c>
      <c r="E3179">
        <v>3</v>
      </c>
      <c r="F3179">
        <v>0</v>
      </c>
      <c r="G3179">
        <v>0</v>
      </c>
      <c r="H3179">
        <v>0</v>
      </c>
      <c r="I3179">
        <v>3</v>
      </c>
      <c r="J3179">
        <v>0</v>
      </c>
      <c r="K3179">
        <v>0</v>
      </c>
      <c r="L3179" t="s">
        <v>3284</v>
      </c>
      <c r="M3179" t="s">
        <v>3327</v>
      </c>
      <c r="N3179" t="s">
        <v>3328</v>
      </c>
      <c r="O3179" t="s">
        <v>3329</v>
      </c>
      <c r="P3179" t="s">
        <v>3330</v>
      </c>
      <c r="Q3179" t="s">
        <v>3683</v>
      </c>
      <c r="R3179" t="s">
        <v>10944</v>
      </c>
    </row>
    <row r="3180" spans="1:18" x14ac:dyDescent="0.2">
      <c r="A3180">
        <v>1658108</v>
      </c>
      <c r="B3180" t="s">
        <v>10945</v>
      </c>
      <c r="C3180">
        <v>1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 t="s">
        <v>3284</v>
      </c>
      <c r="M3180" t="s">
        <v>3327</v>
      </c>
      <c r="N3180" t="s">
        <v>3328</v>
      </c>
      <c r="O3180" t="s">
        <v>4017</v>
      </c>
      <c r="P3180" t="s">
        <v>4018</v>
      </c>
      <c r="Q3180" t="s">
        <v>9332</v>
      </c>
      <c r="R3180" t="s">
        <v>10946</v>
      </c>
    </row>
    <row r="3181" spans="1:18" x14ac:dyDescent="0.2">
      <c r="A3181">
        <v>1658060</v>
      </c>
      <c r="B3181" t="s">
        <v>10947</v>
      </c>
      <c r="C3181">
        <v>0</v>
      </c>
      <c r="D3181">
        <v>0</v>
      </c>
      <c r="E3181">
        <v>0</v>
      </c>
      <c r="F3181">
        <v>1</v>
      </c>
      <c r="G3181">
        <v>0</v>
      </c>
      <c r="H3181">
        <v>0</v>
      </c>
      <c r="I3181">
        <v>0</v>
      </c>
      <c r="J3181">
        <v>0</v>
      </c>
      <c r="K3181">
        <v>0</v>
      </c>
      <c r="L3181" t="s">
        <v>3284</v>
      </c>
      <c r="M3181" t="s">
        <v>3296</v>
      </c>
      <c r="N3181" t="s">
        <v>3343</v>
      </c>
      <c r="O3181" t="s">
        <v>3349</v>
      </c>
      <c r="P3181" t="s">
        <v>3350</v>
      </c>
      <c r="Q3181" t="s">
        <v>3580</v>
      </c>
      <c r="R3181" t="s">
        <v>10948</v>
      </c>
    </row>
    <row r="3182" spans="1:18" x14ac:dyDescent="0.2">
      <c r="A3182">
        <v>1652958</v>
      </c>
      <c r="B3182" t="s">
        <v>10949</v>
      </c>
      <c r="C3182">
        <v>1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 t="s">
        <v>3284</v>
      </c>
      <c r="M3182" t="s">
        <v>3327</v>
      </c>
      <c r="N3182" t="s">
        <v>3376</v>
      </c>
      <c r="O3182" t="s">
        <v>3377</v>
      </c>
      <c r="P3182" t="s">
        <v>3604</v>
      </c>
      <c r="Q3182" t="s">
        <v>3668</v>
      </c>
      <c r="R3182" t="s">
        <v>10950</v>
      </c>
    </row>
    <row r="3183" spans="1:18" x14ac:dyDescent="0.2">
      <c r="A3183">
        <v>1651218</v>
      </c>
      <c r="B3183" t="s">
        <v>10951</v>
      </c>
      <c r="C3183">
        <v>0</v>
      </c>
      <c r="D3183">
        <v>0</v>
      </c>
      <c r="E3183">
        <v>0</v>
      </c>
      <c r="F3183">
        <v>2</v>
      </c>
      <c r="G3183">
        <v>1</v>
      </c>
      <c r="H3183">
        <v>1</v>
      </c>
      <c r="I3183">
        <v>5</v>
      </c>
      <c r="J3183">
        <v>4</v>
      </c>
      <c r="K3183">
        <v>3</v>
      </c>
      <c r="L3183" t="s">
        <v>3284</v>
      </c>
      <c r="M3183" t="s">
        <v>3296</v>
      </c>
      <c r="N3183" t="s">
        <v>3321</v>
      </c>
      <c r="O3183" t="s">
        <v>3322</v>
      </c>
      <c r="P3183" t="s">
        <v>3398</v>
      </c>
      <c r="Q3183" t="s">
        <v>3439</v>
      </c>
      <c r="R3183" t="s">
        <v>10952</v>
      </c>
    </row>
    <row r="3184" spans="1:18" x14ac:dyDescent="0.2">
      <c r="A3184">
        <v>1650662</v>
      </c>
      <c r="B3184" t="s">
        <v>10953</v>
      </c>
      <c r="C3184">
        <v>79</v>
      </c>
      <c r="D3184">
        <v>92</v>
      </c>
      <c r="E3184">
        <v>55</v>
      </c>
      <c r="F3184">
        <v>0</v>
      </c>
      <c r="G3184">
        <v>0</v>
      </c>
      <c r="H3184">
        <v>0</v>
      </c>
      <c r="I3184">
        <v>3</v>
      </c>
      <c r="J3184">
        <v>0</v>
      </c>
      <c r="K3184">
        <v>0</v>
      </c>
      <c r="L3184" t="s">
        <v>3284</v>
      </c>
      <c r="M3184" t="s">
        <v>3327</v>
      </c>
      <c r="N3184" t="s">
        <v>3328</v>
      </c>
      <c r="O3184" t="s">
        <v>3329</v>
      </c>
      <c r="P3184" t="s">
        <v>3330</v>
      </c>
      <c r="Q3184" t="s">
        <v>10954</v>
      </c>
      <c r="R3184" t="s">
        <v>10955</v>
      </c>
    </row>
    <row r="3185" spans="1:18" x14ac:dyDescent="0.2">
      <c r="A3185">
        <v>1650438</v>
      </c>
      <c r="B3185" t="s">
        <v>10956</v>
      </c>
      <c r="C3185">
        <v>0</v>
      </c>
      <c r="D3185">
        <v>0</v>
      </c>
      <c r="E3185">
        <v>0</v>
      </c>
      <c r="F3185">
        <v>1</v>
      </c>
      <c r="G3185">
        <v>0</v>
      </c>
      <c r="H3185">
        <v>0</v>
      </c>
      <c r="I3185">
        <v>0</v>
      </c>
      <c r="J3185">
        <v>0</v>
      </c>
      <c r="K3185">
        <v>0</v>
      </c>
      <c r="L3185" t="s">
        <v>3284</v>
      </c>
      <c r="M3185" t="s">
        <v>3296</v>
      </c>
      <c r="N3185" t="s">
        <v>3343</v>
      </c>
      <c r="O3185" t="s">
        <v>3344</v>
      </c>
      <c r="P3185" t="s">
        <v>3355</v>
      </c>
      <c r="Q3185" t="s">
        <v>3356</v>
      </c>
      <c r="R3185" t="s">
        <v>10957</v>
      </c>
    </row>
    <row r="3186" spans="1:18" x14ac:dyDescent="0.2">
      <c r="A3186">
        <v>1649580</v>
      </c>
      <c r="B3186" t="s">
        <v>10958</v>
      </c>
      <c r="C3186">
        <v>0</v>
      </c>
      <c r="D3186">
        <v>1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 t="s">
        <v>3284</v>
      </c>
      <c r="M3186" t="s">
        <v>3327</v>
      </c>
      <c r="N3186" t="s">
        <v>3376</v>
      </c>
      <c r="O3186" t="s">
        <v>3377</v>
      </c>
      <c r="P3186" t="s">
        <v>3378</v>
      </c>
      <c r="Q3186" t="s">
        <v>10959</v>
      </c>
      <c r="R3186" t="s">
        <v>10960</v>
      </c>
    </row>
    <row r="3187" spans="1:18" x14ac:dyDescent="0.2">
      <c r="A3187">
        <v>1649169</v>
      </c>
      <c r="B3187" t="s">
        <v>10961</v>
      </c>
      <c r="C3187">
        <v>0</v>
      </c>
      <c r="D3187">
        <v>0</v>
      </c>
      <c r="E3187">
        <v>0</v>
      </c>
      <c r="F3187">
        <v>3</v>
      </c>
      <c r="G3187">
        <v>1</v>
      </c>
      <c r="H3187">
        <v>0</v>
      </c>
      <c r="I3187">
        <v>1</v>
      </c>
      <c r="J3187">
        <v>0</v>
      </c>
      <c r="K3187">
        <v>0</v>
      </c>
      <c r="L3187" t="s">
        <v>3284</v>
      </c>
      <c r="M3187" t="s">
        <v>3391</v>
      </c>
      <c r="N3187" t="s">
        <v>4129</v>
      </c>
      <c r="O3187" t="s">
        <v>4130</v>
      </c>
      <c r="P3187" t="s">
        <v>4131</v>
      </c>
      <c r="Q3187" t="s">
        <v>7860</v>
      </c>
      <c r="R3187" t="s">
        <v>10962</v>
      </c>
    </row>
    <row r="3188" spans="1:18" x14ac:dyDescent="0.2">
      <c r="A3188">
        <v>1647451</v>
      </c>
      <c r="B3188" t="s">
        <v>10963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1</v>
      </c>
      <c r="J3188">
        <v>0</v>
      </c>
      <c r="K3188">
        <v>0</v>
      </c>
      <c r="L3188" t="s">
        <v>3284</v>
      </c>
      <c r="M3188" t="s">
        <v>3391</v>
      </c>
      <c r="N3188" t="s">
        <v>4129</v>
      </c>
      <c r="O3188" t="s">
        <v>4130</v>
      </c>
      <c r="P3188" t="s">
        <v>4131</v>
      </c>
      <c r="Q3188" t="s">
        <v>4132</v>
      </c>
      <c r="R3188" t="s">
        <v>10964</v>
      </c>
    </row>
    <row r="3189" spans="1:18" x14ac:dyDescent="0.2">
      <c r="A3189">
        <v>1646119</v>
      </c>
      <c r="B3189" t="s">
        <v>10965</v>
      </c>
      <c r="C3189">
        <v>0</v>
      </c>
      <c r="D3189">
        <v>0</v>
      </c>
      <c r="E3189">
        <v>0</v>
      </c>
      <c r="F3189">
        <v>1</v>
      </c>
      <c r="G3189">
        <v>0</v>
      </c>
      <c r="H3189">
        <v>0</v>
      </c>
      <c r="I3189">
        <v>0</v>
      </c>
      <c r="J3189">
        <v>0</v>
      </c>
      <c r="K3189">
        <v>0</v>
      </c>
      <c r="L3189" t="s">
        <v>3284</v>
      </c>
      <c r="M3189" t="s">
        <v>3391</v>
      </c>
      <c r="N3189" t="s">
        <v>3411</v>
      </c>
      <c r="O3189" t="s">
        <v>3412</v>
      </c>
      <c r="P3189" t="s">
        <v>3413</v>
      </c>
      <c r="Q3189" t="s">
        <v>3414</v>
      </c>
      <c r="R3189" t="s">
        <v>10966</v>
      </c>
    </row>
    <row r="3190" spans="1:18" x14ac:dyDescent="0.2">
      <c r="A3190">
        <v>1643925</v>
      </c>
      <c r="B3190" t="s">
        <v>10967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1</v>
      </c>
      <c r="J3190">
        <v>0</v>
      </c>
      <c r="K3190">
        <v>0</v>
      </c>
      <c r="L3190" t="s">
        <v>3284</v>
      </c>
      <c r="M3190" t="s">
        <v>3327</v>
      </c>
      <c r="N3190" t="s">
        <v>3376</v>
      </c>
      <c r="O3190" t="s">
        <v>3377</v>
      </c>
      <c r="P3190" t="s">
        <v>3604</v>
      </c>
      <c r="Q3190" t="s">
        <v>3668</v>
      </c>
      <c r="R3190" t="s">
        <v>10968</v>
      </c>
    </row>
    <row r="3191" spans="1:18" x14ac:dyDescent="0.2">
      <c r="A3191">
        <v>1641992</v>
      </c>
      <c r="B3191" t="s">
        <v>10969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1</v>
      </c>
      <c r="J3191">
        <v>0</v>
      </c>
      <c r="K3191">
        <v>0</v>
      </c>
      <c r="L3191" t="s">
        <v>3284</v>
      </c>
      <c r="M3191" t="s">
        <v>3307</v>
      </c>
      <c r="N3191" t="s">
        <v>3308</v>
      </c>
      <c r="O3191" t="s">
        <v>3635</v>
      </c>
      <c r="P3191" t="s">
        <v>4011</v>
      </c>
      <c r="Q3191" t="s">
        <v>4471</v>
      </c>
      <c r="R3191" t="s">
        <v>10970</v>
      </c>
    </row>
    <row r="3192" spans="1:18" x14ac:dyDescent="0.2">
      <c r="A3192">
        <v>1641870</v>
      </c>
      <c r="B3192" t="s">
        <v>10971</v>
      </c>
      <c r="C3192">
        <v>0</v>
      </c>
      <c r="D3192">
        <v>0</v>
      </c>
      <c r="E3192">
        <v>0</v>
      </c>
      <c r="F3192">
        <v>1</v>
      </c>
      <c r="G3192">
        <v>2</v>
      </c>
      <c r="H3192">
        <v>0</v>
      </c>
      <c r="I3192">
        <v>0</v>
      </c>
      <c r="J3192">
        <v>0</v>
      </c>
      <c r="K3192">
        <v>0</v>
      </c>
      <c r="L3192" t="s">
        <v>3284</v>
      </c>
      <c r="M3192" t="s">
        <v>3391</v>
      </c>
      <c r="N3192" t="s">
        <v>3392</v>
      </c>
      <c r="O3192" t="s">
        <v>3393</v>
      </c>
      <c r="P3192" t="s">
        <v>3394</v>
      </c>
      <c r="Q3192" t="s">
        <v>4082</v>
      </c>
      <c r="R3192" t="s">
        <v>10972</v>
      </c>
    </row>
    <row r="3193" spans="1:18" x14ac:dyDescent="0.2">
      <c r="A3193">
        <v>1641869</v>
      </c>
      <c r="B3193" t="s">
        <v>10973</v>
      </c>
      <c r="C3193">
        <v>1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 t="s">
        <v>3284</v>
      </c>
      <c r="M3193" t="s">
        <v>3296</v>
      </c>
      <c r="N3193" t="s">
        <v>3343</v>
      </c>
      <c r="O3193" t="s">
        <v>3344</v>
      </c>
      <c r="P3193" t="s">
        <v>5257</v>
      </c>
      <c r="Q3193" t="s">
        <v>10974</v>
      </c>
      <c r="R3193" t="s">
        <v>10975</v>
      </c>
    </row>
    <row r="3194" spans="1:18" x14ac:dyDescent="0.2">
      <c r="A3194">
        <v>1641861</v>
      </c>
      <c r="B3194" t="s">
        <v>10976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1</v>
      </c>
      <c r="J3194">
        <v>0</v>
      </c>
      <c r="K3194">
        <v>0</v>
      </c>
      <c r="L3194" t="s">
        <v>3284</v>
      </c>
      <c r="M3194" t="s">
        <v>3296</v>
      </c>
      <c r="N3194" t="s">
        <v>3343</v>
      </c>
      <c r="O3194" t="s">
        <v>3402</v>
      </c>
      <c r="P3194" t="s">
        <v>3403</v>
      </c>
      <c r="Q3194" t="s">
        <v>3404</v>
      </c>
      <c r="R3194" t="s">
        <v>10977</v>
      </c>
    </row>
    <row r="3195" spans="1:18" x14ac:dyDescent="0.2">
      <c r="A3195">
        <v>1641858</v>
      </c>
      <c r="B3195" t="s">
        <v>10978</v>
      </c>
      <c r="C3195">
        <v>0</v>
      </c>
      <c r="D3195">
        <v>1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 t="s">
        <v>3284</v>
      </c>
      <c r="M3195" t="s">
        <v>3296</v>
      </c>
      <c r="N3195" t="s">
        <v>3321</v>
      </c>
      <c r="O3195" t="s">
        <v>3322</v>
      </c>
      <c r="P3195" t="s">
        <v>3423</v>
      </c>
      <c r="Q3195" t="s">
        <v>4170</v>
      </c>
      <c r="R3195" t="s">
        <v>10979</v>
      </c>
    </row>
    <row r="3196" spans="1:18" x14ac:dyDescent="0.2">
      <c r="A3196">
        <v>1641856</v>
      </c>
      <c r="B3196" t="s">
        <v>10980</v>
      </c>
      <c r="C3196">
        <v>0</v>
      </c>
      <c r="D3196">
        <v>0</v>
      </c>
      <c r="E3196">
        <v>0</v>
      </c>
      <c r="F3196">
        <v>1</v>
      </c>
      <c r="G3196">
        <v>0</v>
      </c>
      <c r="H3196">
        <v>0</v>
      </c>
      <c r="I3196">
        <v>0</v>
      </c>
      <c r="J3196">
        <v>0</v>
      </c>
      <c r="K3196">
        <v>0</v>
      </c>
      <c r="L3196" t="s">
        <v>3284</v>
      </c>
      <c r="M3196" t="s">
        <v>3296</v>
      </c>
      <c r="N3196" t="s">
        <v>3343</v>
      </c>
      <c r="O3196" t="s">
        <v>3344</v>
      </c>
      <c r="P3196" t="s">
        <v>3937</v>
      </c>
      <c r="Q3196" t="s">
        <v>3938</v>
      </c>
      <c r="R3196" t="s">
        <v>10981</v>
      </c>
    </row>
    <row r="3197" spans="1:18" x14ac:dyDescent="0.2">
      <c r="A3197">
        <v>1641855</v>
      </c>
      <c r="B3197" t="s">
        <v>10982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1</v>
      </c>
      <c r="K3197">
        <v>0</v>
      </c>
      <c r="L3197" t="s">
        <v>3284</v>
      </c>
      <c r="M3197" t="s">
        <v>3296</v>
      </c>
      <c r="N3197" t="s">
        <v>3343</v>
      </c>
      <c r="O3197" t="s">
        <v>3344</v>
      </c>
      <c r="P3197" t="s">
        <v>5257</v>
      </c>
      <c r="Q3197" t="s">
        <v>10983</v>
      </c>
      <c r="R3197" t="s">
        <v>10984</v>
      </c>
    </row>
    <row r="3198" spans="1:18" x14ac:dyDescent="0.2">
      <c r="A3198">
        <v>1641851</v>
      </c>
      <c r="B3198" t="s">
        <v>10985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1</v>
      </c>
      <c r="J3198">
        <v>0</v>
      </c>
      <c r="K3198">
        <v>0</v>
      </c>
      <c r="L3198" t="s">
        <v>3284</v>
      </c>
      <c r="M3198" t="s">
        <v>3296</v>
      </c>
      <c r="N3198" t="s">
        <v>3343</v>
      </c>
      <c r="O3198" t="s">
        <v>3429</v>
      </c>
      <c r="P3198" t="s">
        <v>4336</v>
      </c>
      <c r="Q3198" t="s">
        <v>10986</v>
      </c>
      <c r="R3198" t="s">
        <v>10987</v>
      </c>
    </row>
    <row r="3199" spans="1:18" x14ac:dyDescent="0.2">
      <c r="A3199">
        <v>1639133</v>
      </c>
      <c r="B3199" t="s">
        <v>10988</v>
      </c>
      <c r="C3199">
        <v>1</v>
      </c>
      <c r="D3199">
        <v>2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 t="s">
        <v>3284</v>
      </c>
      <c r="M3199" t="s">
        <v>3296</v>
      </c>
      <c r="N3199" t="s">
        <v>3297</v>
      </c>
      <c r="O3199" t="s">
        <v>3298</v>
      </c>
      <c r="P3199" t="s">
        <v>3826</v>
      </c>
      <c r="Q3199" t="s">
        <v>3927</v>
      </c>
      <c r="R3199" t="s">
        <v>10989</v>
      </c>
    </row>
    <row r="3200" spans="1:18" x14ac:dyDescent="0.2">
      <c r="A3200">
        <v>1639108</v>
      </c>
      <c r="B3200" t="s">
        <v>10990</v>
      </c>
      <c r="C3200">
        <v>0</v>
      </c>
      <c r="D3200">
        <v>3</v>
      </c>
      <c r="E3200">
        <v>3</v>
      </c>
      <c r="F3200">
        <v>0</v>
      </c>
      <c r="G3200">
        <v>0</v>
      </c>
      <c r="H3200">
        <v>0</v>
      </c>
      <c r="I3200">
        <v>1</v>
      </c>
      <c r="J3200">
        <v>0</v>
      </c>
      <c r="K3200">
        <v>1</v>
      </c>
      <c r="L3200" t="s">
        <v>3284</v>
      </c>
      <c r="M3200" t="s">
        <v>3296</v>
      </c>
      <c r="N3200" t="s">
        <v>3297</v>
      </c>
      <c r="O3200" t="s">
        <v>3298</v>
      </c>
      <c r="P3200" t="s">
        <v>3299</v>
      </c>
      <c r="Q3200" t="s">
        <v>10991</v>
      </c>
      <c r="R3200" t="s">
        <v>10992</v>
      </c>
    </row>
    <row r="3201" spans="1:18" x14ac:dyDescent="0.2">
      <c r="A3201">
        <v>1638984</v>
      </c>
      <c r="B3201" t="s">
        <v>10993</v>
      </c>
      <c r="C3201">
        <v>1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 t="s">
        <v>3284</v>
      </c>
      <c r="M3201" t="s">
        <v>3307</v>
      </c>
      <c r="N3201" t="s">
        <v>3308</v>
      </c>
      <c r="O3201" t="s">
        <v>3359</v>
      </c>
      <c r="P3201" t="s">
        <v>10994</v>
      </c>
      <c r="Q3201" t="s">
        <v>10995</v>
      </c>
      <c r="R3201" t="s">
        <v>10996</v>
      </c>
    </row>
    <row r="3202" spans="1:18" x14ac:dyDescent="0.2">
      <c r="A3202">
        <v>1638099</v>
      </c>
      <c r="B3202" t="s">
        <v>10997</v>
      </c>
      <c r="C3202">
        <v>0</v>
      </c>
      <c r="D3202">
        <v>1</v>
      </c>
      <c r="E3202">
        <v>0</v>
      </c>
      <c r="F3202">
        <v>0</v>
      </c>
      <c r="G3202">
        <v>0</v>
      </c>
      <c r="H3202">
        <v>0</v>
      </c>
      <c r="I3202">
        <v>1</v>
      </c>
      <c r="J3202">
        <v>0</v>
      </c>
      <c r="K3202">
        <v>0</v>
      </c>
      <c r="L3202" t="s">
        <v>3284</v>
      </c>
      <c r="M3202" t="s">
        <v>3296</v>
      </c>
      <c r="N3202" t="s">
        <v>3343</v>
      </c>
      <c r="O3202" t="s">
        <v>3344</v>
      </c>
      <c r="P3202" t="s">
        <v>10998</v>
      </c>
      <c r="Q3202" t="s">
        <v>10999</v>
      </c>
      <c r="R3202" t="s">
        <v>11000</v>
      </c>
    </row>
    <row r="3203" spans="1:18" x14ac:dyDescent="0.2">
      <c r="A3203">
        <v>1637837</v>
      </c>
      <c r="B3203" t="s">
        <v>11001</v>
      </c>
      <c r="C3203">
        <v>90</v>
      </c>
      <c r="D3203">
        <v>91</v>
      </c>
      <c r="E3203">
        <v>2514</v>
      </c>
      <c r="F3203">
        <v>132</v>
      </c>
      <c r="G3203">
        <v>128</v>
      </c>
      <c r="H3203">
        <v>1388</v>
      </c>
      <c r="I3203">
        <v>260</v>
      </c>
      <c r="J3203">
        <v>160</v>
      </c>
      <c r="K3203">
        <v>2195</v>
      </c>
      <c r="L3203" t="s">
        <v>3284</v>
      </c>
      <c r="M3203" t="s">
        <v>3296</v>
      </c>
      <c r="N3203" t="s">
        <v>3321</v>
      </c>
      <c r="O3203" t="s">
        <v>3322</v>
      </c>
      <c r="P3203" t="s">
        <v>3423</v>
      </c>
      <c r="Q3203" t="s">
        <v>4170</v>
      </c>
      <c r="R3203" t="s">
        <v>11002</v>
      </c>
    </row>
    <row r="3204" spans="1:18" x14ac:dyDescent="0.2">
      <c r="A3204">
        <v>1637747</v>
      </c>
      <c r="B3204" t="s">
        <v>11003</v>
      </c>
      <c r="C3204">
        <v>0</v>
      </c>
      <c r="D3204">
        <v>0</v>
      </c>
      <c r="E3204">
        <v>0</v>
      </c>
      <c r="F3204">
        <v>1</v>
      </c>
      <c r="G3204">
        <v>0</v>
      </c>
      <c r="H3204">
        <v>0</v>
      </c>
      <c r="I3204">
        <v>0</v>
      </c>
      <c r="J3204">
        <v>0</v>
      </c>
      <c r="K3204">
        <v>0</v>
      </c>
      <c r="L3204" t="s">
        <v>3284</v>
      </c>
      <c r="M3204" t="s">
        <v>3296</v>
      </c>
      <c r="N3204" t="s">
        <v>3343</v>
      </c>
      <c r="O3204" t="s">
        <v>3344</v>
      </c>
      <c r="P3204" t="s">
        <v>4347</v>
      </c>
      <c r="Q3204" t="s">
        <v>6412</v>
      </c>
      <c r="R3204" t="s">
        <v>11004</v>
      </c>
    </row>
    <row r="3205" spans="1:18" x14ac:dyDescent="0.2">
      <c r="A3205">
        <v>1636188</v>
      </c>
      <c r="B3205" t="s">
        <v>11005</v>
      </c>
      <c r="C3205">
        <v>0</v>
      </c>
      <c r="D3205">
        <v>0</v>
      </c>
      <c r="E3205">
        <v>0</v>
      </c>
      <c r="F3205">
        <v>0</v>
      </c>
      <c r="G3205">
        <v>1</v>
      </c>
      <c r="H3205">
        <v>0</v>
      </c>
      <c r="I3205">
        <v>0</v>
      </c>
      <c r="J3205">
        <v>0</v>
      </c>
      <c r="K3205">
        <v>0</v>
      </c>
      <c r="L3205" t="s">
        <v>3284</v>
      </c>
      <c r="M3205" t="s">
        <v>3296</v>
      </c>
      <c r="N3205" t="s">
        <v>3343</v>
      </c>
      <c r="O3205" t="s">
        <v>3344</v>
      </c>
      <c r="P3205" t="s">
        <v>3355</v>
      </c>
      <c r="Q3205" t="s">
        <v>11006</v>
      </c>
      <c r="R3205" t="s">
        <v>11007</v>
      </c>
    </row>
    <row r="3206" spans="1:18" x14ac:dyDescent="0.2">
      <c r="A3206">
        <v>1635171</v>
      </c>
      <c r="B3206" t="s">
        <v>11008</v>
      </c>
      <c r="C3206">
        <v>0</v>
      </c>
      <c r="D3206">
        <v>2</v>
      </c>
      <c r="E3206">
        <v>12</v>
      </c>
      <c r="F3206">
        <v>6</v>
      </c>
      <c r="G3206">
        <v>1</v>
      </c>
      <c r="H3206">
        <v>7</v>
      </c>
      <c r="I3206">
        <v>3</v>
      </c>
      <c r="J3206">
        <v>0</v>
      </c>
      <c r="K3206">
        <v>5</v>
      </c>
      <c r="L3206" t="s">
        <v>3284</v>
      </c>
      <c r="M3206" t="s">
        <v>3296</v>
      </c>
      <c r="N3206" t="s">
        <v>3297</v>
      </c>
      <c r="O3206" t="s">
        <v>4500</v>
      </c>
      <c r="P3206" t="s">
        <v>4880</v>
      </c>
      <c r="Q3206" t="s">
        <v>4881</v>
      </c>
      <c r="R3206" t="s">
        <v>11009</v>
      </c>
    </row>
    <row r="3207" spans="1:18" x14ac:dyDescent="0.2">
      <c r="A3207">
        <v>1631851</v>
      </c>
      <c r="B3207" t="s">
        <v>11010</v>
      </c>
      <c r="C3207">
        <v>0</v>
      </c>
      <c r="D3207">
        <v>0</v>
      </c>
      <c r="E3207">
        <v>0</v>
      </c>
      <c r="F3207">
        <v>21</v>
      </c>
      <c r="G3207">
        <v>14</v>
      </c>
      <c r="H3207">
        <v>3</v>
      </c>
      <c r="I3207">
        <v>0</v>
      </c>
      <c r="J3207">
        <v>0</v>
      </c>
      <c r="K3207">
        <v>0</v>
      </c>
      <c r="L3207" t="s">
        <v>3284</v>
      </c>
      <c r="M3207" t="s">
        <v>3307</v>
      </c>
      <c r="N3207" t="s">
        <v>3308</v>
      </c>
      <c r="O3207" t="s">
        <v>3359</v>
      </c>
      <c r="P3207" t="s">
        <v>3360</v>
      </c>
      <c r="Q3207" t="s">
        <v>4916</v>
      </c>
      <c r="R3207" t="s">
        <v>11011</v>
      </c>
    </row>
    <row r="3208" spans="1:18" x14ac:dyDescent="0.2">
      <c r="A3208">
        <v>1631477</v>
      </c>
      <c r="B3208" t="s">
        <v>11012</v>
      </c>
      <c r="C3208">
        <v>2</v>
      </c>
      <c r="D3208">
        <v>1</v>
      </c>
      <c r="E3208">
        <v>0</v>
      </c>
      <c r="F3208">
        <v>1</v>
      </c>
      <c r="G3208">
        <v>0</v>
      </c>
      <c r="H3208">
        <v>1</v>
      </c>
      <c r="I3208">
        <v>1</v>
      </c>
      <c r="J3208">
        <v>0</v>
      </c>
      <c r="K3208">
        <v>0</v>
      </c>
      <c r="L3208" t="s">
        <v>3284</v>
      </c>
      <c r="M3208" t="s">
        <v>3307</v>
      </c>
      <c r="N3208" t="s">
        <v>3308</v>
      </c>
      <c r="O3208" t="s">
        <v>3359</v>
      </c>
      <c r="P3208" t="s">
        <v>3360</v>
      </c>
      <c r="Q3208" t="s">
        <v>3361</v>
      </c>
      <c r="R3208" t="s">
        <v>11013</v>
      </c>
    </row>
    <row r="3209" spans="1:18" x14ac:dyDescent="0.2">
      <c r="A3209">
        <v>1630693</v>
      </c>
      <c r="B3209" t="s">
        <v>11014</v>
      </c>
      <c r="C3209">
        <v>0</v>
      </c>
      <c r="D3209">
        <v>1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 t="s">
        <v>3284</v>
      </c>
      <c r="M3209" t="s">
        <v>3794</v>
      </c>
      <c r="N3209" t="s">
        <v>3795</v>
      </c>
      <c r="O3209" t="s">
        <v>9928</v>
      </c>
      <c r="P3209" t="s">
        <v>9929</v>
      </c>
      <c r="Q3209" t="s">
        <v>11015</v>
      </c>
      <c r="R3209" t="s">
        <v>11016</v>
      </c>
    </row>
    <row r="3210" spans="1:18" x14ac:dyDescent="0.2">
      <c r="A3210">
        <v>1629062</v>
      </c>
      <c r="B3210" t="s">
        <v>11017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1</v>
      </c>
      <c r="K3210">
        <v>0</v>
      </c>
      <c r="L3210" t="s">
        <v>3284</v>
      </c>
      <c r="M3210" t="s">
        <v>3307</v>
      </c>
      <c r="N3210" t="s">
        <v>3308</v>
      </c>
      <c r="O3210" t="s">
        <v>8932</v>
      </c>
      <c r="P3210" t="s">
        <v>11018</v>
      </c>
      <c r="Q3210" t="s">
        <v>11019</v>
      </c>
      <c r="R3210" t="s">
        <v>11020</v>
      </c>
    </row>
    <row r="3211" spans="1:18" x14ac:dyDescent="0.2">
      <c r="A3211">
        <v>1628191</v>
      </c>
      <c r="B3211" t="s">
        <v>11021</v>
      </c>
      <c r="C3211">
        <v>0</v>
      </c>
      <c r="D3211">
        <v>0</v>
      </c>
      <c r="E3211">
        <v>0</v>
      </c>
      <c r="F3211">
        <v>2</v>
      </c>
      <c r="G3211">
        <v>0</v>
      </c>
      <c r="H3211">
        <v>2</v>
      </c>
      <c r="I3211">
        <v>0</v>
      </c>
      <c r="J3211">
        <v>0</v>
      </c>
      <c r="K3211">
        <v>0</v>
      </c>
      <c r="L3211" t="s">
        <v>3284</v>
      </c>
      <c r="M3211" t="s">
        <v>3296</v>
      </c>
      <c r="N3211" t="s">
        <v>3343</v>
      </c>
      <c r="O3211" t="s">
        <v>3402</v>
      </c>
      <c r="P3211" t="s">
        <v>3403</v>
      </c>
      <c r="Q3211" t="s">
        <v>3536</v>
      </c>
      <c r="R3211" t="s">
        <v>11022</v>
      </c>
    </row>
    <row r="3212" spans="1:18" x14ac:dyDescent="0.2">
      <c r="A3212">
        <v>1627895</v>
      </c>
      <c r="B3212" t="s">
        <v>11023</v>
      </c>
      <c r="C3212">
        <v>0</v>
      </c>
      <c r="D3212">
        <v>3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 t="s">
        <v>3284</v>
      </c>
      <c r="M3212" t="s">
        <v>4580</v>
      </c>
      <c r="N3212" t="s">
        <v>4581</v>
      </c>
      <c r="O3212" t="s">
        <v>4582</v>
      </c>
      <c r="P3212" t="s">
        <v>4583</v>
      </c>
      <c r="Q3212" t="s">
        <v>11024</v>
      </c>
      <c r="R3212" t="s">
        <v>11025</v>
      </c>
    </row>
    <row r="3213" spans="1:18" x14ac:dyDescent="0.2">
      <c r="A3213">
        <v>1623490</v>
      </c>
      <c r="B3213" t="s">
        <v>11026</v>
      </c>
      <c r="C3213">
        <v>3</v>
      </c>
      <c r="D3213">
        <v>5</v>
      </c>
      <c r="E3213">
        <v>80</v>
      </c>
      <c r="F3213">
        <v>17</v>
      </c>
      <c r="G3213">
        <v>16</v>
      </c>
      <c r="H3213">
        <v>170</v>
      </c>
      <c r="I3213">
        <v>14</v>
      </c>
      <c r="J3213">
        <v>5</v>
      </c>
      <c r="K3213">
        <v>155</v>
      </c>
      <c r="L3213" t="s">
        <v>3284</v>
      </c>
      <c r="M3213" t="s">
        <v>3327</v>
      </c>
      <c r="N3213" t="s">
        <v>3328</v>
      </c>
      <c r="O3213" t="s">
        <v>3329</v>
      </c>
      <c r="P3213" t="s">
        <v>3271</v>
      </c>
      <c r="Q3213" t="s">
        <v>9241</v>
      </c>
      <c r="R3213" t="s">
        <v>11027</v>
      </c>
    </row>
    <row r="3214" spans="1:18" x14ac:dyDescent="0.2">
      <c r="A3214">
        <v>1622073</v>
      </c>
      <c r="B3214" t="s">
        <v>11028</v>
      </c>
      <c r="C3214">
        <v>3</v>
      </c>
      <c r="D3214">
        <v>3</v>
      </c>
      <c r="E3214">
        <v>4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 t="s">
        <v>3284</v>
      </c>
      <c r="M3214" t="s">
        <v>3327</v>
      </c>
      <c r="N3214" t="s">
        <v>3328</v>
      </c>
      <c r="O3214" t="s">
        <v>3329</v>
      </c>
      <c r="P3214" t="s">
        <v>3330</v>
      </c>
      <c r="Q3214" t="s">
        <v>3331</v>
      </c>
      <c r="R3214" t="s">
        <v>11029</v>
      </c>
    </row>
    <row r="3215" spans="1:18" x14ac:dyDescent="0.2">
      <c r="A3215">
        <v>1622072</v>
      </c>
      <c r="B3215" t="s">
        <v>11030</v>
      </c>
      <c r="C3215">
        <v>0</v>
      </c>
      <c r="D3215">
        <v>0</v>
      </c>
      <c r="E3215">
        <v>1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 t="s">
        <v>3284</v>
      </c>
      <c r="M3215" t="s">
        <v>3327</v>
      </c>
      <c r="N3215" t="s">
        <v>3376</v>
      </c>
      <c r="O3215" t="s">
        <v>3377</v>
      </c>
      <c r="P3215" t="s">
        <v>3378</v>
      </c>
      <c r="Q3215" t="s">
        <v>3379</v>
      </c>
      <c r="R3215" t="s">
        <v>11031</v>
      </c>
    </row>
    <row r="3216" spans="1:18" x14ac:dyDescent="0.2">
      <c r="A3216">
        <v>1619313</v>
      </c>
      <c r="B3216" t="s">
        <v>11032</v>
      </c>
      <c r="C3216">
        <v>0</v>
      </c>
      <c r="D3216">
        <v>0</v>
      </c>
      <c r="E3216">
        <v>7</v>
      </c>
      <c r="F3216">
        <v>0</v>
      </c>
      <c r="G3216">
        <v>0</v>
      </c>
      <c r="H3216">
        <v>2</v>
      </c>
      <c r="I3216">
        <v>1</v>
      </c>
      <c r="J3216">
        <v>0</v>
      </c>
      <c r="K3216">
        <v>2</v>
      </c>
      <c r="L3216" t="s">
        <v>3284</v>
      </c>
      <c r="M3216" t="s">
        <v>3296</v>
      </c>
      <c r="N3216" t="s">
        <v>3297</v>
      </c>
      <c r="O3216" t="s">
        <v>3298</v>
      </c>
      <c r="P3216" t="s">
        <v>3873</v>
      </c>
      <c r="Q3216" t="s">
        <v>11033</v>
      </c>
      <c r="R3216" t="s">
        <v>11034</v>
      </c>
    </row>
    <row r="3217" spans="1:18" x14ac:dyDescent="0.2">
      <c r="A3217">
        <v>1619308</v>
      </c>
      <c r="B3217" t="s">
        <v>11035</v>
      </c>
      <c r="C3217">
        <v>0</v>
      </c>
      <c r="D3217">
        <v>0</v>
      </c>
      <c r="E3217">
        <v>0</v>
      </c>
      <c r="F3217">
        <v>22</v>
      </c>
      <c r="G3217">
        <v>10</v>
      </c>
      <c r="H3217">
        <v>7</v>
      </c>
      <c r="I3217">
        <v>0</v>
      </c>
      <c r="J3217">
        <v>0</v>
      </c>
      <c r="K3217">
        <v>0</v>
      </c>
      <c r="L3217" t="s">
        <v>3284</v>
      </c>
      <c r="M3217" t="s">
        <v>3307</v>
      </c>
      <c r="N3217" t="s">
        <v>3308</v>
      </c>
      <c r="O3217" t="s">
        <v>3359</v>
      </c>
      <c r="P3217" t="s">
        <v>3360</v>
      </c>
      <c r="Q3217" t="s">
        <v>3568</v>
      </c>
      <c r="R3217" t="s">
        <v>11036</v>
      </c>
    </row>
    <row r="3218" spans="1:18" x14ac:dyDescent="0.2">
      <c r="A3218">
        <v>1618207</v>
      </c>
      <c r="B3218" t="s">
        <v>11037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1</v>
      </c>
      <c r="J3218">
        <v>0</v>
      </c>
      <c r="K3218">
        <v>0</v>
      </c>
      <c r="L3218" t="s">
        <v>3284</v>
      </c>
      <c r="M3218" t="s">
        <v>3307</v>
      </c>
      <c r="N3218" t="s">
        <v>3308</v>
      </c>
      <c r="O3218" t="s">
        <v>3359</v>
      </c>
      <c r="P3218" t="s">
        <v>3407</v>
      </c>
      <c r="Q3218" t="s">
        <v>4755</v>
      </c>
      <c r="R3218" t="s">
        <v>11038</v>
      </c>
    </row>
    <row r="3219" spans="1:18" x14ac:dyDescent="0.2">
      <c r="A3219">
        <v>1617283</v>
      </c>
      <c r="B3219" t="s">
        <v>11039</v>
      </c>
      <c r="C3219">
        <v>0</v>
      </c>
      <c r="D3219">
        <v>0</v>
      </c>
      <c r="E3219">
        <v>0</v>
      </c>
      <c r="F3219">
        <v>5</v>
      </c>
      <c r="G3219">
        <v>1</v>
      </c>
      <c r="H3219">
        <v>0</v>
      </c>
      <c r="I3219">
        <v>0</v>
      </c>
      <c r="J3219">
        <v>0</v>
      </c>
      <c r="K3219">
        <v>0</v>
      </c>
      <c r="L3219" t="s">
        <v>3284</v>
      </c>
      <c r="M3219" t="s">
        <v>3391</v>
      </c>
      <c r="N3219" t="s">
        <v>3411</v>
      </c>
      <c r="O3219" t="s">
        <v>3412</v>
      </c>
      <c r="P3219" t="s">
        <v>3413</v>
      </c>
      <c r="Q3219" t="s">
        <v>3414</v>
      </c>
      <c r="R3219" t="s">
        <v>11040</v>
      </c>
    </row>
    <row r="3220" spans="1:18" x14ac:dyDescent="0.2">
      <c r="A3220">
        <v>1617282</v>
      </c>
      <c r="B3220" t="s">
        <v>11041</v>
      </c>
      <c r="C3220">
        <v>0</v>
      </c>
      <c r="D3220">
        <v>0</v>
      </c>
      <c r="E3220">
        <v>0</v>
      </c>
      <c r="F3220">
        <v>1</v>
      </c>
      <c r="G3220">
        <v>0</v>
      </c>
      <c r="H3220">
        <v>0</v>
      </c>
      <c r="I3220">
        <v>0</v>
      </c>
      <c r="J3220">
        <v>0</v>
      </c>
      <c r="K3220">
        <v>0</v>
      </c>
      <c r="L3220" t="s">
        <v>3284</v>
      </c>
      <c r="M3220" t="s">
        <v>3391</v>
      </c>
      <c r="N3220" t="s">
        <v>3411</v>
      </c>
      <c r="O3220" t="s">
        <v>3412</v>
      </c>
      <c r="P3220" t="s">
        <v>3564</v>
      </c>
      <c r="Q3220" t="s">
        <v>3565</v>
      </c>
      <c r="R3220" t="s">
        <v>11042</v>
      </c>
    </row>
    <row r="3221" spans="1:18" x14ac:dyDescent="0.2">
      <c r="A3221">
        <v>1615674</v>
      </c>
      <c r="B3221" t="s">
        <v>11043</v>
      </c>
      <c r="C3221">
        <v>0</v>
      </c>
      <c r="D3221">
        <v>0</v>
      </c>
      <c r="E3221">
        <v>5</v>
      </c>
      <c r="F3221">
        <v>2</v>
      </c>
      <c r="G3221">
        <v>0</v>
      </c>
      <c r="H3221">
        <v>7</v>
      </c>
      <c r="I3221">
        <v>2</v>
      </c>
      <c r="J3221">
        <v>1</v>
      </c>
      <c r="K3221">
        <v>14</v>
      </c>
      <c r="L3221" t="s">
        <v>3284</v>
      </c>
      <c r="M3221" t="s">
        <v>3296</v>
      </c>
      <c r="N3221" t="s">
        <v>3297</v>
      </c>
      <c r="O3221" t="s">
        <v>3434</v>
      </c>
      <c r="P3221" t="s">
        <v>3435</v>
      </c>
      <c r="Q3221" t="s">
        <v>3436</v>
      </c>
      <c r="R3221" t="s">
        <v>11044</v>
      </c>
    </row>
    <row r="3222" spans="1:18" x14ac:dyDescent="0.2">
      <c r="A3222">
        <v>1612308</v>
      </c>
      <c r="B3222" t="s">
        <v>11045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1</v>
      </c>
      <c r="J3222">
        <v>0</v>
      </c>
      <c r="K3222">
        <v>3</v>
      </c>
      <c r="L3222" t="s">
        <v>3284</v>
      </c>
      <c r="M3222" t="s">
        <v>3296</v>
      </c>
      <c r="N3222" t="s">
        <v>3343</v>
      </c>
      <c r="O3222" t="s">
        <v>3344</v>
      </c>
      <c r="P3222" t="s">
        <v>5257</v>
      </c>
      <c r="Q3222" t="s">
        <v>10974</v>
      </c>
      <c r="R3222" t="s">
        <v>11046</v>
      </c>
    </row>
    <row r="3223" spans="1:18" x14ac:dyDescent="0.2">
      <c r="A3223">
        <v>1612149</v>
      </c>
      <c r="B3223" t="s">
        <v>11047</v>
      </c>
      <c r="C3223">
        <v>0</v>
      </c>
      <c r="D3223">
        <v>0</v>
      </c>
      <c r="E3223">
        <v>0</v>
      </c>
      <c r="F3223">
        <v>1</v>
      </c>
      <c r="G3223">
        <v>0</v>
      </c>
      <c r="H3223">
        <v>0</v>
      </c>
      <c r="I3223">
        <v>0</v>
      </c>
      <c r="J3223">
        <v>0</v>
      </c>
      <c r="K3223">
        <v>0</v>
      </c>
      <c r="L3223" t="s">
        <v>3284</v>
      </c>
      <c r="M3223" t="s">
        <v>3391</v>
      </c>
      <c r="N3223" t="s">
        <v>3411</v>
      </c>
      <c r="O3223" t="s">
        <v>3412</v>
      </c>
      <c r="P3223" t="s">
        <v>3564</v>
      </c>
      <c r="Q3223" t="s">
        <v>3803</v>
      </c>
      <c r="R3223" t="s">
        <v>11048</v>
      </c>
    </row>
    <row r="3224" spans="1:18" x14ac:dyDescent="0.2">
      <c r="A3224">
        <v>1610578</v>
      </c>
      <c r="B3224" t="s">
        <v>11049</v>
      </c>
      <c r="C3224">
        <v>0</v>
      </c>
      <c r="D3224">
        <v>0</v>
      </c>
      <c r="E3224">
        <v>0</v>
      </c>
      <c r="F3224">
        <v>0</v>
      </c>
      <c r="G3224">
        <v>1</v>
      </c>
      <c r="H3224">
        <v>0</v>
      </c>
      <c r="I3224">
        <v>0</v>
      </c>
      <c r="J3224">
        <v>0</v>
      </c>
      <c r="K3224">
        <v>0</v>
      </c>
      <c r="L3224" t="s">
        <v>3284</v>
      </c>
      <c r="M3224" t="s">
        <v>3296</v>
      </c>
      <c r="N3224" t="s">
        <v>3297</v>
      </c>
      <c r="O3224" t="s">
        <v>3298</v>
      </c>
      <c r="P3224" t="s">
        <v>3299</v>
      </c>
      <c r="Q3224" t="s">
        <v>5622</v>
      </c>
      <c r="R3224" t="s">
        <v>11050</v>
      </c>
    </row>
    <row r="3225" spans="1:18" x14ac:dyDescent="0.2">
      <c r="A3225">
        <v>1610490</v>
      </c>
      <c r="B3225" t="s">
        <v>11051</v>
      </c>
      <c r="C3225">
        <v>2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 t="s">
        <v>3284</v>
      </c>
      <c r="M3225" t="s">
        <v>3327</v>
      </c>
      <c r="N3225" t="s">
        <v>3376</v>
      </c>
      <c r="O3225" t="s">
        <v>3377</v>
      </c>
      <c r="P3225" t="s">
        <v>3378</v>
      </c>
      <c r="Q3225" t="s">
        <v>4703</v>
      </c>
      <c r="R3225" t="s">
        <v>11052</v>
      </c>
    </row>
    <row r="3226" spans="1:18" x14ac:dyDescent="0.2">
      <c r="A3226">
        <v>1609977</v>
      </c>
      <c r="B3226" t="s">
        <v>11053</v>
      </c>
      <c r="C3226">
        <v>0</v>
      </c>
      <c r="D3226">
        <v>0</v>
      </c>
      <c r="E3226">
        <v>0</v>
      </c>
      <c r="F3226">
        <v>1</v>
      </c>
      <c r="G3226">
        <v>0</v>
      </c>
      <c r="H3226">
        <v>0</v>
      </c>
      <c r="I3226">
        <v>0</v>
      </c>
      <c r="J3226">
        <v>0</v>
      </c>
      <c r="K3226">
        <v>0</v>
      </c>
      <c r="L3226" t="s">
        <v>3284</v>
      </c>
      <c r="M3226" t="s">
        <v>3296</v>
      </c>
      <c r="N3226" t="s">
        <v>3343</v>
      </c>
      <c r="O3226" t="s">
        <v>3349</v>
      </c>
      <c r="P3226" t="s">
        <v>3350</v>
      </c>
      <c r="Q3226" t="s">
        <v>3580</v>
      </c>
      <c r="R3226" t="s">
        <v>11054</v>
      </c>
    </row>
    <row r="3227" spans="1:18" x14ac:dyDescent="0.2">
      <c r="A3227">
        <v>1609758</v>
      </c>
      <c r="B3227" t="s">
        <v>11055</v>
      </c>
      <c r="C3227">
        <v>0</v>
      </c>
      <c r="D3227">
        <v>0</v>
      </c>
      <c r="E3227">
        <v>0</v>
      </c>
      <c r="F3227">
        <v>2</v>
      </c>
      <c r="G3227">
        <v>0</v>
      </c>
      <c r="H3227">
        <v>0</v>
      </c>
      <c r="I3227">
        <v>0</v>
      </c>
      <c r="J3227">
        <v>0</v>
      </c>
      <c r="K3227">
        <v>0</v>
      </c>
      <c r="L3227" t="s">
        <v>3284</v>
      </c>
      <c r="M3227" t="s">
        <v>3296</v>
      </c>
      <c r="N3227" t="s">
        <v>3343</v>
      </c>
      <c r="O3227" t="s">
        <v>3349</v>
      </c>
      <c r="P3227" t="s">
        <v>3350</v>
      </c>
      <c r="Q3227" t="s">
        <v>3351</v>
      </c>
      <c r="R3227" t="s">
        <v>11056</v>
      </c>
    </row>
    <row r="3228" spans="1:18" x14ac:dyDescent="0.2">
      <c r="A3228">
        <v>1608357</v>
      </c>
      <c r="B3228" t="s">
        <v>11057</v>
      </c>
      <c r="C3228">
        <v>0</v>
      </c>
      <c r="D3228">
        <v>0</v>
      </c>
      <c r="E3228">
        <v>0</v>
      </c>
      <c r="F3228">
        <v>0</v>
      </c>
      <c r="G3228">
        <v>1</v>
      </c>
      <c r="H3228">
        <v>0</v>
      </c>
      <c r="I3228">
        <v>0</v>
      </c>
      <c r="J3228">
        <v>0</v>
      </c>
      <c r="K3228">
        <v>0</v>
      </c>
      <c r="L3228" t="s">
        <v>3284</v>
      </c>
      <c r="M3228" t="s">
        <v>3296</v>
      </c>
      <c r="N3228" t="s">
        <v>3297</v>
      </c>
      <c r="O3228" t="s">
        <v>3434</v>
      </c>
      <c r="P3228" t="s">
        <v>3435</v>
      </c>
      <c r="Q3228" t="s">
        <v>3436</v>
      </c>
      <c r="R3228" t="s">
        <v>11058</v>
      </c>
    </row>
    <row r="3229" spans="1:18" x14ac:dyDescent="0.2">
      <c r="A3229">
        <v>1604902</v>
      </c>
      <c r="B3229" t="s">
        <v>11059</v>
      </c>
      <c r="C3229">
        <v>29</v>
      </c>
      <c r="D3229">
        <v>27</v>
      </c>
      <c r="E3229">
        <v>12</v>
      </c>
      <c r="F3229">
        <v>0</v>
      </c>
      <c r="G3229">
        <v>0</v>
      </c>
      <c r="H3229">
        <v>0</v>
      </c>
      <c r="I3229">
        <v>1</v>
      </c>
      <c r="J3229">
        <v>1</v>
      </c>
      <c r="K3229">
        <v>0</v>
      </c>
      <c r="L3229" t="s">
        <v>3284</v>
      </c>
      <c r="M3229" t="s">
        <v>3327</v>
      </c>
      <c r="N3229" t="s">
        <v>3328</v>
      </c>
      <c r="O3229" t="s">
        <v>3329</v>
      </c>
      <c r="P3229" t="s">
        <v>3330</v>
      </c>
      <c r="Q3229" t="s">
        <v>3331</v>
      </c>
      <c r="R3229" t="s">
        <v>11060</v>
      </c>
    </row>
    <row r="3230" spans="1:18" x14ac:dyDescent="0.2">
      <c r="A3230">
        <v>1604901</v>
      </c>
      <c r="B3230" t="s">
        <v>11061</v>
      </c>
      <c r="C3230">
        <v>26</v>
      </c>
      <c r="D3230">
        <v>30</v>
      </c>
      <c r="E3230">
        <v>21</v>
      </c>
      <c r="F3230">
        <v>0</v>
      </c>
      <c r="G3230">
        <v>0</v>
      </c>
      <c r="H3230">
        <v>0</v>
      </c>
      <c r="I3230">
        <v>2</v>
      </c>
      <c r="J3230">
        <v>0</v>
      </c>
      <c r="K3230">
        <v>0</v>
      </c>
      <c r="L3230" t="s">
        <v>3284</v>
      </c>
      <c r="M3230" t="s">
        <v>3327</v>
      </c>
      <c r="N3230" t="s">
        <v>3328</v>
      </c>
      <c r="O3230" t="s">
        <v>3329</v>
      </c>
      <c r="P3230" t="s">
        <v>3330</v>
      </c>
      <c r="Q3230" t="s">
        <v>3331</v>
      </c>
      <c r="R3230" t="s">
        <v>11062</v>
      </c>
    </row>
    <row r="3231" spans="1:18" x14ac:dyDescent="0.2">
      <c r="A3231">
        <v>1604897</v>
      </c>
      <c r="B3231" t="s">
        <v>11063</v>
      </c>
      <c r="C3231">
        <v>3</v>
      </c>
      <c r="D3231">
        <v>2</v>
      </c>
      <c r="E3231">
        <v>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 t="s">
        <v>3284</v>
      </c>
      <c r="M3231" t="s">
        <v>3327</v>
      </c>
      <c r="N3231" t="s">
        <v>3328</v>
      </c>
      <c r="O3231" t="s">
        <v>3329</v>
      </c>
      <c r="P3231" t="s">
        <v>3330</v>
      </c>
      <c r="Q3231" t="s">
        <v>3331</v>
      </c>
      <c r="R3231" t="s">
        <v>11064</v>
      </c>
    </row>
    <row r="3232" spans="1:18" x14ac:dyDescent="0.2">
      <c r="A3232">
        <v>1597977</v>
      </c>
      <c r="B3232" t="s">
        <v>11065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1</v>
      </c>
      <c r="J3232">
        <v>0</v>
      </c>
      <c r="K3232">
        <v>0</v>
      </c>
      <c r="L3232" t="s">
        <v>3284</v>
      </c>
      <c r="M3232" t="s">
        <v>3391</v>
      </c>
      <c r="N3232" t="s">
        <v>3740</v>
      </c>
      <c r="O3232" t="s">
        <v>3741</v>
      </c>
      <c r="P3232" t="s">
        <v>4241</v>
      </c>
      <c r="Q3232" t="s">
        <v>4242</v>
      </c>
      <c r="R3232" t="s">
        <v>11066</v>
      </c>
    </row>
    <row r="3233" spans="1:18" x14ac:dyDescent="0.2">
      <c r="A3233">
        <v>1597956</v>
      </c>
      <c r="B3233" t="s">
        <v>11067</v>
      </c>
      <c r="C3233">
        <v>1</v>
      </c>
      <c r="D3233">
        <v>1</v>
      </c>
      <c r="E3233">
        <v>1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 t="s">
        <v>3284</v>
      </c>
      <c r="M3233" t="s">
        <v>3296</v>
      </c>
      <c r="N3233" t="s">
        <v>3321</v>
      </c>
      <c r="O3233" t="s">
        <v>3322</v>
      </c>
      <c r="P3233" t="s">
        <v>3398</v>
      </c>
      <c r="Q3233" t="s">
        <v>4796</v>
      </c>
      <c r="R3233" t="s">
        <v>11068</v>
      </c>
    </row>
    <row r="3234" spans="1:18" x14ac:dyDescent="0.2">
      <c r="A3234">
        <v>1597955</v>
      </c>
      <c r="B3234" t="s">
        <v>11069</v>
      </c>
      <c r="C3234">
        <v>1</v>
      </c>
      <c r="D3234">
        <v>1</v>
      </c>
      <c r="E3234">
        <v>0</v>
      </c>
      <c r="F3234">
        <v>0</v>
      </c>
      <c r="G3234">
        <v>1</v>
      </c>
      <c r="H3234">
        <v>0</v>
      </c>
      <c r="I3234">
        <v>0</v>
      </c>
      <c r="J3234">
        <v>0</v>
      </c>
      <c r="K3234">
        <v>0</v>
      </c>
      <c r="L3234" t="s">
        <v>3284</v>
      </c>
      <c r="M3234" t="s">
        <v>3296</v>
      </c>
      <c r="N3234" t="s">
        <v>3321</v>
      </c>
      <c r="O3234" t="s">
        <v>3322</v>
      </c>
      <c r="P3234" t="s">
        <v>3398</v>
      </c>
      <c r="Q3234" t="s">
        <v>4796</v>
      </c>
      <c r="R3234" t="s">
        <v>11070</v>
      </c>
    </row>
    <row r="3235" spans="1:18" x14ac:dyDescent="0.2">
      <c r="A3235">
        <v>1597781</v>
      </c>
      <c r="B3235" t="s">
        <v>11071</v>
      </c>
      <c r="C3235">
        <v>0</v>
      </c>
      <c r="D3235">
        <v>0</v>
      </c>
      <c r="E3235">
        <v>0</v>
      </c>
      <c r="F3235">
        <v>1</v>
      </c>
      <c r="G3235">
        <v>0</v>
      </c>
      <c r="H3235">
        <v>0</v>
      </c>
      <c r="I3235">
        <v>0</v>
      </c>
      <c r="J3235">
        <v>0</v>
      </c>
      <c r="K3235">
        <v>0</v>
      </c>
      <c r="L3235" t="s">
        <v>3284</v>
      </c>
      <c r="M3235" t="s">
        <v>3296</v>
      </c>
      <c r="N3235" t="s">
        <v>3321</v>
      </c>
      <c r="O3235" t="s">
        <v>3322</v>
      </c>
      <c r="P3235" t="s">
        <v>3271</v>
      </c>
      <c r="Q3235" t="s">
        <v>11072</v>
      </c>
      <c r="R3235" t="s">
        <v>11073</v>
      </c>
    </row>
    <row r="3236" spans="1:18" x14ac:dyDescent="0.2">
      <c r="A3236">
        <v>1592790</v>
      </c>
      <c r="B3236" t="s">
        <v>11074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1</v>
      </c>
      <c r="I3236">
        <v>0</v>
      </c>
      <c r="J3236">
        <v>0</v>
      </c>
      <c r="K3236">
        <v>0</v>
      </c>
      <c r="L3236" t="s">
        <v>3284</v>
      </c>
      <c r="M3236" t="s">
        <v>3296</v>
      </c>
      <c r="N3236" t="s">
        <v>3343</v>
      </c>
      <c r="O3236" t="s">
        <v>3349</v>
      </c>
      <c r="P3236" t="s">
        <v>3350</v>
      </c>
      <c r="Q3236" t="s">
        <v>4175</v>
      </c>
      <c r="R3236" t="s">
        <v>11075</v>
      </c>
    </row>
    <row r="3237" spans="1:18" x14ac:dyDescent="0.2">
      <c r="A3237">
        <v>1591122</v>
      </c>
      <c r="B3237" t="s">
        <v>11076</v>
      </c>
      <c r="C3237">
        <v>9</v>
      </c>
      <c r="D3237">
        <v>7</v>
      </c>
      <c r="E3237">
        <v>4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 t="s">
        <v>3284</v>
      </c>
      <c r="M3237" t="s">
        <v>3296</v>
      </c>
      <c r="N3237" t="s">
        <v>3321</v>
      </c>
      <c r="O3237" t="s">
        <v>3322</v>
      </c>
      <c r="P3237" t="s">
        <v>3398</v>
      </c>
      <c r="Q3237" t="s">
        <v>3841</v>
      </c>
      <c r="R3237" t="s">
        <v>11077</v>
      </c>
    </row>
    <row r="3238" spans="1:18" x14ac:dyDescent="0.2">
      <c r="A3238">
        <v>1590643</v>
      </c>
      <c r="B3238" t="s">
        <v>11078</v>
      </c>
      <c r="C3238">
        <v>0</v>
      </c>
      <c r="D3238">
        <v>0</v>
      </c>
      <c r="E3238">
        <v>0</v>
      </c>
      <c r="F3238">
        <v>1</v>
      </c>
      <c r="G3238">
        <v>1</v>
      </c>
      <c r="H3238">
        <v>0</v>
      </c>
      <c r="I3238">
        <v>0</v>
      </c>
      <c r="J3238">
        <v>0</v>
      </c>
      <c r="K3238">
        <v>0</v>
      </c>
      <c r="L3238" t="s">
        <v>3284</v>
      </c>
      <c r="M3238" t="s">
        <v>3391</v>
      </c>
      <c r="N3238" t="s">
        <v>3392</v>
      </c>
      <c r="O3238" t="s">
        <v>3393</v>
      </c>
      <c r="P3238" t="s">
        <v>3394</v>
      </c>
      <c r="Q3238" t="s">
        <v>3395</v>
      </c>
      <c r="R3238" t="s">
        <v>11079</v>
      </c>
    </row>
    <row r="3239" spans="1:18" x14ac:dyDescent="0.2">
      <c r="A3239">
        <v>1588641</v>
      </c>
      <c r="B3239" t="s">
        <v>11080</v>
      </c>
      <c r="C3239">
        <v>0</v>
      </c>
      <c r="D3239">
        <v>0</v>
      </c>
      <c r="E3239">
        <v>0</v>
      </c>
      <c r="F3239">
        <v>1</v>
      </c>
      <c r="G3239">
        <v>0</v>
      </c>
      <c r="H3239">
        <v>0</v>
      </c>
      <c r="I3239">
        <v>1</v>
      </c>
      <c r="J3239">
        <v>0</v>
      </c>
      <c r="K3239">
        <v>0</v>
      </c>
      <c r="L3239" t="s">
        <v>3284</v>
      </c>
      <c r="M3239" t="s">
        <v>3307</v>
      </c>
      <c r="N3239" t="s">
        <v>3308</v>
      </c>
      <c r="O3239" t="s">
        <v>3359</v>
      </c>
      <c r="P3239" t="s">
        <v>3360</v>
      </c>
      <c r="Q3239" t="s">
        <v>4311</v>
      </c>
      <c r="R3239" t="s">
        <v>11081</v>
      </c>
    </row>
    <row r="3240" spans="1:18" x14ac:dyDescent="0.2">
      <c r="A3240">
        <v>1585791</v>
      </c>
      <c r="B3240" t="s">
        <v>11082</v>
      </c>
      <c r="C3240">
        <v>0</v>
      </c>
      <c r="D3240">
        <v>0</v>
      </c>
      <c r="E3240">
        <v>0</v>
      </c>
      <c r="F3240">
        <v>2</v>
      </c>
      <c r="G3240">
        <v>1</v>
      </c>
      <c r="H3240">
        <v>0</v>
      </c>
      <c r="I3240">
        <v>1</v>
      </c>
      <c r="J3240">
        <v>0</v>
      </c>
      <c r="K3240">
        <v>0</v>
      </c>
      <c r="L3240" t="s">
        <v>3284</v>
      </c>
      <c r="M3240" t="s">
        <v>3296</v>
      </c>
      <c r="N3240" t="s">
        <v>3343</v>
      </c>
      <c r="O3240" t="s">
        <v>3344</v>
      </c>
      <c r="P3240" t="s">
        <v>3355</v>
      </c>
      <c r="Q3240" t="s">
        <v>3356</v>
      </c>
      <c r="R3240" t="s">
        <v>11083</v>
      </c>
    </row>
    <row r="3241" spans="1:18" x14ac:dyDescent="0.2">
      <c r="A3241">
        <v>1582259</v>
      </c>
      <c r="B3241" t="s">
        <v>11084</v>
      </c>
      <c r="C3241">
        <v>0</v>
      </c>
      <c r="D3241">
        <v>1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 t="s">
        <v>3284</v>
      </c>
      <c r="M3241" t="s">
        <v>3327</v>
      </c>
      <c r="N3241" t="s">
        <v>4384</v>
      </c>
      <c r="O3241" t="s">
        <v>4605</v>
      </c>
      <c r="P3241" t="s">
        <v>4606</v>
      </c>
      <c r="Q3241" t="s">
        <v>11085</v>
      </c>
      <c r="R3241" t="s">
        <v>11086</v>
      </c>
    </row>
    <row r="3242" spans="1:18" x14ac:dyDescent="0.2">
      <c r="A3242">
        <v>1581411</v>
      </c>
      <c r="B3242" t="s">
        <v>11087</v>
      </c>
      <c r="C3242">
        <v>0</v>
      </c>
      <c r="D3242">
        <v>1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 t="s">
        <v>3284</v>
      </c>
      <c r="M3242" t="s">
        <v>3816</v>
      </c>
      <c r="N3242" t="s">
        <v>3817</v>
      </c>
      <c r="O3242" t="s">
        <v>3818</v>
      </c>
      <c r="P3242" t="s">
        <v>3819</v>
      </c>
      <c r="Q3242" t="s">
        <v>3820</v>
      </c>
      <c r="R3242" t="s">
        <v>11088</v>
      </c>
    </row>
    <row r="3243" spans="1:18" x14ac:dyDescent="0.2">
      <c r="A3243">
        <v>1577686</v>
      </c>
      <c r="B3243" t="s">
        <v>11089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1</v>
      </c>
      <c r="J3243">
        <v>0</v>
      </c>
      <c r="K3243">
        <v>0</v>
      </c>
      <c r="L3243" t="s">
        <v>3284</v>
      </c>
      <c r="M3243" t="s">
        <v>4628</v>
      </c>
      <c r="N3243" t="s">
        <v>4964</v>
      </c>
      <c r="O3243" t="s">
        <v>4965</v>
      </c>
      <c r="P3243" t="s">
        <v>4966</v>
      </c>
      <c r="Q3243" t="s">
        <v>11090</v>
      </c>
      <c r="R3243" t="s">
        <v>11091</v>
      </c>
    </row>
    <row r="3244" spans="1:18" x14ac:dyDescent="0.2">
      <c r="A3244">
        <v>1576369</v>
      </c>
      <c r="B3244" t="s">
        <v>11092</v>
      </c>
      <c r="C3244">
        <v>0</v>
      </c>
      <c r="D3244">
        <v>0</v>
      </c>
      <c r="E3244">
        <v>0</v>
      </c>
      <c r="F3244">
        <v>1</v>
      </c>
      <c r="G3244">
        <v>0</v>
      </c>
      <c r="H3244">
        <v>0</v>
      </c>
      <c r="I3244">
        <v>0</v>
      </c>
      <c r="J3244">
        <v>0</v>
      </c>
      <c r="K3244">
        <v>0</v>
      </c>
      <c r="L3244" t="s">
        <v>3284</v>
      </c>
      <c r="M3244" t="s">
        <v>3794</v>
      </c>
      <c r="N3244" t="s">
        <v>3795</v>
      </c>
      <c r="O3244" t="s">
        <v>3796</v>
      </c>
      <c r="P3244" t="s">
        <v>3797</v>
      </c>
      <c r="Q3244" t="s">
        <v>11093</v>
      </c>
      <c r="R3244" t="s">
        <v>11094</v>
      </c>
    </row>
    <row r="3245" spans="1:18" x14ac:dyDescent="0.2">
      <c r="A3245">
        <v>1573582</v>
      </c>
      <c r="B3245" t="s">
        <v>11095</v>
      </c>
      <c r="C3245">
        <v>3</v>
      </c>
      <c r="D3245">
        <v>2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 t="s">
        <v>3284</v>
      </c>
      <c r="M3245" t="s">
        <v>3391</v>
      </c>
      <c r="N3245" t="s">
        <v>3411</v>
      </c>
      <c r="O3245" t="s">
        <v>3412</v>
      </c>
      <c r="P3245" t="s">
        <v>3564</v>
      </c>
      <c r="Q3245" t="s">
        <v>3803</v>
      </c>
      <c r="R3245" t="s">
        <v>11096</v>
      </c>
    </row>
    <row r="3246" spans="1:18" x14ac:dyDescent="0.2">
      <c r="A3246">
        <v>1572859</v>
      </c>
      <c r="B3246" t="s">
        <v>11097</v>
      </c>
      <c r="C3246">
        <v>3</v>
      </c>
      <c r="D3246">
        <v>1</v>
      </c>
      <c r="E3246">
        <v>1</v>
      </c>
      <c r="F3246">
        <v>4</v>
      </c>
      <c r="G3246">
        <v>1</v>
      </c>
      <c r="H3246">
        <v>0</v>
      </c>
      <c r="I3246">
        <v>1</v>
      </c>
      <c r="J3246">
        <v>0</v>
      </c>
      <c r="K3246">
        <v>0</v>
      </c>
      <c r="L3246" t="s">
        <v>3284</v>
      </c>
      <c r="M3246" t="s">
        <v>3296</v>
      </c>
      <c r="N3246" t="s">
        <v>3343</v>
      </c>
      <c r="O3246" t="s">
        <v>3344</v>
      </c>
      <c r="P3246" t="s">
        <v>3355</v>
      </c>
      <c r="Q3246" t="s">
        <v>9284</v>
      </c>
      <c r="R3246" t="s">
        <v>11098</v>
      </c>
    </row>
    <row r="3247" spans="1:18" x14ac:dyDescent="0.2">
      <c r="A3247">
        <v>1572858</v>
      </c>
      <c r="B3247" t="s">
        <v>11099</v>
      </c>
      <c r="C3247">
        <v>0</v>
      </c>
      <c r="D3247">
        <v>0</v>
      </c>
      <c r="E3247">
        <v>0</v>
      </c>
      <c r="F3247">
        <v>2</v>
      </c>
      <c r="G3247">
        <v>1</v>
      </c>
      <c r="H3247">
        <v>0</v>
      </c>
      <c r="I3247">
        <v>0</v>
      </c>
      <c r="J3247">
        <v>0</v>
      </c>
      <c r="K3247">
        <v>0</v>
      </c>
      <c r="L3247" t="s">
        <v>3284</v>
      </c>
      <c r="M3247" t="s">
        <v>3296</v>
      </c>
      <c r="N3247" t="s">
        <v>3343</v>
      </c>
      <c r="O3247" t="s">
        <v>3402</v>
      </c>
      <c r="P3247" t="s">
        <v>3403</v>
      </c>
      <c r="Q3247" t="s">
        <v>3536</v>
      </c>
      <c r="R3247" t="s">
        <v>11100</v>
      </c>
    </row>
    <row r="3248" spans="1:18" x14ac:dyDescent="0.2">
      <c r="A3248">
        <v>1569794</v>
      </c>
      <c r="B3248" t="s">
        <v>11101</v>
      </c>
      <c r="C3248">
        <v>0</v>
      </c>
      <c r="D3248">
        <v>0</v>
      </c>
      <c r="E3248">
        <v>0</v>
      </c>
      <c r="F3248">
        <v>1</v>
      </c>
      <c r="G3248">
        <v>0</v>
      </c>
      <c r="H3248">
        <v>0</v>
      </c>
      <c r="I3248">
        <v>0</v>
      </c>
      <c r="J3248">
        <v>0</v>
      </c>
      <c r="K3248">
        <v>0</v>
      </c>
      <c r="L3248" t="s">
        <v>3284</v>
      </c>
      <c r="M3248" t="s">
        <v>3391</v>
      </c>
      <c r="N3248" t="s">
        <v>4129</v>
      </c>
      <c r="O3248" t="s">
        <v>4130</v>
      </c>
      <c r="P3248" t="s">
        <v>4131</v>
      </c>
      <c r="Q3248" t="s">
        <v>4132</v>
      </c>
      <c r="R3248" t="s">
        <v>11102</v>
      </c>
    </row>
    <row r="3249" spans="1:18" x14ac:dyDescent="0.2">
      <c r="A3249">
        <v>1569284</v>
      </c>
      <c r="B3249" t="s">
        <v>11103</v>
      </c>
      <c r="C3249">
        <v>0</v>
      </c>
      <c r="D3249">
        <v>1</v>
      </c>
      <c r="E3249">
        <v>0</v>
      </c>
      <c r="F3249">
        <v>4</v>
      </c>
      <c r="G3249">
        <v>4</v>
      </c>
      <c r="H3249">
        <v>0</v>
      </c>
      <c r="I3249">
        <v>9</v>
      </c>
      <c r="J3249">
        <v>8</v>
      </c>
      <c r="K3249">
        <v>1</v>
      </c>
      <c r="L3249" t="s">
        <v>3284</v>
      </c>
      <c r="M3249" t="s">
        <v>3285</v>
      </c>
      <c r="N3249" t="s">
        <v>3286</v>
      </c>
      <c r="O3249" t="s">
        <v>3287</v>
      </c>
      <c r="P3249" t="s">
        <v>3288</v>
      </c>
      <c r="Q3249" t="s">
        <v>3289</v>
      </c>
      <c r="R3249" t="s">
        <v>11104</v>
      </c>
    </row>
    <row r="3250" spans="1:18" x14ac:dyDescent="0.2">
      <c r="A3250">
        <v>1566285</v>
      </c>
      <c r="B3250" t="s">
        <v>11105</v>
      </c>
      <c r="C3250">
        <v>0</v>
      </c>
      <c r="D3250">
        <v>0</v>
      </c>
      <c r="E3250">
        <v>0</v>
      </c>
      <c r="F3250">
        <v>3</v>
      </c>
      <c r="G3250">
        <v>0</v>
      </c>
      <c r="H3250">
        <v>0</v>
      </c>
      <c r="I3250">
        <v>0</v>
      </c>
      <c r="J3250">
        <v>0</v>
      </c>
      <c r="K3250">
        <v>0</v>
      </c>
      <c r="L3250" t="s">
        <v>3284</v>
      </c>
      <c r="M3250" t="s">
        <v>3296</v>
      </c>
      <c r="N3250" t="s">
        <v>3343</v>
      </c>
      <c r="O3250" t="s">
        <v>3344</v>
      </c>
      <c r="P3250" t="s">
        <v>3937</v>
      </c>
      <c r="Q3250" t="s">
        <v>3938</v>
      </c>
      <c r="R3250" t="s">
        <v>11106</v>
      </c>
    </row>
    <row r="3251" spans="1:18" x14ac:dyDescent="0.2">
      <c r="A3251">
        <v>1566279</v>
      </c>
      <c r="B3251" t="s">
        <v>11107</v>
      </c>
      <c r="C3251">
        <v>0</v>
      </c>
      <c r="D3251">
        <v>1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 t="s">
        <v>3284</v>
      </c>
      <c r="M3251" t="s">
        <v>3327</v>
      </c>
      <c r="N3251" t="s">
        <v>3376</v>
      </c>
      <c r="O3251" t="s">
        <v>3377</v>
      </c>
      <c r="P3251" t="s">
        <v>3604</v>
      </c>
      <c r="Q3251" t="s">
        <v>3668</v>
      </c>
      <c r="R3251" t="s">
        <v>11108</v>
      </c>
    </row>
    <row r="3252" spans="1:18" x14ac:dyDescent="0.2">
      <c r="A3252">
        <v>1566271</v>
      </c>
      <c r="B3252" t="s">
        <v>11109</v>
      </c>
      <c r="C3252">
        <v>0</v>
      </c>
      <c r="D3252">
        <v>0</v>
      </c>
      <c r="E3252">
        <v>0</v>
      </c>
      <c r="F3252">
        <v>2</v>
      </c>
      <c r="G3252">
        <v>0</v>
      </c>
      <c r="H3252">
        <v>1</v>
      </c>
      <c r="I3252">
        <v>0</v>
      </c>
      <c r="J3252">
        <v>0</v>
      </c>
      <c r="K3252">
        <v>0</v>
      </c>
      <c r="L3252" t="s">
        <v>3284</v>
      </c>
      <c r="M3252" t="s">
        <v>3296</v>
      </c>
      <c r="N3252" t="s">
        <v>3321</v>
      </c>
      <c r="O3252" t="s">
        <v>3322</v>
      </c>
      <c r="P3252" t="s">
        <v>3398</v>
      </c>
      <c r="Q3252" t="s">
        <v>3399</v>
      </c>
      <c r="R3252" t="s">
        <v>11110</v>
      </c>
    </row>
    <row r="3253" spans="1:18" x14ac:dyDescent="0.2">
      <c r="A3253">
        <v>1566263</v>
      </c>
      <c r="B3253" t="s">
        <v>11111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1</v>
      </c>
      <c r="K3253">
        <v>0</v>
      </c>
      <c r="L3253" t="s">
        <v>3284</v>
      </c>
      <c r="M3253" t="s">
        <v>3296</v>
      </c>
      <c r="N3253" t="s">
        <v>3343</v>
      </c>
      <c r="O3253" t="s">
        <v>3344</v>
      </c>
      <c r="P3253" t="s">
        <v>3355</v>
      </c>
      <c r="Q3253" t="s">
        <v>3356</v>
      </c>
      <c r="R3253" t="s">
        <v>11112</v>
      </c>
    </row>
    <row r="3254" spans="1:18" x14ac:dyDescent="0.2">
      <c r="A3254">
        <v>1566262</v>
      </c>
      <c r="B3254" t="s">
        <v>11113</v>
      </c>
      <c r="C3254">
        <v>0</v>
      </c>
      <c r="D3254">
        <v>0</v>
      </c>
      <c r="E3254">
        <v>0</v>
      </c>
      <c r="F3254">
        <v>0</v>
      </c>
      <c r="G3254">
        <v>1</v>
      </c>
      <c r="H3254">
        <v>0</v>
      </c>
      <c r="I3254">
        <v>1</v>
      </c>
      <c r="J3254">
        <v>0</v>
      </c>
      <c r="K3254">
        <v>0</v>
      </c>
      <c r="L3254" t="s">
        <v>3284</v>
      </c>
      <c r="M3254" t="s">
        <v>3296</v>
      </c>
      <c r="N3254" t="s">
        <v>3343</v>
      </c>
      <c r="O3254" t="s">
        <v>3344</v>
      </c>
      <c r="P3254" t="s">
        <v>3355</v>
      </c>
      <c r="Q3254" t="s">
        <v>3356</v>
      </c>
      <c r="R3254" t="s">
        <v>11114</v>
      </c>
    </row>
    <row r="3255" spans="1:18" x14ac:dyDescent="0.2">
      <c r="A3255">
        <v>1566238</v>
      </c>
      <c r="B3255" t="s">
        <v>11115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1</v>
      </c>
      <c r="I3255">
        <v>0</v>
      </c>
      <c r="J3255">
        <v>0</v>
      </c>
      <c r="K3255">
        <v>0</v>
      </c>
      <c r="L3255" t="s">
        <v>3284</v>
      </c>
      <c r="M3255" t="s">
        <v>3296</v>
      </c>
      <c r="N3255" t="s">
        <v>3297</v>
      </c>
      <c r="O3255" t="s">
        <v>3434</v>
      </c>
      <c r="P3255" t="s">
        <v>3435</v>
      </c>
      <c r="Q3255" t="s">
        <v>3436</v>
      </c>
      <c r="R3255" t="s">
        <v>11116</v>
      </c>
    </row>
    <row r="3256" spans="1:18" x14ac:dyDescent="0.2">
      <c r="A3256">
        <v>1565536</v>
      </c>
      <c r="B3256" t="s">
        <v>11117</v>
      </c>
      <c r="C3256">
        <v>0</v>
      </c>
      <c r="D3256">
        <v>0</v>
      </c>
      <c r="E3256">
        <v>0</v>
      </c>
      <c r="F3256">
        <v>1</v>
      </c>
      <c r="G3256">
        <v>0</v>
      </c>
      <c r="H3256">
        <v>0</v>
      </c>
      <c r="I3256">
        <v>0</v>
      </c>
      <c r="J3256">
        <v>0</v>
      </c>
      <c r="K3256">
        <v>0</v>
      </c>
      <c r="L3256" t="s">
        <v>3284</v>
      </c>
      <c r="M3256" t="s">
        <v>3391</v>
      </c>
      <c r="N3256" t="s">
        <v>3411</v>
      </c>
      <c r="O3256" t="s">
        <v>3412</v>
      </c>
      <c r="P3256" t="s">
        <v>3413</v>
      </c>
      <c r="Q3256" t="s">
        <v>11118</v>
      </c>
      <c r="R3256" t="s">
        <v>11119</v>
      </c>
    </row>
    <row r="3257" spans="1:18" x14ac:dyDescent="0.2">
      <c r="A3257">
        <v>1563157</v>
      </c>
      <c r="B3257" t="s">
        <v>11120</v>
      </c>
      <c r="C3257">
        <v>0</v>
      </c>
      <c r="D3257">
        <v>0</v>
      </c>
      <c r="E3257">
        <v>0</v>
      </c>
      <c r="F3257">
        <v>1</v>
      </c>
      <c r="G3257">
        <v>0</v>
      </c>
      <c r="H3257">
        <v>0</v>
      </c>
      <c r="I3257">
        <v>0</v>
      </c>
      <c r="J3257">
        <v>0</v>
      </c>
      <c r="K3257">
        <v>0</v>
      </c>
      <c r="L3257" t="s">
        <v>3284</v>
      </c>
      <c r="M3257" t="s">
        <v>3296</v>
      </c>
      <c r="N3257" t="s">
        <v>3297</v>
      </c>
      <c r="O3257" t="s">
        <v>3434</v>
      </c>
      <c r="P3257" t="s">
        <v>3435</v>
      </c>
      <c r="Q3257" t="s">
        <v>3436</v>
      </c>
      <c r="R3257" t="s">
        <v>11121</v>
      </c>
    </row>
    <row r="3258" spans="1:18" x14ac:dyDescent="0.2">
      <c r="A3258">
        <v>1562974</v>
      </c>
      <c r="B3258" t="s">
        <v>11122</v>
      </c>
      <c r="C3258">
        <v>0</v>
      </c>
      <c r="D3258">
        <v>0</v>
      </c>
      <c r="E3258">
        <v>0</v>
      </c>
      <c r="F3258">
        <v>1</v>
      </c>
      <c r="G3258">
        <v>0</v>
      </c>
      <c r="H3258">
        <v>0</v>
      </c>
      <c r="I3258">
        <v>1</v>
      </c>
      <c r="J3258">
        <v>0</v>
      </c>
      <c r="K3258">
        <v>0</v>
      </c>
      <c r="L3258" t="s">
        <v>3284</v>
      </c>
      <c r="M3258" t="s">
        <v>3296</v>
      </c>
      <c r="N3258" t="s">
        <v>3321</v>
      </c>
      <c r="O3258" t="s">
        <v>3322</v>
      </c>
      <c r="P3258" t="s">
        <v>3398</v>
      </c>
      <c r="Q3258" t="s">
        <v>3806</v>
      </c>
      <c r="R3258" t="s">
        <v>11123</v>
      </c>
    </row>
    <row r="3259" spans="1:18" x14ac:dyDescent="0.2">
      <c r="A3259">
        <v>1562389</v>
      </c>
      <c r="B3259" t="s">
        <v>11124</v>
      </c>
      <c r="C3259">
        <v>0</v>
      </c>
      <c r="D3259">
        <v>2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 t="s">
        <v>3284</v>
      </c>
      <c r="M3259" t="s">
        <v>3391</v>
      </c>
      <c r="N3259" t="s">
        <v>3392</v>
      </c>
      <c r="O3259" t="s">
        <v>3393</v>
      </c>
      <c r="P3259" t="s">
        <v>3394</v>
      </c>
      <c r="Q3259" t="s">
        <v>3395</v>
      </c>
      <c r="R3259" t="s">
        <v>11125</v>
      </c>
    </row>
    <row r="3260" spans="1:18" x14ac:dyDescent="0.2">
      <c r="A3260">
        <v>1561194</v>
      </c>
      <c r="B3260" t="s">
        <v>11126</v>
      </c>
      <c r="C3260">
        <v>0</v>
      </c>
      <c r="D3260">
        <v>0</v>
      </c>
      <c r="E3260">
        <v>0</v>
      </c>
      <c r="F3260">
        <v>1</v>
      </c>
      <c r="G3260">
        <v>0</v>
      </c>
      <c r="H3260">
        <v>0</v>
      </c>
      <c r="I3260">
        <v>0</v>
      </c>
      <c r="J3260">
        <v>0</v>
      </c>
      <c r="K3260">
        <v>0</v>
      </c>
      <c r="L3260" t="s">
        <v>3284</v>
      </c>
      <c r="M3260" t="s">
        <v>3296</v>
      </c>
      <c r="N3260" t="s">
        <v>3297</v>
      </c>
      <c r="O3260" t="s">
        <v>3469</v>
      </c>
      <c r="P3260" t="s">
        <v>5200</v>
      </c>
      <c r="Q3260" t="s">
        <v>5201</v>
      </c>
      <c r="R3260" t="s">
        <v>11127</v>
      </c>
    </row>
    <row r="3261" spans="1:18" x14ac:dyDescent="0.2">
      <c r="A3261">
        <v>1560217</v>
      </c>
      <c r="B3261" t="s">
        <v>11128</v>
      </c>
      <c r="C3261">
        <v>0</v>
      </c>
      <c r="D3261">
        <v>1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 t="s">
        <v>3284</v>
      </c>
      <c r="M3261" t="s">
        <v>3327</v>
      </c>
      <c r="N3261" t="s">
        <v>3328</v>
      </c>
      <c r="O3261" t="s">
        <v>3329</v>
      </c>
      <c r="P3261" t="s">
        <v>3330</v>
      </c>
      <c r="Q3261" t="s">
        <v>3331</v>
      </c>
      <c r="R3261" t="s">
        <v>11129</v>
      </c>
    </row>
    <row r="3262" spans="1:18" x14ac:dyDescent="0.2">
      <c r="A3262">
        <v>1552123</v>
      </c>
      <c r="B3262" t="s">
        <v>11130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1</v>
      </c>
      <c r="L3262" t="s">
        <v>3284</v>
      </c>
      <c r="M3262" t="s">
        <v>3327</v>
      </c>
      <c r="N3262" t="s">
        <v>3376</v>
      </c>
      <c r="O3262" t="s">
        <v>3377</v>
      </c>
      <c r="P3262" t="s">
        <v>6333</v>
      </c>
      <c r="Q3262" t="s">
        <v>6334</v>
      </c>
      <c r="R3262" t="s">
        <v>11131</v>
      </c>
    </row>
    <row r="3263" spans="1:18" x14ac:dyDescent="0.2">
      <c r="A3263">
        <v>1550736</v>
      </c>
      <c r="B3263" t="s">
        <v>11132</v>
      </c>
      <c r="C3263">
        <v>0</v>
      </c>
      <c r="D3263">
        <v>0</v>
      </c>
      <c r="E3263">
        <v>0</v>
      </c>
      <c r="F3263">
        <v>1</v>
      </c>
      <c r="G3263">
        <v>0</v>
      </c>
      <c r="H3263">
        <v>0</v>
      </c>
      <c r="I3263">
        <v>0</v>
      </c>
      <c r="J3263">
        <v>0</v>
      </c>
      <c r="K3263">
        <v>0</v>
      </c>
      <c r="L3263" t="s">
        <v>3284</v>
      </c>
      <c r="M3263" t="s">
        <v>3296</v>
      </c>
      <c r="N3263" t="s">
        <v>3321</v>
      </c>
      <c r="O3263" t="s">
        <v>3322</v>
      </c>
      <c r="P3263" t="s">
        <v>3398</v>
      </c>
      <c r="Q3263" t="s">
        <v>11133</v>
      </c>
      <c r="R3263" t="s">
        <v>11134</v>
      </c>
    </row>
    <row r="3264" spans="1:18" x14ac:dyDescent="0.2">
      <c r="A3264">
        <v>1550728</v>
      </c>
      <c r="B3264" t="s">
        <v>11135</v>
      </c>
      <c r="C3264">
        <v>0</v>
      </c>
      <c r="D3264">
        <v>1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 t="s">
        <v>3284</v>
      </c>
      <c r="M3264" t="s">
        <v>3296</v>
      </c>
      <c r="N3264" t="s">
        <v>3343</v>
      </c>
      <c r="O3264" t="s">
        <v>3349</v>
      </c>
      <c r="P3264" t="s">
        <v>3350</v>
      </c>
      <c r="Q3264" t="s">
        <v>11136</v>
      </c>
      <c r="R3264" t="s">
        <v>11137</v>
      </c>
    </row>
    <row r="3265" spans="1:18" x14ac:dyDescent="0.2">
      <c r="A3265">
        <v>1550579</v>
      </c>
      <c r="B3265" t="s">
        <v>11138</v>
      </c>
      <c r="C3265">
        <v>0</v>
      </c>
      <c r="D3265">
        <v>0</v>
      </c>
      <c r="E3265">
        <v>0</v>
      </c>
      <c r="F3265">
        <v>1</v>
      </c>
      <c r="G3265">
        <v>0</v>
      </c>
      <c r="H3265">
        <v>0</v>
      </c>
      <c r="I3265">
        <v>0</v>
      </c>
      <c r="J3265">
        <v>0</v>
      </c>
      <c r="K3265">
        <v>0</v>
      </c>
      <c r="L3265" t="s">
        <v>3284</v>
      </c>
      <c r="M3265" t="s">
        <v>3391</v>
      </c>
      <c r="N3265" t="s">
        <v>3392</v>
      </c>
      <c r="O3265" t="s">
        <v>3393</v>
      </c>
      <c r="P3265" t="s">
        <v>3394</v>
      </c>
      <c r="Q3265" t="s">
        <v>4082</v>
      </c>
      <c r="R3265" t="s">
        <v>11139</v>
      </c>
    </row>
    <row r="3266" spans="1:18" x14ac:dyDescent="0.2">
      <c r="A3266">
        <v>1550385</v>
      </c>
      <c r="B3266" t="s">
        <v>11140</v>
      </c>
      <c r="C3266">
        <v>1</v>
      </c>
      <c r="D3266">
        <v>1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 t="s">
        <v>3284</v>
      </c>
      <c r="M3266" t="s">
        <v>3327</v>
      </c>
      <c r="N3266" t="s">
        <v>3376</v>
      </c>
      <c r="O3266" t="s">
        <v>3377</v>
      </c>
      <c r="P3266" t="s">
        <v>3378</v>
      </c>
      <c r="Q3266" t="s">
        <v>3491</v>
      </c>
      <c r="R3266" t="s">
        <v>11141</v>
      </c>
    </row>
    <row r="3267" spans="1:18" x14ac:dyDescent="0.2">
      <c r="A3267">
        <v>1550240</v>
      </c>
      <c r="B3267" t="s">
        <v>11142</v>
      </c>
      <c r="C3267">
        <v>0</v>
      </c>
      <c r="D3267">
        <v>0</v>
      </c>
      <c r="E3267">
        <v>1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 t="s">
        <v>3284</v>
      </c>
      <c r="M3267" t="s">
        <v>3327</v>
      </c>
      <c r="N3267" t="s">
        <v>3328</v>
      </c>
      <c r="O3267" t="s">
        <v>11143</v>
      </c>
      <c r="P3267" t="s">
        <v>11144</v>
      </c>
      <c r="Q3267" t="s">
        <v>11145</v>
      </c>
      <c r="R3267" t="s">
        <v>11146</v>
      </c>
    </row>
    <row r="3268" spans="1:18" x14ac:dyDescent="0.2">
      <c r="A3268">
        <v>1549888</v>
      </c>
      <c r="B3268" t="s">
        <v>11147</v>
      </c>
      <c r="C3268">
        <v>10</v>
      </c>
      <c r="D3268">
        <v>6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 t="s">
        <v>3284</v>
      </c>
      <c r="M3268" t="s">
        <v>3296</v>
      </c>
      <c r="N3268" t="s">
        <v>3297</v>
      </c>
      <c r="O3268" t="s">
        <v>3298</v>
      </c>
      <c r="P3268" t="s">
        <v>11148</v>
      </c>
      <c r="Q3268" t="s">
        <v>11149</v>
      </c>
      <c r="R3268" t="s">
        <v>11150</v>
      </c>
    </row>
    <row r="3269" spans="1:18" x14ac:dyDescent="0.2">
      <c r="A3269">
        <v>1549812</v>
      </c>
      <c r="B3269" t="s">
        <v>11151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2</v>
      </c>
      <c r="J3269">
        <v>0</v>
      </c>
      <c r="K3269">
        <v>0</v>
      </c>
      <c r="L3269" t="s">
        <v>3284</v>
      </c>
      <c r="M3269" t="s">
        <v>3296</v>
      </c>
      <c r="N3269" t="s">
        <v>3321</v>
      </c>
      <c r="O3269" t="s">
        <v>3322</v>
      </c>
      <c r="P3269" t="s">
        <v>3323</v>
      </c>
      <c r="Q3269" t="s">
        <v>3324</v>
      </c>
      <c r="R3269" t="s">
        <v>11152</v>
      </c>
    </row>
    <row r="3270" spans="1:18" x14ac:dyDescent="0.2">
      <c r="A3270">
        <v>1549641</v>
      </c>
      <c r="B3270" t="s">
        <v>11153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2</v>
      </c>
      <c r="J3270">
        <v>1</v>
      </c>
      <c r="K3270">
        <v>3</v>
      </c>
      <c r="L3270" t="s">
        <v>3284</v>
      </c>
      <c r="M3270" t="s">
        <v>3296</v>
      </c>
      <c r="N3270" t="s">
        <v>3343</v>
      </c>
      <c r="O3270" t="s">
        <v>3344</v>
      </c>
      <c r="P3270" t="s">
        <v>6553</v>
      </c>
      <c r="Q3270" t="s">
        <v>11154</v>
      </c>
      <c r="R3270" t="s">
        <v>11155</v>
      </c>
    </row>
    <row r="3271" spans="1:18" x14ac:dyDescent="0.2">
      <c r="A3271">
        <v>1547922</v>
      </c>
      <c r="B3271" t="s">
        <v>11156</v>
      </c>
      <c r="C3271">
        <v>0</v>
      </c>
      <c r="D3271">
        <v>1</v>
      </c>
      <c r="E3271">
        <v>0</v>
      </c>
      <c r="F3271">
        <v>1</v>
      </c>
      <c r="G3271">
        <v>1</v>
      </c>
      <c r="H3271">
        <v>0</v>
      </c>
      <c r="I3271">
        <v>1</v>
      </c>
      <c r="J3271">
        <v>1</v>
      </c>
      <c r="K3271">
        <v>0</v>
      </c>
      <c r="L3271" t="s">
        <v>3284</v>
      </c>
      <c r="M3271" t="s">
        <v>3296</v>
      </c>
      <c r="N3271" t="s">
        <v>3321</v>
      </c>
      <c r="O3271" t="s">
        <v>3322</v>
      </c>
      <c r="P3271" t="s">
        <v>3671</v>
      </c>
      <c r="Q3271" t="s">
        <v>4930</v>
      </c>
      <c r="R3271" t="s">
        <v>11157</v>
      </c>
    </row>
    <row r="3272" spans="1:18" x14ac:dyDescent="0.2">
      <c r="A3272">
        <v>1547515</v>
      </c>
      <c r="B3272" t="s">
        <v>11158</v>
      </c>
      <c r="C3272">
        <v>0</v>
      </c>
      <c r="D3272">
        <v>2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 t="s">
        <v>3284</v>
      </c>
      <c r="M3272" t="s">
        <v>3296</v>
      </c>
      <c r="N3272" t="s">
        <v>3297</v>
      </c>
      <c r="O3272" t="s">
        <v>4124</v>
      </c>
      <c r="P3272" t="s">
        <v>4125</v>
      </c>
      <c r="Q3272" t="s">
        <v>5083</v>
      </c>
      <c r="R3272" t="s">
        <v>11159</v>
      </c>
    </row>
    <row r="3273" spans="1:18" x14ac:dyDescent="0.2">
      <c r="A3273">
        <v>1547283</v>
      </c>
      <c r="B3273" t="s">
        <v>11160</v>
      </c>
      <c r="C3273">
        <v>0</v>
      </c>
      <c r="D3273">
        <v>1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 t="s">
        <v>3284</v>
      </c>
      <c r="M3273" t="s">
        <v>3327</v>
      </c>
      <c r="N3273" t="s">
        <v>3376</v>
      </c>
      <c r="O3273" t="s">
        <v>3377</v>
      </c>
      <c r="P3273" t="s">
        <v>3378</v>
      </c>
      <c r="Q3273" t="s">
        <v>3379</v>
      </c>
      <c r="R3273" t="s">
        <v>11161</v>
      </c>
    </row>
    <row r="3274" spans="1:18" x14ac:dyDescent="0.2">
      <c r="A3274">
        <v>1545915</v>
      </c>
      <c r="B3274" t="s">
        <v>11162</v>
      </c>
      <c r="C3274">
        <v>2</v>
      </c>
      <c r="D3274">
        <v>1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 t="s">
        <v>3284</v>
      </c>
      <c r="M3274" t="s">
        <v>3296</v>
      </c>
      <c r="N3274" t="s">
        <v>3343</v>
      </c>
      <c r="O3274" t="s">
        <v>3349</v>
      </c>
      <c r="P3274" t="s">
        <v>3350</v>
      </c>
      <c r="Q3274" t="s">
        <v>3580</v>
      </c>
      <c r="R3274" t="s">
        <v>11163</v>
      </c>
    </row>
    <row r="3275" spans="1:18" x14ac:dyDescent="0.2">
      <c r="A3275">
        <v>1545443</v>
      </c>
      <c r="B3275" t="s">
        <v>11164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1</v>
      </c>
      <c r="J3275">
        <v>1</v>
      </c>
      <c r="K3275">
        <v>0</v>
      </c>
      <c r="L3275" t="s">
        <v>3284</v>
      </c>
      <c r="M3275" t="s">
        <v>3296</v>
      </c>
      <c r="N3275" t="s">
        <v>3343</v>
      </c>
      <c r="O3275" t="s">
        <v>3429</v>
      </c>
      <c r="P3275" t="s">
        <v>3430</v>
      </c>
      <c r="Q3275" t="s">
        <v>6632</v>
      </c>
      <c r="R3275" t="s">
        <v>11165</v>
      </c>
    </row>
    <row r="3276" spans="1:18" x14ac:dyDescent="0.2">
      <c r="A3276">
        <v>1545044</v>
      </c>
      <c r="B3276" t="s">
        <v>11166</v>
      </c>
      <c r="C3276">
        <v>1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 t="s">
        <v>3284</v>
      </c>
      <c r="M3276" t="s">
        <v>3296</v>
      </c>
      <c r="N3276" t="s">
        <v>3343</v>
      </c>
      <c r="O3276" t="s">
        <v>3371</v>
      </c>
      <c r="P3276" t="s">
        <v>3688</v>
      </c>
      <c r="Q3276" t="s">
        <v>4406</v>
      </c>
      <c r="R3276" t="s">
        <v>11167</v>
      </c>
    </row>
    <row r="3277" spans="1:18" x14ac:dyDescent="0.2">
      <c r="A3277">
        <v>1542737</v>
      </c>
      <c r="B3277" t="s">
        <v>11168</v>
      </c>
      <c r="C3277">
        <v>0</v>
      </c>
      <c r="D3277">
        <v>3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 t="s">
        <v>3284</v>
      </c>
      <c r="M3277" t="s">
        <v>3307</v>
      </c>
      <c r="N3277" t="s">
        <v>3308</v>
      </c>
      <c r="O3277" t="s">
        <v>3309</v>
      </c>
      <c r="P3277" t="s">
        <v>3310</v>
      </c>
      <c r="Q3277" t="s">
        <v>3311</v>
      </c>
      <c r="R3277" t="s">
        <v>11169</v>
      </c>
    </row>
    <row r="3278" spans="1:18" x14ac:dyDescent="0.2">
      <c r="A3278">
        <v>1542435</v>
      </c>
      <c r="B3278" t="s">
        <v>11170</v>
      </c>
      <c r="C3278">
        <v>0</v>
      </c>
      <c r="D3278">
        <v>0</v>
      </c>
      <c r="E3278">
        <v>0</v>
      </c>
      <c r="F3278">
        <v>1</v>
      </c>
      <c r="G3278">
        <v>0</v>
      </c>
      <c r="H3278">
        <v>0</v>
      </c>
      <c r="I3278">
        <v>0</v>
      </c>
      <c r="J3278">
        <v>0</v>
      </c>
      <c r="K3278">
        <v>0</v>
      </c>
      <c r="L3278" t="s">
        <v>3284</v>
      </c>
      <c r="M3278" t="s">
        <v>3307</v>
      </c>
      <c r="N3278" t="s">
        <v>3308</v>
      </c>
      <c r="O3278" t="s">
        <v>3309</v>
      </c>
      <c r="P3278" t="s">
        <v>3310</v>
      </c>
      <c r="Q3278" t="s">
        <v>3311</v>
      </c>
      <c r="R3278" t="s">
        <v>11171</v>
      </c>
    </row>
    <row r="3279" spans="1:18" x14ac:dyDescent="0.2">
      <c r="A3279">
        <v>1540520</v>
      </c>
      <c r="B3279" t="s">
        <v>11172</v>
      </c>
      <c r="C3279">
        <v>0</v>
      </c>
      <c r="D3279">
        <v>1</v>
      </c>
      <c r="E3279">
        <v>6</v>
      </c>
      <c r="F3279">
        <v>6</v>
      </c>
      <c r="G3279">
        <v>2</v>
      </c>
      <c r="H3279">
        <v>2</v>
      </c>
      <c r="I3279">
        <v>2</v>
      </c>
      <c r="J3279">
        <v>3</v>
      </c>
      <c r="K3279">
        <v>6</v>
      </c>
      <c r="L3279" t="s">
        <v>3284</v>
      </c>
      <c r="M3279" t="s">
        <v>3307</v>
      </c>
      <c r="N3279" t="s">
        <v>3308</v>
      </c>
      <c r="O3279" t="s">
        <v>3309</v>
      </c>
      <c r="P3279" t="s">
        <v>8318</v>
      </c>
      <c r="Q3279" t="s">
        <v>8319</v>
      </c>
      <c r="R3279" t="s">
        <v>11173</v>
      </c>
    </row>
    <row r="3280" spans="1:18" x14ac:dyDescent="0.2">
      <c r="A3280">
        <v>1540257</v>
      </c>
      <c r="B3280" t="s">
        <v>11174</v>
      </c>
      <c r="C3280">
        <v>7</v>
      </c>
      <c r="D3280">
        <v>4</v>
      </c>
      <c r="E3280">
        <v>4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 t="s">
        <v>3284</v>
      </c>
      <c r="M3280" t="s">
        <v>3327</v>
      </c>
      <c r="N3280" t="s">
        <v>3328</v>
      </c>
      <c r="O3280" t="s">
        <v>3329</v>
      </c>
      <c r="P3280" t="s">
        <v>3330</v>
      </c>
      <c r="Q3280" t="s">
        <v>3331</v>
      </c>
      <c r="R3280" t="s">
        <v>11175</v>
      </c>
    </row>
    <row r="3281" spans="1:18" x14ac:dyDescent="0.2">
      <c r="A3281">
        <v>1539142</v>
      </c>
      <c r="B3281" t="s">
        <v>11176</v>
      </c>
      <c r="C3281">
        <v>0</v>
      </c>
      <c r="D3281">
        <v>0</v>
      </c>
      <c r="E3281">
        <v>0</v>
      </c>
      <c r="F3281">
        <v>2</v>
      </c>
      <c r="G3281">
        <v>0</v>
      </c>
      <c r="H3281">
        <v>0</v>
      </c>
      <c r="I3281">
        <v>0</v>
      </c>
      <c r="J3281">
        <v>0</v>
      </c>
      <c r="K3281">
        <v>0</v>
      </c>
      <c r="L3281" t="s">
        <v>3284</v>
      </c>
      <c r="M3281" t="s">
        <v>3296</v>
      </c>
      <c r="N3281" t="s">
        <v>3321</v>
      </c>
      <c r="O3281" t="s">
        <v>3322</v>
      </c>
      <c r="P3281" t="s">
        <v>3423</v>
      </c>
      <c r="Q3281" t="s">
        <v>3424</v>
      </c>
      <c r="R3281" t="s">
        <v>11177</v>
      </c>
    </row>
    <row r="3282" spans="1:18" x14ac:dyDescent="0.2">
      <c r="A3282">
        <v>1538644</v>
      </c>
      <c r="B3282" t="s">
        <v>11178</v>
      </c>
      <c r="C3282">
        <v>0</v>
      </c>
      <c r="D3282">
        <v>1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 t="s">
        <v>3284</v>
      </c>
      <c r="M3282" t="s">
        <v>3391</v>
      </c>
      <c r="N3282" t="s">
        <v>3392</v>
      </c>
      <c r="O3282" t="s">
        <v>3393</v>
      </c>
      <c r="P3282" t="s">
        <v>3394</v>
      </c>
      <c r="Q3282" t="s">
        <v>4351</v>
      </c>
      <c r="R3282" t="s">
        <v>11179</v>
      </c>
    </row>
    <row r="3283" spans="1:18" x14ac:dyDescent="0.2">
      <c r="A3283">
        <v>1538295</v>
      </c>
      <c r="B3283" t="s">
        <v>11180</v>
      </c>
      <c r="C3283">
        <v>1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2</v>
      </c>
      <c r="J3283">
        <v>0</v>
      </c>
      <c r="K3283">
        <v>0</v>
      </c>
      <c r="L3283" t="s">
        <v>3284</v>
      </c>
      <c r="M3283" t="s">
        <v>3296</v>
      </c>
      <c r="N3283" t="s">
        <v>3321</v>
      </c>
      <c r="O3283" t="s">
        <v>3322</v>
      </c>
      <c r="P3283" t="s">
        <v>3271</v>
      </c>
      <c r="Q3283" t="s">
        <v>4214</v>
      </c>
      <c r="R3283" t="s">
        <v>11181</v>
      </c>
    </row>
    <row r="3284" spans="1:18" x14ac:dyDescent="0.2">
      <c r="A3284">
        <v>1537369</v>
      </c>
      <c r="B3284" t="s">
        <v>11182</v>
      </c>
      <c r="C3284">
        <v>4</v>
      </c>
      <c r="D3284">
        <v>1</v>
      </c>
      <c r="E3284">
        <v>0</v>
      </c>
      <c r="F3284">
        <v>0</v>
      </c>
      <c r="G3284">
        <v>0</v>
      </c>
      <c r="H3284">
        <v>0</v>
      </c>
      <c r="I3284">
        <v>48</v>
      </c>
      <c r="J3284">
        <v>31</v>
      </c>
      <c r="K3284">
        <v>3</v>
      </c>
      <c r="L3284" t="s">
        <v>3284</v>
      </c>
      <c r="M3284" t="s">
        <v>3391</v>
      </c>
      <c r="N3284" t="s">
        <v>3740</v>
      </c>
      <c r="O3284" t="s">
        <v>3741</v>
      </c>
      <c r="P3284" t="s">
        <v>3853</v>
      </c>
      <c r="Q3284" t="s">
        <v>3854</v>
      </c>
      <c r="R3284" t="s">
        <v>11183</v>
      </c>
    </row>
    <row r="3285" spans="1:18" x14ac:dyDescent="0.2">
      <c r="A3285">
        <v>1537215</v>
      </c>
      <c r="B3285" t="s">
        <v>11184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1</v>
      </c>
      <c r="J3285">
        <v>0</v>
      </c>
      <c r="K3285">
        <v>0</v>
      </c>
      <c r="L3285" t="s">
        <v>3284</v>
      </c>
      <c r="M3285" t="s">
        <v>3296</v>
      </c>
      <c r="N3285" t="s">
        <v>3343</v>
      </c>
      <c r="O3285" t="s">
        <v>3371</v>
      </c>
      <c r="P3285" t="s">
        <v>3688</v>
      </c>
      <c r="Q3285" t="s">
        <v>7350</v>
      </c>
      <c r="R3285" t="s">
        <v>11185</v>
      </c>
    </row>
    <row r="3286" spans="1:18" x14ac:dyDescent="0.2">
      <c r="A3286">
        <v>1536772</v>
      </c>
      <c r="B3286" t="s">
        <v>11186</v>
      </c>
      <c r="C3286">
        <v>0</v>
      </c>
      <c r="D3286">
        <v>0</v>
      </c>
      <c r="E3286">
        <v>0</v>
      </c>
      <c r="F3286">
        <v>1</v>
      </c>
      <c r="G3286">
        <v>0</v>
      </c>
      <c r="H3286">
        <v>0</v>
      </c>
      <c r="I3286">
        <v>0</v>
      </c>
      <c r="J3286">
        <v>0</v>
      </c>
      <c r="K3286">
        <v>0</v>
      </c>
      <c r="L3286" t="s">
        <v>3284</v>
      </c>
      <c r="M3286" t="s">
        <v>3327</v>
      </c>
      <c r="N3286" t="s">
        <v>3376</v>
      </c>
      <c r="O3286" t="s">
        <v>3377</v>
      </c>
      <c r="P3286" t="s">
        <v>3604</v>
      </c>
      <c r="Q3286" t="s">
        <v>3668</v>
      </c>
      <c r="R3286" t="s">
        <v>11187</v>
      </c>
    </row>
    <row r="3287" spans="1:18" x14ac:dyDescent="0.2">
      <c r="A3287">
        <v>1536641</v>
      </c>
      <c r="B3287" t="s">
        <v>11188</v>
      </c>
      <c r="C3287">
        <v>0</v>
      </c>
      <c r="D3287">
        <v>1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 t="s">
        <v>3284</v>
      </c>
      <c r="M3287" t="s">
        <v>3307</v>
      </c>
      <c r="N3287" t="s">
        <v>3308</v>
      </c>
      <c r="O3287" t="s">
        <v>3359</v>
      </c>
      <c r="P3287" t="s">
        <v>10994</v>
      </c>
      <c r="Q3287" t="s">
        <v>10995</v>
      </c>
      <c r="R3287" t="s">
        <v>11189</v>
      </c>
    </row>
    <row r="3288" spans="1:18" x14ac:dyDescent="0.2">
      <c r="A3288">
        <v>1534349</v>
      </c>
      <c r="B3288" t="s">
        <v>11190</v>
      </c>
      <c r="C3288">
        <v>0</v>
      </c>
      <c r="D3288">
        <v>0</v>
      </c>
      <c r="E3288">
        <v>0</v>
      </c>
      <c r="F3288">
        <v>0</v>
      </c>
      <c r="G3288">
        <v>1</v>
      </c>
      <c r="H3288">
        <v>0</v>
      </c>
      <c r="I3288">
        <v>0</v>
      </c>
      <c r="J3288">
        <v>0</v>
      </c>
      <c r="K3288">
        <v>0</v>
      </c>
      <c r="L3288" t="s">
        <v>3284</v>
      </c>
      <c r="M3288" t="s">
        <v>3307</v>
      </c>
      <c r="N3288" t="s">
        <v>3308</v>
      </c>
      <c r="O3288" t="s">
        <v>3635</v>
      </c>
      <c r="P3288" t="s">
        <v>4011</v>
      </c>
      <c r="Q3288" t="s">
        <v>4471</v>
      </c>
      <c r="R3288" t="s">
        <v>11191</v>
      </c>
    </row>
    <row r="3289" spans="1:18" x14ac:dyDescent="0.2">
      <c r="A3289">
        <v>1534348</v>
      </c>
      <c r="B3289" t="s">
        <v>11192</v>
      </c>
      <c r="C3289">
        <v>0</v>
      </c>
      <c r="D3289">
        <v>0</v>
      </c>
      <c r="E3289">
        <v>0</v>
      </c>
      <c r="F3289">
        <v>2</v>
      </c>
      <c r="G3289">
        <v>1</v>
      </c>
      <c r="H3289">
        <v>0</v>
      </c>
      <c r="I3289">
        <v>0</v>
      </c>
      <c r="J3289">
        <v>0</v>
      </c>
      <c r="K3289">
        <v>0</v>
      </c>
      <c r="L3289" t="s">
        <v>3284</v>
      </c>
      <c r="M3289" t="s">
        <v>3307</v>
      </c>
      <c r="N3289" t="s">
        <v>3308</v>
      </c>
      <c r="O3289" t="s">
        <v>3635</v>
      </c>
      <c r="P3289" t="s">
        <v>4011</v>
      </c>
      <c r="Q3289" t="s">
        <v>4471</v>
      </c>
      <c r="R3289" t="s">
        <v>11193</v>
      </c>
    </row>
    <row r="3290" spans="1:18" x14ac:dyDescent="0.2">
      <c r="A3290">
        <v>1532557</v>
      </c>
      <c r="B3290" t="s">
        <v>11194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1</v>
      </c>
      <c r="I3290">
        <v>0</v>
      </c>
      <c r="J3290">
        <v>0</v>
      </c>
      <c r="K3290">
        <v>0</v>
      </c>
      <c r="L3290" t="s">
        <v>3284</v>
      </c>
      <c r="M3290" t="s">
        <v>3296</v>
      </c>
      <c r="N3290" t="s">
        <v>3321</v>
      </c>
      <c r="O3290" t="s">
        <v>3322</v>
      </c>
      <c r="P3290" t="s">
        <v>4143</v>
      </c>
      <c r="Q3290" t="s">
        <v>4539</v>
      </c>
      <c r="R3290" t="s">
        <v>11195</v>
      </c>
    </row>
    <row r="3291" spans="1:18" x14ac:dyDescent="0.2">
      <c r="A3291">
        <v>1532556</v>
      </c>
      <c r="B3291" t="s">
        <v>11196</v>
      </c>
      <c r="C3291">
        <v>1</v>
      </c>
      <c r="D3291">
        <v>2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 t="s">
        <v>3284</v>
      </c>
      <c r="M3291" t="s">
        <v>3296</v>
      </c>
      <c r="N3291" t="s">
        <v>3297</v>
      </c>
      <c r="O3291" t="s">
        <v>3298</v>
      </c>
      <c r="P3291" t="s">
        <v>3299</v>
      </c>
      <c r="Q3291" t="s">
        <v>3300</v>
      </c>
      <c r="R3291" t="s">
        <v>11197</v>
      </c>
    </row>
    <row r="3292" spans="1:18" x14ac:dyDescent="0.2">
      <c r="A3292">
        <v>1532555</v>
      </c>
      <c r="B3292" t="s">
        <v>11198</v>
      </c>
      <c r="C3292">
        <v>0</v>
      </c>
      <c r="D3292">
        <v>0</v>
      </c>
      <c r="E3292">
        <v>0</v>
      </c>
      <c r="F3292">
        <v>1</v>
      </c>
      <c r="G3292">
        <v>0</v>
      </c>
      <c r="H3292">
        <v>0</v>
      </c>
      <c r="I3292">
        <v>0</v>
      </c>
      <c r="J3292">
        <v>0</v>
      </c>
      <c r="K3292">
        <v>0</v>
      </c>
      <c r="L3292" t="s">
        <v>3284</v>
      </c>
      <c r="M3292" t="s">
        <v>3296</v>
      </c>
      <c r="N3292" t="s">
        <v>3343</v>
      </c>
      <c r="O3292" t="s">
        <v>3402</v>
      </c>
      <c r="P3292" t="s">
        <v>3403</v>
      </c>
      <c r="Q3292" t="s">
        <v>3536</v>
      </c>
      <c r="R3292" t="s">
        <v>11199</v>
      </c>
    </row>
    <row r="3293" spans="1:18" x14ac:dyDescent="0.2">
      <c r="A3293">
        <v>1529638</v>
      </c>
      <c r="B3293" t="s">
        <v>11200</v>
      </c>
      <c r="C3293">
        <v>1</v>
      </c>
      <c r="D3293">
        <v>1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 t="s">
        <v>3284</v>
      </c>
      <c r="M3293" t="s">
        <v>3391</v>
      </c>
      <c r="N3293" t="s">
        <v>3411</v>
      </c>
      <c r="O3293" t="s">
        <v>3412</v>
      </c>
      <c r="P3293" t="s">
        <v>3413</v>
      </c>
      <c r="Q3293" t="s">
        <v>3414</v>
      </c>
      <c r="R3293" t="s">
        <v>11201</v>
      </c>
    </row>
    <row r="3294" spans="1:18" x14ac:dyDescent="0.2">
      <c r="A3294">
        <v>1529318</v>
      </c>
      <c r="B3294" t="s">
        <v>11202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1</v>
      </c>
      <c r="J3294">
        <v>0</v>
      </c>
      <c r="K3294">
        <v>0</v>
      </c>
      <c r="L3294" t="s">
        <v>3284</v>
      </c>
      <c r="M3294" t="s">
        <v>3307</v>
      </c>
      <c r="N3294" t="s">
        <v>3308</v>
      </c>
      <c r="O3294" t="s">
        <v>3359</v>
      </c>
      <c r="P3294" t="s">
        <v>3360</v>
      </c>
      <c r="Q3294" t="s">
        <v>4793</v>
      </c>
      <c r="R3294" t="s">
        <v>11203</v>
      </c>
    </row>
    <row r="3295" spans="1:18" x14ac:dyDescent="0.2">
      <c r="A3295">
        <v>1529117</v>
      </c>
      <c r="B3295" t="s">
        <v>11204</v>
      </c>
      <c r="C3295">
        <v>0</v>
      </c>
      <c r="D3295">
        <v>1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 t="s">
        <v>3284</v>
      </c>
      <c r="M3295" t="s">
        <v>3327</v>
      </c>
      <c r="N3295" t="s">
        <v>3376</v>
      </c>
      <c r="O3295" t="s">
        <v>3377</v>
      </c>
      <c r="P3295" t="s">
        <v>3378</v>
      </c>
      <c r="Q3295" t="s">
        <v>3379</v>
      </c>
      <c r="R3295" t="s">
        <v>11205</v>
      </c>
    </row>
    <row r="3296" spans="1:18" x14ac:dyDescent="0.2">
      <c r="A3296">
        <v>1528868</v>
      </c>
      <c r="B3296" t="s">
        <v>11206</v>
      </c>
      <c r="C3296">
        <v>0</v>
      </c>
      <c r="D3296">
        <v>0</v>
      </c>
      <c r="E3296">
        <v>0</v>
      </c>
      <c r="F3296">
        <v>0</v>
      </c>
      <c r="G3296">
        <v>2</v>
      </c>
      <c r="H3296">
        <v>0</v>
      </c>
      <c r="I3296">
        <v>0</v>
      </c>
      <c r="J3296">
        <v>0</v>
      </c>
      <c r="K3296">
        <v>0</v>
      </c>
      <c r="L3296" t="s">
        <v>3284</v>
      </c>
      <c r="M3296" t="s">
        <v>3391</v>
      </c>
      <c r="N3296" t="s">
        <v>3392</v>
      </c>
      <c r="O3296" t="s">
        <v>3393</v>
      </c>
      <c r="P3296" t="s">
        <v>3394</v>
      </c>
      <c r="Q3296" t="s">
        <v>4082</v>
      </c>
      <c r="R3296" t="s">
        <v>11207</v>
      </c>
    </row>
    <row r="3297" spans="1:18" x14ac:dyDescent="0.2">
      <c r="A3297">
        <v>1527607</v>
      </c>
      <c r="B3297" t="s">
        <v>11208</v>
      </c>
      <c r="C3297">
        <v>3</v>
      </c>
      <c r="D3297">
        <v>1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 t="s">
        <v>3284</v>
      </c>
      <c r="M3297" t="s">
        <v>3296</v>
      </c>
      <c r="N3297" t="s">
        <v>3321</v>
      </c>
      <c r="O3297" t="s">
        <v>3322</v>
      </c>
      <c r="P3297" t="s">
        <v>3398</v>
      </c>
      <c r="Q3297" t="s">
        <v>3832</v>
      </c>
      <c r="R3297" t="s">
        <v>11209</v>
      </c>
    </row>
    <row r="3298" spans="1:18" x14ac:dyDescent="0.2">
      <c r="A3298">
        <v>1527293</v>
      </c>
      <c r="B3298" t="s">
        <v>11210</v>
      </c>
      <c r="C3298">
        <v>1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 t="s">
        <v>3284</v>
      </c>
      <c r="M3298" t="s">
        <v>3327</v>
      </c>
      <c r="N3298" t="s">
        <v>3376</v>
      </c>
      <c r="O3298" t="s">
        <v>3377</v>
      </c>
      <c r="P3298" t="s">
        <v>3604</v>
      </c>
      <c r="Q3298" t="s">
        <v>3668</v>
      </c>
      <c r="R3298" t="s">
        <v>11211</v>
      </c>
    </row>
    <row r="3299" spans="1:18" x14ac:dyDescent="0.2">
      <c r="A3299">
        <v>1526658</v>
      </c>
      <c r="B3299" t="s">
        <v>11212</v>
      </c>
      <c r="C3299">
        <v>0</v>
      </c>
      <c r="D3299">
        <v>1</v>
      </c>
      <c r="E3299">
        <v>0</v>
      </c>
      <c r="F3299">
        <v>0</v>
      </c>
      <c r="G3299">
        <v>1</v>
      </c>
      <c r="H3299">
        <v>1</v>
      </c>
      <c r="I3299">
        <v>2</v>
      </c>
      <c r="J3299">
        <v>0</v>
      </c>
      <c r="K3299">
        <v>0</v>
      </c>
      <c r="L3299" t="s">
        <v>3284</v>
      </c>
      <c r="M3299" t="s">
        <v>3296</v>
      </c>
      <c r="N3299" t="s">
        <v>3343</v>
      </c>
      <c r="O3299" t="s">
        <v>3344</v>
      </c>
      <c r="P3299" t="s">
        <v>3367</v>
      </c>
      <c r="Q3299" t="s">
        <v>3368</v>
      </c>
      <c r="R3299" t="s">
        <v>11213</v>
      </c>
    </row>
    <row r="3300" spans="1:18" x14ac:dyDescent="0.2">
      <c r="A3300">
        <v>1526412</v>
      </c>
      <c r="B3300" t="s">
        <v>11214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1</v>
      </c>
      <c r="J3300">
        <v>0</v>
      </c>
      <c r="K3300">
        <v>0</v>
      </c>
      <c r="L3300" t="s">
        <v>3284</v>
      </c>
      <c r="M3300" t="s">
        <v>3307</v>
      </c>
      <c r="N3300" t="s">
        <v>3308</v>
      </c>
      <c r="O3300" t="s">
        <v>3359</v>
      </c>
      <c r="P3300" t="s">
        <v>3360</v>
      </c>
      <c r="Q3300" t="s">
        <v>3361</v>
      </c>
      <c r="R3300" t="s">
        <v>11215</v>
      </c>
    </row>
    <row r="3301" spans="1:18" x14ac:dyDescent="0.2">
      <c r="A3301">
        <v>1524467</v>
      </c>
      <c r="B3301" t="s">
        <v>11216</v>
      </c>
      <c r="C3301">
        <v>5</v>
      </c>
      <c r="D3301">
        <v>0</v>
      </c>
      <c r="E3301">
        <v>3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 t="s">
        <v>3284</v>
      </c>
      <c r="M3301" t="s">
        <v>3296</v>
      </c>
      <c r="N3301" t="s">
        <v>3297</v>
      </c>
      <c r="O3301" t="s">
        <v>3298</v>
      </c>
      <c r="P3301" t="s">
        <v>3299</v>
      </c>
      <c r="Q3301" t="s">
        <v>3300</v>
      </c>
      <c r="R3301" t="s">
        <v>11217</v>
      </c>
    </row>
    <row r="3302" spans="1:18" x14ac:dyDescent="0.2">
      <c r="A3302">
        <v>1524096</v>
      </c>
      <c r="B3302" t="s">
        <v>11218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1</v>
      </c>
      <c r="J3302">
        <v>0</v>
      </c>
      <c r="K3302">
        <v>0</v>
      </c>
      <c r="L3302" t="s">
        <v>3284</v>
      </c>
      <c r="M3302" t="s">
        <v>3391</v>
      </c>
      <c r="N3302" t="s">
        <v>3392</v>
      </c>
      <c r="O3302" t="s">
        <v>3393</v>
      </c>
      <c r="P3302" t="s">
        <v>3394</v>
      </c>
      <c r="Q3302" t="s">
        <v>4082</v>
      </c>
      <c r="R3302" t="s">
        <v>11219</v>
      </c>
    </row>
    <row r="3303" spans="1:18" x14ac:dyDescent="0.2">
      <c r="A3303">
        <v>1523503</v>
      </c>
      <c r="B3303" t="s">
        <v>11220</v>
      </c>
      <c r="C3303">
        <v>0</v>
      </c>
      <c r="D3303">
        <v>0</v>
      </c>
      <c r="E3303">
        <v>0</v>
      </c>
      <c r="F3303">
        <v>1</v>
      </c>
      <c r="G3303">
        <v>0</v>
      </c>
      <c r="H3303">
        <v>0</v>
      </c>
      <c r="I3303">
        <v>0</v>
      </c>
      <c r="J3303">
        <v>0</v>
      </c>
      <c r="K3303">
        <v>0</v>
      </c>
      <c r="L3303" t="s">
        <v>3284</v>
      </c>
      <c r="M3303" t="s">
        <v>3296</v>
      </c>
      <c r="N3303" t="s">
        <v>3297</v>
      </c>
      <c r="O3303" t="s">
        <v>3434</v>
      </c>
      <c r="P3303" t="s">
        <v>3435</v>
      </c>
      <c r="Q3303" t="s">
        <v>3436</v>
      </c>
      <c r="R3303" t="s">
        <v>11221</v>
      </c>
    </row>
    <row r="3304" spans="1:18" x14ac:dyDescent="0.2">
      <c r="A3304">
        <v>1523425</v>
      </c>
      <c r="B3304" t="s">
        <v>11222</v>
      </c>
      <c r="C3304">
        <v>1</v>
      </c>
      <c r="D3304">
        <v>0</v>
      </c>
      <c r="E3304">
        <v>0</v>
      </c>
      <c r="F3304">
        <v>0</v>
      </c>
      <c r="G3304">
        <v>1</v>
      </c>
      <c r="H3304">
        <v>0</v>
      </c>
      <c r="I3304">
        <v>0</v>
      </c>
      <c r="J3304">
        <v>0</v>
      </c>
      <c r="K3304">
        <v>0</v>
      </c>
      <c r="L3304" t="s">
        <v>3284</v>
      </c>
      <c r="M3304" t="s">
        <v>3296</v>
      </c>
      <c r="N3304" t="s">
        <v>3343</v>
      </c>
      <c r="O3304" t="s">
        <v>3349</v>
      </c>
      <c r="P3304" t="s">
        <v>3350</v>
      </c>
      <c r="Q3304" t="s">
        <v>3351</v>
      </c>
      <c r="R3304" t="s">
        <v>11223</v>
      </c>
    </row>
    <row r="3305" spans="1:18" x14ac:dyDescent="0.2">
      <c r="A3305">
        <v>1523422</v>
      </c>
      <c r="B3305" t="s">
        <v>11224</v>
      </c>
      <c r="C3305">
        <v>0</v>
      </c>
      <c r="D3305">
        <v>1</v>
      </c>
      <c r="E3305">
        <v>0</v>
      </c>
      <c r="F3305">
        <v>0</v>
      </c>
      <c r="G3305">
        <v>0</v>
      </c>
      <c r="H3305">
        <v>1</v>
      </c>
      <c r="I3305">
        <v>0</v>
      </c>
      <c r="J3305">
        <v>0</v>
      </c>
      <c r="K3305">
        <v>0</v>
      </c>
      <c r="L3305" t="s">
        <v>3284</v>
      </c>
      <c r="M3305" t="s">
        <v>3296</v>
      </c>
      <c r="N3305" t="s">
        <v>3343</v>
      </c>
      <c r="O3305" t="s">
        <v>3402</v>
      </c>
      <c r="P3305" t="s">
        <v>3403</v>
      </c>
      <c r="Q3305" t="s">
        <v>3536</v>
      </c>
      <c r="R3305" t="s">
        <v>11225</v>
      </c>
    </row>
    <row r="3306" spans="1:18" x14ac:dyDescent="0.2">
      <c r="A3306">
        <v>1523420</v>
      </c>
      <c r="B3306" t="s">
        <v>11226</v>
      </c>
      <c r="C3306">
        <v>0</v>
      </c>
      <c r="D3306">
        <v>1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 t="s">
        <v>3284</v>
      </c>
      <c r="M3306" t="s">
        <v>3296</v>
      </c>
      <c r="N3306" t="s">
        <v>3343</v>
      </c>
      <c r="O3306" t="s">
        <v>3344</v>
      </c>
      <c r="P3306" t="s">
        <v>3355</v>
      </c>
      <c r="Q3306" t="s">
        <v>3356</v>
      </c>
      <c r="R3306" t="s">
        <v>11227</v>
      </c>
    </row>
    <row r="3307" spans="1:18" x14ac:dyDescent="0.2">
      <c r="A3307">
        <v>1523417</v>
      </c>
      <c r="B3307" t="s">
        <v>11228</v>
      </c>
      <c r="C3307">
        <v>1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 t="s">
        <v>3284</v>
      </c>
      <c r="M3307" t="s">
        <v>3296</v>
      </c>
      <c r="N3307" t="s">
        <v>3343</v>
      </c>
      <c r="O3307" t="s">
        <v>3344</v>
      </c>
      <c r="P3307" t="s">
        <v>3367</v>
      </c>
      <c r="Q3307" t="s">
        <v>3368</v>
      </c>
      <c r="R3307" t="s">
        <v>11229</v>
      </c>
    </row>
    <row r="3308" spans="1:18" x14ac:dyDescent="0.2">
      <c r="A3308">
        <v>1522315</v>
      </c>
      <c r="B3308" t="s">
        <v>11230</v>
      </c>
      <c r="C3308">
        <v>0</v>
      </c>
      <c r="D3308">
        <v>1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 t="s">
        <v>3284</v>
      </c>
      <c r="M3308" t="s">
        <v>3327</v>
      </c>
      <c r="N3308" t="s">
        <v>3376</v>
      </c>
      <c r="O3308" t="s">
        <v>3377</v>
      </c>
      <c r="P3308" t="s">
        <v>3378</v>
      </c>
      <c r="Q3308" t="s">
        <v>11231</v>
      </c>
      <c r="R3308" t="s">
        <v>11232</v>
      </c>
    </row>
    <row r="3309" spans="1:18" x14ac:dyDescent="0.2">
      <c r="A3309">
        <v>1522175</v>
      </c>
      <c r="B3309" t="s">
        <v>11233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1</v>
      </c>
      <c r="J3309">
        <v>0</v>
      </c>
      <c r="K3309">
        <v>0</v>
      </c>
      <c r="L3309" t="s">
        <v>3284</v>
      </c>
      <c r="M3309" t="s">
        <v>3296</v>
      </c>
      <c r="N3309" t="s">
        <v>3343</v>
      </c>
      <c r="O3309" t="s">
        <v>3344</v>
      </c>
      <c r="P3309" t="s">
        <v>4347</v>
      </c>
      <c r="Q3309" t="s">
        <v>4348</v>
      </c>
      <c r="R3309" t="s">
        <v>11234</v>
      </c>
    </row>
    <row r="3310" spans="1:18" x14ac:dyDescent="0.2">
      <c r="A3310">
        <v>1521768</v>
      </c>
      <c r="B3310" t="s">
        <v>11235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1</v>
      </c>
      <c r="K3310">
        <v>0</v>
      </c>
      <c r="L3310" t="s">
        <v>3284</v>
      </c>
      <c r="M3310" t="s">
        <v>3296</v>
      </c>
      <c r="N3310" t="s">
        <v>3343</v>
      </c>
      <c r="O3310" t="s">
        <v>3344</v>
      </c>
      <c r="P3310" t="s">
        <v>3937</v>
      </c>
      <c r="Q3310" t="s">
        <v>3938</v>
      </c>
      <c r="R3310" t="s">
        <v>11236</v>
      </c>
    </row>
    <row r="3311" spans="1:18" x14ac:dyDescent="0.2">
      <c r="A3311">
        <v>1520802</v>
      </c>
      <c r="B3311" t="s">
        <v>11237</v>
      </c>
      <c r="C3311">
        <v>0</v>
      </c>
      <c r="D3311">
        <v>1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 t="s">
        <v>3284</v>
      </c>
      <c r="M3311" t="s">
        <v>3327</v>
      </c>
      <c r="N3311" t="s">
        <v>3328</v>
      </c>
      <c r="O3311" t="s">
        <v>4017</v>
      </c>
      <c r="P3311" t="s">
        <v>4018</v>
      </c>
      <c r="Q3311" t="s">
        <v>11238</v>
      </c>
      <c r="R3311" t="s">
        <v>11239</v>
      </c>
    </row>
    <row r="3312" spans="1:18" x14ac:dyDescent="0.2">
      <c r="A3312">
        <v>1520277</v>
      </c>
      <c r="B3312" t="s">
        <v>11240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1</v>
      </c>
      <c r="J3312">
        <v>0</v>
      </c>
      <c r="K3312">
        <v>0</v>
      </c>
      <c r="L3312" t="s">
        <v>3284</v>
      </c>
      <c r="M3312" t="s">
        <v>3296</v>
      </c>
      <c r="N3312" t="s">
        <v>3343</v>
      </c>
      <c r="O3312" t="s">
        <v>3344</v>
      </c>
      <c r="P3312" t="s">
        <v>3898</v>
      </c>
      <c r="Q3312" t="s">
        <v>7687</v>
      </c>
      <c r="R3312" t="s">
        <v>11241</v>
      </c>
    </row>
    <row r="3313" spans="1:18" x14ac:dyDescent="0.2">
      <c r="A3313">
        <v>1519205</v>
      </c>
      <c r="B3313" t="s">
        <v>11242</v>
      </c>
      <c r="C3313">
        <v>0</v>
      </c>
      <c r="D3313">
        <v>1</v>
      </c>
      <c r="E3313">
        <v>1</v>
      </c>
      <c r="F3313">
        <v>0</v>
      </c>
      <c r="G3313">
        <v>1</v>
      </c>
      <c r="H3313">
        <v>1</v>
      </c>
      <c r="I3313">
        <v>0</v>
      </c>
      <c r="J3313">
        <v>0</v>
      </c>
      <c r="K3313">
        <v>3</v>
      </c>
      <c r="L3313" t="s">
        <v>3284</v>
      </c>
      <c r="M3313" t="s">
        <v>3296</v>
      </c>
      <c r="N3313" t="s">
        <v>3297</v>
      </c>
      <c r="O3313" t="s">
        <v>4112</v>
      </c>
      <c r="P3313" t="s">
        <v>4113</v>
      </c>
      <c r="Q3313" t="s">
        <v>4114</v>
      </c>
      <c r="R3313" t="s">
        <v>11243</v>
      </c>
    </row>
    <row r="3314" spans="1:18" x14ac:dyDescent="0.2">
      <c r="A3314">
        <v>1517760</v>
      </c>
      <c r="B3314" t="s">
        <v>11244</v>
      </c>
      <c r="C3314">
        <v>2</v>
      </c>
      <c r="D3314">
        <v>0</v>
      </c>
      <c r="E3314">
        <v>0</v>
      </c>
      <c r="F3314">
        <v>1</v>
      </c>
      <c r="G3314">
        <v>0</v>
      </c>
      <c r="H3314">
        <v>0</v>
      </c>
      <c r="I3314">
        <v>0</v>
      </c>
      <c r="J3314">
        <v>0</v>
      </c>
      <c r="K3314">
        <v>0</v>
      </c>
      <c r="L3314" t="s">
        <v>3284</v>
      </c>
      <c r="M3314" t="s">
        <v>3391</v>
      </c>
      <c r="N3314" t="s">
        <v>3392</v>
      </c>
      <c r="O3314" t="s">
        <v>3393</v>
      </c>
      <c r="P3314" t="s">
        <v>3394</v>
      </c>
      <c r="Q3314" t="s">
        <v>4082</v>
      </c>
      <c r="R3314" t="s">
        <v>11245</v>
      </c>
    </row>
    <row r="3315" spans="1:18" x14ac:dyDescent="0.2">
      <c r="A3315">
        <v>1515439</v>
      </c>
      <c r="B3315" t="s">
        <v>11246</v>
      </c>
      <c r="C3315">
        <v>0</v>
      </c>
      <c r="D3315">
        <v>1</v>
      </c>
      <c r="E3315">
        <v>1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 t="s">
        <v>3284</v>
      </c>
      <c r="M3315" t="s">
        <v>3296</v>
      </c>
      <c r="N3315" t="s">
        <v>3321</v>
      </c>
      <c r="O3315" t="s">
        <v>3322</v>
      </c>
      <c r="P3315" t="s">
        <v>3423</v>
      </c>
      <c r="Q3315" t="s">
        <v>4357</v>
      </c>
      <c r="R3315" t="s">
        <v>11247</v>
      </c>
    </row>
    <row r="3316" spans="1:18" x14ac:dyDescent="0.2">
      <c r="A3316">
        <v>1514074</v>
      </c>
      <c r="B3316" t="s">
        <v>11248</v>
      </c>
      <c r="C3316">
        <v>0</v>
      </c>
      <c r="D3316">
        <v>0</v>
      </c>
      <c r="E3316">
        <v>0</v>
      </c>
      <c r="F3316">
        <v>0</v>
      </c>
      <c r="G3316">
        <v>1</v>
      </c>
      <c r="H3316">
        <v>0</v>
      </c>
      <c r="I3316">
        <v>0</v>
      </c>
      <c r="J3316">
        <v>0</v>
      </c>
      <c r="K3316">
        <v>0</v>
      </c>
      <c r="L3316" t="s">
        <v>3284</v>
      </c>
      <c r="M3316" t="s">
        <v>3296</v>
      </c>
      <c r="N3316" t="s">
        <v>3297</v>
      </c>
      <c r="O3316" t="s">
        <v>4556</v>
      </c>
      <c r="P3316" t="s">
        <v>11249</v>
      </c>
      <c r="Q3316" t="s">
        <v>11250</v>
      </c>
      <c r="R3316" t="s">
        <v>11251</v>
      </c>
    </row>
    <row r="3317" spans="1:18" x14ac:dyDescent="0.2">
      <c r="A3317">
        <v>1513896</v>
      </c>
      <c r="B3317" t="s">
        <v>11252</v>
      </c>
      <c r="C3317">
        <v>3</v>
      </c>
      <c r="D3317">
        <v>0</v>
      </c>
      <c r="E3317">
        <v>5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 t="s">
        <v>3284</v>
      </c>
      <c r="M3317" t="s">
        <v>3391</v>
      </c>
      <c r="N3317" t="s">
        <v>3392</v>
      </c>
      <c r="O3317" t="s">
        <v>3393</v>
      </c>
      <c r="P3317" t="s">
        <v>3394</v>
      </c>
      <c r="Q3317" t="s">
        <v>4351</v>
      </c>
      <c r="R3317" t="s">
        <v>11253</v>
      </c>
    </row>
    <row r="3318" spans="1:18" x14ac:dyDescent="0.2">
      <c r="A3318">
        <v>1510531</v>
      </c>
      <c r="B3318" t="s">
        <v>11254</v>
      </c>
      <c r="C3318">
        <v>0</v>
      </c>
      <c r="D3318">
        <v>0</v>
      </c>
      <c r="E3318">
        <v>0</v>
      </c>
      <c r="F3318">
        <v>1</v>
      </c>
      <c r="G3318">
        <v>2</v>
      </c>
      <c r="H3318">
        <v>0</v>
      </c>
      <c r="I3318">
        <v>1</v>
      </c>
      <c r="J3318">
        <v>1</v>
      </c>
      <c r="K3318">
        <v>0</v>
      </c>
      <c r="L3318" t="s">
        <v>3284</v>
      </c>
      <c r="M3318" t="s">
        <v>3296</v>
      </c>
      <c r="N3318" t="s">
        <v>3343</v>
      </c>
      <c r="O3318" t="s">
        <v>3344</v>
      </c>
      <c r="P3318" t="s">
        <v>3367</v>
      </c>
      <c r="Q3318" t="s">
        <v>3368</v>
      </c>
      <c r="R3318" t="s">
        <v>11255</v>
      </c>
    </row>
    <row r="3319" spans="1:18" x14ac:dyDescent="0.2">
      <c r="A3319">
        <v>1510468</v>
      </c>
      <c r="B3319" t="s">
        <v>11256</v>
      </c>
      <c r="C3319">
        <v>0</v>
      </c>
      <c r="D3319">
        <v>0</v>
      </c>
      <c r="E3319">
        <v>3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 t="s">
        <v>3284</v>
      </c>
      <c r="M3319" t="s">
        <v>3327</v>
      </c>
      <c r="N3319" t="s">
        <v>3376</v>
      </c>
      <c r="O3319" t="s">
        <v>3377</v>
      </c>
      <c r="P3319" t="s">
        <v>3378</v>
      </c>
      <c r="Q3319" t="s">
        <v>3379</v>
      </c>
      <c r="R3319" t="s">
        <v>11257</v>
      </c>
    </row>
    <row r="3320" spans="1:18" x14ac:dyDescent="0.2">
      <c r="A3320">
        <v>1510457</v>
      </c>
      <c r="B3320" t="s">
        <v>11258</v>
      </c>
      <c r="C3320">
        <v>0</v>
      </c>
      <c r="D3320">
        <v>0</v>
      </c>
      <c r="E3320">
        <v>1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 t="s">
        <v>3284</v>
      </c>
      <c r="M3320" t="s">
        <v>3296</v>
      </c>
      <c r="N3320" t="s">
        <v>3343</v>
      </c>
      <c r="O3320" t="s">
        <v>3371</v>
      </c>
      <c r="P3320" t="s">
        <v>3372</v>
      </c>
      <c r="Q3320" t="s">
        <v>11259</v>
      </c>
      <c r="R3320" t="s">
        <v>11260</v>
      </c>
    </row>
    <row r="3321" spans="1:18" x14ac:dyDescent="0.2">
      <c r="A3321">
        <v>1510276</v>
      </c>
      <c r="B3321" t="s">
        <v>11261</v>
      </c>
      <c r="C3321">
        <v>1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 t="s">
        <v>3284</v>
      </c>
      <c r="M3321" t="s">
        <v>3296</v>
      </c>
      <c r="N3321" t="s">
        <v>3343</v>
      </c>
      <c r="O3321" t="s">
        <v>3349</v>
      </c>
      <c r="P3321" t="s">
        <v>3350</v>
      </c>
      <c r="Q3321" t="s">
        <v>11136</v>
      </c>
      <c r="R3321" t="s">
        <v>11262</v>
      </c>
    </row>
    <row r="3322" spans="1:18" x14ac:dyDescent="0.2">
      <c r="A3322">
        <v>1510197</v>
      </c>
      <c r="B3322" t="s">
        <v>11263</v>
      </c>
      <c r="C3322">
        <v>0</v>
      </c>
      <c r="D3322">
        <v>0</v>
      </c>
      <c r="E3322">
        <v>0</v>
      </c>
      <c r="F3322">
        <v>0</v>
      </c>
      <c r="G3322">
        <v>1</v>
      </c>
      <c r="H3322">
        <v>0</v>
      </c>
      <c r="I3322">
        <v>0</v>
      </c>
      <c r="J3322">
        <v>0</v>
      </c>
      <c r="K3322">
        <v>0</v>
      </c>
      <c r="L3322" t="s">
        <v>3284</v>
      </c>
      <c r="M3322" t="s">
        <v>3307</v>
      </c>
      <c r="N3322" t="s">
        <v>3308</v>
      </c>
      <c r="O3322" t="s">
        <v>3446</v>
      </c>
      <c r="P3322" t="s">
        <v>3447</v>
      </c>
      <c r="Q3322" t="s">
        <v>3448</v>
      </c>
      <c r="R3322" t="s">
        <v>11264</v>
      </c>
    </row>
    <row r="3323" spans="1:18" x14ac:dyDescent="0.2">
      <c r="A3323">
        <v>1510150</v>
      </c>
      <c r="B3323" t="s">
        <v>11265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1</v>
      </c>
      <c r="K3323">
        <v>0</v>
      </c>
      <c r="L3323" t="s">
        <v>3284</v>
      </c>
      <c r="M3323" t="s">
        <v>3296</v>
      </c>
      <c r="N3323" t="s">
        <v>3297</v>
      </c>
      <c r="O3323" t="s">
        <v>3434</v>
      </c>
      <c r="P3323" t="s">
        <v>3435</v>
      </c>
      <c r="Q3323" t="s">
        <v>7215</v>
      </c>
      <c r="R3323" t="s">
        <v>11266</v>
      </c>
    </row>
    <row r="3324" spans="1:18" x14ac:dyDescent="0.2">
      <c r="A3324">
        <v>1509483</v>
      </c>
      <c r="B3324" t="s">
        <v>11267</v>
      </c>
      <c r="C3324">
        <v>0</v>
      </c>
      <c r="D3324">
        <v>1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1</v>
      </c>
      <c r="K3324">
        <v>0</v>
      </c>
      <c r="L3324" t="s">
        <v>3284</v>
      </c>
      <c r="M3324" t="s">
        <v>3391</v>
      </c>
      <c r="N3324" t="s">
        <v>3740</v>
      </c>
      <c r="O3324" t="s">
        <v>3741</v>
      </c>
      <c r="P3324" t="s">
        <v>5300</v>
      </c>
      <c r="Q3324" t="s">
        <v>5301</v>
      </c>
      <c r="R3324" t="s">
        <v>11268</v>
      </c>
    </row>
    <row r="3325" spans="1:18" x14ac:dyDescent="0.2">
      <c r="A3325">
        <v>1509237</v>
      </c>
      <c r="B3325" t="s">
        <v>11269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1</v>
      </c>
      <c r="J3325">
        <v>0</v>
      </c>
      <c r="K3325">
        <v>0</v>
      </c>
      <c r="L3325" t="s">
        <v>3284</v>
      </c>
      <c r="M3325" t="s">
        <v>3296</v>
      </c>
      <c r="N3325" t="s">
        <v>3343</v>
      </c>
      <c r="O3325" t="s">
        <v>3429</v>
      </c>
      <c r="P3325" t="s">
        <v>4336</v>
      </c>
      <c r="Q3325" t="s">
        <v>7592</v>
      </c>
      <c r="R3325" t="s">
        <v>11270</v>
      </c>
    </row>
    <row r="3326" spans="1:18" x14ac:dyDescent="0.2">
      <c r="A3326">
        <v>1507448</v>
      </c>
      <c r="B3326" t="s">
        <v>11271</v>
      </c>
      <c r="C3326">
        <v>0</v>
      </c>
      <c r="D3326">
        <v>0</v>
      </c>
      <c r="E3326">
        <v>0</v>
      </c>
      <c r="F3326">
        <v>1</v>
      </c>
      <c r="G3326">
        <v>1</v>
      </c>
      <c r="H3326">
        <v>0</v>
      </c>
      <c r="I3326">
        <v>1</v>
      </c>
      <c r="J3326">
        <v>0</v>
      </c>
      <c r="K3326">
        <v>0</v>
      </c>
      <c r="L3326" t="s">
        <v>3284</v>
      </c>
      <c r="M3326" t="s">
        <v>3296</v>
      </c>
      <c r="N3326" t="s">
        <v>3343</v>
      </c>
      <c r="O3326" t="s">
        <v>3349</v>
      </c>
      <c r="P3326" t="s">
        <v>3350</v>
      </c>
      <c r="Q3326" t="s">
        <v>3351</v>
      </c>
      <c r="R3326" t="s">
        <v>11272</v>
      </c>
    </row>
    <row r="3327" spans="1:18" x14ac:dyDescent="0.2">
      <c r="A3327">
        <v>1506583</v>
      </c>
      <c r="B3327" t="s">
        <v>11273</v>
      </c>
      <c r="C3327">
        <v>0</v>
      </c>
      <c r="D3327">
        <v>0</v>
      </c>
      <c r="E3327">
        <v>0</v>
      </c>
      <c r="F3327">
        <v>1</v>
      </c>
      <c r="G3327">
        <v>0</v>
      </c>
      <c r="H3327">
        <v>0</v>
      </c>
      <c r="I3327">
        <v>0</v>
      </c>
      <c r="J3327">
        <v>0</v>
      </c>
      <c r="K3327">
        <v>0</v>
      </c>
      <c r="L3327" t="s">
        <v>3284</v>
      </c>
      <c r="M3327" t="s">
        <v>3391</v>
      </c>
      <c r="N3327" t="s">
        <v>3411</v>
      </c>
      <c r="O3327" t="s">
        <v>3412</v>
      </c>
      <c r="P3327" t="s">
        <v>3413</v>
      </c>
      <c r="Q3327" t="s">
        <v>3414</v>
      </c>
      <c r="R3327" t="s">
        <v>11274</v>
      </c>
    </row>
    <row r="3328" spans="1:18" x14ac:dyDescent="0.2">
      <c r="A3328">
        <v>1505757</v>
      </c>
      <c r="B3328" t="s">
        <v>11275</v>
      </c>
      <c r="C3328">
        <v>0</v>
      </c>
      <c r="D3328">
        <v>0</v>
      </c>
      <c r="E3328">
        <v>1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 t="s">
        <v>3284</v>
      </c>
      <c r="M3328" t="s">
        <v>3296</v>
      </c>
      <c r="N3328" t="s">
        <v>3297</v>
      </c>
      <c r="O3328" t="s">
        <v>3298</v>
      </c>
      <c r="P3328" t="s">
        <v>3826</v>
      </c>
      <c r="Q3328" t="s">
        <v>11276</v>
      </c>
      <c r="R3328" t="s">
        <v>11277</v>
      </c>
    </row>
    <row r="3329" spans="1:18" x14ac:dyDescent="0.2">
      <c r="A3329">
        <v>1505588</v>
      </c>
      <c r="B3329" t="s">
        <v>11278</v>
      </c>
      <c r="C3329">
        <v>0</v>
      </c>
      <c r="D3329">
        <v>0</v>
      </c>
      <c r="E3329">
        <v>1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 t="s">
        <v>3284</v>
      </c>
      <c r="M3329" t="s">
        <v>3296</v>
      </c>
      <c r="N3329" t="s">
        <v>3297</v>
      </c>
      <c r="O3329" t="s">
        <v>3298</v>
      </c>
      <c r="P3329" t="s">
        <v>6582</v>
      </c>
      <c r="Q3329" t="s">
        <v>11279</v>
      </c>
      <c r="R3329" t="s">
        <v>11280</v>
      </c>
    </row>
    <row r="3330" spans="1:18" x14ac:dyDescent="0.2">
      <c r="A3330">
        <v>1503054</v>
      </c>
      <c r="B3330" t="s">
        <v>11281</v>
      </c>
      <c r="C3330">
        <v>0</v>
      </c>
      <c r="D3330">
        <v>2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 t="s">
        <v>3284</v>
      </c>
      <c r="M3330" t="s">
        <v>3296</v>
      </c>
      <c r="N3330" t="s">
        <v>3321</v>
      </c>
      <c r="O3330" t="s">
        <v>3322</v>
      </c>
      <c r="P3330" t="s">
        <v>3423</v>
      </c>
      <c r="Q3330" t="s">
        <v>4170</v>
      </c>
      <c r="R3330" t="s">
        <v>11282</v>
      </c>
    </row>
    <row r="3331" spans="1:18" x14ac:dyDescent="0.2">
      <c r="A3331">
        <v>1502999</v>
      </c>
      <c r="B3331" t="s">
        <v>11283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4</v>
      </c>
      <c r="J3331">
        <v>0</v>
      </c>
      <c r="K3331">
        <v>1</v>
      </c>
      <c r="L3331" t="s">
        <v>3284</v>
      </c>
      <c r="M3331" t="s">
        <v>3327</v>
      </c>
      <c r="N3331" t="s">
        <v>3376</v>
      </c>
      <c r="O3331" t="s">
        <v>3377</v>
      </c>
      <c r="P3331" t="s">
        <v>3378</v>
      </c>
      <c r="Q3331" t="s">
        <v>3379</v>
      </c>
      <c r="R3331" t="s">
        <v>11284</v>
      </c>
    </row>
    <row r="3332" spans="1:18" x14ac:dyDescent="0.2">
      <c r="A3332">
        <v>1502775</v>
      </c>
      <c r="B3332" t="s">
        <v>11285</v>
      </c>
      <c r="C3332">
        <v>0</v>
      </c>
      <c r="D3332">
        <v>0</v>
      </c>
      <c r="E3332">
        <v>0</v>
      </c>
      <c r="F3332">
        <v>0</v>
      </c>
      <c r="G3332">
        <v>2</v>
      </c>
      <c r="H3332">
        <v>0</v>
      </c>
      <c r="I3332">
        <v>0</v>
      </c>
      <c r="J3332">
        <v>0</v>
      </c>
      <c r="K3332">
        <v>0</v>
      </c>
      <c r="L3332" t="s">
        <v>3284</v>
      </c>
      <c r="M3332" t="s">
        <v>3296</v>
      </c>
      <c r="N3332" t="s">
        <v>3343</v>
      </c>
      <c r="O3332" t="s">
        <v>3402</v>
      </c>
      <c r="P3332" t="s">
        <v>3403</v>
      </c>
      <c r="Q3332" t="s">
        <v>3404</v>
      </c>
      <c r="R3332" t="s">
        <v>11286</v>
      </c>
    </row>
    <row r="3333" spans="1:18" x14ac:dyDescent="0.2">
      <c r="A3333">
        <v>1502773</v>
      </c>
      <c r="B3333" t="s">
        <v>11287</v>
      </c>
      <c r="C3333">
        <v>0</v>
      </c>
      <c r="D3333">
        <v>0</v>
      </c>
      <c r="E3333">
        <v>0</v>
      </c>
      <c r="F3333">
        <v>1</v>
      </c>
      <c r="G3333">
        <v>0</v>
      </c>
      <c r="H3333">
        <v>0</v>
      </c>
      <c r="I3333">
        <v>0</v>
      </c>
      <c r="J3333">
        <v>0</v>
      </c>
      <c r="K3333">
        <v>0</v>
      </c>
      <c r="L3333" t="s">
        <v>3284</v>
      </c>
      <c r="M3333" t="s">
        <v>3307</v>
      </c>
      <c r="N3333" t="s">
        <v>3308</v>
      </c>
      <c r="O3333" t="s">
        <v>3359</v>
      </c>
      <c r="P3333" t="s">
        <v>3360</v>
      </c>
      <c r="Q3333" t="s">
        <v>3528</v>
      </c>
      <c r="R3333" t="s">
        <v>11288</v>
      </c>
    </row>
    <row r="3334" spans="1:18" x14ac:dyDescent="0.2">
      <c r="A3334">
        <v>1502770</v>
      </c>
      <c r="B3334" t="s">
        <v>11289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1</v>
      </c>
      <c r="L3334" t="s">
        <v>3284</v>
      </c>
      <c r="M3334" t="s">
        <v>3296</v>
      </c>
      <c r="N3334" t="s">
        <v>3321</v>
      </c>
      <c r="O3334" t="s">
        <v>5469</v>
      </c>
      <c r="P3334" t="s">
        <v>6828</v>
      </c>
      <c r="Q3334" t="s">
        <v>11290</v>
      </c>
      <c r="R3334" t="s">
        <v>11291</v>
      </c>
    </row>
    <row r="3335" spans="1:18" x14ac:dyDescent="0.2">
      <c r="A3335">
        <v>1501145</v>
      </c>
      <c r="B3335" t="s">
        <v>11292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1</v>
      </c>
      <c r="J3335">
        <v>0</v>
      </c>
      <c r="K3335">
        <v>0</v>
      </c>
      <c r="L3335" t="s">
        <v>3284</v>
      </c>
      <c r="M3335" t="s">
        <v>4022</v>
      </c>
      <c r="N3335" t="s">
        <v>4023</v>
      </c>
      <c r="O3335" t="s">
        <v>5900</v>
      </c>
      <c r="P3335" t="s">
        <v>11293</v>
      </c>
      <c r="Q3335" t="s">
        <v>11294</v>
      </c>
      <c r="R3335" t="s">
        <v>11295</v>
      </c>
    </row>
    <row r="3336" spans="1:18" x14ac:dyDescent="0.2">
      <c r="A3336">
        <v>1500293</v>
      </c>
      <c r="B3336" t="s">
        <v>11296</v>
      </c>
      <c r="C3336">
        <v>1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 t="s">
        <v>3284</v>
      </c>
      <c r="M3336" t="s">
        <v>3391</v>
      </c>
      <c r="N3336" t="s">
        <v>3411</v>
      </c>
      <c r="O3336" t="s">
        <v>3412</v>
      </c>
      <c r="P3336" t="s">
        <v>3564</v>
      </c>
      <c r="Q3336" t="s">
        <v>3803</v>
      </c>
      <c r="R3336" t="s">
        <v>11297</v>
      </c>
    </row>
    <row r="3337" spans="1:18" x14ac:dyDescent="0.2">
      <c r="A3337">
        <v>1499689</v>
      </c>
      <c r="B3337" t="s">
        <v>11298</v>
      </c>
      <c r="C3337">
        <v>5</v>
      </c>
      <c r="D3337">
        <v>5</v>
      </c>
      <c r="E3337">
        <v>5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 t="s">
        <v>3284</v>
      </c>
      <c r="M3337" t="s">
        <v>3327</v>
      </c>
      <c r="N3337" t="s">
        <v>3328</v>
      </c>
      <c r="O3337" t="s">
        <v>3329</v>
      </c>
      <c r="P3337" t="s">
        <v>3330</v>
      </c>
      <c r="Q3337" t="s">
        <v>3331</v>
      </c>
      <c r="R3337" t="s">
        <v>11299</v>
      </c>
    </row>
    <row r="3338" spans="1:18" x14ac:dyDescent="0.2">
      <c r="A3338">
        <v>1499683</v>
      </c>
      <c r="B3338" t="s">
        <v>11300</v>
      </c>
      <c r="C3338">
        <v>10</v>
      </c>
      <c r="D3338">
        <v>7</v>
      </c>
      <c r="E3338">
        <v>3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 t="s">
        <v>3284</v>
      </c>
      <c r="M3338" t="s">
        <v>3327</v>
      </c>
      <c r="N3338" t="s">
        <v>3328</v>
      </c>
      <c r="O3338" t="s">
        <v>3329</v>
      </c>
      <c r="P3338" t="s">
        <v>3330</v>
      </c>
      <c r="Q3338" t="s">
        <v>3331</v>
      </c>
      <c r="R3338" t="s">
        <v>11301</v>
      </c>
    </row>
    <row r="3339" spans="1:18" x14ac:dyDescent="0.2">
      <c r="A3339">
        <v>1495854</v>
      </c>
      <c r="B3339" t="s">
        <v>11302</v>
      </c>
      <c r="C3339">
        <v>0</v>
      </c>
      <c r="D3339">
        <v>0</v>
      </c>
      <c r="E3339">
        <v>0</v>
      </c>
      <c r="F3339">
        <v>1</v>
      </c>
      <c r="G3339">
        <v>0</v>
      </c>
      <c r="H3339">
        <v>1</v>
      </c>
      <c r="I3339">
        <v>0</v>
      </c>
      <c r="J3339">
        <v>0</v>
      </c>
      <c r="K3339">
        <v>0</v>
      </c>
      <c r="L3339" t="s">
        <v>3284</v>
      </c>
      <c r="M3339" t="s">
        <v>3296</v>
      </c>
      <c r="N3339" t="s">
        <v>3343</v>
      </c>
      <c r="O3339" t="s">
        <v>3402</v>
      </c>
      <c r="P3339" t="s">
        <v>3403</v>
      </c>
      <c r="Q3339" t="s">
        <v>3536</v>
      </c>
      <c r="R3339" t="s">
        <v>11303</v>
      </c>
    </row>
    <row r="3340" spans="1:18" x14ac:dyDescent="0.2">
      <c r="A3340">
        <v>1494448</v>
      </c>
      <c r="B3340" t="s">
        <v>11304</v>
      </c>
      <c r="C3340">
        <v>0</v>
      </c>
      <c r="D3340">
        <v>0</v>
      </c>
      <c r="E3340">
        <v>0</v>
      </c>
      <c r="F3340">
        <v>1</v>
      </c>
      <c r="G3340">
        <v>0</v>
      </c>
      <c r="H3340">
        <v>0</v>
      </c>
      <c r="I3340">
        <v>0</v>
      </c>
      <c r="J3340">
        <v>0</v>
      </c>
      <c r="K3340">
        <v>0</v>
      </c>
      <c r="L3340" t="s">
        <v>3284</v>
      </c>
      <c r="M3340" t="s">
        <v>3296</v>
      </c>
      <c r="N3340" t="s">
        <v>3343</v>
      </c>
      <c r="O3340" t="s">
        <v>3344</v>
      </c>
      <c r="P3340" t="s">
        <v>11305</v>
      </c>
      <c r="Q3340" t="s">
        <v>11306</v>
      </c>
      <c r="R3340" t="s">
        <v>11307</v>
      </c>
    </row>
    <row r="3341" spans="1:18" x14ac:dyDescent="0.2">
      <c r="A3341">
        <v>1492737</v>
      </c>
      <c r="B3341" t="s">
        <v>11308</v>
      </c>
      <c r="C3341">
        <v>1</v>
      </c>
      <c r="D3341">
        <v>0</v>
      </c>
      <c r="E3341">
        <v>0</v>
      </c>
      <c r="F3341">
        <v>0</v>
      </c>
      <c r="G3341">
        <v>1</v>
      </c>
      <c r="H3341">
        <v>0</v>
      </c>
      <c r="I3341">
        <v>0</v>
      </c>
      <c r="J3341">
        <v>0</v>
      </c>
      <c r="K3341">
        <v>0</v>
      </c>
      <c r="L3341" t="s">
        <v>3284</v>
      </c>
      <c r="M3341" t="s">
        <v>3391</v>
      </c>
      <c r="N3341" t="s">
        <v>3411</v>
      </c>
      <c r="O3341" t="s">
        <v>3412</v>
      </c>
      <c r="P3341" t="s">
        <v>3413</v>
      </c>
      <c r="Q3341" t="s">
        <v>3414</v>
      </c>
      <c r="R3341" t="s">
        <v>11309</v>
      </c>
    </row>
    <row r="3342" spans="1:18" x14ac:dyDescent="0.2">
      <c r="A3342">
        <v>1490290</v>
      </c>
      <c r="B3342" t="s">
        <v>11310</v>
      </c>
      <c r="C3342">
        <v>0</v>
      </c>
      <c r="D3342">
        <v>2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 t="s">
        <v>3284</v>
      </c>
      <c r="M3342" t="s">
        <v>3327</v>
      </c>
      <c r="N3342" t="s">
        <v>3376</v>
      </c>
      <c r="O3342" t="s">
        <v>3377</v>
      </c>
      <c r="P3342" t="s">
        <v>11311</v>
      </c>
      <c r="Q3342" t="s">
        <v>11312</v>
      </c>
      <c r="R3342" t="s">
        <v>11313</v>
      </c>
    </row>
    <row r="3343" spans="1:18" x14ac:dyDescent="0.2">
      <c r="A3343">
        <v>1490041</v>
      </c>
      <c r="B3343" t="s">
        <v>11314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1</v>
      </c>
      <c r="K3343">
        <v>0</v>
      </c>
      <c r="L3343" t="s">
        <v>3284</v>
      </c>
      <c r="M3343" t="s">
        <v>3296</v>
      </c>
      <c r="N3343" t="s">
        <v>3343</v>
      </c>
      <c r="O3343" t="s">
        <v>3349</v>
      </c>
      <c r="P3343" t="s">
        <v>3350</v>
      </c>
      <c r="Q3343" t="s">
        <v>8349</v>
      </c>
      <c r="R3343" t="s">
        <v>11315</v>
      </c>
    </row>
    <row r="3344" spans="1:18" x14ac:dyDescent="0.2">
      <c r="A3344">
        <v>1488331</v>
      </c>
      <c r="B3344" t="s">
        <v>11316</v>
      </c>
      <c r="C3344">
        <v>1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 t="s">
        <v>3284</v>
      </c>
      <c r="M3344" t="s">
        <v>3327</v>
      </c>
      <c r="N3344" t="s">
        <v>3328</v>
      </c>
      <c r="O3344" t="s">
        <v>3329</v>
      </c>
      <c r="P3344" t="s">
        <v>11317</v>
      </c>
      <c r="Q3344" t="s">
        <v>11318</v>
      </c>
      <c r="R3344" t="s">
        <v>11319</v>
      </c>
    </row>
    <row r="3345" spans="1:18" x14ac:dyDescent="0.2">
      <c r="A3345">
        <v>1487935</v>
      </c>
      <c r="B3345" t="s">
        <v>11320</v>
      </c>
      <c r="C3345">
        <v>0</v>
      </c>
      <c r="D3345">
        <v>0</v>
      </c>
      <c r="E3345">
        <v>0</v>
      </c>
      <c r="F3345">
        <v>1</v>
      </c>
      <c r="G3345">
        <v>0</v>
      </c>
      <c r="H3345">
        <v>0</v>
      </c>
      <c r="I3345">
        <v>0</v>
      </c>
      <c r="J3345">
        <v>0</v>
      </c>
      <c r="K3345">
        <v>0</v>
      </c>
      <c r="L3345" t="s">
        <v>3284</v>
      </c>
      <c r="M3345" t="s">
        <v>3296</v>
      </c>
      <c r="N3345" t="s">
        <v>3297</v>
      </c>
      <c r="O3345" t="s">
        <v>3298</v>
      </c>
      <c r="P3345" t="s">
        <v>11321</v>
      </c>
      <c r="Q3345" t="s">
        <v>11322</v>
      </c>
      <c r="R3345" t="s">
        <v>11323</v>
      </c>
    </row>
    <row r="3346" spans="1:18" x14ac:dyDescent="0.2">
      <c r="A3346">
        <v>1487921</v>
      </c>
      <c r="B3346" t="s">
        <v>11324</v>
      </c>
      <c r="C3346">
        <v>3</v>
      </c>
      <c r="D3346">
        <v>4</v>
      </c>
      <c r="E3346">
        <v>5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 t="s">
        <v>3284</v>
      </c>
      <c r="M3346" t="s">
        <v>3327</v>
      </c>
      <c r="N3346" t="s">
        <v>3328</v>
      </c>
      <c r="O3346" t="s">
        <v>3329</v>
      </c>
      <c r="P3346" t="s">
        <v>3330</v>
      </c>
      <c r="Q3346" t="s">
        <v>3331</v>
      </c>
      <c r="R3346" t="s">
        <v>11325</v>
      </c>
    </row>
    <row r="3347" spans="1:18" x14ac:dyDescent="0.2">
      <c r="A3347">
        <v>1485952</v>
      </c>
      <c r="B3347" t="s">
        <v>11326</v>
      </c>
      <c r="C3347">
        <v>0</v>
      </c>
      <c r="D3347">
        <v>0</v>
      </c>
      <c r="E3347">
        <v>0</v>
      </c>
      <c r="F3347">
        <v>2</v>
      </c>
      <c r="G3347">
        <v>1</v>
      </c>
      <c r="H3347">
        <v>0</v>
      </c>
      <c r="I3347">
        <v>0</v>
      </c>
      <c r="J3347">
        <v>0</v>
      </c>
      <c r="K3347">
        <v>0</v>
      </c>
      <c r="L3347" t="s">
        <v>3284</v>
      </c>
      <c r="M3347" t="s">
        <v>3296</v>
      </c>
      <c r="N3347" t="s">
        <v>3297</v>
      </c>
      <c r="O3347" t="s">
        <v>3298</v>
      </c>
      <c r="P3347" t="s">
        <v>3826</v>
      </c>
      <c r="Q3347" t="s">
        <v>3827</v>
      </c>
      <c r="R3347" t="s">
        <v>11327</v>
      </c>
    </row>
    <row r="3348" spans="1:18" x14ac:dyDescent="0.2">
      <c r="A3348">
        <v>1485588</v>
      </c>
      <c r="B3348" t="s">
        <v>11328</v>
      </c>
      <c r="C3348">
        <v>1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1</v>
      </c>
      <c r="L3348" t="s">
        <v>3284</v>
      </c>
      <c r="M3348" t="s">
        <v>3296</v>
      </c>
      <c r="N3348" t="s">
        <v>3343</v>
      </c>
      <c r="O3348" t="s">
        <v>3429</v>
      </c>
      <c r="P3348" t="s">
        <v>3430</v>
      </c>
      <c r="Q3348" t="s">
        <v>11329</v>
      </c>
      <c r="R3348" t="s">
        <v>11330</v>
      </c>
    </row>
    <row r="3349" spans="1:18" x14ac:dyDescent="0.2">
      <c r="A3349">
        <v>1485544</v>
      </c>
      <c r="B3349" t="s">
        <v>11331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1</v>
      </c>
      <c r="K3349">
        <v>0</v>
      </c>
      <c r="L3349" t="s">
        <v>3284</v>
      </c>
      <c r="M3349" t="s">
        <v>3296</v>
      </c>
      <c r="N3349" t="s">
        <v>3321</v>
      </c>
      <c r="O3349" t="s">
        <v>5469</v>
      </c>
      <c r="P3349" t="s">
        <v>6027</v>
      </c>
      <c r="Q3349" t="s">
        <v>11332</v>
      </c>
      <c r="R3349" t="s">
        <v>11333</v>
      </c>
    </row>
    <row r="3350" spans="1:18" x14ac:dyDescent="0.2">
      <c r="A3350">
        <v>1484693</v>
      </c>
      <c r="B3350" t="s">
        <v>11334</v>
      </c>
      <c r="C3350">
        <v>0</v>
      </c>
      <c r="D3350">
        <v>3</v>
      </c>
      <c r="E3350">
        <v>0</v>
      </c>
      <c r="F3350">
        <v>1</v>
      </c>
      <c r="G3350">
        <v>0</v>
      </c>
      <c r="H3350">
        <v>0</v>
      </c>
      <c r="I3350">
        <v>8</v>
      </c>
      <c r="J3350">
        <v>5</v>
      </c>
      <c r="K3350">
        <v>1</v>
      </c>
      <c r="L3350" t="s">
        <v>3284</v>
      </c>
      <c r="M3350" t="s">
        <v>3296</v>
      </c>
      <c r="N3350" t="s">
        <v>3321</v>
      </c>
      <c r="O3350" t="s">
        <v>3322</v>
      </c>
      <c r="P3350" t="s">
        <v>3398</v>
      </c>
      <c r="Q3350" t="s">
        <v>3788</v>
      </c>
      <c r="R3350" t="s">
        <v>11335</v>
      </c>
    </row>
    <row r="3351" spans="1:18" x14ac:dyDescent="0.2">
      <c r="A3351">
        <v>1484479</v>
      </c>
      <c r="B3351" t="s">
        <v>11336</v>
      </c>
      <c r="C3351">
        <v>0</v>
      </c>
      <c r="D3351">
        <v>0</v>
      </c>
      <c r="E3351">
        <v>1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 t="s">
        <v>3284</v>
      </c>
      <c r="M3351" t="s">
        <v>3327</v>
      </c>
      <c r="N3351" t="s">
        <v>3376</v>
      </c>
      <c r="O3351" t="s">
        <v>3377</v>
      </c>
      <c r="P3351" t="s">
        <v>3271</v>
      </c>
      <c r="Q3351" t="s">
        <v>3648</v>
      </c>
      <c r="R3351" t="s">
        <v>11337</v>
      </c>
    </row>
    <row r="3352" spans="1:18" x14ac:dyDescent="0.2">
      <c r="A3352">
        <v>1482736</v>
      </c>
      <c r="B3352" t="s">
        <v>11338</v>
      </c>
      <c r="C3352">
        <v>2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 t="s">
        <v>3284</v>
      </c>
      <c r="M3352" t="s">
        <v>3327</v>
      </c>
      <c r="N3352" t="s">
        <v>3328</v>
      </c>
      <c r="O3352" t="s">
        <v>4184</v>
      </c>
      <c r="P3352" t="s">
        <v>11339</v>
      </c>
      <c r="Q3352" t="s">
        <v>11340</v>
      </c>
      <c r="R3352" t="s">
        <v>11341</v>
      </c>
    </row>
    <row r="3353" spans="1:18" x14ac:dyDescent="0.2">
      <c r="A3353">
        <v>1482732</v>
      </c>
      <c r="B3353" t="s">
        <v>11342</v>
      </c>
      <c r="C3353">
        <v>1</v>
      </c>
      <c r="D3353">
        <v>0</v>
      </c>
      <c r="E3353">
        <v>1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 t="s">
        <v>3284</v>
      </c>
      <c r="M3353" t="s">
        <v>3327</v>
      </c>
      <c r="N3353" t="s">
        <v>3328</v>
      </c>
      <c r="O3353" t="s">
        <v>4184</v>
      </c>
      <c r="P3353" t="s">
        <v>6312</v>
      </c>
      <c r="Q3353" t="s">
        <v>6313</v>
      </c>
      <c r="R3353" t="s">
        <v>11343</v>
      </c>
    </row>
    <row r="3354" spans="1:18" x14ac:dyDescent="0.2">
      <c r="A3354">
        <v>1482731</v>
      </c>
      <c r="B3354" t="s">
        <v>11344</v>
      </c>
      <c r="C3354">
        <v>2</v>
      </c>
      <c r="D3354">
        <v>1</v>
      </c>
      <c r="E3354">
        <v>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 t="s">
        <v>3284</v>
      </c>
      <c r="M3354" t="s">
        <v>3327</v>
      </c>
      <c r="N3354" t="s">
        <v>3328</v>
      </c>
      <c r="O3354" t="s">
        <v>4184</v>
      </c>
      <c r="P3354" t="s">
        <v>6312</v>
      </c>
      <c r="Q3354" t="s">
        <v>6313</v>
      </c>
      <c r="R3354" t="s">
        <v>11345</v>
      </c>
    </row>
    <row r="3355" spans="1:18" x14ac:dyDescent="0.2">
      <c r="A3355">
        <v>1479651</v>
      </c>
      <c r="B3355" t="s">
        <v>11346</v>
      </c>
      <c r="C3355">
        <v>0</v>
      </c>
      <c r="D3355">
        <v>0</v>
      </c>
      <c r="E3355">
        <v>0</v>
      </c>
      <c r="F3355">
        <v>1</v>
      </c>
      <c r="G3355">
        <v>0</v>
      </c>
      <c r="H3355">
        <v>0</v>
      </c>
      <c r="I3355">
        <v>1</v>
      </c>
      <c r="J3355">
        <v>0</v>
      </c>
      <c r="K3355">
        <v>0</v>
      </c>
      <c r="L3355" t="s">
        <v>3284</v>
      </c>
      <c r="M3355" t="s">
        <v>3307</v>
      </c>
      <c r="N3355" t="s">
        <v>3308</v>
      </c>
      <c r="O3355" t="s">
        <v>3359</v>
      </c>
      <c r="P3355" t="s">
        <v>3360</v>
      </c>
      <c r="Q3355" t="s">
        <v>3361</v>
      </c>
      <c r="R3355" t="s">
        <v>11347</v>
      </c>
    </row>
    <row r="3356" spans="1:18" x14ac:dyDescent="0.2">
      <c r="A3356">
        <v>1478221</v>
      </c>
      <c r="B3356" t="s">
        <v>11348</v>
      </c>
      <c r="C3356">
        <v>1</v>
      </c>
      <c r="D3356">
        <v>0</v>
      </c>
      <c r="E3356">
        <v>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 t="s">
        <v>3284</v>
      </c>
      <c r="M3356" t="s">
        <v>3327</v>
      </c>
      <c r="N3356" t="s">
        <v>3328</v>
      </c>
      <c r="O3356" t="s">
        <v>4184</v>
      </c>
      <c r="P3356" t="s">
        <v>9429</v>
      </c>
      <c r="Q3356" t="s">
        <v>9814</v>
      </c>
      <c r="R3356" t="s">
        <v>11349</v>
      </c>
    </row>
    <row r="3357" spans="1:18" x14ac:dyDescent="0.2">
      <c r="A3357">
        <v>1478199</v>
      </c>
      <c r="B3357" t="s">
        <v>11350</v>
      </c>
      <c r="C3357">
        <v>1</v>
      </c>
      <c r="D3357">
        <v>0</v>
      </c>
      <c r="E3357">
        <v>0</v>
      </c>
      <c r="F3357">
        <v>134</v>
      </c>
      <c r="G3357">
        <v>72</v>
      </c>
      <c r="H3357">
        <v>6</v>
      </c>
      <c r="I3357">
        <v>0</v>
      </c>
      <c r="J3357">
        <v>0</v>
      </c>
      <c r="K3357">
        <v>0</v>
      </c>
      <c r="L3357" t="s">
        <v>3284</v>
      </c>
      <c r="M3357" t="s">
        <v>3391</v>
      </c>
      <c r="N3357" t="s">
        <v>3411</v>
      </c>
      <c r="O3357" t="s">
        <v>3412</v>
      </c>
      <c r="P3357" t="s">
        <v>3413</v>
      </c>
      <c r="Q3357" t="s">
        <v>3414</v>
      </c>
      <c r="R3357" t="s">
        <v>11351</v>
      </c>
    </row>
    <row r="3358" spans="1:18" x14ac:dyDescent="0.2">
      <c r="A3358">
        <v>1477437</v>
      </c>
      <c r="B3358" t="s">
        <v>11352</v>
      </c>
      <c r="C3358">
        <v>0</v>
      </c>
      <c r="D3358">
        <v>0</v>
      </c>
      <c r="E3358">
        <v>0</v>
      </c>
      <c r="F3358">
        <v>0</v>
      </c>
      <c r="G3358">
        <v>1</v>
      </c>
      <c r="H3358">
        <v>0</v>
      </c>
      <c r="I3358">
        <v>0</v>
      </c>
      <c r="J3358">
        <v>0</v>
      </c>
      <c r="K3358">
        <v>0</v>
      </c>
      <c r="L3358" t="s">
        <v>3284</v>
      </c>
      <c r="M3358" t="s">
        <v>3391</v>
      </c>
      <c r="N3358" t="s">
        <v>3392</v>
      </c>
      <c r="O3358" t="s">
        <v>3393</v>
      </c>
      <c r="P3358" t="s">
        <v>3394</v>
      </c>
      <c r="Q3358" t="s">
        <v>11353</v>
      </c>
      <c r="R3358" t="s">
        <v>11354</v>
      </c>
    </row>
    <row r="3359" spans="1:18" x14ac:dyDescent="0.2">
      <c r="A3359">
        <v>1477021</v>
      </c>
      <c r="B3359" t="s">
        <v>11355</v>
      </c>
      <c r="C3359">
        <v>0</v>
      </c>
      <c r="D3359">
        <v>0</v>
      </c>
      <c r="E3359">
        <v>0</v>
      </c>
      <c r="F3359">
        <v>2</v>
      </c>
      <c r="G3359">
        <v>0</v>
      </c>
      <c r="H3359">
        <v>0</v>
      </c>
      <c r="I3359">
        <v>6</v>
      </c>
      <c r="J3359">
        <v>3</v>
      </c>
      <c r="K3359">
        <v>0</v>
      </c>
      <c r="L3359" t="s">
        <v>3284</v>
      </c>
      <c r="M3359" t="s">
        <v>3307</v>
      </c>
      <c r="N3359" t="s">
        <v>3308</v>
      </c>
      <c r="O3359" t="s">
        <v>3359</v>
      </c>
      <c r="P3359" t="s">
        <v>3360</v>
      </c>
      <c r="Q3359" t="s">
        <v>11356</v>
      </c>
      <c r="R3359" t="s">
        <v>11357</v>
      </c>
    </row>
    <row r="3360" spans="1:18" x14ac:dyDescent="0.2">
      <c r="A3360">
        <v>1476857</v>
      </c>
      <c r="B3360" t="s">
        <v>11358</v>
      </c>
      <c r="C3360">
        <v>0</v>
      </c>
      <c r="D3360">
        <v>1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 t="s">
        <v>3284</v>
      </c>
      <c r="M3360" t="s">
        <v>3327</v>
      </c>
      <c r="N3360" t="s">
        <v>3376</v>
      </c>
      <c r="O3360" t="s">
        <v>3377</v>
      </c>
      <c r="P3360" t="s">
        <v>3378</v>
      </c>
      <c r="Q3360" t="s">
        <v>3379</v>
      </c>
      <c r="R3360" t="s">
        <v>11359</v>
      </c>
    </row>
    <row r="3361" spans="1:18" x14ac:dyDescent="0.2">
      <c r="A3361">
        <v>1476464</v>
      </c>
      <c r="B3361" t="s">
        <v>11360</v>
      </c>
      <c r="C3361">
        <v>0</v>
      </c>
      <c r="D3361">
        <v>2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 t="s">
        <v>3284</v>
      </c>
      <c r="M3361" t="s">
        <v>3391</v>
      </c>
      <c r="N3361" t="s">
        <v>3392</v>
      </c>
      <c r="O3361" t="s">
        <v>3393</v>
      </c>
      <c r="P3361" t="s">
        <v>3394</v>
      </c>
      <c r="Q3361" t="s">
        <v>3395</v>
      </c>
      <c r="R3361" t="s">
        <v>11361</v>
      </c>
    </row>
    <row r="3362" spans="1:18" x14ac:dyDescent="0.2">
      <c r="A3362">
        <v>1476463</v>
      </c>
      <c r="B3362" t="s">
        <v>11362</v>
      </c>
      <c r="C3362">
        <v>0</v>
      </c>
      <c r="D3362">
        <v>0</v>
      </c>
      <c r="E3362">
        <v>0</v>
      </c>
      <c r="F3362">
        <v>0</v>
      </c>
      <c r="G3362">
        <v>1</v>
      </c>
      <c r="H3362">
        <v>0</v>
      </c>
      <c r="I3362">
        <v>0</v>
      </c>
      <c r="J3362">
        <v>0</v>
      </c>
      <c r="K3362">
        <v>0</v>
      </c>
      <c r="L3362" t="s">
        <v>3284</v>
      </c>
      <c r="M3362" t="s">
        <v>3391</v>
      </c>
      <c r="N3362" t="s">
        <v>3411</v>
      </c>
      <c r="O3362" t="s">
        <v>3412</v>
      </c>
      <c r="P3362" t="s">
        <v>3413</v>
      </c>
      <c r="Q3362" t="s">
        <v>3414</v>
      </c>
      <c r="R3362" t="s">
        <v>11363</v>
      </c>
    </row>
    <row r="3363" spans="1:18" x14ac:dyDescent="0.2">
      <c r="A3363">
        <v>1476462</v>
      </c>
      <c r="B3363" t="s">
        <v>11364</v>
      </c>
      <c r="C3363">
        <v>0</v>
      </c>
      <c r="D3363">
        <v>0</v>
      </c>
      <c r="E3363">
        <v>0</v>
      </c>
      <c r="F3363">
        <v>0</v>
      </c>
      <c r="G3363">
        <v>1</v>
      </c>
      <c r="H3363">
        <v>0</v>
      </c>
      <c r="I3363">
        <v>0</v>
      </c>
      <c r="J3363">
        <v>0</v>
      </c>
      <c r="K3363">
        <v>0</v>
      </c>
      <c r="L3363" t="s">
        <v>3284</v>
      </c>
      <c r="M3363" t="s">
        <v>3391</v>
      </c>
      <c r="N3363" t="s">
        <v>3411</v>
      </c>
      <c r="O3363" t="s">
        <v>3412</v>
      </c>
      <c r="P3363" t="s">
        <v>3564</v>
      </c>
      <c r="Q3363" t="s">
        <v>3565</v>
      </c>
      <c r="R3363" t="s">
        <v>11365</v>
      </c>
    </row>
    <row r="3364" spans="1:18" x14ac:dyDescent="0.2">
      <c r="A3364">
        <v>1473580</v>
      </c>
      <c r="B3364" t="s">
        <v>11366</v>
      </c>
      <c r="C3364">
        <v>1</v>
      </c>
      <c r="D3364">
        <v>0</v>
      </c>
      <c r="E3364">
        <v>0</v>
      </c>
      <c r="F3364">
        <v>1</v>
      </c>
      <c r="G3364">
        <v>0</v>
      </c>
      <c r="H3364">
        <v>0</v>
      </c>
      <c r="I3364">
        <v>0</v>
      </c>
      <c r="J3364">
        <v>0</v>
      </c>
      <c r="K3364">
        <v>0</v>
      </c>
      <c r="L3364" t="s">
        <v>3284</v>
      </c>
      <c r="M3364" t="s">
        <v>3327</v>
      </c>
      <c r="N3364" t="s">
        <v>3328</v>
      </c>
      <c r="O3364" t="s">
        <v>4017</v>
      </c>
      <c r="P3364" t="s">
        <v>11367</v>
      </c>
      <c r="Q3364" t="s">
        <v>11368</v>
      </c>
      <c r="R3364" t="s">
        <v>11369</v>
      </c>
    </row>
    <row r="3365" spans="1:18" x14ac:dyDescent="0.2">
      <c r="A3365">
        <v>1472718</v>
      </c>
      <c r="B3365" t="s">
        <v>11370</v>
      </c>
      <c r="C3365">
        <v>0</v>
      </c>
      <c r="D3365">
        <v>0</v>
      </c>
      <c r="E3365">
        <v>1</v>
      </c>
      <c r="F3365">
        <v>5</v>
      </c>
      <c r="G3365">
        <v>4</v>
      </c>
      <c r="H3365">
        <v>5</v>
      </c>
      <c r="I3365">
        <v>11</v>
      </c>
      <c r="J3365">
        <v>6</v>
      </c>
      <c r="K3365">
        <v>11</v>
      </c>
      <c r="L3365" t="s">
        <v>3284</v>
      </c>
      <c r="M3365" t="s">
        <v>3296</v>
      </c>
      <c r="N3365" t="s">
        <v>3321</v>
      </c>
      <c r="O3365" t="s">
        <v>3322</v>
      </c>
      <c r="P3365" t="s">
        <v>3398</v>
      </c>
      <c r="Q3365" t="s">
        <v>3439</v>
      </c>
      <c r="R3365" t="s">
        <v>11371</v>
      </c>
    </row>
    <row r="3366" spans="1:18" x14ac:dyDescent="0.2">
      <c r="A3366">
        <v>1472040</v>
      </c>
      <c r="B3366" t="s">
        <v>11372</v>
      </c>
      <c r="C3366">
        <v>2</v>
      </c>
      <c r="D3366">
        <v>3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 t="s">
        <v>3284</v>
      </c>
      <c r="M3366" t="s">
        <v>3327</v>
      </c>
      <c r="N3366" t="s">
        <v>3328</v>
      </c>
      <c r="O3366" t="s">
        <v>3329</v>
      </c>
      <c r="P3366" t="s">
        <v>3330</v>
      </c>
      <c r="Q3366" t="s">
        <v>3331</v>
      </c>
      <c r="R3366" t="s">
        <v>11373</v>
      </c>
    </row>
    <row r="3367" spans="1:18" x14ac:dyDescent="0.2">
      <c r="A3367">
        <v>1470590</v>
      </c>
      <c r="B3367" t="s">
        <v>11374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3</v>
      </c>
      <c r="J3367">
        <v>1</v>
      </c>
      <c r="K3367">
        <v>0</v>
      </c>
      <c r="L3367" t="s">
        <v>3284</v>
      </c>
      <c r="M3367" t="s">
        <v>3296</v>
      </c>
      <c r="N3367" t="s">
        <v>3297</v>
      </c>
      <c r="O3367" t="s">
        <v>3469</v>
      </c>
      <c r="P3367" t="s">
        <v>3470</v>
      </c>
      <c r="Q3367" t="s">
        <v>3471</v>
      </c>
      <c r="R3367" t="s">
        <v>11375</v>
      </c>
    </row>
    <row r="3368" spans="1:18" x14ac:dyDescent="0.2">
      <c r="A3368">
        <v>1470589</v>
      </c>
      <c r="B3368" t="s">
        <v>11376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1</v>
      </c>
      <c r="J3368">
        <v>2</v>
      </c>
      <c r="K3368">
        <v>0</v>
      </c>
      <c r="L3368" t="s">
        <v>3284</v>
      </c>
      <c r="M3368" t="s">
        <v>3296</v>
      </c>
      <c r="N3368" t="s">
        <v>3297</v>
      </c>
      <c r="O3368" t="s">
        <v>3434</v>
      </c>
      <c r="P3368" t="s">
        <v>3435</v>
      </c>
      <c r="Q3368" t="s">
        <v>3436</v>
      </c>
      <c r="R3368" t="s">
        <v>11377</v>
      </c>
    </row>
    <row r="3369" spans="1:18" x14ac:dyDescent="0.2">
      <c r="A3369">
        <v>1470356</v>
      </c>
      <c r="B3369" t="s">
        <v>11378</v>
      </c>
      <c r="C3369">
        <v>18</v>
      </c>
      <c r="D3369">
        <v>16</v>
      </c>
      <c r="E3369">
        <v>8</v>
      </c>
      <c r="F3369">
        <v>1</v>
      </c>
      <c r="G3369">
        <v>0</v>
      </c>
      <c r="H3369">
        <v>0</v>
      </c>
      <c r="I3369">
        <v>0</v>
      </c>
      <c r="J3369">
        <v>0</v>
      </c>
      <c r="K3369">
        <v>0</v>
      </c>
      <c r="L3369" t="s">
        <v>3284</v>
      </c>
      <c r="M3369" t="s">
        <v>3327</v>
      </c>
      <c r="N3369" t="s">
        <v>3328</v>
      </c>
      <c r="O3369" t="s">
        <v>3329</v>
      </c>
      <c r="P3369" t="s">
        <v>3330</v>
      </c>
      <c r="Q3369" t="s">
        <v>3331</v>
      </c>
      <c r="R3369" t="s">
        <v>11379</v>
      </c>
    </row>
    <row r="3370" spans="1:18" x14ac:dyDescent="0.2">
      <c r="A3370">
        <v>1469948</v>
      </c>
      <c r="B3370" t="s">
        <v>11380</v>
      </c>
      <c r="C3370">
        <v>0</v>
      </c>
      <c r="D3370">
        <v>2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 t="s">
        <v>3284</v>
      </c>
      <c r="M3370" t="s">
        <v>3327</v>
      </c>
      <c r="N3370" t="s">
        <v>3328</v>
      </c>
      <c r="O3370" t="s">
        <v>4017</v>
      </c>
      <c r="P3370" t="s">
        <v>4018</v>
      </c>
      <c r="Q3370" t="s">
        <v>11381</v>
      </c>
      <c r="R3370" t="s">
        <v>11382</v>
      </c>
    </row>
    <row r="3371" spans="1:18" x14ac:dyDescent="0.2">
      <c r="A3371">
        <v>1468410</v>
      </c>
      <c r="B3371" t="s">
        <v>11383</v>
      </c>
      <c r="C3371">
        <v>0</v>
      </c>
      <c r="D3371">
        <v>0</v>
      </c>
      <c r="E3371">
        <v>0</v>
      </c>
      <c r="F3371">
        <v>8</v>
      </c>
      <c r="G3371">
        <v>3</v>
      </c>
      <c r="H3371">
        <v>4</v>
      </c>
      <c r="I3371">
        <v>23</v>
      </c>
      <c r="J3371">
        <v>7</v>
      </c>
      <c r="K3371">
        <v>14</v>
      </c>
      <c r="L3371" t="s">
        <v>3284</v>
      </c>
      <c r="M3371" t="s">
        <v>3296</v>
      </c>
      <c r="N3371" t="s">
        <v>3321</v>
      </c>
      <c r="O3371" t="s">
        <v>3322</v>
      </c>
      <c r="P3371" t="s">
        <v>3398</v>
      </c>
      <c r="Q3371" t="s">
        <v>3439</v>
      </c>
      <c r="R3371" t="s">
        <v>11384</v>
      </c>
    </row>
    <row r="3372" spans="1:18" x14ac:dyDescent="0.2">
      <c r="A3372">
        <v>1465823</v>
      </c>
      <c r="B3372" t="s">
        <v>11385</v>
      </c>
      <c r="C3372">
        <v>0</v>
      </c>
      <c r="D3372">
        <v>0</v>
      </c>
      <c r="E3372">
        <v>0</v>
      </c>
      <c r="F3372">
        <v>1</v>
      </c>
      <c r="G3372">
        <v>0</v>
      </c>
      <c r="H3372">
        <v>0</v>
      </c>
      <c r="I3372">
        <v>0</v>
      </c>
      <c r="J3372">
        <v>0</v>
      </c>
      <c r="K3372">
        <v>0</v>
      </c>
      <c r="L3372" t="s">
        <v>3284</v>
      </c>
      <c r="M3372" t="s">
        <v>3296</v>
      </c>
      <c r="N3372" t="s">
        <v>3321</v>
      </c>
      <c r="O3372" t="s">
        <v>3322</v>
      </c>
      <c r="P3372" t="s">
        <v>3323</v>
      </c>
      <c r="Q3372" t="s">
        <v>9838</v>
      </c>
      <c r="R3372" t="s">
        <v>11386</v>
      </c>
    </row>
    <row r="3373" spans="1:18" x14ac:dyDescent="0.2">
      <c r="A3373">
        <v>1465809</v>
      </c>
      <c r="B3373" t="s">
        <v>11387</v>
      </c>
      <c r="C3373">
        <v>3</v>
      </c>
      <c r="D3373">
        <v>6</v>
      </c>
      <c r="E3373">
        <v>5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 t="s">
        <v>3284</v>
      </c>
      <c r="M3373" t="s">
        <v>3327</v>
      </c>
      <c r="N3373" t="s">
        <v>3328</v>
      </c>
      <c r="O3373" t="s">
        <v>3329</v>
      </c>
      <c r="P3373" t="s">
        <v>3330</v>
      </c>
      <c r="Q3373" t="s">
        <v>3331</v>
      </c>
      <c r="R3373" t="s">
        <v>11388</v>
      </c>
    </row>
    <row r="3374" spans="1:18" x14ac:dyDescent="0.2">
      <c r="A3374">
        <v>1465766</v>
      </c>
      <c r="B3374" t="s">
        <v>11389</v>
      </c>
      <c r="C3374">
        <v>1</v>
      </c>
      <c r="D3374">
        <v>0</v>
      </c>
      <c r="E3374">
        <v>0</v>
      </c>
      <c r="F3374">
        <v>1</v>
      </c>
      <c r="G3374">
        <v>0</v>
      </c>
      <c r="H3374">
        <v>0</v>
      </c>
      <c r="I3374">
        <v>0</v>
      </c>
      <c r="J3374">
        <v>0</v>
      </c>
      <c r="K3374">
        <v>0</v>
      </c>
      <c r="L3374" t="s">
        <v>3284</v>
      </c>
      <c r="M3374" t="s">
        <v>3327</v>
      </c>
      <c r="N3374" t="s">
        <v>3376</v>
      </c>
      <c r="O3374" t="s">
        <v>3377</v>
      </c>
      <c r="P3374" t="s">
        <v>3604</v>
      </c>
      <c r="Q3374" t="s">
        <v>3668</v>
      </c>
      <c r="R3374" t="s">
        <v>11390</v>
      </c>
    </row>
    <row r="3375" spans="1:18" x14ac:dyDescent="0.2">
      <c r="A3375">
        <v>1463165</v>
      </c>
      <c r="B3375" t="s">
        <v>11391</v>
      </c>
      <c r="C3375">
        <v>3</v>
      </c>
      <c r="D3375">
        <v>0</v>
      </c>
      <c r="E3375">
        <v>5</v>
      </c>
      <c r="F3375">
        <v>1</v>
      </c>
      <c r="G3375">
        <v>1</v>
      </c>
      <c r="H3375">
        <v>8</v>
      </c>
      <c r="I3375">
        <v>3</v>
      </c>
      <c r="J3375">
        <v>3</v>
      </c>
      <c r="K3375">
        <v>26</v>
      </c>
      <c r="L3375" t="s">
        <v>3284</v>
      </c>
      <c r="M3375" t="s">
        <v>3296</v>
      </c>
      <c r="N3375" t="s">
        <v>3297</v>
      </c>
      <c r="O3375" t="s">
        <v>3298</v>
      </c>
      <c r="P3375" t="s">
        <v>3826</v>
      </c>
      <c r="Q3375" t="s">
        <v>7086</v>
      </c>
      <c r="R3375" t="s">
        <v>11392</v>
      </c>
    </row>
    <row r="3376" spans="1:18" x14ac:dyDescent="0.2">
      <c r="A3376">
        <v>1462999</v>
      </c>
      <c r="B3376" t="s">
        <v>11393</v>
      </c>
      <c r="C3376">
        <v>0</v>
      </c>
      <c r="D3376">
        <v>0</v>
      </c>
      <c r="E3376">
        <v>0</v>
      </c>
      <c r="F3376">
        <v>1</v>
      </c>
      <c r="G3376">
        <v>0</v>
      </c>
      <c r="H3376">
        <v>0</v>
      </c>
      <c r="I3376">
        <v>0</v>
      </c>
      <c r="J3376">
        <v>0</v>
      </c>
      <c r="K3376">
        <v>0</v>
      </c>
      <c r="L3376" t="s">
        <v>3284</v>
      </c>
      <c r="M3376" t="s">
        <v>3296</v>
      </c>
      <c r="N3376" t="s">
        <v>3343</v>
      </c>
      <c r="O3376" t="s">
        <v>3349</v>
      </c>
      <c r="P3376" t="s">
        <v>3350</v>
      </c>
      <c r="Q3376" t="s">
        <v>3580</v>
      </c>
      <c r="R3376" t="s">
        <v>11394</v>
      </c>
    </row>
    <row r="3377" spans="1:18" x14ac:dyDescent="0.2">
      <c r="A3377">
        <v>1461259</v>
      </c>
      <c r="B3377" t="s">
        <v>11395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1</v>
      </c>
      <c r="K3377">
        <v>0</v>
      </c>
      <c r="L3377" t="s">
        <v>3284</v>
      </c>
      <c r="M3377" t="s">
        <v>3307</v>
      </c>
      <c r="N3377" t="s">
        <v>3308</v>
      </c>
      <c r="O3377" t="s">
        <v>3359</v>
      </c>
      <c r="P3377" t="s">
        <v>3360</v>
      </c>
      <c r="Q3377" t="s">
        <v>5690</v>
      </c>
      <c r="R3377" t="s">
        <v>11396</v>
      </c>
    </row>
    <row r="3378" spans="1:18" x14ac:dyDescent="0.2">
      <c r="A3378">
        <v>1460447</v>
      </c>
      <c r="B3378" t="s">
        <v>11397</v>
      </c>
      <c r="C3378">
        <v>1</v>
      </c>
      <c r="D3378">
        <v>1</v>
      </c>
      <c r="E3378">
        <v>1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 t="s">
        <v>3284</v>
      </c>
      <c r="M3378" t="s">
        <v>3327</v>
      </c>
      <c r="N3378" t="s">
        <v>3328</v>
      </c>
      <c r="O3378" t="s">
        <v>4184</v>
      </c>
      <c r="P3378" t="s">
        <v>4185</v>
      </c>
      <c r="Q3378" t="s">
        <v>9617</v>
      </c>
      <c r="R3378" t="s">
        <v>11398</v>
      </c>
    </row>
    <row r="3379" spans="1:18" x14ac:dyDescent="0.2">
      <c r="A3379">
        <v>1458426</v>
      </c>
      <c r="B3379" t="s">
        <v>11399</v>
      </c>
      <c r="C3379">
        <v>3</v>
      </c>
      <c r="D3379">
        <v>2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 t="s">
        <v>3284</v>
      </c>
      <c r="M3379" t="s">
        <v>3296</v>
      </c>
      <c r="N3379" t="s">
        <v>3321</v>
      </c>
      <c r="O3379" t="s">
        <v>3322</v>
      </c>
      <c r="P3379" t="s">
        <v>3398</v>
      </c>
      <c r="Q3379" t="s">
        <v>11400</v>
      </c>
      <c r="R3379" t="s">
        <v>11401</v>
      </c>
    </row>
    <row r="3380" spans="1:18" x14ac:dyDescent="0.2">
      <c r="A3380">
        <v>1458355</v>
      </c>
      <c r="B3380" t="s">
        <v>11402</v>
      </c>
      <c r="C3380">
        <v>0</v>
      </c>
      <c r="D3380">
        <v>1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 t="s">
        <v>3284</v>
      </c>
      <c r="M3380" t="s">
        <v>3296</v>
      </c>
      <c r="N3380" t="s">
        <v>3297</v>
      </c>
      <c r="O3380" t="s">
        <v>3298</v>
      </c>
      <c r="P3380" t="s">
        <v>3873</v>
      </c>
      <c r="Q3380" t="s">
        <v>3874</v>
      </c>
      <c r="R3380" t="s">
        <v>11403</v>
      </c>
    </row>
    <row r="3381" spans="1:18" x14ac:dyDescent="0.2">
      <c r="A3381">
        <v>1457233</v>
      </c>
      <c r="B3381" t="s">
        <v>11404</v>
      </c>
      <c r="C3381">
        <v>0</v>
      </c>
      <c r="D3381">
        <v>0</v>
      </c>
      <c r="E3381">
        <v>0</v>
      </c>
      <c r="F3381">
        <v>1</v>
      </c>
      <c r="G3381">
        <v>0</v>
      </c>
      <c r="H3381">
        <v>0</v>
      </c>
      <c r="I3381">
        <v>0</v>
      </c>
      <c r="J3381">
        <v>0</v>
      </c>
      <c r="K3381">
        <v>0</v>
      </c>
      <c r="L3381" t="s">
        <v>3284</v>
      </c>
      <c r="M3381" t="s">
        <v>3391</v>
      </c>
      <c r="N3381" t="s">
        <v>3392</v>
      </c>
      <c r="O3381" t="s">
        <v>3393</v>
      </c>
      <c r="P3381" t="s">
        <v>3394</v>
      </c>
      <c r="Q3381" t="s">
        <v>4082</v>
      </c>
      <c r="R3381" t="s">
        <v>11405</v>
      </c>
    </row>
    <row r="3382" spans="1:18" x14ac:dyDescent="0.2">
      <c r="A3382">
        <v>1455569</v>
      </c>
      <c r="B3382" t="s">
        <v>11406</v>
      </c>
      <c r="C3382">
        <v>0</v>
      </c>
      <c r="D3382">
        <v>1</v>
      </c>
      <c r="E3382">
        <v>0</v>
      </c>
      <c r="F3382">
        <v>3</v>
      </c>
      <c r="G3382">
        <v>4</v>
      </c>
      <c r="H3382">
        <v>0</v>
      </c>
      <c r="I3382">
        <v>0</v>
      </c>
      <c r="J3382">
        <v>1</v>
      </c>
      <c r="K3382">
        <v>0</v>
      </c>
      <c r="L3382" t="s">
        <v>3284</v>
      </c>
      <c r="M3382" t="s">
        <v>3391</v>
      </c>
      <c r="N3382" t="s">
        <v>3411</v>
      </c>
      <c r="O3382" t="s">
        <v>3412</v>
      </c>
      <c r="P3382" t="s">
        <v>3413</v>
      </c>
      <c r="Q3382" t="s">
        <v>3414</v>
      </c>
      <c r="R3382" t="s">
        <v>11407</v>
      </c>
    </row>
    <row r="3383" spans="1:18" x14ac:dyDescent="0.2">
      <c r="A3383">
        <v>1452508</v>
      </c>
      <c r="B3383" t="s">
        <v>11408</v>
      </c>
      <c r="C3383">
        <v>0</v>
      </c>
      <c r="D3383">
        <v>1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 t="s">
        <v>3284</v>
      </c>
      <c r="M3383" t="s">
        <v>3296</v>
      </c>
      <c r="N3383" t="s">
        <v>3321</v>
      </c>
      <c r="O3383" t="s">
        <v>3322</v>
      </c>
      <c r="P3383" t="s">
        <v>3671</v>
      </c>
      <c r="Q3383" t="s">
        <v>5595</v>
      </c>
      <c r="R3383" t="s">
        <v>11409</v>
      </c>
    </row>
    <row r="3384" spans="1:18" x14ac:dyDescent="0.2">
      <c r="A3384">
        <v>1452487</v>
      </c>
      <c r="B3384" t="s">
        <v>11410</v>
      </c>
      <c r="C3384">
        <v>0</v>
      </c>
      <c r="D3384">
        <v>1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 t="s">
        <v>3284</v>
      </c>
      <c r="M3384" t="s">
        <v>3296</v>
      </c>
      <c r="N3384" t="s">
        <v>3321</v>
      </c>
      <c r="O3384" t="s">
        <v>5306</v>
      </c>
      <c r="P3384" t="s">
        <v>5610</v>
      </c>
      <c r="Q3384" t="s">
        <v>8724</v>
      </c>
      <c r="R3384" t="s">
        <v>11411</v>
      </c>
    </row>
    <row r="3385" spans="1:18" x14ac:dyDescent="0.2">
      <c r="A3385">
        <v>1452450</v>
      </c>
      <c r="B3385" t="s">
        <v>11412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1</v>
      </c>
      <c r="J3385">
        <v>1</v>
      </c>
      <c r="K3385">
        <v>0</v>
      </c>
      <c r="L3385" t="s">
        <v>3284</v>
      </c>
      <c r="M3385" t="s">
        <v>3296</v>
      </c>
      <c r="N3385" t="s">
        <v>3343</v>
      </c>
      <c r="O3385" t="s">
        <v>3429</v>
      </c>
      <c r="P3385" t="s">
        <v>4336</v>
      </c>
      <c r="Q3385" t="s">
        <v>6265</v>
      </c>
      <c r="R3385" t="s">
        <v>11413</v>
      </c>
    </row>
    <row r="3386" spans="1:18" x14ac:dyDescent="0.2">
      <c r="A3386">
        <v>1450648</v>
      </c>
      <c r="B3386" t="s">
        <v>11414</v>
      </c>
      <c r="C3386">
        <v>8</v>
      </c>
      <c r="D3386">
        <v>8</v>
      </c>
      <c r="E3386">
        <v>3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 t="s">
        <v>3284</v>
      </c>
      <c r="M3386" t="s">
        <v>3327</v>
      </c>
      <c r="N3386" t="s">
        <v>3328</v>
      </c>
      <c r="O3386" t="s">
        <v>3329</v>
      </c>
      <c r="P3386" t="s">
        <v>3330</v>
      </c>
      <c r="Q3386" t="s">
        <v>3331</v>
      </c>
      <c r="R3386" t="s">
        <v>11415</v>
      </c>
    </row>
    <row r="3387" spans="1:18" x14ac:dyDescent="0.2">
      <c r="A3387">
        <v>1450156</v>
      </c>
      <c r="B3387" t="s">
        <v>11416</v>
      </c>
      <c r="C3387">
        <v>0</v>
      </c>
      <c r="D3387">
        <v>3</v>
      </c>
      <c r="E3387">
        <v>1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 t="s">
        <v>3284</v>
      </c>
      <c r="M3387" t="s">
        <v>3327</v>
      </c>
      <c r="N3387" t="s">
        <v>3328</v>
      </c>
      <c r="O3387" t="s">
        <v>4017</v>
      </c>
      <c r="P3387" t="s">
        <v>11367</v>
      </c>
      <c r="Q3387" t="s">
        <v>11368</v>
      </c>
      <c r="R3387" t="s">
        <v>11417</v>
      </c>
    </row>
    <row r="3388" spans="1:18" x14ac:dyDescent="0.2">
      <c r="A3388">
        <v>1450134</v>
      </c>
      <c r="B3388" t="s">
        <v>11418</v>
      </c>
      <c r="C3388">
        <v>0</v>
      </c>
      <c r="D3388">
        <v>0</v>
      </c>
      <c r="E3388">
        <v>0</v>
      </c>
      <c r="F3388">
        <v>10</v>
      </c>
      <c r="G3388">
        <v>8</v>
      </c>
      <c r="H3388">
        <v>4</v>
      </c>
      <c r="I3388">
        <v>0</v>
      </c>
      <c r="J3388">
        <v>0</v>
      </c>
      <c r="K3388">
        <v>0</v>
      </c>
      <c r="L3388" t="s">
        <v>3284</v>
      </c>
      <c r="M3388" t="s">
        <v>3296</v>
      </c>
      <c r="N3388" t="s">
        <v>3297</v>
      </c>
      <c r="O3388" t="s">
        <v>3469</v>
      </c>
      <c r="P3388" t="s">
        <v>3470</v>
      </c>
      <c r="Q3388" t="s">
        <v>3471</v>
      </c>
      <c r="R3388" t="s">
        <v>11419</v>
      </c>
    </row>
    <row r="3389" spans="1:18" x14ac:dyDescent="0.2">
      <c r="A3389">
        <v>1449050</v>
      </c>
      <c r="B3389" t="s">
        <v>11420</v>
      </c>
      <c r="C3389">
        <v>1</v>
      </c>
      <c r="D3389">
        <v>3</v>
      </c>
      <c r="E3389">
        <v>0</v>
      </c>
      <c r="F3389">
        <v>0</v>
      </c>
      <c r="G3389">
        <v>0</v>
      </c>
      <c r="H3389">
        <v>0</v>
      </c>
      <c r="I3389">
        <v>1</v>
      </c>
      <c r="J3389">
        <v>3</v>
      </c>
      <c r="K3389">
        <v>0</v>
      </c>
      <c r="L3389" t="s">
        <v>3284</v>
      </c>
      <c r="M3389" t="s">
        <v>3327</v>
      </c>
      <c r="N3389" t="s">
        <v>3328</v>
      </c>
      <c r="O3389" t="s">
        <v>3329</v>
      </c>
      <c r="P3389" t="s">
        <v>3330</v>
      </c>
      <c r="Q3389" t="s">
        <v>3331</v>
      </c>
      <c r="R3389" t="s">
        <v>11421</v>
      </c>
    </row>
    <row r="3390" spans="1:18" x14ac:dyDescent="0.2">
      <c r="A3390">
        <v>1449049</v>
      </c>
      <c r="B3390" t="s">
        <v>11422</v>
      </c>
      <c r="C3390">
        <v>0</v>
      </c>
      <c r="D3390">
        <v>0</v>
      </c>
      <c r="E3390">
        <v>0</v>
      </c>
      <c r="F3390">
        <v>1</v>
      </c>
      <c r="G3390">
        <v>0</v>
      </c>
      <c r="H3390">
        <v>0</v>
      </c>
      <c r="I3390">
        <v>0</v>
      </c>
      <c r="J3390">
        <v>0</v>
      </c>
      <c r="K3390">
        <v>0</v>
      </c>
      <c r="L3390" t="s">
        <v>3284</v>
      </c>
      <c r="M3390" t="s">
        <v>3296</v>
      </c>
      <c r="N3390" t="s">
        <v>3343</v>
      </c>
      <c r="O3390" t="s">
        <v>3402</v>
      </c>
      <c r="P3390" t="s">
        <v>3403</v>
      </c>
      <c r="Q3390" t="s">
        <v>3404</v>
      </c>
      <c r="R3390" t="s">
        <v>11423</v>
      </c>
    </row>
    <row r="3391" spans="1:18" x14ac:dyDescent="0.2">
      <c r="A3391">
        <v>1446794</v>
      </c>
      <c r="B3391" t="s">
        <v>11424</v>
      </c>
      <c r="C3391">
        <v>0</v>
      </c>
      <c r="D3391">
        <v>0</v>
      </c>
      <c r="E3391">
        <v>0</v>
      </c>
      <c r="F3391">
        <v>0</v>
      </c>
      <c r="G3391">
        <v>1</v>
      </c>
      <c r="H3391">
        <v>0</v>
      </c>
      <c r="I3391">
        <v>0</v>
      </c>
      <c r="J3391">
        <v>0</v>
      </c>
      <c r="K3391">
        <v>0</v>
      </c>
      <c r="L3391" t="s">
        <v>3284</v>
      </c>
      <c r="M3391" t="s">
        <v>3307</v>
      </c>
      <c r="N3391" t="s">
        <v>3308</v>
      </c>
      <c r="O3391" t="s">
        <v>3359</v>
      </c>
      <c r="P3391" t="s">
        <v>3360</v>
      </c>
      <c r="Q3391" t="s">
        <v>8548</v>
      </c>
      <c r="R3391" t="s">
        <v>11425</v>
      </c>
    </row>
    <row r="3392" spans="1:18" x14ac:dyDescent="0.2">
      <c r="A3392">
        <v>1445661</v>
      </c>
      <c r="B3392" t="s">
        <v>11426</v>
      </c>
      <c r="C3392">
        <v>1</v>
      </c>
      <c r="D3392">
        <v>1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 t="s">
        <v>3284</v>
      </c>
      <c r="M3392" t="s">
        <v>3296</v>
      </c>
      <c r="N3392" t="s">
        <v>3343</v>
      </c>
      <c r="O3392" t="s">
        <v>3371</v>
      </c>
      <c r="P3392" t="s">
        <v>3688</v>
      </c>
      <c r="Q3392" t="s">
        <v>11427</v>
      </c>
      <c r="R3392" t="s">
        <v>11428</v>
      </c>
    </row>
    <row r="3393" spans="1:18" x14ac:dyDescent="0.2">
      <c r="A3393">
        <v>1445552</v>
      </c>
      <c r="B3393" t="s">
        <v>11429</v>
      </c>
      <c r="C3393">
        <v>0</v>
      </c>
      <c r="D3393">
        <v>0</v>
      </c>
      <c r="E3393">
        <v>0</v>
      </c>
      <c r="F3393">
        <v>1</v>
      </c>
      <c r="G3393">
        <v>0</v>
      </c>
      <c r="H3393">
        <v>0</v>
      </c>
      <c r="I3393">
        <v>0</v>
      </c>
      <c r="J3393">
        <v>0</v>
      </c>
      <c r="K3393">
        <v>0</v>
      </c>
      <c r="L3393" t="s">
        <v>3284</v>
      </c>
      <c r="M3393" t="s">
        <v>3296</v>
      </c>
      <c r="N3393" t="s">
        <v>3343</v>
      </c>
      <c r="O3393" t="s">
        <v>3402</v>
      </c>
      <c r="P3393" t="s">
        <v>3271</v>
      </c>
      <c r="Q3393" t="s">
        <v>11430</v>
      </c>
      <c r="R3393" t="s">
        <v>11431</v>
      </c>
    </row>
    <row r="3394" spans="1:18" x14ac:dyDescent="0.2">
      <c r="A3394">
        <v>1445034</v>
      </c>
      <c r="B3394" t="s">
        <v>11432</v>
      </c>
      <c r="C3394">
        <v>0</v>
      </c>
      <c r="D3394">
        <v>0</v>
      </c>
      <c r="E3394">
        <v>0</v>
      </c>
      <c r="F3394">
        <v>3</v>
      </c>
      <c r="G3394">
        <v>0</v>
      </c>
      <c r="H3394">
        <v>0</v>
      </c>
      <c r="I3394">
        <v>1</v>
      </c>
      <c r="J3394">
        <v>0</v>
      </c>
      <c r="K3394">
        <v>0</v>
      </c>
      <c r="L3394" t="s">
        <v>3284</v>
      </c>
      <c r="M3394" t="s">
        <v>3296</v>
      </c>
      <c r="N3394" t="s">
        <v>3343</v>
      </c>
      <c r="O3394" t="s">
        <v>3402</v>
      </c>
      <c r="P3394" t="s">
        <v>3403</v>
      </c>
      <c r="Q3394" t="s">
        <v>5337</v>
      </c>
      <c r="R3394" t="s">
        <v>11433</v>
      </c>
    </row>
    <row r="3395" spans="1:18" x14ac:dyDescent="0.2">
      <c r="A3395">
        <v>1442595</v>
      </c>
      <c r="B3395" t="s">
        <v>11434</v>
      </c>
      <c r="C3395">
        <v>0</v>
      </c>
      <c r="D3395">
        <v>0</v>
      </c>
      <c r="E3395">
        <v>0</v>
      </c>
      <c r="F3395">
        <v>0</v>
      </c>
      <c r="G3395">
        <v>1</v>
      </c>
      <c r="H3395">
        <v>0</v>
      </c>
      <c r="I3395">
        <v>0</v>
      </c>
      <c r="J3395">
        <v>0</v>
      </c>
      <c r="K3395">
        <v>0</v>
      </c>
      <c r="L3395" t="s">
        <v>3284</v>
      </c>
      <c r="M3395" t="s">
        <v>3391</v>
      </c>
      <c r="N3395" t="s">
        <v>3411</v>
      </c>
      <c r="O3395" t="s">
        <v>3412</v>
      </c>
      <c r="P3395" t="s">
        <v>3413</v>
      </c>
      <c r="Q3395" t="s">
        <v>3414</v>
      </c>
      <c r="R3395" t="s">
        <v>11435</v>
      </c>
    </row>
    <row r="3396" spans="1:18" x14ac:dyDescent="0.2">
      <c r="A3396">
        <v>1442381</v>
      </c>
      <c r="B3396" t="s">
        <v>11436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1</v>
      </c>
      <c r="J3396">
        <v>0</v>
      </c>
      <c r="K3396">
        <v>0</v>
      </c>
      <c r="L3396" t="s">
        <v>3284</v>
      </c>
      <c r="M3396" t="s">
        <v>3296</v>
      </c>
      <c r="N3396" t="s">
        <v>3343</v>
      </c>
      <c r="O3396" t="s">
        <v>3429</v>
      </c>
      <c r="P3396" t="s">
        <v>3430</v>
      </c>
      <c r="Q3396" t="s">
        <v>3709</v>
      </c>
      <c r="R3396" t="s">
        <v>11437</v>
      </c>
    </row>
    <row r="3397" spans="1:18" x14ac:dyDescent="0.2">
      <c r="A3397">
        <v>1442366</v>
      </c>
      <c r="B3397" t="s">
        <v>11438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1</v>
      </c>
      <c r="J3397">
        <v>0</v>
      </c>
      <c r="K3397">
        <v>0</v>
      </c>
      <c r="L3397" t="s">
        <v>3284</v>
      </c>
      <c r="M3397" t="s">
        <v>3296</v>
      </c>
      <c r="N3397" t="s">
        <v>3321</v>
      </c>
      <c r="O3397" t="s">
        <v>3322</v>
      </c>
      <c r="P3397" t="s">
        <v>3323</v>
      </c>
      <c r="Q3397" t="s">
        <v>3324</v>
      </c>
      <c r="R3397" t="s">
        <v>11439</v>
      </c>
    </row>
    <row r="3398" spans="1:18" x14ac:dyDescent="0.2">
      <c r="A3398">
        <v>1437280</v>
      </c>
      <c r="B3398" t="s">
        <v>11440</v>
      </c>
      <c r="C3398">
        <v>51</v>
      </c>
      <c r="D3398">
        <v>60</v>
      </c>
      <c r="E3398">
        <v>135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 t="s">
        <v>3284</v>
      </c>
      <c r="M3398" t="s">
        <v>3391</v>
      </c>
      <c r="N3398" t="s">
        <v>3392</v>
      </c>
      <c r="O3398" t="s">
        <v>3393</v>
      </c>
      <c r="P3398" t="s">
        <v>3394</v>
      </c>
      <c r="Q3398" t="s">
        <v>4351</v>
      </c>
      <c r="R3398" t="s">
        <v>11441</v>
      </c>
    </row>
    <row r="3399" spans="1:18" x14ac:dyDescent="0.2">
      <c r="A3399">
        <v>1436120</v>
      </c>
      <c r="B3399" t="s">
        <v>11442</v>
      </c>
      <c r="C3399">
        <v>0</v>
      </c>
      <c r="D3399">
        <v>0</v>
      </c>
      <c r="E3399">
        <v>0</v>
      </c>
      <c r="F3399">
        <v>0</v>
      </c>
      <c r="G3399">
        <v>1</v>
      </c>
      <c r="H3399">
        <v>0</v>
      </c>
      <c r="I3399">
        <v>0</v>
      </c>
      <c r="J3399">
        <v>0</v>
      </c>
      <c r="K3399">
        <v>0</v>
      </c>
      <c r="L3399" t="s">
        <v>3284</v>
      </c>
      <c r="M3399" t="s">
        <v>3307</v>
      </c>
      <c r="N3399" t="s">
        <v>3308</v>
      </c>
      <c r="O3399" t="s">
        <v>3949</v>
      </c>
      <c r="P3399" t="s">
        <v>3950</v>
      </c>
      <c r="Q3399" t="s">
        <v>6350</v>
      </c>
      <c r="R3399" t="s">
        <v>11443</v>
      </c>
    </row>
    <row r="3400" spans="1:18" x14ac:dyDescent="0.2">
      <c r="A3400">
        <v>1435644</v>
      </c>
      <c r="B3400" t="s">
        <v>11444</v>
      </c>
      <c r="C3400">
        <v>0</v>
      </c>
      <c r="D3400">
        <v>0</v>
      </c>
      <c r="E3400">
        <v>0</v>
      </c>
      <c r="F3400">
        <v>2</v>
      </c>
      <c r="G3400">
        <v>0</v>
      </c>
      <c r="H3400">
        <v>0</v>
      </c>
      <c r="I3400">
        <v>0</v>
      </c>
      <c r="J3400">
        <v>0</v>
      </c>
      <c r="K3400">
        <v>0</v>
      </c>
      <c r="L3400" t="s">
        <v>3284</v>
      </c>
      <c r="M3400" t="s">
        <v>3391</v>
      </c>
      <c r="N3400" t="s">
        <v>3392</v>
      </c>
      <c r="O3400" t="s">
        <v>3393</v>
      </c>
      <c r="P3400" t="s">
        <v>3394</v>
      </c>
      <c r="Q3400" t="s">
        <v>4082</v>
      </c>
      <c r="R3400" t="s">
        <v>11445</v>
      </c>
    </row>
    <row r="3401" spans="1:18" x14ac:dyDescent="0.2">
      <c r="A3401">
        <v>1435643</v>
      </c>
      <c r="B3401" t="s">
        <v>11446</v>
      </c>
      <c r="C3401">
        <v>0</v>
      </c>
      <c r="D3401">
        <v>0</v>
      </c>
      <c r="E3401">
        <v>0</v>
      </c>
      <c r="F3401">
        <v>1</v>
      </c>
      <c r="G3401">
        <v>0</v>
      </c>
      <c r="H3401">
        <v>0</v>
      </c>
      <c r="I3401">
        <v>0</v>
      </c>
      <c r="J3401">
        <v>0</v>
      </c>
      <c r="K3401">
        <v>0</v>
      </c>
      <c r="L3401" t="s">
        <v>3284</v>
      </c>
      <c r="M3401" t="s">
        <v>3391</v>
      </c>
      <c r="N3401" t="s">
        <v>3392</v>
      </c>
      <c r="O3401" t="s">
        <v>3393</v>
      </c>
      <c r="P3401" t="s">
        <v>3394</v>
      </c>
      <c r="Q3401" t="s">
        <v>4082</v>
      </c>
      <c r="R3401" t="s">
        <v>11447</v>
      </c>
    </row>
    <row r="3402" spans="1:18" x14ac:dyDescent="0.2">
      <c r="A3402">
        <v>1435465</v>
      </c>
      <c r="B3402" t="s">
        <v>11448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1</v>
      </c>
      <c r="J3402">
        <v>0</v>
      </c>
      <c r="K3402">
        <v>0</v>
      </c>
      <c r="L3402" t="s">
        <v>3284</v>
      </c>
      <c r="M3402" t="s">
        <v>3296</v>
      </c>
      <c r="N3402" t="s">
        <v>3297</v>
      </c>
      <c r="O3402" t="s">
        <v>4037</v>
      </c>
      <c r="P3402" t="s">
        <v>4038</v>
      </c>
      <c r="Q3402" t="s">
        <v>9483</v>
      </c>
      <c r="R3402" t="s">
        <v>11449</v>
      </c>
    </row>
    <row r="3403" spans="1:18" x14ac:dyDescent="0.2">
      <c r="A3403">
        <v>1434937</v>
      </c>
      <c r="B3403" t="s">
        <v>11450</v>
      </c>
      <c r="C3403">
        <v>1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 t="s">
        <v>3284</v>
      </c>
      <c r="M3403" t="s">
        <v>3296</v>
      </c>
      <c r="N3403" t="s">
        <v>3321</v>
      </c>
      <c r="O3403" t="s">
        <v>5306</v>
      </c>
      <c r="P3403" t="s">
        <v>5385</v>
      </c>
      <c r="Q3403" t="s">
        <v>5386</v>
      </c>
      <c r="R3403" t="s">
        <v>11451</v>
      </c>
    </row>
    <row r="3404" spans="1:18" x14ac:dyDescent="0.2">
      <c r="A3404">
        <v>1434707</v>
      </c>
      <c r="B3404" t="s">
        <v>11452</v>
      </c>
      <c r="C3404">
        <v>0</v>
      </c>
      <c r="D3404">
        <v>0</v>
      </c>
      <c r="E3404">
        <v>0</v>
      </c>
      <c r="F3404">
        <v>1</v>
      </c>
      <c r="G3404">
        <v>0</v>
      </c>
      <c r="H3404">
        <v>0</v>
      </c>
      <c r="I3404">
        <v>0</v>
      </c>
      <c r="J3404">
        <v>0</v>
      </c>
      <c r="K3404">
        <v>0</v>
      </c>
      <c r="L3404" t="s">
        <v>3284</v>
      </c>
      <c r="M3404" t="s">
        <v>3391</v>
      </c>
      <c r="N3404" t="s">
        <v>4129</v>
      </c>
      <c r="O3404" t="s">
        <v>4130</v>
      </c>
      <c r="P3404" t="s">
        <v>4131</v>
      </c>
      <c r="Q3404" t="s">
        <v>7860</v>
      </c>
      <c r="R3404" t="s">
        <v>11453</v>
      </c>
    </row>
    <row r="3405" spans="1:18" x14ac:dyDescent="0.2">
      <c r="A3405">
        <v>1434066</v>
      </c>
      <c r="B3405" t="s">
        <v>11454</v>
      </c>
      <c r="C3405">
        <v>1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 t="s">
        <v>3284</v>
      </c>
      <c r="M3405" t="s">
        <v>3391</v>
      </c>
      <c r="N3405" t="s">
        <v>3411</v>
      </c>
      <c r="O3405" t="s">
        <v>3412</v>
      </c>
      <c r="P3405" t="s">
        <v>3413</v>
      </c>
      <c r="Q3405" t="s">
        <v>11455</v>
      </c>
      <c r="R3405" t="s">
        <v>11456</v>
      </c>
    </row>
    <row r="3406" spans="1:18" x14ac:dyDescent="0.2">
      <c r="A3406">
        <v>1432052</v>
      </c>
      <c r="B3406" t="s">
        <v>11457</v>
      </c>
      <c r="C3406">
        <v>1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 t="s">
        <v>3284</v>
      </c>
      <c r="M3406" t="s">
        <v>3327</v>
      </c>
      <c r="N3406" t="s">
        <v>3328</v>
      </c>
      <c r="O3406" t="s">
        <v>4017</v>
      </c>
      <c r="P3406" t="s">
        <v>4018</v>
      </c>
      <c r="Q3406" t="s">
        <v>11458</v>
      </c>
      <c r="R3406" t="s">
        <v>11459</v>
      </c>
    </row>
    <row r="3407" spans="1:18" x14ac:dyDescent="0.2">
      <c r="A3407">
        <v>1424294</v>
      </c>
      <c r="B3407" t="s">
        <v>11460</v>
      </c>
      <c r="C3407">
        <v>6</v>
      </c>
      <c r="D3407">
        <v>1</v>
      </c>
      <c r="E3407">
        <v>1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 t="s">
        <v>3284</v>
      </c>
      <c r="M3407" t="s">
        <v>3327</v>
      </c>
      <c r="N3407" t="s">
        <v>3328</v>
      </c>
      <c r="O3407" t="s">
        <v>4184</v>
      </c>
      <c r="P3407" t="s">
        <v>9429</v>
      </c>
      <c r="Q3407" t="s">
        <v>11461</v>
      </c>
      <c r="R3407" t="s">
        <v>11462</v>
      </c>
    </row>
    <row r="3408" spans="1:18" x14ac:dyDescent="0.2">
      <c r="A3408">
        <v>1423959</v>
      </c>
      <c r="B3408" t="s">
        <v>11463</v>
      </c>
      <c r="C3408">
        <v>10</v>
      </c>
      <c r="D3408">
        <v>7</v>
      </c>
      <c r="E3408">
        <v>1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 t="s">
        <v>3284</v>
      </c>
      <c r="M3408" t="s">
        <v>3391</v>
      </c>
      <c r="N3408" t="s">
        <v>3411</v>
      </c>
      <c r="O3408" t="s">
        <v>3412</v>
      </c>
      <c r="P3408" t="s">
        <v>3564</v>
      </c>
      <c r="Q3408" t="s">
        <v>3803</v>
      </c>
      <c r="R3408" t="s">
        <v>11464</v>
      </c>
    </row>
    <row r="3409" spans="1:18" x14ac:dyDescent="0.2">
      <c r="A3409">
        <v>1421019</v>
      </c>
      <c r="B3409" t="s">
        <v>11465</v>
      </c>
      <c r="C3409">
        <v>0</v>
      </c>
      <c r="D3409">
        <v>0</v>
      </c>
      <c r="E3409">
        <v>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 t="s">
        <v>3284</v>
      </c>
      <c r="M3409" t="s">
        <v>3327</v>
      </c>
      <c r="N3409" t="s">
        <v>3376</v>
      </c>
      <c r="O3409" t="s">
        <v>3377</v>
      </c>
      <c r="P3409" t="s">
        <v>5514</v>
      </c>
      <c r="Q3409" t="s">
        <v>11466</v>
      </c>
      <c r="R3409" t="s">
        <v>11467</v>
      </c>
    </row>
    <row r="3410" spans="1:18" x14ac:dyDescent="0.2">
      <c r="A3410">
        <v>1420591</v>
      </c>
      <c r="B3410" t="s">
        <v>11468</v>
      </c>
      <c r="C3410">
        <v>0</v>
      </c>
      <c r="D3410">
        <v>1</v>
      </c>
      <c r="E3410">
        <v>0</v>
      </c>
      <c r="F3410">
        <v>3</v>
      </c>
      <c r="G3410">
        <v>3</v>
      </c>
      <c r="H3410">
        <v>0</v>
      </c>
      <c r="I3410">
        <v>1</v>
      </c>
      <c r="J3410">
        <v>0</v>
      </c>
      <c r="K3410">
        <v>0</v>
      </c>
      <c r="L3410" t="s">
        <v>3284</v>
      </c>
      <c r="M3410" t="s">
        <v>3296</v>
      </c>
      <c r="N3410" t="s">
        <v>3343</v>
      </c>
      <c r="O3410" t="s">
        <v>3349</v>
      </c>
      <c r="P3410" t="s">
        <v>3350</v>
      </c>
      <c r="Q3410" t="s">
        <v>3351</v>
      </c>
      <c r="R3410" t="s">
        <v>11469</v>
      </c>
    </row>
    <row r="3411" spans="1:18" x14ac:dyDescent="0.2">
      <c r="A3411">
        <v>1417629</v>
      </c>
      <c r="B3411" t="s">
        <v>11470</v>
      </c>
      <c r="C3411">
        <v>2</v>
      </c>
      <c r="D3411">
        <v>0</v>
      </c>
      <c r="E3411">
        <v>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 t="s">
        <v>3284</v>
      </c>
      <c r="M3411" t="s">
        <v>3327</v>
      </c>
      <c r="N3411" t="s">
        <v>3328</v>
      </c>
      <c r="O3411" t="s">
        <v>4184</v>
      </c>
      <c r="P3411" t="s">
        <v>9429</v>
      </c>
      <c r="Q3411" t="s">
        <v>10148</v>
      </c>
      <c r="R3411" t="s">
        <v>11471</v>
      </c>
    </row>
    <row r="3412" spans="1:18" x14ac:dyDescent="0.2">
      <c r="A3412">
        <v>1416808</v>
      </c>
      <c r="B3412" t="s">
        <v>11472</v>
      </c>
      <c r="C3412">
        <v>1</v>
      </c>
      <c r="D3412">
        <v>0</v>
      </c>
      <c r="E3412">
        <v>0</v>
      </c>
      <c r="F3412">
        <v>0</v>
      </c>
      <c r="G3412">
        <v>1</v>
      </c>
      <c r="H3412">
        <v>0</v>
      </c>
      <c r="I3412">
        <v>0</v>
      </c>
      <c r="J3412">
        <v>0</v>
      </c>
      <c r="K3412">
        <v>0</v>
      </c>
      <c r="L3412" t="s">
        <v>3284</v>
      </c>
      <c r="M3412" t="s">
        <v>3296</v>
      </c>
      <c r="N3412" t="s">
        <v>3321</v>
      </c>
      <c r="O3412" t="s">
        <v>3322</v>
      </c>
      <c r="P3412" t="s">
        <v>4143</v>
      </c>
      <c r="Q3412" t="s">
        <v>6285</v>
      </c>
      <c r="R3412" t="s">
        <v>11473</v>
      </c>
    </row>
    <row r="3413" spans="1:18" x14ac:dyDescent="0.2">
      <c r="A3413">
        <v>1416806</v>
      </c>
      <c r="B3413" t="s">
        <v>11474</v>
      </c>
      <c r="C3413">
        <v>0</v>
      </c>
      <c r="D3413">
        <v>0</v>
      </c>
      <c r="E3413">
        <v>0</v>
      </c>
      <c r="F3413">
        <v>1</v>
      </c>
      <c r="G3413">
        <v>0</v>
      </c>
      <c r="H3413">
        <v>0</v>
      </c>
      <c r="I3413">
        <v>0</v>
      </c>
      <c r="J3413">
        <v>0</v>
      </c>
      <c r="K3413">
        <v>0</v>
      </c>
      <c r="L3413" t="s">
        <v>3284</v>
      </c>
      <c r="M3413" t="s">
        <v>3296</v>
      </c>
      <c r="N3413" t="s">
        <v>3321</v>
      </c>
      <c r="O3413" t="s">
        <v>3322</v>
      </c>
      <c r="P3413" t="s">
        <v>4143</v>
      </c>
      <c r="Q3413" t="s">
        <v>6285</v>
      </c>
      <c r="R3413" t="s">
        <v>11475</v>
      </c>
    </row>
    <row r="3414" spans="1:18" x14ac:dyDescent="0.2">
      <c r="A3414">
        <v>1416779</v>
      </c>
      <c r="B3414" t="s">
        <v>11476</v>
      </c>
      <c r="C3414">
        <v>0</v>
      </c>
      <c r="D3414">
        <v>0</v>
      </c>
      <c r="E3414">
        <v>0</v>
      </c>
      <c r="F3414">
        <v>1</v>
      </c>
      <c r="G3414">
        <v>1</v>
      </c>
      <c r="H3414">
        <v>0</v>
      </c>
      <c r="I3414">
        <v>0</v>
      </c>
      <c r="J3414">
        <v>0</v>
      </c>
      <c r="K3414">
        <v>0</v>
      </c>
      <c r="L3414" t="s">
        <v>3284</v>
      </c>
      <c r="M3414" t="s">
        <v>3391</v>
      </c>
      <c r="N3414" t="s">
        <v>3411</v>
      </c>
      <c r="O3414" t="s">
        <v>3412</v>
      </c>
      <c r="P3414" t="s">
        <v>3564</v>
      </c>
      <c r="Q3414" t="s">
        <v>3565</v>
      </c>
      <c r="R3414" t="s">
        <v>11477</v>
      </c>
    </row>
    <row r="3415" spans="1:18" x14ac:dyDescent="0.2">
      <c r="A3415">
        <v>1415542</v>
      </c>
      <c r="B3415" t="s">
        <v>11478</v>
      </c>
      <c r="C3415">
        <v>1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 t="s">
        <v>3284</v>
      </c>
      <c r="M3415" t="s">
        <v>3307</v>
      </c>
      <c r="N3415" t="s">
        <v>3308</v>
      </c>
      <c r="O3415" t="s">
        <v>3382</v>
      </c>
      <c r="P3415" t="s">
        <v>3383</v>
      </c>
      <c r="Q3415" t="s">
        <v>11479</v>
      </c>
      <c r="R3415" t="s">
        <v>11480</v>
      </c>
    </row>
    <row r="3416" spans="1:18" x14ac:dyDescent="0.2">
      <c r="A3416">
        <v>1414727</v>
      </c>
      <c r="B3416" t="s">
        <v>11481</v>
      </c>
      <c r="C3416">
        <v>2</v>
      </c>
      <c r="D3416">
        <v>1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 t="s">
        <v>3284</v>
      </c>
      <c r="M3416" t="s">
        <v>3391</v>
      </c>
      <c r="N3416" t="s">
        <v>3411</v>
      </c>
      <c r="O3416" t="s">
        <v>3412</v>
      </c>
      <c r="P3416" t="s">
        <v>3564</v>
      </c>
      <c r="Q3416" t="s">
        <v>3803</v>
      </c>
      <c r="R3416" t="s">
        <v>11482</v>
      </c>
    </row>
    <row r="3417" spans="1:18" x14ac:dyDescent="0.2">
      <c r="A3417">
        <v>1414720</v>
      </c>
      <c r="B3417" t="s">
        <v>11483</v>
      </c>
      <c r="C3417">
        <v>2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 t="s">
        <v>3284</v>
      </c>
      <c r="M3417" t="s">
        <v>3327</v>
      </c>
      <c r="N3417" t="s">
        <v>3328</v>
      </c>
      <c r="O3417" t="s">
        <v>3329</v>
      </c>
      <c r="P3417" t="s">
        <v>3330</v>
      </c>
      <c r="Q3417" t="s">
        <v>3331</v>
      </c>
      <c r="R3417" t="s">
        <v>11484</v>
      </c>
    </row>
    <row r="3418" spans="1:18" x14ac:dyDescent="0.2">
      <c r="A3418">
        <v>1411316</v>
      </c>
      <c r="B3418" t="s">
        <v>11485</v>
      </c>
      <c r="C3418">
        <v>3</v>
      </c>
      <c r="D3418">
        <v>1</v>
      </c>
      <c r="E3418">
        <v>1</v>
      </c>
      <c r="F3418">
        <v>1</v>
      </c>
      <c r="G3418">
        <v>3</v>
      </c>
      <c r="H3418">
        <v>0</v>
      </c>
      <c r="I3418">
        <v>0</v>
      </c>
      <c r="J3418">
        <v>1</v>
      </c>
      <c r="K3418">
        <v>0</v>
      </c>
      <c r="L3418" t="s">
        <v>3284</v>
      </c>
      <c r="M3418" t="s">
        <v>3391</v>
      </c>
      <c r="N3418" t="s">
        <v>3392</v>
      </c>
      <c r="O3418" t="s">
        <v>3393</v>
      </c>
      <c r="P3418" t="s">
        <v>3394</v>
      </c>
      <c r="Q3418" t="s">
        <v>3395</v>
      </c>
      <c r="R3418" t="s">
        <v>11486</v>
      </c>
    </row>
    <row r="3419" spans="1:18" x14ac:dyDescent="0.2">
      <c r="A3419">
        <v>1410619</v>
      </c>
      <c r="B3419" t="s">
        <v>11487</v>
      </c>
      <c r="C3419">
        <v>0</v>
      </c>
      <c r="D3419">
        <v>1</v>
      </c>
      <c r="E3419">
        <v>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 t="s">
        <v>3284</v>
      </c>
      <c r="M3419" t="s">
        <v>3296</v>
      </c>
      <c r="N3419" t="s">
        <v>3297</v>
      </c>
      <c r="O3419" t="s">
        <v>3298</v>
      </c>
      <c r="P3419" t="s">
        <v>3299</v>
      </c>
      <c r="Q3419" t="s">
        <v>3300</v>
      </c>
      <c r="R3419" t="s">
        <v>11488</v>
      </c>
    </row>
    <row r="3420" spans="1:18" x14ac:dyDescent="0.2">
      <c r="A3420">
        <v>1408819</v>
      </c>
      <c r="B3420" t="s">
        <v>11489</v>
      </c>
      <c r="C3420">
        <v>1</v>
      </c>
      <c r="D3420">
        <v>2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 t="s">
        <v>3284</v>
      </c>
      <c r="M3420" t="s">
        <v>3327</v>
      </c>
      <c r="N3420" t="s">
        <v>3328</v>
      </c>
      <c r="O3420" t="s">
        <v>3329</v>
      </c>
      <c r="P3420" t="s">
        <v>3330</v>
      </c>
      <c r="Q3420" t="s">
        <v>11490</v>
      </c>
      <c r="R3420" t="s">
        <v>11491</v>
      </c>
    </row>
    <row r="3421" spans="1:18" x14ac:dyDescent="0.2">
      <c r="A3421">
        <v>1404443</v>
      </c>
      <c r="B3421" t="s">
        <v>11492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1</v>
      </c>
      <c r="J3421">
        <v>0</v>
      </c>
      <c r="K3421">
        <v>0</v>
      </c>
      <c r="L3421" t="s">
        <v>3284</v>
      </c>
      <c r="M3421" t="s">
        <v>3296</v>
      </c>
      <c r="N3421" t="s">
        <v>3343</v>
      </c>
      <c r="O3421" t="s">
        <v>3344</v>
      </c>
      <c r="P3421" t="s">
        <v>3937</v>
      </c>
      <c r="Q3421" t="s">
        <v>3938</v>
      </c>
      <c r="R3421" t="s">
        <v>11493</v>
      </c>
    </row>
    <row r="3422" spans="1:18" x14ac:dyDescent="0.2">
      <c r="A3422">
        <v>1404367</v>
      </c>
      <c r="B3422" t="s">
        <v>11494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1</v>
      </c>
      <c r="K3422">
        <v>0</v>
      </c>
      <c r="L3422" t="s">
        <v>3284</v>
      </c>
      <c r="M3422" t="s">
        <v>3296</v>
      </c>
      <c r="N3422" t="s">
        <v>3343</v>
      </c>
      <c r="O3422" t="s">
        <v>3344</v>
      </c>
      <c r="P3422" t="s">
        <v>3937</v>
      </c>
      <c r="Q3422" t="s">
        <v>3938</v>
      </c>
      <c r="R3422" t="s">
        <v>11495</v>
      </c>
    </row>
    <row r="3423" spans="1:18" x14ac:dyDescent="0.2">
      <c r="A3423">
        <v>1400860</v>
      </c>
      <c r="B3423" t="s">
        <v>11496</v>
      </c>
      <c r="C3423">
        <v>1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 t="s">
        <v>3284</v>
      </c>
      <c r="M3423" t="s">
        <v>3296</v>
      </c>
      <c r="N3423" t="s">
        <v>3297</v>
      </c>
      <c r="O3423" t="s">
        <v>3271</v>
      </c>
      <c r="P3423" t="s">
        <v>8658</v>
      </c>
      <c r="Q3423" t="s">
        <v>11497</v>
      </c>
      <c r="R3423" t="s">
        <v>11498</v>
      </c>
    </row>
    <row r="3424" spans="1:18" x14ac:dyDescent="0.2">
      <c r="A3424">
        <v>1397668</v>
      </c>
      <c r="B3424" t="s">
        <v>11499</v>
      </c>
      <c r="C3424">
        <v>0</v>
      </c>
      <c r="D3424">
        <v>1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 t="s">
        <v>3284</v>
      </c>
      <c r="M3424" t="s">
        <v>3327</v>
      </c>
      <c r="N3424" t="s">
        <v>3328</v>
      </c>
      <c r="O3424" t="s">
        <v>3329</v>
      </c>
      <c r="P3424" t="s">
        <v>10616</v>
      </c>
      <c r="Q3424" t="s">
        <v>11500</v>
      </c>
      <c r="R3424" t="s">
        <v>11501</v>
      </c>
    </row>
    <row r="3425" spans="1:18" x14ac:dyDescent="0.2">
      <c r="A3425">
        <v>1397476</v>
      </c>
      <c r="B3425" t="s">
        <v>11502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1</v>
      </c>
      <c r="I3425">
        <v>0</v>
      </c>
      <c r="J3425">
        <v>0</v>
      </c>
      <c r="K3425">
        <v>0</v>
      </c>
      <c r="L3425" t="s">
        <v>3284</v>
      </c>
      <c r="M3425" t="s">
        <v>3296</v>
      </c>
      <c r="N3425" t="s">
        <v>3343</v>
      </c>
      <c r="O3425" t="s">
        <v>3344</v>
      </c>
      <c r="P3425" t="s">
        <v>4347</v>
      </c>
      <c r="Q3425" t="s">
        <v>7357</v>
      </c>
      <c r="R3425" t="s">
        <v>11503</v>
      </c>
    </row>
    <row r="3426" spans="1:18" x14ac:dyDescent="0.2">
      <c r="A3426">
        <v>1396141</v>
      </c>
      <c r="B3426" t="s">
        <v>11504</v>
      </c>
      <c r="C3426">
        <v>0</v>
      </c>
      <c r="D3426">
        <v>0</v>
      </c>
      <c r="E3426">
        <v>1</v>
      </c>
      <c r="F3426">
        <v>1</v>
      </c>
      <c r="G3426">
        <v>2</v>
      </c>
      <c r="H3426">
        <v>0</v>
      </c>
      <c r="I3426">
        <v>0</v>
      </c>
      <c r="J3426">
        <v>0</v>
      </c>
      <c r="K3426">
        <v>0</v>
      </c>
      <c r="L3426" t="s">
        <v>3284</v>
      </c>
      <c r="M3426" t="s">
        <v>3816</v>
      </c>
      <c r="N3426" t="s">
        <v>3817</v>
      </c>
      <c r="O3426" t="s">
        <v>3818</v>
      </c>
      <c r="P3426" t="s">
        <v>3819</v>
      </c>
      <c r="Q3426" t="s">
        <v>11505</v>
      </c>
      <c r="R3426" t="s">
        <v>11506</v>
      </c>
    </row>
    <row r="3427" spans="1:18" x14ac:dyDescent="0.2">
      <c r="A3427">
        <v>1395951</v>
      </c>
      <c r="B3427" t="s">
        <v>11507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2</v>
      </c>
      <c r="J3427">
        <v>0</v>
      </c>
      <c r="K3427">
        <v>0</v>
      </c>
      <c r="L3427" t="s">
        <v>3284</v>
      </c>
      <c r="M3427" t="s">
        <v>3296</v>
      </c>
      <c r="N3427" t="s">
        <v>3343</v>
      </c>
      <c r="O3427" t="s">
        <v>3344</v>
      </c>
      <c r="P3427" t="s">
        <v>3355</v>
      </c>
      <c r="Q3427" t="s">
        <v>5273</v>
      </c>
      <c r="R3427" t="s">
        <v>11508</v>
      </c>
    </row>
    <row r="3428" spans="1:18" x14ac:dyDescent="0.2">
      <c r="A3428">
        <v>1395944</v>
      </c>
      <c r="B3428" t="s">
        <v>11509</v>
      </c>
      <c r="C3428">
        <v>0</v>
      </c>
      <c r="D3428">
        <v>0</v>
      </c>
      <c r="E3428">
        <v>0</v>
      </c>
      <c r="F3428">
        <v>0</v>
      </c>
      <c r="G3428">
        <v>1</v>
      </c>
      <c r="H3428">
        <v>0</v>
      </c>
      <c r="I3428">
        <v>0</v>
      </c>
      <c r="J3428">
        <v>0</v>
      </c>
      <c r="K3428">
        <v>0</v>
      </c>
      <c r="L3428" t="s">
        <v>3284</v>
      </c>
      <c r="M3428" t="s">
        <v>3296</v>
      </c>
      <c r="N3428" t="s">
        <v>3343</v>
      </c>
      <c r="O3428" t="s">
        <v>3344</v>
      </c>
      <c r="P3428" t="s">
        <v>3355</v>
      </c>
      <c r="Q3428" t="s">
        <v>5728</v>
      </c>
      <c r="R3428" t="s">
        <v>11510</v>
      </c>
    </row>
    <row r="3429" spans="1:18" x14ac:dyDescent="0.2">
      <c r="A3429">
        <v>1395607</v>
      </c>
      <c r="B3429" t="s">
        <v>11511</v>
      </c>
      <c r="C3429">
        <v>0</v>
      </c>
      <c r="D3429">
        <v>0</v>
      </c>
      <c r="E3429">
        <v>0</v>
      </c>
      <c r="F3429">
        <v>1</v>
      </c>
      <c r="G3429">
        <v>0</v>
      </c>
      <c r="H3429">
        <v>0</v>
      </c>
      <c r="I3429">
        <v>0</v>
      </c>
      <c r="J3429">
        <v>0</v>
      </c>
      <c r="K3429">
        <v>0</v>
      </c>
      <c r="L3429" t="s">
        <v>3284</v>
      </c>
      <c r="M3429" t="s">
        <v>3296</v>
      </c>
      <c r="N3429" t="s">
        <v>3321</v>
      </c>
      <c r="O3429" t="s">
        <v>3322</v>
      </c>
      <c r="P3429" t="s">
        <v>4143</v>
      </c>
      <c r="Q3429" t="s">
        <v>6285</v>
      </c>
      <c r="R3429" t="s">
        <v>11512</v>
      </c>
    </row>
    <row r="3430" spans="1:18" x14ac:dyDescent="0.2">
      <c r="A3430">
        <v>1393051</v>
      </c>
      <c r="B3430" t="s">
        <v>11513</v>
      </c>
      <c r="C3430">
        <v>1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1</v>
      </c>
      <c r="J3430">
        <v>0</v>
      </c>
      <c r="K3430">
        <v>0</v>
      </c>
      <c r="L3430" t="s">
        <v>3284</v>
      </c>
      <c r="M3430" t="s">
        <v>3391</v>
      </c>
      <c r="N3430" t="s">
        <v>3392</v>
      </c>
      <c r="O3430" t="s">
        <v>3393</v>
      </c>
      <c r="P3430" t="s">
        <v>3394</v>
      </c>
      <c r="Q3430" t="s">
        <v>3395</v>
      </c>
      <c r="R3430" t="s">
        <v>11514</v>
      </c>
    </row>
    <row r="3431" spans="1:18" x14ac:dyDescent="0.2">
      <c r="A3431">
        <v>1393049</v>
      </c>
      <c r="B3431" t="s">
        <v>11515</v>
      </c>
      <c r="C3431">
        <v>0</v>
      </c>
      <c r="D3431">
        <v>1</v>
      </c>
      <c r="E3431">
        <v>0</v>
      </c>
      <c r="F3431">
        <v>2</v>
      </c>
      <c r="G3431">
        <v>2</v>
      </c>
      <c r="H3431">
        <v>0</v>
      </c>
      <c r="I3431">
        <v>0</v>
      </c>
      <c r="J3431">
        <v>0</v>
      </c>
      <c r="K3431">
        <v>0</v>
      </c>
      <c r="L3431" t="s">
        <v>3284</v>
      </c>
      <c r="M3431" t="s">
        <v>3391</v>
      </c>
      <c r="N3431" t="s">
        <v>3411</v>
      </c>
      <c r="O3431" t="s">
        <v>3412</v>
      </c>
      <c r="P3431" t="s">
        <v>3413</v>
      </c>
      <c r="Q3431" t="s">
        <v>3414</v>
      </c>
      <c r="R3431" t="s">
        <v>11516</v>
      </c>
    </row>
    <row r="3432" spans="1:18" x14ac:dyDescent="0.2">
      <c r="A3432">
        <v>1391647</v>
      </c>
      <c r="B3432" t="s">
        <v>11517</v>
      </c>
      <c r="C3432">
        <v>1</v>
      </c>
      <c r="D3432">
        <v>1</v>
      </c>
      <c r="E3432">
        <v>1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 t="s">
        <v>3284</v>
      </c>
      <c r="M3432" t="s">
        <v>3327</v>
      </c>
      <c r="N3432" t="s">
        <v>3328</v>
      </c>
      <c r="O3432" t="s">
        <v>3329</v>
      </c>
      <c r="P3432" t="s">
        <v>3330</v>
      </c>
      <c r="Q3432" t="s">
        <v>3331</v>
      </c>
      <c r="R3432" t="s">
        <v>11518</v>
      </c>
    </row>
    <row r="3433" spans="1:18" x14ac:dyDescent="0.2">
      <c r="A3433">
        <v>1391627</v>
      </c>
      <c r="B3433" t="s">
        <v>11519</v>
      </c>
      <c r="C3433">
        <v>0</v>
      </c>
      <c r="D3433">
        <v>0</v>
      </c>
      <c r="E3433">
        <v>0</v>
      </c>
      <c r="F3433">
        <v>4</v>
      </c>
      <c r="G3433">
        <v>0</v>
      </c>
      <c r="H3433">
        <v>0</v>
      </c>
      <c r="I3433">
        <v>0</v>
      </c>
      <c r="J3433">
        <v>0</v>
      </c>
      <c r="K3433">
        <v>0</v>
      </c>
      <c r="L3433" t="s">
        <v>3284</v>
      </c>
      <c r="M3433" t="s">
        <v>3391</v>
      </c>
      <c r="N3433" t="s">
        <v>3392</v>
      </c>
      <c r="O3433" t="s">
        <v>3393</v>
      </c>
      <c r="P3433" t="s">
        <v>3394</v>
      </c>
      <c r="Q3433" t="s">
        <v>4082</v>
      </c>
      <c r="R3433" t="s">
        <v>11520</v>
      </c>
    </row>
    <row r="3434" spans="1:18" x14ac:dyDescent="0.2">
      <c r="A3434">
        <v>1391375</v>
      </c>
      <c r="B3434" t="s">
        <v>11521</v>
      </c>
      <c r="C3434">
        <v>0</v>
      </c>
      <c r="D3434">
        <v>0</v>
      </c>
      <c r="E3434">
        <v>0</v>
      </c>
      <c r="F3434">
        <v>1</v>
      </c>
      <c r="G3434">
        <v>0</v>
      </c>
      <c r="H3434">
        <v>0</v>
      </c>
      <c r="I3434">
        <v>1</v>
      </c>
      <c r="J3434">
        <v>0</v>
      </c>
      <c r="K3434">
        <v>0</v>
      </c>
      <c r="L3434" t="s">
        <v>3284</v>
      </c>
      <c r="M3434" t="s">
        <v>3296</v>
      </c>
      <c r="N3434" t="s">
        <v>3343</v>
      </c>
      <c r="O3434" t="s">
        <v>3349</v>
      </c>
      <c r="P3434" t="s">
        <v>3350</v>
      </c>
      <c r="Q3434" t="s">
        <v>3580</v>
      </c>
      <c r="R3434" t="s">
        <v>11522</v>
      </c>
    </row>
    <row r="3435" spans="1:18" x14ac:dyDescent="0.2">
      <c r="A3435">
        <v>1391222</v>
      </c>
      <c r="B3435" t="s">
        <v>11523</v>
      </c>
      <c r="C3435">
        <v>0</v>
      </c>
      <c r="D3435">
        <v>0</v>
      </c>
      <c r="E3435">
        <v>0</v>
      </c>
      <c r="F3435">
        <v>2</v>
      </c>
      <c r="G3435">
        <v>1</v>
      </c>
      <c r="H3435">
        <v>0</v>
      </c>
      <c r="I3435">
        <v>0</v>
      </c>
      <c r="J3435">
        <v>0</v>
      </c>
      <c r="K3435">
        <v>0</v>
      </c>
      <c r="L3435" t="s">
        <v>3284</v>
      </c>
      <c r="M3435" t="s">
        <v>3296</v>
      </c>
      <c r="N3435" t="s">
        <v>3343</v>
      </c>
      <c r="O3435" t="s">
        <v>3349</v>
      </c>
      <c r="P3435" t="s">
        <v>3350</v>
      </c>
      <c r="Q3435" t="s">
        <v>3351</v>
      </c>
      <c r="R3435" t="s">
        <v>11524</v>
      </c>
    </row>
    <row r="3436" spans="1:18" x14ac:dyDescent="0.2">
      <c r="A3436">
        <v>1389713</v>
      </c>
      <c r="B3436" t="s">
        <v>11525</v>
      </c>
      <c r="C3436">
        <v>0</v>
      </c>
      <c r="D3436">
        <v>0</v>
      </c>
      <c r="E3436">
        <v>1</v>
      </c>
      <c r="F3436">
        <v>0</v>
      </c>
      <c r="G3436">
        <v>1</v>
      </c>
      <c r="H3436">
        <v>0</v>
      </c>
      <c r="I3436">
        <v>455</v>
      </c>
      <c r="J3436">
        <v>206</v>
      </c>
      <c r="K3436">
        <v>35</v>
      </c>
      <c r="L3436" t="s">
        <v>3284</v>
      </c>
      <c r="M3436" t="s">
        <v>3307</v>
      </c>
      <c r="N3436" t="s">
        <v>3308</v>
      </c>
      <c r="O3436" t="s">
        <v>3635</v>
      </c>
      <c r="P3436" t="s">
        <v>4011</v>
      </c>
      <c r="Q3436" t="s">
        <v>4012</v>
      </c>
      <c r="R3436" t="s">
        <v>11526</v>
      </c>
    </row>
    <row r="3437" spans="1:18" x14ac:dyDescent="0.2">
      <c r="A3437">
        <v>1389218</v>
      </c>
      <c r="B3437" t="s">
        <v>11527</v>
      </c>
      <c r="C3437">
        <v>1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 t="s">
        <v>3284</v>
      </c>
      <c r="M3437" t="s">
        <v>3391</v>
      </c>
      <c r="N3437" t="s">
        <v>3740</v>
      </c>
      <c r="O3437" t="s">
        <v>3741</v>
      </c>
      <c r="P3437" t="s">
        <v>4388</v>
      </c>
      <c r="Q3437" t="s">
        <v>11528</v>
      </c>
      <c r="R3437" t="s">
        <v>11529</v>
      </c>
    </row>
    <row r="3438" spans="1:18" x14ac:dyDescent="0.2">
      <c r="A3438">
        <v>1387834</v>
      </c>
      <c r="B3438" t="s">
        <v>11530</v>
      </c>
      <c r="C3438">
        <v>2</v>
      </c>
      <c r="D3438">
        <v>0</v>
      </c>
      <c r="E3438">
        <v>1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 t="s">
        <v>3284</v>
      </c>
      <c r="M3438" t="s">
        <v>3327</v>
      </c>
      <c r="N3438" t="s">
        <v>3376</v>
      </c>
      <c r="O3438" t="s">
        <v>3377</v>
      </c>
      <c r="P3438" t="s">
        <v>3604</v>
      </c>
      <c r="Q3438" t="s">
        <v>3668</v>
      </c>
      <c r="R3438" t="s">
        <v>11531</v>
      </c>
    </row>
    <row r="3439" spans="1:18" x14ac:dyDescent="0.2">
      <c r="A3439">
        <v>1387353</v>
      </c>
      <c r="B3439" t="s">
        <v>11532</v>
      </c>
      <c r="C3439">
        <v>0</v>
      </c>
      <c r="D3439">
        <v>1</v>
      </c>
      <c r="E3439">
        <v>1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 t="s">
        <v>3284</v>
      </c>
      <c r="M3439" t="s">
        <v>3794</v>
      </c>
      <c r="N3439" t="s">
        <v>3795</v>
      </c>
      <c r="O3439" t="s">
        <v>7421</v>
      </c>
      <c r="P3439" t="s">
        <v>7422</v>
      </c>
      <c r="Q3439" t="s">
        <v>11533</v>
      </c>
      <c r="R3439" t="s">
        <v>11534</v>
      </c>
    </row>
    <row r="3440" spans="1:18" x14ac:dyDescent="0.2">
      <c r="A3440">
        <v>1387277</v>
      </c>
      <c r="B3440" t="s">
        <v>11535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1</v>
      </c>
      <c r="J3440">
        <v>0</v>
      </c>
      <c r="K3440">
        <v>0</v>
      </c>
      <c r="L3440" t="s">
        <v>3284</v>
      </c>
      <c r="M3440" t="s">
        <v>3296</v>
      </c>
      <c r="N3440" t="s">
        <v>3343</v>
      </c>
      <c r="O3440" t="s">
        <v>3371</v>
      </c>
      <c r="P3440" t="s">
        <v>3372</v>
      </c>
      <c r="Q3440" t="s">
        <v>11536</v>
      </c>
      <c r="R3440" t="s">
        <v>11537</v>
      </c>
    </row>
    <row r="3441" spans="1:18" x14ac:dyDescent="0.2">
      <c r="A3441">
        <v>1387174</v>
      </c>
      <c r="B3441" t="s">
        <v>11538</v>
      </c>
      <c r="C3441">
        <v>0</v>
      </c>
      <c r="D3441">
        <v>0</v>
      </c>
      <c r="E3441">
        <v>0</v>
      </c>
      <c r="F3441">
        <v>1</v>
      </c>
      <c r="G3441">
        <v>1</v>
      </c>
      <c r="H3441">
        <v>0</v>
      </c>
      <c r="I3441">
        <v>0</v>
      </c>
      <c r="J3441">
        <v>0</v>
      </c>
      <c r="K3441">
        <v>0</v>
      </c>
      <c r="L3441" t="s">
        <v>3284</v>
      </c>
      <c r="M3441" t="s">
        <v>3296</v>
      </c>
      <c r="N3441" t="s">
        <v>3343</v>
      </c>
      <c r="O3441" t="s">
        <v>3349</v>
      </c>
      <c r="P3441" t="s">
        <v>3350</v>
      </c>
      <c r="Q3441" t="s">
        <v>7439</v>
      </c>
      <c r="R3441" t="s">
        <v>11539</v>
      </c>
    </row>
    <row r="3442" spans="1:18" x14ac:dyDescent="0.2">
      <c r="A3442">
        <v>1387165</v>
      </c>
      <c r="B3442" t="s">
        <v>11540</v>
      </c>
      <c r="C3442">
        <v>0</v>
      </c>
      <c r="D3442">
        <v>0</v>
      </c>
      <c r="E3442">
        <v>0</v>
      </c>
      <c r="F3442">
        <v>4</v>
      </c>
      <c r="G3442">
        <v>0</v>
      </c>
      <c r="H3442">
        <v>0</v>
      </c>
      <c r="I3442">
        <v>0</v>
      </c>
      <c r="J3442">
        <v>0</v>
      </c>
      <c r="K3442">
        <v>0</v>
      </c>
      <c r="L3442" t="s">
        <v>3284</v>
      </c>
      <c r="M3442" t="s">
        <v>3296</v>
      </c>
      <c r="N3442" t="s">
        <v>3343</v>
      </c>
      <c r="O3442" t="s">
        <v>3349</v>
      </c>
      <c r="P3442" t="s">
        <v>3350</v>
      </c>
      <c r="Q3442" t="s">
        <v>4175</v>
      </c>
      <c r="R3442" t="s">
        <v>11541</v>
      </c>
    </row>
    <row r="3443" spans="1:18" x14ac:dyDescent="0.2">
      <c r="A3443">
        <v>1385985</v>
      </c>
      <c r="B3443" t="s">
        <v>11542</v>
      </c>
      <c r="C3443">
        <v>1</v>
      </c>
      <c r="D3443">
        <v>3</v>
      </c>
      <c r="E3443">
        <v>3</v>
      </c>
      <c r="F3443">
        <v>1</v>
      </c>
      <c r="G3443">
        <v>0</v>
      </c>
      <c r="H3443">
        <v>0</v>
      </c>
      <c r="I3443">
        <v>0</v>
      </c>
      <c r="J3443">
        <v>0</v>
      </c>
      <c r="K3443">
        <v>0</v>
      </c>
      <c r="L3443" t="s">
        <v>3284</v>
      </c>
      <c r="M3443" t="s">
        <v>3391</v>
      </c>
      <c r="N3443" t="s">
        <v>3392</v>
      </c>
      <c r="O3443" t="s">
        <v>3393</v>
      </c>
      <c r="P3443" t="s">
        <v>3394</v>
      </c>
      <c r="Q3443" t="s">
        <v>4351</v>
      </c>
      <c r="R3443" t="s">
        <v>11543</v>
      </c>
    </row>
    <row r="3444" spans="1:18" x14ac:dyDescent="0.2">
      <c r="A3444">
        <v>1385984</v>
      </c>
      <c r="B3444" t="s">
        <v>11544</v>
      </c>
      <c r="C3444">
        <v>1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 t="s">
        <v>3284</v>
      </c>
      <c r="M3444" t="s">
        <v>3327</v>
      </c>
      <c r="N3444" t="s">
        <v>3376</v>
      </c>
      <c r="O3444" t="s">
        <v>3377</v>
      </c>
      <c r="P3444" t="s">
        <v>3271</v>
      </c>
      <c r="Q3444" t="s">
        <v>3648</v>
      </c>
      <c r="R3444" t="s">
        <v>11545</v>
      </c>
    </row>
    <row r="3445" spans="1:18" x14ac:dyDescent="0.2">
      <c r="A3445">
        <v>1384487</v>
      </c>
      <c r="B3445" t="s">
        <v>11546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1</v>
      </c>
      <c r="J3445">
        <v>0</v>
      </c>
      <c r="K3445">
        <v>0</v>
      </c>
      <c r="L3445" t="s">
        <v>3284</v>
      </c>
      <c r="M3445" t="s">
        <v>3296</v>
      </c>
      <c r="N3445" t="s">
        <v>3321</v>
      </c>
      <c r="O3445" t="s">
        <v>3322</v>
      </c>
      <c r="P3445" t="s">
        <v>3423</v>
      </c>
      <c r="Q3445" t="s">
        <v>11547</v>
      </c>
      <c r="R3445" t="s">
        <v>11548</v>
      </c>
    </row>
    <row r="3446" spans="1:18" x14ac:dyDescent="0.2">
      <c r="A3446">
        <v>1383067</v>
      </c>
      <c r="B3446" t="s">
        <v>11549</v>
      </c>
      <c r="C3446">
        <v>3</v>
      </c>
      <c r="D3446">
        <v>0</v>
      </c>
      <c r="E3446">
        <v>0</v>
      </c>
      <c r="F3446">
        <v>0</v>
      </c>
      <c r="G3446">
        <v>1</v>
      </c>
      <c r="H3446">
        <v>0</v>
      </c>
      <c r="I3446">
        <v>0</v>
      </c>
      <c r="J3446">
        <v>0</v>
      </c>
      <c r="K3446">
        <v>0</v>
      </c>
      <c r="L3446" t="s">
        <v>3284</v>
      </c>
      <c r="M3446" t="s">
        <v>3327</v>
      </c>
      <c r="N3446" t="s">
        <v>3328</v>
      </c>
      <c r="O3446" t="s">
        <v>3329</v>
      </c>
      <c r="P3446" t="s">
        <v>10616</v>
      </c>
      <c r="Q3446" t="s">
        <v>11500</v>
      </c>
      <c r="R3446" t="s">
        <v>11550</v>
      </c>
    </row>
    <row r="3447" spans="1:18" x14ac:dyDescent="0.2">
      <c r="A3447">
        <v>1382802</v>
      </c>
      <c r="B3447" t="s">
        <v>11551</v>
      </c>
      <c r="C3447">
        <v>0</v>
      </c>
      <c r="D3447">
        <v>1</v>
      </c>
      <c r="E3447">
        <v>0</v>
      </c>
      <c r="F3447">
        <v>1</v>
      </c>
      <c r="G3447">
        <v>0</v>
      </c>
      <c r="H3447">
        <v>0</v>
      </c>
      <c r="I3447">
        <v>0</v>
      </c>
      <c r="J3447">
        <v>0</v>
      </c>
      <c r="K3447">
        <v>0</v>
      </c>
      <c r="L3447" t="s">
        <v>3284</v>
      </c>
      <c r="M3447" t="s">
        <v>3296</v>
      </c>
      <c r="N3447" t="s">
        <v>3343</v>
      </c>
      <c r="O3447" t="s">
        <v>3371</v>
      </c>
      <c r="P3447" t="s">
        <v>3688</v>
      </c>
      <c r="Q3447" t="s">
        <v>11552</v>
      </c>
      <c r="R3447" t="s">
        <v>11553</v>
      </c>
    </row>
    <row r="3448" spans="1:18" x14ac:dyDescent="0.2">
      <c r="A3448">
        <v>1381597</v>
      </c>
      <c r="B3448" t="s">
        <v>11554</v>
      </c>
      <c r="C3448">
        <v>0</v>
      </c>
      <c r="D3448">
        <v>0</v>
      </c>
      <c r="E3448">
        <v>0</v>
      </c>
      <c r="F3448">
        <v>0</v>
      </c>
      <c r="G3448">
        <v>1</v>
      </c>
      <c r="H3448">
        <v>0</v>
      </c>
      <c r="I3448">
        <v>0</v>
      </c>
      <c r="J3448">
        <v>0</v>
      </c>
      <c r="K3448">
        <v>0</v>
      </c>
      <c r="L3448" t="s">
        <v>3284</v>
      </c>
      <c r="M3448" t="s">
        <v>3296</v>
      </c>
      <c r="N3448" t="s">
        <v>3343</v>
      </c>
      <c r="O3448" t="s">
        <v>3349</v>
      </c>
      <c r="P3448" t="s">
        <v>3350</v>
      </c>
      <c r="Q3448" t="s">
        <v>3580</v>
      </c>
      <c r="R3448" t="s">
        <v>11555</v>
      </c>
    </row>
    <row r="3449" spans="1:18" x14ac:dyDescent="0.2">
      <c r="A3449">
        <v>1380707</v>
      </c>
      <c r="B3449" t="s">
        <v>11556</v>
      </c>
      <c r="C3449">
        <v>0</v>
      </c>
      <c r="D3449">
        <v>1</v>
      </c>
      <c r="E3449">
        <v>5</v>
      </c>
      <c r="F3449">
        <v>1</v>
      </c>
      <c r="G3449">
        <v>1</v>
      </c>
      <c r="H3449">
        <v>9</v>
      </c>
      <c r="I3449">
        <v>1</v>
      </c>
      <c r="J3449">
        <v>1</v>
      </c>
      <c r="K3449">
        <v>13</v>
      </c>
      <c r="L3449" t="s">
        <v>3284</v>
      </c>
      <c r="M3449" t="s">
        <v>4022</v>
      </c>
      <c r="N3449" t="s">
        <v>4023</v>
      </c>
      <c r="O3449" t="s">
        <v>4289</v>
      </c>
      <c r="P3449" t="s">
        <v>11557</v>
      </c>
      <c r="Q3449" t="s">
        <v>11558</v>
      </c>
      <c r="R3449" t="s">
        <v>11559</v>
      </c>
    </row>
    <row r="3450" spans="1:18" x14ac:dyDescent="0.2">
      <c r="A3450">
        <v>1380675</v>
      </c>
      <c r="B3450" t="s">
        <v>11560</v>
      </c>
      <c r="C3450">
        <v>14</v>
      </c>
      <c r="D3450">
        <v>4</v>
      </c>
      <c r="E3450">
        <v>6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 t="s">
        <v>3284</v>
      </c>
      <c r="M3450" t="s">
        <v>3327</v>
      </c>
      <c r="N3450" t="s">
        <v>3328</v>
      </c>
      <c r="O3450" t="s">
        <v>3329</v>
      </c>
      <c r="P3450" t="s">
        <v>3330</v>
      </c>
      <c r="Q3450" t="s">
        <v>3683</v>
      </c>
      <c r="R3450" t="s">
        <v>11561</v>
      </c>
    </row>
    <row r="3451" spans="1:18" x14ac:dyDescent="0.2">
      <c r="A3451">
        <v>1380392</v>
      </c>
      <c r="B3451" t="s">
        <v>11562</v>
      </c>
      <c r="C3451">
        <v>0</v>
      </c>
      <c r="D3451">
        <v>0</v>
      </c>
      <c r="E3451">
        <v>0</v>
      </c>
      <c r="F3451">
        <v>1</v>
      </c>
      <c r="G3451">
        <v>0</v>
      </c>
      <c r="H3451">
        <v>0</v>
      </c>
      <c r="I3451">
        <v>0</v>
      </c>
      <c r="J3451">
        <v>0</v>
      </c>
      <c r="K3451">
        <v>0</v>
      </c>
      <c r="L3451" t="s">
        <v>3284</v>
      </c>
      <c r="M3451" t="s">
        <v>3307</v>
      </c>
      <c r="N3451" t="s">
        <v>3308</v>
      </c>
      <c r="O3451" t="s">
        <v>3309</v>
      </c>
      <c r="P3451" t="s">
        <v>3310</v>
      </c>
      <c r="Q3451" t="s">
        <v>3311</v>
      </c>
      <c r="R3451" t="s">
        <v>11563</v>
      </c>
    </row>
    <row r="3452" spans="1:18" x14ac:dyDescent="0.2">
      <c r="A3452">
        <v>1380386</v>
      </c>
      <c r="B3452" t="s">
        <v>11564</v>
      </c>
      <c r="C3452">
        <v>0</v>
      </c>
      <c r="D3452">
        <v>0</v>
      </c>
      <c r="E3452">
        <v>0</v>
      </c>
      <c r="F3452">
        <v>1</v>
      </c>
      <c r="G3452">
        <v>0</v>
      </c>
      <c r="H3452">
        <v>0</v>
      </c>
      <c r="I3452">
        <v>0</v>
      </c>
      <c r="J3452">
        <v>0</v>
      </c>
      <c r="K3452">
        <v>0</v>
      </c>
      <c r="L3452" t="s">
        <v>3284</v>
      </c>
      <c r="M3452" t="s">
        <v>3307</v>
      </c>
      <c r="N3452" t="s">
        <v>3308</v>
      </c>
      <c r="O3452" t="s">
        <v>3635</v>
      </c>
      <c r="P3452" t="s">
        <v>4011</v>
      </c>
      <c r="Q3452" t="s">
        <v>4012</v>
      </c>
      <c r="R3452" t="s">
        <v>11565</v>
      </c>
    </row>
    <row r="3453" spans="1:18" x14ac:dyDescent="0.2">
      <c r="A3453">
        <v>1368474</v>
      </c>
      <c r="B3453" t="s">
        <v>11566</v>
      </c>
      <c r="C3453">
        <v>0</v>
      </c>
      <c r="D3453">
        <v>3</v>
      </c>
      <c r="E3453">
        <v>4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 t="s">
        <v>3284</v>
      </c>
      <c r="M3453" t="s">
        <v>3327</v>
      </c>
      <c r="N3453" t="s">
        <v>3328</v>
      </c>
      <c r="O3453" t="s">
        <v>4184</v>
      </c>
      <c r="P3453" t="s">
        <v>4185</v>
      </c>
      <c r="Q3453" t="s">
        <v>6781</v>
      </c>
      <c r="R3453" t="s">
        <v>11567</v>
      </c>
    </row>
    <row r="3454" spans="1:18" x14ac:dyDescent="0.2">
      <c r="A3454">
        <v>1368430</v>
      </c>
      <c r="B3454" t="s">
        <v>11568</v>
      </c>
      <c r="C3454">
        <v>0</v>
      </c>
      <c r="D3454">
        <v>1</v>
      </c>
      <c r="E3454">
        <v>1</v>
      </c>
      <c r="F3454">
        <v>0</v>
      </c>
      <c r="G3454">
        <v>1</v>
      </c>
      <c r="H3454">
        <v>0</v>
      </c>
      <c r="I3454">
        <v>0</v>
      </c>
      <c r="J3454">
        <v>0</v>
      </c>
      <c r="K3454">
        <v>0</v>
      </c>
      <c r="L3454" t="s">
        <v>3284</v>
      </c>
      <c r="M3454" t="s">
        <v>3296</v>
      </c>
      <c r="N3454" t="s">
        <v>3343</v>
      </c>
      <c r="O3454" t="s">
        <v>3344</v>
      </c>
      <c r="P3454" t="s">
        <v>3355</v>
      </c>
      <c r="Q3454" t="s">
        <v>3356</v>
      </c>
      <c r="R3454" t="s">
        <v>11569</v>
      </c>
    </row>
    <row r="3455" spans="1:18" x14ac:dyDescent="0.2">
      <c r="A3455">
        <v>1367462</v>
      </c>
      <c r="B3455" t="s">
        <v>11570</v>
      </c>
      <c r="C3455">
        <v>22</v>
      </c>
      <c r="D3455">
        <v>15</v>
      </c>
      <c r="E3455">
        <v>13</v>
      </c>
      <c r="F3455">
        <v>0</v>
      </c>
      <c r="G3455">
        <v>0</v>
      </c>
      <c r="H3455">
        <v>0</v>
      </c>
      <c r="I3455">
        <v>0</v>
      </c>
      <c r="J3455">
        <v>1</v>
      </c>
      <c r="K3455">
        <v>0</v>
      </c>
      <c r="L3455" t="s">
        <v>3284</v>
      </c>
      <c r="M3455" t="s">
        <v>3327</v>
      </c>
      <c r="N3455" t="s">
        <v>3328</v>
      </c>
      <c r="O3455" t="s">
        <v>3329</v>
      </c>
      <c r="P3455" t="s">
        <v>3330</v>
      </c>
      <c r="Q3455" t="s">
        <v>3331</v>
      </c>
      <c r="R3455" t="s">
        <v>11571</v>
      </c>
    </row>
    <row r="3456" spans="1:18" x14ac:dyDescent="0.2">
      <c r="A3456">
        <v>1365924</v>
      </c>
      <c r="B3456" t="s">
        <v>11572</v>
      </c>
      <c r="C3456">
        <v>0</v>
      </c>
      <c r="D3456">
        <v>0</v>
      </c>
      <c r="E3456">
        <v>0</v>
      </c>
      <c r="F3456">
        <v>1</v>
      </c>
      <c r="G3456">
        <v>0</v>
      </c>
      <c r="H3456">
        <v>0</v>
      </c>
      <c r="I3456">
        <v>0</v>
      </c>
      <c r="J3456">
        <v>0</v>
      </c>
      <c r="K3456">
        <v>0</v>
      </c>
      <c r="L3456" t="s">
        <v>3284</v>
      </c>
      <c r="M3456" t="s">
        <v>3307</v>
      </c>
      <c r="N3456" t="s">
        <v>3308</v>
      </c>
      <c r="O3456" t="s">
        <v>3382</v>
      </c>
      <c r="P3456" t="s">
        <v>3383</v>
      </c>
      <c r="Q3456" t="s">
        <v>11573</v>
      </c>
      <c r="R3456" t="s">
        <v>11574</v>
      </c>
    </row>
    <row r="3457" spans="1:18" x14ac:dyDescent="0.2">
      <c r="A3457">
        <v>1365606</v>
      </c>
      <c r="B3457" t="s">
        <v>11575</v>
      </c>
      <c r="C3457">
        <v>0</v>
      </c>
      <c r="D3457">
        <v>2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 t="s">
        <v>3284</v>
      </c>
      <c r="M3457" t="s">
        <v>3327</v>
      </c>
      <c r="N3457" t="s">
        <v>3376</v>
      </c>
      <c r="O3457" t="s">
        <v>3377</v>
      </c>
      <c r="P3457" t="s">
        <v>5514</v>
      </c>
      <c r="Q3457" t="s">
        <v>7948</v>
      </c>
      <c r="R3457" t="s">
        <v>11576</v>
      </c>
    </row>
    <row r="3458" spans="1:18" x14ac:dyDescent="0.2">
      <c r="A3458">
        <v>1365108</v>
      </c>
      <c r="B3458" t="s">
        <v>11577</v>
      </c>
      <c r="C3458">
        <v>0</v>
      </c>
      <c r="D3458">
        <v>0</v>
      </c>
      <c r="E3458">
        <v>0</v>
      </c>
      <c r="F3458">
        <v>0</v>
      </c>
      <c r="G3458">
        <v>1</v>
      </c>
      <c r="H3458">
        <v>0</v>
      </c>
      <c r="I3458">
        <v>0</v>
      </c>
      <c r="J3458">
        <v>0</v>
      </c>
      <c r="K3458">
        <v>0</v>
      </c>
      <c r="L3458" t="s">
        <v>3284</v>
      </c>
      <c r="M3458" t="s">
        <v>3296</v>
      </c>
      <c r="N3458" t="s">
        <v>3321</v>
      </c>
      <c r="O3458" t="s">
        <v>3322</v>
      </c>
      <c r="P3458" t="s">
        <v>3423</v>
      </c>
      <c r="Q3458" t="s">
        <v>4170</v>
      </c>
      <c r="R3458" t="s">
        <v>11578</v>
      </c>
    </row>
    <row r="3459" spans="1:18" x14ac:dyDescent="0.2">
      <c r="A3459">
        <v>1357074</v>
      </c>
      <c r="B3459" t="s">
        <v>11579</v>
      </c>
      <c r="C3459">
        <v>0</v>
      </c>
      <c r="D3459">
        <v>0</v>
      </c>
      <c r="E3459">
        <v>0</v>
      </c>
      <c r="F3459">
        <v>0</v>
      </c>
      <c r="G3459">
        <v>2</v>
      </c>
      <c r="H3459">
        <v>0</v>
      </c>
      <c r="I3459">
        <v>0</v>
      </c>
      <c r="J3459">
        <v>0</v>
      </c>
      <c r="K3459">
        <v>0</v>
      </c>
      <c r="L3459" t="s">
        <v>3284</v>
      </c>
      <c r="M3459" t="s">
        <v>3296</v>
      </c>
      <c r="N3459" t="s">
        <v>3297</v>
      </c>
      <c r="O3459" t="s">
        <v>3434</v>
      </c>
      <c r="P3459" t="s">
        <v>3435</v>
      </c>
      <c r="Q3459" t="s">
        <v>3436</v>
      </c>
      <c r="R3459" t="s">
        <v>11580</v>
      </c>
    </row>
    <row r="3460" spans="1:18" x14ac:dyDescent="0.2">
      <c r="A3460">
        <v>1355755</v>
      </c>
      <c r="B3460" t="s">
        <v>11581</v>
      </c>
      <c r="C3460">
        <v>0</v>
      </c>
      <c r="D3460">
        <v>1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 t="s">
        <v>3284</v>
      </c>
      <c r="M3460" t="s">
        <v>3327</v>
      </c>
      <c r="N3460" t="s">
        <v>3376</v>
      </c>
      <c r="O3460" t="s">
        <v>3377</v>
      </c>
      <c r="P3460" t="s">
        <v>3604</v>
      </c>
      <c r="Q3460" t="s">
        <v>3668</v>
      </c>
      <c r="R3460" t="s">
        <v>11582</v>
      </c>
    </row>
    <row r="3461" spans="1:18" x14ac:dyDescent="0.2">
      <c r="A3461">
        <v>1355477</v>
      </c>
      <c r="B3461" t="s">
        <v>11583</v>
      </c>
      <c r="C3461">
        <v>0</v>
      </c>
      <c r="D3461">
        <v>0</v>
      </c>
      <c r="E3461">
        <v>0</v>
      </c>
      <c r="F3461">
        <v>2</v>
      </c>
      <c r="G3461">
        <v>0</v>
      </c>
      <c r="H3461">
        <v>0</v>
      </c>
      <c r="I3461">
        <v>0</v>
      </c>
      <c r="J3461">
        <v>0</v>
      </c>
      <c r="K3461">
        <v>0</v>
      </c>
      <c r="L3461" t="s">
        <v>3284</v>
      </c>
      <c r="M3461" t="s">
        <v>3296</v>
      </c>
      <c r="N3461" t="s">
        <v>3343</v>
      </c>
      <c r="O3461" t="s">
        <v>3344</v>
      </c>
      <c r="P3461" t="s">
        <v>3937</v>
      </c>
      <c r="Q3461" t="s">
        <v>3938</v>
      </c>
      <c r="R3461" t="s">
        <v>11584</v>
      </c>
    </row>
    <row r="3462" spans="1:18" x14ac:dyDescent="0.2">
      <c r="A3462">
        <v>1354301</v>
      </c>
      <c r="B3462" t="s">
        <v>11585</v>
      </c>
      <c r="C3462">
        <v>0</v>
      </c>
      <c r="D3462">
        <v>0</v>
      </c>
      <c r="E3462">
        <v>1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 t="s">
        <v>3284</v>
      </c>
      <c r="M3462" t="s">
        <v>3327</v>
      </c>
      <c r="N3462" t="s">
        <v>3328</v>
      </c>
      <c r="O3462" t="s">
        <v>3329</v>
      </c>
      <c r="P3462" t="s">
        <v>3330</v>
      </c>
      <c r="Q3462" t="s">
        <v>3331</v>
      </c>
      <c r="R3462" t="s">
        <v>11586</v>
      </c>
    </row>
    <row r="3463" spans="1:18" x14ac:dyDescent="0.2">
      <c r="A3463">
        <v>1353888</v>
      </c>
      <c r="B3463" t="s">
        <v>11587</v>
      </c>
      <c r="C3463">
        <v>0</v>
      </c>
      <c r="D3463">
        <v>0</v>
      </c>
      <c r="E3463">
        <v>0</v>
      </c>
      <c r="F3463">
        <v>1</v>
      </c>
      <c r="G3463">
        <v>0</v>
      </c>
      <c r="H3463">
        <v>0</v>
      </c>
      <c r="I3463">
        <v>0</v>
      </c>
      <c r="J3463">
        <v>0</v>
      </c>
      <c r="K3463">
        <v>0</v>
      </c>
      <c r="L3463" t="s">
        <v>3284</v>
      </c>
      <c r="M3463" t="s">
        <v>3296</v>
      </c>
      <c r="N3463" t="s">
        <v>3321</v>
      </c>
      <c r="O3463" t="s">
        <v>3322</v>
      </c>
      <c r="P3463" t="s">
        <v>4143</v>
      </c>
      <c r="Q3463" t="s">
        <v>4539</v>
      </c>
      <c r="R3463" t="s">
        <v>11588</v>
      </c>
    </row>
    <row r="3464" spans="1:18" x14ac:dyDescent="0.2">
      <c r="A3464">
        <v>1353775</v>
      </c>
      <c r="B3464" t="s">
        <v>11589</v>
      </c>
      <c r="C3464">
        <v>0</v>
      </c>
      <c r="D3464">
        <v>0</v>
      </c>
      <c r="E3464">
        <v>0</v>
      </c>
      <c r="F3464">
        <v>1</v>
      </c>
      <c r="G3464">
        <v>0</v>
      </c>
      <c r="H3464">
        <v>0</v>
      </c>
      <c r="I3464">
        <v>0</v>
      </c>
      <c r="J3464">
        <v>0</v>
      </c>
      <c r="K3464">
        <v>0</v>
      </c>
      <c r="L3464" t="s">
        <v>3284</v>
      </c>
      <c r="M3464" t="s">
        <v>3307</v>
      </c>
      <c r="N3464" t="s">
        <v>3308</v>
      </c>
      <c r="O3464" t="s">
        <v>3309</v>
      </c>
      <c r="P3464" t="s">
        <v>3310</v>
      </c>
      <c r="Q3464" t="s">
        <v>3311</v>
      </c>
      <c r="R3464" t="s">
        <v>11590</v>
      </c>
    </row>
    <row r="3465" spans="1:18" x14ac:dyDescent="0.2">
      <c r="A3465">
        <v>1351585</v>
      </c>
      <c r="B3465" t="s">
        <v>11591</v>
      </c>
      <c r="C3465">
        <v>0</v>
      </c>
      <c r="D3465">
        <v>1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 t="s">
        <v>3284</v>
      </c>
      <c r="M3465" t="s">
        <v>3327</v>
      </c>
      <c r="N3465" t="s">
        <v>3753</v>
      </c>
      <c r="O3465" t="s">
        <v>9676</v>
      </c>
      <c r="P3465" t="s">
        <v>9677</v>
      </c>
      <c r="Q3465" t="s">
        <v>11592</v>
      </c>
      <c r="R3465" t="s">
        <v>11593</v>
      </c>
    </row>
    <row r="3466" spans="1:18" x14ac:dyDescent="0.2">
      <c r="A3466">
        <v>1350776</v>
      </c>
      <c r="B3466" t="s">
        <v>11594</v>
      </c>
      <c r="C3466">
        <v>0</v>
      </c>
      <c r="D3466">
        <v>0</v>
      </c>
      <c r="E3466">
        <v>0</v>
      </c>
      <c r="F3466">
        <v>2</v>
      </c>
      <c r="G3466">
        <v>0</v>
      </c>
      <c r="H3466">
        <v>0</v>
      </c>
      <c r="I3466">
        <v>0</v>
      </c>
      <c r="J3466">
        <v>1</v>
      </c>
      <c r="K3466">
        <v>0</v>
      </c>
      <c r="L3466" t="s">
        <v>3284</v>
      </c>
      <c r="M3466" t="s">
        <v>3296</v>
      </c>
      <c r="N3466" t="s">
        <v>3343</v>
      </c>
      <c r="O3466" t="s">
        <v>3402</v>
      </c>
      <c r="P3466" t="s">
        <v>3403</v>
      </c>
      <c r="Q3466" t="s">
        <v>3536</v>
      </c>
      <c r="R3466" t="s">
        <v>11595</v>
      </c>
    </row>
    <row r="3467" spans="1:18" x14ac:dyDescent="0.2">
      <c r="A3467">
        <v>1350429</v>
      </c>
      <c r="B3467" t="s">
        <v>11596</v>
      </c>
      <c r="C3467">
        <v>0</v>
      </c>
      <c r="D3467">
        <v>0</v>
      </c>
      <c r="E3467">
        <v>0</v>
      </c>
      <c r="F3467">
        <v>0</v>
      </c>
      <c r="G3467">
        <v>1</v>
      </c>
      <c r="H3467">
        <v>0</v>
      </c>
      <c r="I3467">
        <v>0</v>
      </c>
      <c r="J3467">
        <v>0</v>
      </c>
      <c r="K3467">
        <v>0</v>
      </c>
      <c r="L3467" t="s">
        <v>3284</v>
      </c>
      <c r="M3467" t="s">
        <v>3391</v>
      </c>
      <c r="N3467" t="s">
        <v>3740</v>
      </c>
      <c r="O3467" t="s">
        <v>3741</v>
      </c>
      <c r="P3467" t="s">
        <v>4388</v>
      </c>
      <c r="Q3467" t="s">
        <v>11597</v>
      </c>
      <c r="R3467" t="s">
        <v>11598</v>
      </c>
    </row>
    <row r="3468" spans="1:18" x14ac:dyDescent="0.2">
      <c r="A3468">
        <v>1349605</v>
      </c>
      <c r="B3468" t="s">
        <v>11599</v>
      </c>
      <c r="C3468">
        <v>1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 t="s">
        <v>3284</v>
      </c>
      <c r="M3468" t="s">
        <v>3296</v>
      </c>
      <c r="N3468" t="s">
        <v>3321</v>
      </c>
      <c r="O3468" t="s">
        <v>3322</v>
      </c>
      <c r="P3468" t="s">
        <v>3271</v>
      </c>
      <c r="Q3468" t="s">
        <v>4214</v>
      </c>
      <c r="R3468" t="s">
        <v>11600</v>
      </c>
    </row>
    <row r="3469" spans="1:18" x14ac:dyDescent="0.2">
      <c r="A3469">
        <v>1348853</v>
      </c>
      <c r="B3469" t="s">
        <v>11601</v>
      </c>
      <c r="C3469">
        <v>0</v>
      </c>
      <c r="D3469">
        <v>0</v>
      </c>
      <c r="E3469">
        <v>0</v>
      </c>
      <c r="F3469">
        <v>1</v>
      </c>
      <c r="G3469">
        <v>0</v>
      </c>
      <c r="H3469">
        <v>0</v>
      </c>
      <c r="I3469">
        <v>0</v>
      </c>
      <c r="J3469">
        <v>0</v>
      </c>
      <c r="K3469">
        <v>0</v>
      </c>
      <c r="L3469" t="s">
        <v>3284</v>
      </c>
      <c r="M3469" t="s">
        <v>3296</v>
      </c>
      <c r="N3469" t="s">
        <v>3343</v>
      </c>
      <c r="O3469" t="s">
        <v>3349</v>
      </c>
      <c r="P3469" t="s">
        <v>3350</v>
      </c>
      <c r="Q3469" t="s">
        <v>3351</v>
      </c>
      <c r="R3469" t="s">
        <v>11602</v>
      </c>
    </row>
    <row r="3470" spans="1:18" x14ac:dyDescent="0.2">
      <c r="A3470">
        <v>1348613</v>
      </c>
      <c r="B3470" t="s">
        <v>11603</v>
      </c>
      <c r="C3470">
        <v>3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 t="s">
        <v>3284</v>
      </c>
      <c r="M3470" t="s">
        <v>3327</v>
      </c>
      <c r="N3470" t="s">
        <v>3328</v>
      </c>
      <c r="O3470" t="s">
        <v>4017</v>
      </c>
      <c r="P3470" t="s">
        <v>4567</v>
      </c>
      <c r="Q3470" t="s">
        <v>4568</v>
      </c>
      <c r="R3470" t="s">
        <v>11604</v>
      </c>
    </row>
    <row r="3471" spans="1:18" x14ac:dyDescent="0.2">
      <c r="A3471">
        <v>1347903</v>
      </c>
      <c r="B3471" t="s">
        <v>11605</v>
      </c>
      <c r="C3471">
        <v>2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 t="s">
        <v>3284</v>
      </c>
      <c r="M3471" t="s">
        <v>3327</v>
      </c>
      <c r="N3471" t="s">
        <v>3376</v>
      </c>
      <c r="O3471" t="s">
        <v>3377</v>
      </c>
      <c r="P3471" t="s">
        <v>3378</v>
      </c>
      <c r="Q3471" t="s">
        <v>11606</v>
      </c>
      <c r="R3471" t="s">
        <v>11607</v>
      </c>
    </row>
    <row r="3472" spans="1:18" x14ac:dyDescent="0.2">
      <c r="A3472">
        <v>1347891</v>
      </c>
      <c r="B3472" t="s">
        <v>11608</v>
      </c>
      <c r="C3472">
        <v>1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 t="s">
        <v>3284</v>
      </c>
      <c r="M3472" t="s">
        <v>3307</v>
      </c>
      <c r="N3472" t="s">
        <v>3308</v>
      </c>
      <c r="O3472" t="s">
        <v>3309</v>
      </c>
      <c r="P3472" t="s">
        <v>6036</v>
      </c>
      <c r="Q3472" t="s">
        <v>11609</v>
      </c>
      <c r="R3472" t="s">
        <v>11610</v>
      </c>
    </row>
    <row r="3473" spans="1:18" x14ac:dyDescent="0.2">
      <c r="A3473">
        <v>1347392</v>
      </c>
      <c r="B3473" t="s">
        <v>11611</v>
      </c>
      <c r="C3473">
        <v>0</v>
      </c>
      <c r="D3473">
        <v>3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 t="s">
        <v>3284</v>
      </c>
      <c r="M3473" t="s">
        <v>3327</v>
      </c>
      <c r="N3473" t="s">
        <v>4384</v>
      </c>
      <c r="O3473" t="s">
        <v>4605</v>
      </c>
      <c r="P3473" t="s">
        <v>10025</v>
      </c>
      <c r="Q3473" t="s">
        <v>10209</v>
      </c>
      <c r="R3473" t="s">
        <v>11612</v>
      </c>
    </row>
    <row r="3474" spans="1:18" x14ac:dyDescent="0.2">
      <c r="A3474">
        <v>1347366</v>
      </c>
      <c r="B3474" t="s">
        <v>11613</v>
      </c>
      <c r="C3474">
        <v>4</v>
      </c>
      <c r="D3474">
        <v>4</v>
      </c>
      <c r="E3474">
        <v>7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 t="s">
        <v>3284</v>
      </c>
      <c r="M3474" t="s">
        <v>3327</v>
      </c>
      <c r="N3474" t="s">
        <v>3328</v>
      </c>
      <c r="O3474" t="s">
        <v>3329</v>
      </c>
      <c r="P3474" t="s">
        <v>3330</v>
      </c>
      <c r="Q3474" t="s">
        <v>3331</v>
      </c>
      <c r="R3474" t="s">
        <v>11614</v>
      </c>
    </row>
    <row r="3475" spans="1:18" x14ac:dyDescent="0.2">
      <c r="A3475">
        <v>1346889</v>
      </c>
      <c r="B3475" t="s">
        <v>11615</v>
      </c>
      <c r="C3475">
        <v>1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 t="s">
        <v>3284</v>
      </c>
      <c r="M3475" t="s">
        <v>3296</v>
      </c>
      <c r="N3475" t="s">
        <v>3343</v>
      </c>
      <c r="O3475" t="s">
        <v>3429</v>
      </c>
      <c r="P3475" t="s">
        <v>4336</v>
      </c>
      <c r="Q3475" t="s">
        <v>6265</v>
      </c>
      <c r="R3475" t="s">
        <v>11616</v>
      </c>
    </row>
    <row r="3476" spans="1:18" x14ac:dyDescent="0.2">
      <c r="A3476">
        <v>1344950</v>
      </c>
      <c r="B3476" t="s">
        <v>11617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1</v>
      </c>
      <c r="K3476">
        <v>0</v>
      </c>
      <c r="L3476" t="s">
        <v>3284</v>
      </c>
      <c r="M3476" t="s">
        <v>3296</v>
      </c>
      <c r="N3476" t="s">
        <v>3321</v>
      </c>
      <c r="O3476" t="s">
        <v>3322</v>
      </c>
      <c r="P3476" t="s">
        <v>3323</v>
      </c>
      <c r="Q3476" t="s">
        <v>7058</v>
      </c>
      <c r="R3476" t="s">
        <v>11618</v>
      </c>
    </row>
    <row r="3477" spans="1:18" x14ac:dyDescent="0.2">
      <c r="A3477">
        <v>1344949</v>
      </c>
      <c r="B3477" t="s">
        <v>11619</v>
      </c>
      <c r="C3477">
        <v>0</v>
      </c>
      <c r="D3477">
        <v>0</v>
      </c>
      <c r="E3477">
        <v>0</v>
      </c>
      <c r="F3477">
        <v>1</v>
      </c>
      <c r="G3477">
        <v>0</v>
      </c>
      <c r="H3477">
        <v>0</v>
      </c>
      <c r="I3477">
        <v>0</v>
      </c>
      <c r="J3477">
        <v>0</v>
      </c>
      <c r="K3477">
        <v>0</v>
      </c>
      <c r="L3477" t="s">
        <v>3284</v>
      </c>
      <c r="M3477" t="s">
        <v>3296</v>
      </c>
      <c r="N3477" t="s">
        <v>3321</v>
      </c>
      <c r="O3477" t="s">
        <v>3322</v>
      </c>
      <c r="P3477" t="s">
        <v>3323</v>
      </c>
      <c r="Q3477" t="s">
        <v>7058</v>
      </c>
      <c r="R3477" t="s">
        <v>11620</v>
      </c>
    </row>
    <row r="3478" spans="1:18" x14ac:dyDescent="0.2">
      <c r="A3478">
        <v>1341696</v>
      </c>
      <c r="B3478" t="s">
        <v>11621</v>
      </c>
      <c r="C3478">
        <v>0</v>
      </c>
      <c r="D3478">
        <v>0</v>
      </c>
      <c r="E3478">
        <v>0</v>
      </c>
      <c r="F3478">
        <v>1</v>
      </c>
      <c r="G3478">
        <v>0</v>
      </c>
      <c r="H3478">
        <v>0</v>
      </c>
      <c r="I3478">
        <v>0</v>
      </c>
      <c r="J3478">
        <v>0</v>
      </c>
      <c r="K3478">
        <v>0</v>
      </c>
      <c r="L3478" t="s">
        <v>3284</v>
      </c>
      <c r="M3478" t="s">
        <v>3296</v>
      </c>
      <c r="N3478" t="s">
        <v>3297</v>
      </c>
      <c r="O3478" t="s">
        <v>3469</v>
      </c>
      <c r="P3478" t="s">
        <v>3470</v>
      </c>
      <c r="Q3478" t="s">
        <v>11622</v>
      </c>
      <c r="R3478" t="s">
        <v>11623</v>
      </c>
    </row>
    <row r="3479" spans="1:18" x14ac:dyDescent="0.2">
      <c r="A3479">
        <v>1341643</v>
      </c>
      <c r="B3479" t="s">
        <v>11624</v>
      </c>
      <c r="C3479">
        <v>0</v>
      </c>
      <c r="D3479">
        <v>0</v>
      </c>
      <c r="E3479">
        <v>1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 t="s">
        <v>3284</v>
      </c>
      <c r="M3479" t="s">
        <v>3296</v>
      </c>
      <c r="N3479" t="s">
        <v>3297</v>
      </c>
      <c r="O3479" t="s">
        <v>3298</v>
      </c>
      <c r="P3479" t="s">
        <v>3299</v>
      </c>
      <c r="Q3479" t="s">
        <v>4689</v>
      </c>
      <c r="R3479" t="s">
        <v>11625</v>
      </c>
    </row>
    <row r="3480" spans="1:18" x14ac:dyDescent="0.2">
      <c r="A3480">
        <v>1340531</v>
      </c>
      <c r="B3480" t="s">
        <v>11626</v>
      </c>
      <c r="C3480">
        <v>0</v>
      </c>
      <c r="D3480">
        <v>1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 t="s">
        <v>3284</v>
      </c>
      <c r="M3480" t="s">
        <v>3327</v>
      </c>
      <c r="N3480" t="s">
        <v>3376</v>
      </c>
      <c r="O3480" t="s">
        <v>3377</v>
      </c>
      <c r="P3480" t="s">
        <v>3604</v>
      </c>
      <c r="Q3480" t="s">
        <v>3668</v>
      </c>
      <c r="R3480" t="s">
        <v>11627</v>
      </c>
    </row>
    <row r="3481" spans="1:18" x14ac:dyDescent="0.2">
      <c r="A3481">
        <v>1339242</v>
      </c>
      <c r="B3481" t="s">
        <v>11628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1</v>
      </c>
      <c r="K3481">
        <v>0</v>
      </c>
      <c r="L3481" t="s">
        <v>3284</v>
      </c>
      <c r="M3481" t="s">
        <v>3296</v>
      </c>
      <c r="N3481" t="s">
        <v>3321</v>
      </c>
      <c r="O3481" t="s">
        <v>3322</v>
      </c>
      <c r="P3481" t="s">
        <v>3398</v>
      </c>
      <c r="Q3481" t="s">
        <v>3439</v>
      </c>
      <c r="R3481" t="s">
        <v>11629</v>
      </c>
    </row>
    <row r="3482" spans="1:18" x14ac:dyDescent="0.2">
      <c r="A3482">
        <v>1339210</v>
      </c>
      <c r="B3482" t="s">
        <v>11630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1</v>
      </c>
      <c r="J3482">
        <v>0</v>
      </c>
      <c r="K3482">
        <v>0</v>
      </c>
      <c r="L3482" t="s">
        <v>3284</v>
      </c>
      <c r="M3482" t="s">
        <v>3296</v>
      </c>
      <c r="N3482" t="s">
        <v>3343</v>
      </c>
      <c r="O3482" t="s">
        <v>3344</v>
      </c>
      <c r="P3482" t="s">
        <v>6089</v>
      </c>
      <c r="Q3482" t="s">
        <v>7253</v>
      </c>
      <c r="R3482" t="s">
        <v>11631</v>
      </c>
    </row>
    <row r="3483" spans="1:18" x14ac:dyDescent="0.2">
      <c r="A3483">
        <v>1336204</v>
      </c>
      <c r="B3483" t="s">
        <v>11632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1</v>
      </c>
      <c r="K3483">
        <v>0</v>
      </c>
      <c r="L3483" t="s">
        <v>3284</v>
      </c>
      <c r="M3483" t="s">
        <v>3307</v>
      </c>
      <c r="N3483" t="s">
        <v>3308</v>
      </c>
      <c r="O3483" t="s">
        <v>3359</v>
      </c>
      <c r="P3483" t="s">
        <v>3360</v>
      </c>
      <c r="Q3483" t="s">
        <v>3361</v>
      </c>
      <c r="R3483" t="s">
        <v>11633</v>
      </c>
    </row>
    <row r="3484" spans="1:18" x14ac:dyDescent="0.2">
      <c r="A3484">
        <v>1335062</v>
      </c>
      <c r="B3484" t="s">
        <v>11634</v>
      </c>
      <c r="C3484">
        <v>1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 t="s">
        <v>3284</v>
      </c>
      <c r="M3484" t="s">
        <v>3296</v>
      </c>
      <c r="N3484" t="s">
        <v>3343</v>
      </c>
      <c r="O3484" t="s">
        <v>3429</v>
      </c>
      <c r="P3484" t="s">
        <v>4336</v>
      </c>
      <c r="Q3484" t="s">
        <v>8235</v>
      </c>
      <c r="R3484" t="s">
        <v>11635</v>
      </c>
    </row>
    <row r="3485" spans="1:18" x14ac:dyDescent="0.2">
      <c r="A3485">
        <v>1335059</v>
      </c>
      <c r="B3485" t="s">
        <v>11636</v>
      </c>
      <c r="C3485">
        <v>0</v>
      </c>
      <c r="D3485">
        <v>2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 t="s">
        <v>3284</v>
      </c>
      <c r="M3485" t="s">
        <v>3296</v>
      </c>
      <c r="N3485" t="s">
        <v>3343</v>
      </c>
      <c r="O3485" t="s">
        <v>3371</v>
      </c>
      <c r="P3485" t="s">
        <v>3688</v>
      </c>
      <c r="Q3485" t="s">
        <v>4406</v>
      </c>
      <c r="R3485" t="s">
        <v>11637</v>
      </c>
    </row>
    <row r="3486" spans="1:18" x14ac:dyDescent="0.2">
      <c r="A3486">
        <v>1332824</v>
      </c>
      <c r="B3486" t="s">
        <v>11638</v>
      </c>
      <c r="C3486">
        <v>0</v>
      </c>
      <c r="D3486">
        <v>0</v>
      </c>
      <c r="E3486">
        <v>0</v>
      </c>
      <c r="F3486">
        <v>1</v>
      </c>
      <c r="G3486">
        <v>0</v>
      </c>
      <c r="H3486">
        <v>0</v>
      </c>
      <c r="I3486">
        <v>0</v>
      </c>
      <c r="J3486">
        <v>0</v>
      </c>
      <c r="K3486">
        <v>0</v>
      </c>
      <c r="L3486" t="s">
        <v>3284</v>
      </c>
      <c r="M3486" t="s">
        <v>3296</v>
      </c>
      <c r="N3486" t="s">
        <v>3343</v>
      </c>
      <c r="O3486" t="s">
        <v>3429</v>
      </c>
      <c r="P3486" t="s">
        <v>4336</v>
      </c>
      <c r="Q3486" t="s">
        <v>11639</v>
      </c>
      <c r="R3486" t="s">
        <v>11640</v>
      </c>
    </row>
    <row r="3487" spans="1:18" x14ac:dyDescent="0.2">
      <c r="A3487">
        <v>1332080</v>
      </c>
      <c r="B3487" t="s">
        <v>11641</v>
      </c>
      <c r="C3487">
        <v>0</v>
      </c>
      <c r="D3487">
        <v>0</v>
      </c>
      <c r="E3487">
        <v>0</v>
      </c>
      <c r="F3487">
        <v>0</v>
      </c>
      <c r="G3487">
        <v>1</v>
      </c>
      <c r="H3487">
        <v>0</v>
      </c>
      <c r="I3487">
        <v>0</v>
      </c>
      <c r="J3487">
        <v>0</v>
      </c>
      <c r="K3487">
        <v>0</v>
      </c>
      <c r="L3487" t="s">
        <v>3284</v>
      </c>
      <c r="M3487" t="s">
        <v>3296</v>
      </c>
      <c r="N3487" t="s">
        <v>3343</v>
      </c>
      <c r="O3487" t="s">
        <v>3349</v>
      </c>
      <c r="P3487" t="s">
        <v>3350</v>
      </c>
      <c r="Q3487" t="s">
        <v>4175</v>
      </c>
      <c r="R3487" t="s">
        <v>11642</v>
      </c>
    </row>
    <row r="3488" spans="1:18" x14ac:dyDescent="0.2">
      <c r="A3488">
        <v>1329895</v>
      </c>
      <c r="B3488" t="s">
        <v>11643</v>
      </c>
      <c r="C3488">
        <v>0</v>
      </c>
      <c r="D3488">
        <v>0</v>
      </c>
      <c r="E3488">
        <v>0</v>
      </c>
      <c r="F3488">
        <v>1</v>
      </c>
      <c r="G3488">
        <v>1</v>
      </c>
      <c r="H3488">
        <v>0</v>
      </c>
      <c r="I3488">
        <v>0</v>
      </c>
      <c r="J3488">
        <v>0</v>
      </c>
      <c r="K3488">
        <v>0</v>
      </c>
      <c r="L3488" t="s">
        <v>3284</v>
      </c>
      <c r="M3488" t="s">
        <v>3296</v>
      </c>
      <c r="N3488" t="s">
        <v>3343</v>
      </c>
      <c r="O3488" t="s">
        <v>3349</v>
      </c>
      <c r="P3488" t="s">
        <v>3350</v>
      </c>
      <c r="Q3488" t="s">
        <v>3351</v>
      </c>
      <c r="R3488" t="s">
        <v>11644</v>
      </c>
    </row>
    <row r="3489" spans="1:18" x14ac:dyDescent="0.2">
      <c r="A3489">
        <v>1325935</v>
      </c>
      <c r="B3489" t="s">
        <v>11645</v>
      </c>
      <c r="C3489">
        <v>0</v>
      </c>
      <c r="D3489">
        <v>1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 t="s">
        <v>3284</v>
      </c>
      <c r="M3489" t="s">
        <v>3307</v>
      </c>
      <c r="N3489" t="s">
        <v>3308</v>
      </c>
      <c r="O3489" t="s">
        <v>3309</v>
      </c>
      <c r="P3489" t="s">
        <v>3310</v>
      </c>
      <c r="Q3489" t="s">
        <v>3311</v>
      </c>
      <c r="R3489" t="s">
        <v>11646</v>
      </c>
    </row>
    <row r="3490" spans="1:18" x14ac:dyDescent="0.2">
      <c r="A3490">
        <v>1325933</v>
      </c>
      <c r="B3490" t="s">
        <v>11647</v>
      </c>
      <c r="C3490">
        <v>9</v>
      </c>
      <c r="D3490">
        <v>9</v>
      </c>
      <c r="E3490">
        <v>7</v>
      </c>
      <c r="F3490">
        <v>0</v>
      </c>
      <c r="G3490">
        <v>0</v>
      </c>
      <c r="H3490">
        <v>0</v>
      </c>
      <c r="I3490">
        <v>1</v>
      </c>
      <c r="J3490">
        <v>0</v>
      </c>
      <c r="K3490">
        <v>0</v>
      </c>
      <c r="L3490" t="s">
        <v>3284</v>
      </c>
      <c r="M3490" t="s">
        <v>3327</v>
      </c>
      <c r="N3490" t="s">
        <v>3328</v>
      </c>
      <c r="O3490" t="s">
        <v>3329</v>
      </c>
      <c r="P3490" t="s">
        <v>3330</v>
      </c>
      <c r="Q3490" t="s">
        <v>3331</v>
      </c>
      <c r="R3490" t="s">
        <v>11648</v>
      </c>
    </row>
    <row r="3491" spans="1:18" x14ac:dyDescent="0.2">
      <c r="A3491">
        <v>1325724</v>
      </c>
      <c r="B3491" t="s">
        <v>11649</v>
      </c>
      <c r="C3491">
        <v>0</v>
      </c>
      <c r="D3491">
        <v>2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 t="s">
        <v>3284</v>
      </c>
      <c r="M3491" t="s">
        <v>3296</v>
      </c>
      <c r="N3491" t="s">
        <v>3343</v>
      </c>
      <c r="O3491" t="s">
        <v>3402</v>
      </c>
      <c r="P3491" t="s">
        <v>3403</v>
      </c>
      <c r="Q3491" t="s">
        <v>3536</v>
      </c>
      <c r="R3491" t="s">
        <v>11650</v>
      </c>
    </row>
    <row r="3492" spans="1:18" x14ac:dyDescent="0.2">
      <c r="A3492">
        <v>1325689</v>
      </c>
      <c r="B3492" t="s">
        <v>11651</v>
      </c>
      <c r="C3492">
        <v>0</v>
      </c>
      <c r="D3492">
        <v>0</v>
      </c>
      <c r="E3492">
        <v>1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 t="s">
        <v>3284</v>
      </c>
      <c r="M3492" t="s">
        <v>3327</v>
      </c>
      <c r="N3492" t="s">
        <v>3376</v>
      </c>
      <c r="O3492" t="s">
        <v>3377</v>
      </c>
      <c r="P3492" t="s">
        <v>3378</v>
      </c>
      <c r="Q3492" t="s">
        <v>11652</v>
      </c>
      <c r="R3492" t="s">
        <v>11653</v>
      </c>
    </row>
    <row r="3493" spans="1:18" x14ac:dyDescent="0.2">
      <c r="A3493">
        <v>1325360</v>
      </c>
      <c r="B3493" t="s">
        <v>11654</v>
      </c>
      <c r="C3493">
        <v>0</v>
      </c>
      <c r="D3493">
        <v>1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 t="s">
        <v>3284</v>
      </c>
      <c r="M3493" t="s">
        <v>3327</v>
      </c>
      <c r="N3493" t="s">
        <v>3376</v>
      </c>
      <c r="O3493" t="s">
        <v>3377</v>
      </c>
      <c r="P3493" t="s">
        <v>3604</v>
      </c>
      <c r="Q3493" t="s">
        <v>3668</v>
      </c>
      <c r="R3493" t="s">
        <v>11655</v>
      </c>
    </row>
    <row r="3494" spans="1:18" x14ac:dyDescent="0.2">
      <c r="A3494">
        <v>1325095</v>
      </c>
      <c r="B3494" t="s">
        <v>11656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1</v>
      </c>
      <c r="J3494">
        <v>0</v>
      </c>
      <c r="K3494">
        <v>0</v>
      </c>
      <c r="L3494" t="s">
        <v>3284</v>
      </c>
      <c r="M3494" t="s">
        <v>3296</v>
      </c>
      <c r="N3494" t="s">
        <v>3343</v>
      </c>
      <c r="O3494" t="s">
        <v>3344</v>
      </c>
      <c r="P3494" t="s">
        <v>3937</v>
      </c>
      <c r="Q3494" t="s">
        <v>3938</v>
      </c>
      <c r="R3494" t="s">
        <v>11657</v>
      </c>
    </row>
    <row r="3495" spans="1:18" x14ac:dyDescent="0.2">
      <c r="A3495">
        <v>1324851</v>
      </c>
      <c r="B3495" t="s">
        <v>11658</v>
      </c>
      <c r="C3495">
        <v>0</v>
      </c>
      <c r="D3495">
        <v>0</v>
      </c>
      <c r="E3495">
        <v>0</v>
      </c>
      <c r="F3495">
        <v>1</v>
      </c>
      <c r="G3495">
        <v>0</v>
      </c>
      <c r="H3495">
        <v>0</v>
      </c>
      <c r="I3495">
        <v>0</v>
      </c>
      <c r="J3495">
        <v>0</v>
      </c>
      <c r="K3495">
        <v>0</v>
      </c>
      <c r="L3495" t="s">
        <v>3284</v>
      </c>
      <c r="M3495" t="s">
        <v>3307</v>
      </c>
      <c r="N3495" t="s">
        <v>3308</v>
      </c>
      <c r="O3495" t="s">
        <v>3359</v>
      </c>
      <c r="P3495" t="s">
        <v>3407</v>
      </c>
      <c r="Q3495" t="s">
        <v>11659</v>
      </c>
      <c r="R3495" t="s">
        <v>11660</v>
      </c>
    </row>
    <row r="3496" spans="1:18" x14ac:dyDescent="0.2">
      <c r="A3496">
        <v>1324352</v>
      </c>
      <c r="B3496" t="s">
        <v>11661</v>
      </c>
      <c r="C3496">
        <v>1</v>
      </c>
      <c r="D3496">
        <v>1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 t="s">
        <v>3284</v>
      </c>
      <c r="M3496" t="s">
        <v>3391</v>
      </c>
      <c r="N3496" t="s">
        <v>3411</v>
      </c>
      <c r="O3496" t="s">
        <v>3412</v>
      </c>
      <c r="P3496" t="s">
        <v>3564</v>
      </c>
      <c r="Q3496" t="s">
        <v>3803</v>
      </c>
      <c r="R3496" t="s">
        <v>11662</v>
      </c>
    </row>
    <row r="3497" spans="1:18" x14ac:dyDescent="0.2">
      <c r="A3497">
        <v>1323422</v>
      </c>
      <c r="B3497" t="s">
        <v>11663</v>
      </c>
      <c r="C3497">
        <v>0</v>
      </c>
      <c r="D3497">
        <v>0</v>
      </c>
      <c r="E3497">
        <v>1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 t="s">
        <v>3284</v>
      </c>
      <c r="M3497" t="s">
        <v>3391</v>
      </c>
      <c r="N3497" t="s">
        <v>3411</v>
      </c>
      <c r="O3497" t="s">
        <v>3412</v>
      </c>
      <c r="P3497" t="s">
        <v>3413</v>
      </c>
      <c r="Q3497" t="s">
        <v>11664</v>
      </c>
      <c r="R3497" t="s">
        <v>11665</v>
      </c>
    </row>
    <row r="3498" spans="1:18" x14ac:dyDescent="0.2">
      <c r="A3498">
        <v>1323375</v>
      </c>
      <c r="B3498" t="s">
        <v>11666</v>
      </c>
      <c r="C3498">
        <v>0</v>
      </c>
      <c r="D3498">
        <v>1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 t="s">
        <v>3284</v>
      </c>
      <c r="M3498" t="s">
        <v>3327</v>
      </c>
      <c r="N3498" t="s">
        <v>3328</v>
      </c>
      <c r="O3498" t="s">
        <v>11667</v>
      </c>
      <c r="P3498" t="s">
        <v>3271</v>
      </c>
      <c r="Q3498" t="s">
        <v>11668</v>
      </c>
      <c r="R3498" t="s">
        <v>11669</v>
      </c>
    </row>
    <row r="3499" spans="1:18" x14ac:dyDescent="0.2">
      <c r="A3499">
        <v>1323370</v>
      </c>
      <c r="B3499" t="s">
        <v>11670</v>
      </c>
      <c r="C3499">
        <v>1</v>
      </c>
      <c r="D3499">
        <v>1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 t="s">
        <v>3284</v>
      </c>
      <c r="M3499" t="s">
        <v>3327</v>
      </c>
      <c r="N3499" t="s">
        <v>4384</v>
      </c>
      <c r="O3499" t="s">
        <v>4605</v>
      </c>
      <c r="P3499" t="s">
        <v>11671</v>
      </c>
      <c r="Q3499" t="s">
        <v>11672</v>
      </c>
      <c r="R3499" t="s">
        <v>11673</v>
      </c>
    </row>
    <row r="3500" spans="1:18" x14ac:dyDescent="0.2">
      <c r="A3500">
        <v>1321368</v>
      </c>
      <c r="B3500" t="s">
        <v>11674</v>
      </c>
      <c r="C3500">
        <v>0</v>
      </c>
      <c r="D3500">
        <v>0</v>
      </c>
      <c r="E3500">
        <v>0</v>
      </c>
      <c r="F3500">
        <v>0</v>
      </c>
      <c r="G3500">
        <v>2</v>
      </c>
      <c r="H3500">
        <v>0</v>
      </c>
      <c r="I3500">
        <v>0</v>
      </c>
      <c r="J3500">
        <v>0</v>
      </c>
      <c r="K3500">
        <v>0</v>
      </c>
      <c r="L3500" t="s">
        <v>3284</v>
      </c>
      <c r="M3500" t="s">
        <v>3296</v>
      </c>
      <c r="N3500" t="s">
        <v>3297</v>
      </c>
      <c r="O3500" t="s">
        <v>3469</v>
      </c>
      <c r="P3500" t="s">
        <v>3470</v>
      </c>
      <c r="Q3500" t="s">
        <v>5246</v>
      </c>
      <c r="R3500" t="s">
        <v>11675</v>
      </c>
    </row>
    <row r="3501" spans="1:18" x14ac:dyDescent="0.2">
      <c r="A3501">
        <v>1312364</v>
      </c>
      <c r="B3501" t="s">
        <v>11676</v>
      </c>
      <c r="C3501">
        <v>0</v>
      </c>
      <c r="D3501">
        <v>0</v>
      </c>
      <c r="E3501">
        <v>0</v>
      </c>
      <c r="F3501">
        <v>0</v>
      </c>
      <c r="G3501">
        <v>1</v>
      </c>
      <c r="H3501">
        <v>0</v>
      </c>
      <c r="I3501">
        <v>0</v>
      </c>
      <c r="J3501">
        <v>0</v>
      </c>
      <c r="K3501">
        <v>0</v>
      </c>
      <c r="L3501" t="s">
        <v>3284</v>
      </c>
      <c r="M3501" t="s">
        <v>3296</v>
      </c>
      <c r="N3501" t="s">
        <v>3343</v>
      </c>
      <c r="O3501" t="s">
        <v>3402</v>
      </c>
      <c r="P3501" t="s">
        <v>3403</v>
      </c>
      <c r="Q3501" t="s">
        <v>3536</v>
      </c>
      <c r="R3501" t="s">
        <v>11677</v>
      </c>
    </row>
    <row r="3502" spans="1:18" x14ac:dyDescent="0.2">
      <c r="A3502">
        <v>1310421</v>
      </c>
      <c r="B3502" t="s">
        <v>11678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1</v>
      </c>
      <c r="K3502">
        <v>0</v>
      </c>
      <c r="L3502" t="s">
        <v>3284</v>
      </c>
      <c r="M3502" t="s">
        <v>3296</v>
      </c>
      <c r="N3502" t="s">
        <v>3297</v>
      </c>
      <c r="O3502" t="s">
        <v>4500</v>
      </c>
      <c r="P3502" t="s">
        <v>8957</v>
      </c>
      <c r="Q3502" t="s">
        <v>11679</v>
      </c>
      <c r="R3502" t="s">
        <v>11680</v>
      </c>
    </row>
    <row r="3503" spans="1:18" x14ac:dyDescent="0.2">
      <c r="A3503">
        <v>1310165</v>
      </c>
      <c r="B3503" t="s">
        <v>11681</v>
      </c>
      <c r="C3503">
        <v>0</v>
      </c>
      <c r="D3503">
        <v>0</v>
      </c>
      <c r="E3503">
        <v>0</v>
      </c>
      <c r="F3503">
        <v>0</v>
      </c>
      <c r="G3503">
        <v>1</v>
      </c>
      <c r="H3503">
        <v>0</v>
      </c>
      <c r="I3503">
        <v>0</v>
      </c>
      <c r="J3503">
        <v>0</v>
      </c>
      <c r="K3503">
        <v>0</v>
      </c>
      <c r="L3503" t="s">
        <v>3284</v>
      </c>
      <c r="M3503" t="s">
        <v>3296</v>
      </c>
      <c r="N3503" t="s">
        <v>3321</v>
      </c>
      <c r="O3503" t="s">
        <v>3322</v>
      </c>
      <c r="P3503" t="s">
        <v>3423</v>
      </c>
      <c r="Q3503" t="s">
        <v>11682</v>
      </c>
      <c r="R3503" t="s">
        <v>11683</v>
      </c>
    </row>
    <row r="3504" spans="1:18" x14ac:dyDescent="0.2">
      <c r="A3504">
        <v>1304865</v>
      </c>
      <c r="B3504" t="s">
        <v>11684</v>
      </c>
      <c r="C3504">
        <v>1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 t="s">
        <v>3284</v>
      </c>
      <c r="M3504" t="s">
        <v>3307</v>
      </c>
      <c r="N3504" t="s">
        <v>3308</v>
      </c>
      <c r="O3504" t="s">
        <v>3359</v>
      </c>
      <c r="P3504" t="s">
        <v>3588</v>
      </c>
      <c r="Q3504" t="s">
        <v>4970</v>
      </c>
      <c r="R3504" t="s">
        <v>11685</v>
      </c>
    </row>
    <row r="3505" spans="1:18" x14ac:dyDescent="0.2">
      <c r="A3505">
        <v>1304799</v>
      </c>
      <c r="B3505" t="s">
        <v>11686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1</v>
      </c>
      <c r="K3505">
        <v>0</v>
      </c>
      <c r="L3505" t="s">
        <v>3284</v>
      </c>
      <c r="M3505" t="s">
        <v>3296</v>
      </c>
      <c r="N3505" t="s">
        <v>3343</v>
      </c>
      <c r="O3505" t="s">
        <v>3861</v>
      </c>
      <c r="P3505" t="s">
        <v>3862</v>
      </c>
      <c r="Q3505" t="s">
        <v>3863</v>
      </c>
      <c r="R3505" t="s">
        <v>11687</v>
      </c>
    </row>
    <row r="3506" spans="1:18" x14ac:dyDescent="0.2">
      <c r="A3506">
        <v>1304284</v>
      </c>
      <c r="B3506" t="s">
        <v>11688</v>
      </c>
      <c r="C3506">
        <v>1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 t="s">
        <v>3284</v>
      </c>
      <c r="M3506" t="s">
        <v>3327</v>
      </c>
      <c r="N3506" t="s">
        <v>4384</v>
      </c>
      <c r="O3506" t="s">
        <v>4605</v>
      </c>
      <c r="P3506" t="s">
        <v>11671</v>
      </c>
      <c r="Q3506" t="s">
        <v>11689</v>
      </c>
      <c r="R3506" t="s">
        <v>11690</v>
      </c>
    </row>
    <row r="3507" spans="1:18" x14ac:dyDescent="0.2">
      <c r="A3507">
        <v>1303256</v>
      </c>
      <c r="B3507" t="s">
        <v>11691</v>
      </c>
      <c r="C3507">
        <v>0</v>
      </c>
      <c r="D3507">
        <v>0</v>
      </c>
      <c r="E3507">
        <v>0</v>
      </c>
      <c r="F3507">
        <v>0</v>
      </c>
      <c r="G3507">
        <v>1</v>
      </c>
      <c r="H3507">
        <v>0</v>
      </c>
      <c r="I3507">
        <v>0</v>
      </c>
      <c r="J3507">
        <v>0</v>
      </c>
      <c r="K3507">
        <v>0</v>
      </c>
      <c r="L3507" t="s">
        <v>3284</v>
      </c>
      <c r="M3507" t="s">
        <v>3296</v>
      </c>
      <c r="N3507" t="s">
        <v>3343</v>
      </c>
      <c r="O3507" t="s">
        <v>3349</v>
      </c>
      <c r="P3507" t="s">
        <v>3350</v>
      </c>
      <c r="Q3507" t="s">
        <v>4175</v>
      </c>
      <c r="R3507" t="s">
        <v>11692</v>
      </c>
    </row>
    <row r="3508" spans="1:18" x14ac:dyDescent="0.2">
      <c r="A3508">
        <v>1302689</v>
      </c>
      <c r="B3508" t="s">
        <v>11693</v>
      </c>
      <c r="C3508">
        <v>0</v>
      </c>
      <c r="D3508">
        <v>0</v>
      </c>
      <c r="E3508">
        <v>0</v>
      </c>
      <c r="F3508">
        <v>0</v>
      </c>
      <c r="G3508">
        <v>1</v>
      </c>
      <c r="H3508">
        <v>0</v>
      </c>
      <c r="I3508">
        <v>0</v>
      </c>
      <c r="J3508">
        <v>0</v>
      </c>
      <c r="K3508">
        <v>0</v>
      </c>
      <c r="L3508" t="s">
        <v>3284</v>
      </c>
      <c r="M3508" t="s">
        <v>3391</v>
      </c>
      <c r="N3508" t="s">
        <v>3392</v>
      </c>
      <c r="O3508" t="s">
        <v>3393</v>
      </c>
      <c r="P3508" t="s">
        <v>3394</v>
      </c>
      <c r="Q3508" t="s">
        <v>4082</v>
      </c>
      <c r="R3508" t="s">
        <v>11694</v>
      </c>
    </row>
    <row r="3509" spans="1:18" x14ac:dyDescent="0.2">
      <c r="A3509">
        <v>1302352</v>
      </c>
      <c r="B3509" t="s">
        <v>11695</v>
      </c>
      <c r="C3509">
        <v>0</v>
      </c>
      <c r="D3509">
        <v>0</v>
      </c>
      <c r="E3509">
        <v>0</v>
      </c>
      <c r="F3509">
        <v>2</v>
      </c>
      <c r="G3509">
        <v>0</v>
      </c>
      <c r="H3509">
        <v>0</v>
      </c>
      <c r="I3509">
        <v>0</v>
      </c>
      <c r="J3509">
        <v>0</v>
      </c>
      <c r="K3509">
        <v>0</v>
      </c>
      <c r="L3509" t="s">
        <v>3284</v>
      </c>
      <c r="M3509" t="s">
        <v>3391</v>
      </c>
      <c r="N3509" t="s">
        <v>3392</v>
      </c>
      <c r="O3509" t="s">
        <v>3393</v>
      </c>
      <c r="P3509" t="s">
        <v>3394</v>
      </c>
      <c r="Q3509" t="s">
        <v>4082</v>
      </c>
      <c r="R3509" t="s">
        <v>11696</v>
      </c>
    </row>
    <row r="3510" spans="1:18" x14ac:dyDescent="0.2">
      <c r="A3510">
        <v>1302236</v>
      </c>
      <c r="B3510" t="s">
        <v>11697</v>
      </c>
      <c r="C3510">
        <v>0</v>
      </c>
      <c r="D3510">
        <v>0</v>
      </c>
      <c r="E3510">
        <v>0</v>
      </c>
      <c r="F3510">
        <v>2</v>
      </c>
      <c r="G3510">
        <v>2</v>
      </c>
      <c r="H3510">
        <v>0</v>
      </c>
      <c r="I3510">
        <v>0</v>
      </c>
      <c r="J3510">
        <v>0</v>
      </c>
      <c r="K3510">
        <v>0</v>
      </c>
      <c r="L3510" t="s">
        <v>3284</v>
      </c>
      <c r="M3510" t="s">
        <v>3391</v>
      </c>
      <c r="N3510" t="s">
        <v>3392</v>
      </c>
      <c r="O3510" t="s">
        <v>3393</v>
      </c>
      <c r="P3510" t="s">
        <v>3394</v>
      </c>
      <c r="Q3510" t="s">
        <v>4082</v>
      </c>
      <c r="R3510" t="s">
        <v>11698</v>
      </c>
    </row>
    <row r="3511" spans="1:18" x14ac:dyDescent="0.2">
      <c r="A3511">
        <v>1302151</v>
      </c>
      <c r="B3511" t="s">
        <v>11699</v>
      </c>
      <c r="C3511">
        <v>1</v>
      </c>
      <c r="D3511">
        <v>1</v>
      </c>
      <c r="E3511">
        <v>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 t="s">
        <v>3284</v>
      </c>
      <c r="M3511" t="s">
        <v>3327</v>
      </c>
      <c r="N3511" t="s">
        <v>4384</v>
      </c>
      <c r="O3511" t="s">
        <v>4605</v>
      </c>
      <c r="P3511" t="s">
        <v>11671</v>
      </c>
      <c r="Q3511" t="s">
        <v>11672</v>
      </c>
      <c r="R3511" t="s">
        <v>11700</v>
      </c>
    </row>
    <row r="3512" spans="1:18" x14ac:dyDescent="0.2">
      <c r="A3512">
        <v>1301100</v>
      </c>
      <c r="B3512" t="s">
        <v>11701</v>
      </c>
      <c r="C3512">
        <v>1</v>
      </c>
      <c r="D3512">
        <v>0</v>
      </c>
      <c r="E3512">
        <v>0</v>
      </c>
      <c r="F3512">
        <v>1</v>
      </c>
      <c r="G3512">
        <v>0</v>
      </c>
      <c r="H3512">
        <v>0</v>
      </c>
      <c r="I3512">
        <v>0</v>
      </c>
      <c r="J3512">
        <v>0</v>
      </c>
      <c r="K3512">
        <v>0</v>
      </c>
      <c r="L3512" t="s">
        <v>3284</v>
      </c>
      <c r="M3512" t="s">
        <v>3327</v>
      </c>
      <c r="N3512" t="s">
        <v>3328</v>
      </c>
      <c r="O3512" t="s">
        <v>4184</v>
      </c>
      <c r="P3512" t="s">
        <v>4185</v>
      </c>
      <c r="Q3512" t="s">
        <v>11702</v>
      </c>
      <c r="R3512" t="s">
        <v>11703</v>
      </c>
    </row>
    <row r="3513" spans="1:18" x14ac:dyDescent="0.2">
      <c r="A3513">
        <v>1298959</v>
      </c>
      <c r="B3513" t="s">
        <v>11704</v>
      </c>
      <c r="C3513">
        <v>0</v>
      </c>
      <c r="D3513">
        <v>0</v>
      </c>
      <c r="E3513">
        <v>0</v>
      </c>
      <c r="F3513">
        <v>0</v>
      </c>
      <c r="G3513">
        <v>1</v>
      </c>
      <c r="H3513">
        <v>0</v>
      </c>
      <c r="I3513">
        <v>0</v>
      </c>
      <c r="J3513">
        <v>0</v>
      </c>
      <c r="K3513">
        <v>0</v>
      </c>
      <c r="L3513" t="s">
        <v>3284</v>
      </c>
      <c r="M3513" t="s">
        <v>3296</v>
      </c>
      <c r="N3513" t="s">
        <v>3343</v>
      </c>
      <c r="O3513" t="s">
        <v>3402</v>
      </c>
      <c r="P3513" t="s">
        <v>3403</v>
      </c>
      <c r="Q3513" t="s">
        <v>5337</v>
      </c>
      <c r="R3513" t="s">
        <v>11705</v>
      </c>
    </row>
    <row r="3514" spans="1:18" x14ac:dyDescent="0.2">
      <c r="A3514">
        <v>1298863</v>
      </c>
      <c r="B3514" t="s">
        <v>11706</v>
      </c>
      <c r="C3514">
        <v>0</v>
      </c>
      <c r="D3514">
        <v>1</v>
      </c>
      <c r="E3514">
        <v>0</v>
      </c>
      <c r="F3514">
        <v>1</v>
      </c>
      <c r="G3514">
        <v>0</v>
      </c>
      <c r="H3514">
        <v>0</v>
      </c>
      <c r="I3514">
        <v>0</v>
      </c>
      <c r="J3514">
        <v>0</v>
      </c>
      <c r="K3514">
        <v>0</v>
      </c>
      <c r="L3514" t="s">
        <v>3284</v>
      </c>
      <c r="M3514" t="s">
        <v>3307</v>
      </c>
      <c r="N3514" t="s">
        <v>3308</v>
      </c>
      <c r="O3514" t="s">
        <v>3309</v>
      </c>
      <c r="P3514" t="s">
        <v>3310</v>
      </c>
      <c r="Q3514" t="s">
        <v>6486</v>
      </c>
      <c r="R3514" t="s">
        <v>11707</v>
      </c>
    </row>
    <row r="3515" spans="1:18" x14ac:dyDescent="0.2">
      <c r="A3515">
        <v>1296669</v>
      </c>
      <c r="B3515" t="s">
        <v>11708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14</v>
      </c>
      <c r="J3515">
        <v>14</v>
      </c>
      <c r="K3515">
        <v>1</v>
      </c>
      <c r="L3515" t="s">
        <v>3284</v>
      </c>
      <c r="M3515" t="s">
        <v>3296</v>
      </c>
      <c r="N3515" t="s">
        <v>3321</v>
      </c>
      <c r="O3515" t="s">
        <v>3322</v>
      </c>
      <c r="P3515" t="s">
        <v>3271</v>
      </c>
      <c r="Q3515" t="s">
        <v>4214</v>
      </c>
      <c r="R3515" t="s">
        <v>11709</v>
      </c>
    </row>
    <row r="3516" spans="1:18" x14ac:dyDescent="0.2">
      <c r="A3516">
        <v>1295612</v>
      </c>
      <c r="B3516" t="s">
        <v>11710</v>
      </c>
      <c r="C3516">
        <v>0</v>
      </c>
      <c r="D3516">
        <v>0</v>
      </c>
      <c r="E3516">
        <v>0</v>
      </c>
      <c r="F3516">
        <v>8</v>
      </c>
      <c r="G3516">
        <v>4</v>
      </c>
      <c r="H3516">
        <v>0</v>
      </c>
      <c r="I3516">
        <v>0</v>
      </c>
      <c r="J3516">
        <v>0</v>
      </c>
      <c r="K3516">
        <v>0</v>
      </c>
      <c r="L3516" t="s">
        <v>3284</v>
      </c>
      <c r="M3516" t="s">
        <v>3391</v>
      </c>
      <c r="N3516" t="s">
        <v>3392</v>
      </c>
      <c r="O3516" t="s">
        <v>3393</v>
      </c>
      <c r="P3516" t="s">
        <v>3394</v>
      </c>
      <c r="Q3516" t="s">
        <v>4082</v>
      </c>
      <c r="R3516" t="s">
        <v>11711</v>
      </c>
    </row>
    <row r="3517" spans="1:18" x14ac:dyDescent="0.2">
      <c r="A3517">
        <v>1293440</v>
      </c>
      <c r="B3517" t="s">
        <v>11712</v>
      </c>
      <c r="C3517">
        <v>5</v>
      </c>
      <c r="D3517">
        <v>3</v>
      </c>
      <c r="E3517">
        <v>1</v>
      </c>
      <c r="F3517">
        <v>3</v>
      </c>
      <c r="G3517">
        <v>2</v>
      </c>
      <c r="H3517">
        <v>1</v>
      </c>
      <c r="I3517">
        <v>6096</v>
      </c>
      <c r="J3517">
        <v>3066</v>
      </c>
      <c r="K3517">
        <v>3687</v>
      </c>
      <c r="L3517" t="s">
        <v>3284</v>
      </c>
      <c r="M3517" t="s">
        <v>3296</v>
      </c>
      <c r="N3517" t="s">
        <v>3343</v>
      </c>
      <c r="O3517" t="s">
        <v>3344</v>
      </c>
      <c r="P3517" t="s">
        <v>3387</v>
      </c>
      <c r="Q3517" t="s">
        <v>3388</v>
      </c>
      <c r="R3517" t="s">
        <v>11713</v>
      </c>
    </row>
    <row r="3518" spans="1:18" x14ac:dyDescent="0.2">
      <c r="A3518">
        <v>1291555</v>
      </c>
      <c r="B3518" t="s">
        <v>11714</v>
      </c>
      <c r="C3518">
        <v>0</v>
      </c>
      <c r="D3518">
        <v>0</v>
      </c>
      <c r="E3518">
        <v>0</v>
      </c>
      <c r="F3518">
        <v>0</v>
      </c>
      <c r="G3518">
        <v>1</v>
      </c>
      <c r="H3518">
        <v>0</v>
      </c>
      <c r="I3518">
        <v>0</v>
      </c>
      <c r="J3518">
        <v>0</v>
      </c>
      <c r="K3518">
        <v>0</v>
      </c>
      <c r="L3518" t="s">
        <v>3284</v>
      </c>
      <c r="M3518" t="s">
        <v>3307</v>
      </c>
      <c r="N3518" t="s">
        <v>3308</v>
      </c>
      <c r="O3518" t="s">
        <v>3949</v>
      </c>
      <c r="P3518" t="s">
        <v>3950</v>
      </c>
      <c r="Q3518" t="s">
        <v>3951</v>
      </c>
      <c r="R3518" t="s">
        <v>11715</v>
      </c>
    </row>
    <row r="3519" spans="1:18" x14ac:dyDescent="0.2">
      <c r="A3519">
        <v>1289519</v>
      </c>
      <c r="B3519" t="s">
        <v>11716</v>
      </c>
      <c r="C3519">
        <v>3</v>
      </c>
      <c r="D3519">
        <v>4</v>
      </c>
      <c r="E3519">
        <v>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 t="s">
        <v>3284</v>
      </c>
      <c r="M3519" t="s">
        <v>3327</v>
      </c>
      <c r="N3519" t="s">
        <v>3328</v>
      </c>
      <c r="O3519" t="s">
        <v>3329</v>
      </c>
      <c r="P3519" t="s">
        <v>3330</v>
      </c>
      <c r="Q3519" t="s">
        <v>3331</v>
      </c>
      <c r="R3519" t="s">
        <v>11717</v>
      </c>
    </row>
    <row r="3520" spans="1:18" x14ac:dyDescent="0.2">
      <c r="A3520">
        <v>1289478</v>
      </c>
      <c r="B3520" t="s">
        <v>11718</v>
      </c>
      <c r="C3520">
        <v>1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 t="s">
        <v>3284</v>
      </c>
      <c r="M3520" t="s">
        <v>3296</v>
      </c>
      <c r="N3520" t="s">
        <v>3343</v>
      </c>
      <c r="O3520" t="s">
        <v>3344</v>
      </c>
      <c r="P3520" t="s">
        <v>4076</v>
      </c>
      <c r="Q3520" t="s">
        <v>6071</v>
      </c>
      <c r="R3520" t="s">
        <v>11719</v>
      </c>
    </row>
    <row r="3521" spans="1:18" x14ac:dyDescent="0.2">
      <c r="A3521">
        <v>1288495</v>
      </c>
      <c r="B3521" t="s">
        <v>11720</v>
      </c>
      <c r="C3521">
        <v>0</v>
      </c>
      <c r="D3521">
        <v>2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 t="s">
        <v>3284</v>
      </c>
      <c r="M3521" t="s">
        <v>3296</v>
      </c>
      <c r="N3521" t="s">
        <v>3321</v>
      </c>
      <c r="O3521" t="s">
        <v>3322</v>
      </c>
      <c r="P3521" t="s">
        <v>3398</v>
      </c>
      <c r="Q3521" t="s">
        <v>4955</v>
      </c>
      <c r="R3521" t="s">
        <v>11721</v>
      </c>
    </row>
    <row r="3522" spans="1:18" x14ac:dyDescent="0.2">
      <c r="A3522">
        <v>1288385</v>
      </c>
      <c r="B3522" t="s">
        <v>11722</v>
      </c>
      <c r="C3522">
        <v>0</v>
      </c>
      <c r="D3522">
        <v>2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 t="s">
        <v>3284</v>
      </c>
      <c r="M3522" t="s">
        <v>3296</v>
      </c>
      <c r="N3522" t="s">
        <v>3297</v>
      </c>
      <c r="O3522" t="s">
        <v>3298</v>
      </c>
      <c r="P3522" t="s">
        <v>3299</v>
      </c>
      <c r="Q3522" t="s">
        <v>4689</v>
      </c>
      <c r="R3522" t="s">
        <v>11723</v>
      </c>
    </row>
    <row r="3523" spans="1:18" x14ac:dyDescent="0.2">
      <c r="A3523">
        <v>1288027</v>
      </c>
      <c r="B3523" t="s">
        <v>11724</v>
      </c>
      <c r="C3523">
        <v>0</v>
      </c>
      <c r="D3523">
        <v>0</v>
      </c>
      <c r="E3523">
        <v>0</v>
      </c>
      <c r="F3523">
        <v>1</v>
      </c>
      <c r="G3523">
        <v>0</v>
      </c>
      <c r="H3523">
        <v>0</v>
      </c>
      <c r="I3523">
        <v>0</v>
      </c>
      <c r="J3523">
        <v>0</v>
      </c>
      <c r="K3523">
        <v>0</v>
      </c>
      <c r="L3523" t="s">
        <v>3284</v>
      </c>
      <c r="M3523" t="s">
        <v>3391</v>
      </c>
      <c r="N3523" t="s">
        <v>3392</v>
      </c>
      <c r="O3523" t="s">
        <v>3393</v>
      </c>
      <c r="P3523" t="s">
        <v>3394</v>
      </c>
      <c r="Q3523" t="s">
        <v>11725</v>
      </c>
      <c r="R3523" t="s">
        <v>11726</v>
      </c>
    </row>
    <row r="3524" spans="1:18" x14ac:dyDescent="0.2">
      <c r="A3524">
        <v>1287737</v>
      </c>
      <c r="B3524" t="s">
        <v>11727</v>
      </c>
      <c r="C3524">
        <v>0</v>
      </c>
      <c r="D3524">
        <v>0</v>
      </c>
      <c r="E3524">
        <v>0</v>
      </c>
      <c r="F3524">
        <v>2</v>
      </c>
      <c r="G3524">
        <v>0</v>
      </c>
      <c r="H3524">
        <v>0</v>
      </c>
      <c r="I3524">
        <v>0</v>
      </c>
      <c r="J3524">
        <v>0</v>
      </c>
      <c r="K3524">
        <v>0</v>
      </c>
      <c r="L3524" t="s">
        <v>3284</v>
      </c>
      <c r="M3524" t="s">
        <v>3296</v>
      </c>
      <c r="N3524" t="s">
        <v>3321</v>
      </c>
      <c r="O3524" t="s">
        <v>3322</v>
      </c>
      <c r="P3524" t="s">
        <v>4143</v>
      </c>
      <c r="Q3524" t="s">
        <v>4539</v>
      </c>
      <c r="R3524" t="s">
        <v>11728</v>
      </c>
    </row>
    <row r="3525" spans="1:18" x14ac:dyDescent="0.2">
      <c r="A3525">
        <v>1286698</v>
      </c>
      <c r="B3525" t="s">
        <v>11729</v>
      </c>
      <c r="C3525">
        <v>6</v>
      </c>
      <c r="D3525">
        <v>1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 t="s">
        <v>3284</v>
      </c>
      <c r="M3525" t="s">
        <v>3327</v>
      </c>
      <c r="N3525" t="s">
        <v>3328</v>
      </c>
      <c r="O3525" t="s">
        <v>3329</v>
      </c>
      <c r="P3525" t="s">
        <v>3330</v>
      </c>
      <c r="Q3525" t="s">
        <v>6207</v>
      </c>
      <c r="R3525" t="s">
        <v>11730</v>
      </c>
    </row>
    <row r="3526" spans="1:18" x14ac:dyDescent="0.2">
      <c r="A3526">
        <v>1286366</v>
      </c>
      <c r="B3526" t="s">
        <v>11731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1</v>
      </c>
      <c r="J3526">
        <v>0</v>
      </c>
      <c r="K3526">
        <v>0</v>
      </c>
      <c r="L3526" t="s">
        <v>3284</v>
      </c>
      <c r="M3526" t="s">
        <v>3296</v>
      </c>
      <c r="N3526" t="s">
        <v>3297</v>
      </c>
      <c r="O3526" t="s">
        <v>3434</v>
      </c>
      <c r="P3526" t="s">
        <v>3435</v>
      </c>
      <c r="Q3526" t="s">
        <v>3436</v>
      </c>
      <c r="R3526" t="s">
        <v>11732</v>
      </c>
    </row>
    <row r="3527" spans="1:18" x14ac:dyDescent="0.2">
      <c r="A3527">
        <v>1285960</v>
      </c>
      <c r="B3527" t="s">
        <v>11733</v>
      </c>
      <c r="C3527">
        <v>0</v>
      </c>
      <c r="D3527">
        <v>0</v>
      </c>
      <c r="E3527">
        <v>0</v>
      </c>
      <c r="F3527">
        <v>0</v>
      </c>
      <c r="G3527">
        <v>1</v>
      </c>
      <c r="H3527">
        <v>0</v>
      </c>
      <c r="I3527">
        <v>0</v>
      </c>
      <c r="J3527">
        <v>0</v>
      </c>
      <c r="K3527">
        <v>0</v>
      </c>
      <c r="L3527" t="s">
        <v>3284</v>
      </c>
      <c r="M3527" t="s">
        <v>3296</v>
      </c>
      <c r="N3527" t="s">
        <v>3343</v>
      </c>
      <c r="O3527" t="s">
        <v>3344</v>
      </c>
      <c r="P3527" t="s">
        <v>5257</v>
      </c>
      <c r="Q3527" t="s">
        <v>11734</v>
      </c>
      <c r="R3527" t="s">
        <v>11735</v>
      </c>
    </row>
    <row r="3528" spans="1:18" x14ac:dyDescent="0.2">
      <c r="A3528">
        <v>1284352</v>
      </c>
      <c r="B3528" t="s">
        <v>11736</v>
      </c>
      <c r="C3528">
        <v>0</v>
      </c>
      <c r="D3528">
        <v>0</v>
      </c>
      <c r="E3528">
        <v>0</v>
      </c>
      <c r="F3528">
        <v>1</v>
      </c>
      <c r="G3528">
        <v>0</v>
      </c>
      <c r="H3528">
        <v>0</v>
      </c>
      <c r="I3528">
        <v>0</v>
      </c>
      <c r="J3528">
        <v>0</v>
      </c>
      <c r="K3528">
        <v>0</v>
      </c>
      <c r="L3528" t="s">
        <v>3284</v>
      </c>
      <c r="M3528" t="s">
        <v>3327</v>
      </c>
      <c r="N3528" t="s">
        <v>3376</v>
      </c>
      <c r="O3528" t="s">
        <v>3377</v>
      </c>
      <c r="P3528" t="s">
        <v>3604</v>
      </c>
      <c r="Q3528" t="s">
        <v>3668</v>
      </c>
      <c r="R3528" t="s">
        <v>11737</v>
      </c>
    </row>
    <row r="3529" spans="1:18" x14ac:dyDescent="0.2">
      <c r="A3529">
        <v>1283306</v>
      </c>
      <c r="B3529" t="s">
        <v>11738</v>
      </c>
      <c r="C3529">
        <v>0</v>
      </c>
      <c r="D3529">
        <v>0</v>
      </c>
      <c r="E3529">
        <v>0</v>
      </c>
      <c r="F3529">
        <v>2</v>
      </c>
      <c r="G3529">
        <v>3</v>
      </c>
      <c r="H3529">
        <v>0</v>
      </c>
      <c r="I3529">
        <v>1</v>
      </c>
      <c r="J3529">
        <v>0</v>
      </c>
      <c r="K3529">
        <v>0</v>
      </c>
      <c r="L3529" t="s">
        <v>3284</v>
      </c>
      <c r="M3529" t="s">
        <v>3296</v>
      </c>
      <c r="N3529" t="s">
        <v>3321</v>
      </c>
      <c r="O3529" t="s">
        <v>3322</v>
      </c>
      <c r="P3529" t="s">
        <v>3398</v>
      </c>
      <c r="Q3529" t="s">
        <v>6144</v>
      </c>
      <c r="R3529" t="s">
        <v>11739</v>
      </c>
    </row>
    <row r="3530" spans="1:18" x14ac:dyDescent="0.2">
      <c r="A3530">
        <v>1283293</v>
      </c>
      <c r="B3530" t="s">
        <v>11740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1</v>
      </c>
      <c r="J3530">
        <v>0</v>
      </c>
      <c r="K3530">
        <v>0</v>
      </c>
      <c r="L3530" t="s">
        <v>3284</v>
      </c>
      <c r="M3530" t="s">
        <v>3296</v>
      </c>
      <c r="N3530" t="s">
        <v>3297</v>
      </c>
      <c r="O3530" t="s">
        <v>3434</v>
      </c>
      <c r="P3530" t="s">
        <v>3435</v>
      </c>
      <c r="Q3530" t="s">
        <v>3436</v>
      </c>
      <c r="R3530" t="s">
        <v>11741</v>
      </c>
    </row>
    <row r="3531" spans="1:18" x14ac:dyDescent="0.2">
      <c r="A3531">
        <v>1283291</v>
      </c>
      <c r="B3531" t="s">
        <v>11742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2</v>
      </c>
      <c r="J3531">
        <v>0</v>
      </c>
      <c r="K3531">
        <v>0</v>
      </c>
      <c r="L3531" t="s">
        <v>3284</v>
      </c>
      <c r="M3531" t="s">
        <v>3296</v>
      </c>
      <c r="N3531" t="s">
        <v>3297</v>
      </c>
      <c r="O3531" t="s">
        <v>3434</v>
      </c>
      <c r="P3531" t="s">
        <v>3435</v>
      </c>
      <c r="Q3531" t="s">
        <v>3436</v>
      </c>
      <c r="R3531" t="s">
        <v>11743</v>
      </c>
    </row>
    <row r="3532" spans="1:18" x14ac:dyDescent="0.2">
      <c r="A3532">
        <v>1283287</v>
      </c>
      <c r="B3532" t="s">
        <v>11744</v>
      </c>
      <c r="C3532">
        <v>0</v>
      </c>
      <c r="D3532">
        <v>0</v>
      </c>
      <c r="E3532">
        <v>0</v>
      </c>
      <c r="F3532">
        <v>1</v>
      </c>
      <c r="G3532">
        <v>2</v>
      </c>
      <c r="H3532">
        <v>0</v>
      </c>
      <c r="I3532">
        <v>0</v>
      </c>
      <c r="J3532">
        <v>0</v>
      </c>
      <c r="K3532">
        <v>0</v>
      </c>
      <c r="L3532" t="s">
        <v>3284</v>
      </c>
      <c r="M3532" t="s">
        <v>3307</v>
      </c>
      <c r="N3532" t="s">
        <v>3308</v>
      </c>
      <c r="O3532" t="s">
        <v>3309</v>
      </c>
      <c r="P3532" t="s">
        <v>3310</v>
      </c>
      <c r="Q3532" t="s">
        <v>3311</v>
      </c>
      <c r="R3532" t="s">
        <v>11745</v>
      </c>
    </row>
    <row r="3533" spans="1:18" x14ac:dyDescent="0.2">
      <c r="A3533">
        <v>1282736</v>
      </c>
      <c r="B3533" t="s">
        <v>11746</v>
      </c>
      <c r="C3533">
        <v>0</v>
      </c>
      <c r="D3533">
        <v>0</v>
      </c>
      <c r="E3533">
        <v>0</v>
      </c>
      <c r="F3533">
        <v>11</v>
      </c>
      <c r="G3533">
        <v>7</v>
      </c>
      <c r="H3533">
        <v>0</v>
      </c>
      <c r="I3533">
        <v>0</v>
      </c>
      <c r="J3533">
        <v>0</v>
      </c>
      <c r="K3533">
        <v>0</v>
      </c>
      <c r="L3533" t="s">
        <v>3284</v>
      </c>
      <c r="M3533" t="s">
        <v>3307</v>
      </c>
      <c r="N3533" t="s">
        <v>3308</v>
      </c>
      <c r="O3533" t="s">
        <v>3359</v>
      </c>
      <c r="P3533" t="s">
        <v>3360</v>
      </c>
      <c r="Q3533" t="s">
        <v>4916</v>
      </c>
      <c r="R3533" t="s">
        <v>11747</v>
      </c>
    </row>
    <row r="3534" spans="1:18" x14ac:dyDescent="0.2">
      <c r="A3534">
        <v>1282440</v>
      </c>
      <c r="B3534" t="s">
        <v>11748</v>
      </c>
      <c r="C3534">
        <v>0</v>
      </c>
      <c r="D3534">
        <v>0</v>
      </c>
      <c r="E3534">
        <v>0</v>
      </c>
      <c r="F3534">
        <v>1</v>
      </c>
      <c r="G3534">
        <v>0</v>
      </c>
      <c r="H3534">
        <v>0</v>
      </c>
      <c r="I3534">
        <v>0</v>
      </c>
      <c r="J3534">
        <v>0</v>
      </c>
      <c r="K3534">
        <v>0</v>
      </c>
      <c r="L3534" t="s">
        <v>3284</v>
      </c>
      <c r="M3534" t="s">
        <v>3296</v>
      </c>
      <c r="N3534" t="s">
        <v>3343</v>
      </c>
      <c r="O3534" t="s">
        <v>3344</v>
      </c>
      <c r="P3534" t="s">
        <v>3661</v>
      </c>
      <c r="Q3534" t="s">
        <v>3662</v>
      </c>
      <c r="R3534" t="s">
        <v>11749</v>
      </c>
    </row>
    <row r="3535" spans="1:18" x14ac:dyDescent="0.2">
      <c r="A3535">
        <v>1282363</v>
      </c>
      <c r="B3535" t="s">
        <v>11750</v>
      </c>
      <c r="C3535">
        <v>0</v>
      </c>
      <c r="D3535">
        <v>0</v>
      </c>
      <c r="E3535">
        <v>0</v>
      </c>
      <c r="F3535">
        <v>1</v>
      </c>
      <c r="G3535">
        <v>0</v>
      </c>
      <c r="H3535">
        <v>0</v>
      </c>
      <c r="I3535">
        <v>0</v>
      </c>
      <c r="J3535">
        <v>0</v>
      </c>
      <c r="K3535">
        <v>0</v>
      </c>
      <c r="L3535" t="s">
        <v>3284</v>
      </c>
      <c r="M3535" t="s">
        <v>3296</v>
      </c>
      <c r="N3535" t="s">
        <v>3343</v>
      </c>
      <c r="O3535" t="s">
        <v>3402</v>
      </c>
      <c r="P3535" t="s">
        <v>3403</v>
      </c>
      <c r="Q3535" t="s">
        <v>4884</v>
      </c>
      <c r="R3535" t="s">
        <v>11751</v>
      </c>
    </row>
    <row r="3536" spans="1:18" x14ac:dyDescent="0.2">
      <c r="A3536">
        <v>1280686</v>
      </c>
      <c r="B3536" t="s">
        <v>11752</v>
      </c>
      <c r="C3536">
        <v>0</v>
      </c>
      <c r="D3536">
        <v>0</v>
      </c>
      <c r="E3536">
        <v>1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 t="s">
        <v>3284</v>
      </c>
      <c r="M3536" t="s">
        <v>3327</v>
      </c>
      <c r="N3536" t="s">
        <v>3328</v>
      </c>
      <c r="O3536" t="s">
        <v>4017</v>
      </c>
      <c r="P3536" t="s">
        <v>4018</v>
      </c>
      <c r="Q3536" t="s">
        <v>11753</v>
      </c>
      <c r="R3536" t="s">
        <v>11754</v>
      </c>
    </row>
    <row r="3537" spans="1:18" x14ac:dyDescent="0.2">
      <c r="A3537">
        <v>1280676</v>
      </c>
      <c r="B3537" t="s">
        <v>11755</v>
      </c>
      <c r="C3537">
        <v>1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 t="s">
        <v>3284</v>
      </c>
      <c r="M3537" t="s">
        <v>3327</v>
      </c>
      <c r="N3537" t="s">
        <v>3328</v>
      </c>
      <c r="O3537" t="s">
        <v>4017</v>
      </c>
      <c r="P3537" t="s">
        <v>4018</v>
      </c>
      <c r="Q3537" t="s">
        <v>11753</v>
      </c>
      <c r="R3537" t="s">
        <v>11756</v>
      </c>
    </row>
    <row r="3538" spans="1:18" x14ac:dyDescent="0.2">
      <c r="A3538">
        <v>1280370</v>
      </c>
      <c r="B3538" t="s">
        <v>11757</v>
      </c>
      <c r="C3538">
        <v>1</v>
      </c>
      <c r="D3538">
        <v>0</v>
      </c>
      <c r="E3538">
        <v>0</v>
      </c>
      <c r="F3538">
        <v>1</v>
      </c>
      <c r="G3538">
        <v>0</v>
      </c>
      <c r="H3538">
        <v>0</v>
      </c>
      <c r="I3538">
        <v>0</v>
      </c>
      <c r="J3538">
        <v>0</v>
      </c>
      <c r="K3538">
        <v>0</v>
      </c>
      <c r="L3538" t="s">
        <v>3284</v>
      </c>
      <c r="M3538" t="s">
        <v>3327</v>
      </c>
      <c r="N3538" t="s">
        <v>3376</v>
      </c>
      <c r="O3538" t="s">
        <v>3377</v>
      </c>
      <c r="P3538" t="s">
        <v>5934</v>
      </c>
      <c r="Q3538" t="s">
        <v>11758</v>
      </c>
      <c r="R3538" t="s">
        <v>11759</v>
      </c>
    </row>
    <row r="3539" spans="1:18" x14ac:dyDescent="0.2">
      <c r="A3539">
        <v>1279028</v>
      </c>
      <c r="B3539" t="s">
        <v>11760</v>
      </c>
      <c r="C3539">
        <v>0</v>
      </c>
      <c r="D3539">
        <v>0</v>
      </c>
      <c r="E3539">
        <v>0</v>
      </c>
      <c r="F3539">
        <v>1</v>
      </c>
      <c r="G3539">
        <v>0</v>
      </c>
      <c r="H3539">
        <v>0</v>
      </c>
      <c r="I3539">
        <v>0</v>
      </c>
      <c r="J3539">
        <v>0</v>
      </c>
      <c r="K3539">
        <v>0</v>
      </c>
      <c r="L3539" t="s">
        <v>3284</v>
      </c>
      <c r="M3539" t="s">
        <v>3307</v>
      </c>
      <c r="N3539" t="s">
        <v>3308</v>
      </c>
      <c r="O3539" t="s">
        <v>3359</v>
      </c>
      <c r="P3539" t="s">
        <v>3360</v>
      </c>
      <c r="Q3539" t="s">
        <v>3528</v>
      </c>
      <c r="R3539" t="s">
        <v>11761</v>
      </c>
    </row>
    <row r="3540" spans="1:18" x14ac:dyDescent="0.2">
      <c r="A3540">
        <v>1278758</v>
      </c>
      <c r="B3540" t="s">
        <v>11762</v>
      </c>
      <c r="C3540">
        <v>0</v>
      </c>
      <c r="D3540">
        <v>0</v>
      </c>
      <c r="E3540">
        <v>0</v>
      </c>
      <c r="F3540">
        <v>6</v>
      </c>
      <c r="G3540">
        <v>1</v>
      </c>
      <c r="H3540">
        <v>0</v>
      </c>
      <c r="I3540">
        <v>0</v>
      </c>
      <c r="J3540">
        <v>0</v>
      </c>
      <c r="K3540">
        <v>0</v>
      </c>
      <c r="L3540" t="s">
        <v>3284</v>
      </c>
      <c r="M3540" t="s">
        <v>3391</v>
      </c>
      <c r="N3540" t="s">
        <v>3411</v>
      </c>
      <c r="O3540" t="s">
        <v>3412</v>
      </c>
      <c r="P3540" t="s">
        <v>3413</v>
      </c>
      <c r="Q3540" t="s">
        <v>3414</v>
      </c>
      <c r="R3540" t="s">
        <v>11763</v>
      </c>
    </row>
    <row r="3541" spans="1:18" x14ac:dyDescent="0.2">
      <c r="A3541">
        <v>1278232</v>
      </c>
      <c r="B3541" t="s">
        <v>11764</v>
      </c>
      <c r="C3541">
        <v>1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 t="s">
        <v>3284</v>
      </c>
      <c r="M3541" t="s">
        <v>3327</v>
      </c>
      <c r="N3541" t="s">
        <v>4384</v>
      </c>
      <c r="O3541" t="s">
        <v>4605</v>
      </c>
      <c r="P3541" t="s">
        <v>11765</v>
      </c>
      <c r="Q3541" t="s">
        <v>11766</v>
      </c>
      <c r="R3541" t="s">
        <v>11767</v>
      </c>
    </row>
    <row r="3542" spans="1:18" x14ac:dyDescent="0.2">
      <c r="A3542">
        <v>1276110</v>
      </c>
      <c r="B3542" t="s">
        <v>11768</v>
      </c>
      <c r="C3542">
        <v>1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 t="s">
        <v>3284</v>
      </c>
      <c r="M3542" t="s">
        <v>3327</v>
      </c>
      <c r="N3542" t="s">
        <v>3376</v>
      </c>
      <c r="O3542" t="s">
        <v>3377</v>
      </c>
      <c r="P3542" t="s">
        <v>3604</v>
      </c>
      <c r="Q3542" t="s">
        <v>3668</v>
      </c>
      <c r="R3542" t="s">
        <v>11769</v>
      </c>
    </row>
    <row r="3543" spans="1:18" x14ac:dyDescent="0.2">
      <c r="A3543">
        <v>1274399</v>
      </c>
      <c r="B3543" t="s">
        <v>11770</v>
      </c>
      <c r="C3543">
        <v>0</v>
      </c>
      <c r="D3543">
        <v>0</v>
      </c>
      <c r="E3543">
        <v>0</v>
      </c>
      <c r="F3543">
        <v>1</v>
      </c>
      <c r="G3543">
        <v>0</v>
      </c>
      <c r="H3543">
        <v>0</v>
      </c>
      <c r="I3543">
        <v>0</v>
      </c>
      <c r="J3543">
        <v>0</v>
      </c>
      <c r="K3543">
        <v>0</v>
      </c>
      <c r="L3543" t="s">
        <v>3284</v>
      </c>
      <c r="M3543" t="s">
        <v>3296</v>
      </c>
      <c r="N3543" t="s">
        <v>3297</v>
      </c>
      <c r="O3543" t="s">
        <v>3298</v>
      </c>
      <c r="P3543" t="s">
        <v>3826</v>
      </c>
      <c r="Q3543" t="s">
        <v>6074</v>
      </c>
      <c r="R3543" t="s">
        <v>11771</v>
      </c>
    </row>
    <row r="3544" spans="1:18" x14ac:dyDescent="0.2">
      <c r="A3544">
        <v>1274353</v>
      </c>
      <c r="B3544" t="s">
        <v>11772</v>
      </c>
      <c r="C3544">
        <v>0</v>
      </c>
      <c r="D3544">
        <v>1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 t="s">
        <v>3284</v>
      </c>
      <c r="M3544" t="s">
        <v>3327</v>
      </c>
      <c r="N3544" t="s">
        <v>3376</v>
      </c>
      <c r="O3544" t="s">
        <v>3377</v>
      </c>
      <c r="P3544" t="s">
        <v>3378</v>
      </c>
      <c r="Q3544" t="s">
        <v>11773</v>
      </c>
      <c r="R3544" t="s">
        <v>11774</v>
      </c>
    </row>
    <row r="3545" spans="1:18" x14ac:dyDescent="0.2">
      <c r="A3545">
        <v>1270196</v>
      </c>
      <c r="B3545" t="s">
        <v>11775</v>
      </c>
      <c r="C3545">
        <v>0</v>
      </c>
      <c r="D3545">
        <v>1</v>
      </c>
      <c r="E3545">
        <v>1</v>
      </c>
      <c r="F3545">
        <v>1</v>
      </c>
      <c r="G3545">
        <v>1</v>
      </c>
      <c r="H3545">
        <v>0</v>
      </c>
      <c r="I3545">
        <v>0</v>
      </c>
      <c r="J3545">
        <v>0</v>
      </c>
      <c r="K3545">
        <v>0</v>
      </c>
      <c r="L3545" t="s">
        <v>3284</v>
      </c>
      <c r="M3545" t="s">
        <v>3391</v>
      </c>
      <c r="N3545" t="s">
        <v>3392</v>
      </c>
      <c r="O3545" t="s">
        <v>3393</v>
      </c>
      <c r="P3545" t="s">
        <v>3394</v>
      </c>
      <c r="Q3545" t="s">
        <v>3395</v>
      </c>
      <c r="R3545" t="s">
        <v>11776</v>
      </c>
    </row>
    <row r="3546" spans="1:18" x14ac:dyDescent="0.2">
      <c r="A3546">
        <v>1268553</v>
      </c>
      <c r="B3546" t="s">
        <v>11777</v>
      </c>
      <c r="C3546">
        <v>0</v>
      </c>
      <c r="D3546">
        <v>0</v>
      </c>
      <c r="E3546">
        <v>0</v>
      </c>
      <c r="F3546">
        <v>8</v>
      </c>
      <c r="G3546">
        <v>4</v>
      </c>
      <c r="H3546">
        <v>2</v>
      </c>
      <c r="I3546">
        <v>0</v>
      </c>
      <c r="J3546">
        <v>0</v>
      </c>
      <c r="K3546">
        <v>0</v>
      </c>
      <c r="L3546" t="s">
        <v>3284</v>
      </c>
      <c r="M3546" t="s">
        <v>3296</v>
      </c>
      <c r="N3546" t="s">
        <v>3343</v>
      </c>
      <c r="O3546" t="s">
        <v>3349</v>
      </c>
      <c r="P3546" t="s">
        <v>3350</v>
      </c>
      <c r="Q3546" t="s">
        <v>3580</v>
      </c>
      <c r="R3546" t="s">
        <v>11778</v>
      </c>
    </row>
    <row r="3547" spans="1:18" x14ac:dyDescent="0.2">
      <c r="A3547">
        <v>1268550</v>
      </c>
      <c r="B3547" t="s">
        <v>11779</v>
      </c>
      <c r="C3547">
        <v>0</v>
      </c>
      <c r="D3547">
        <v>0</v>
      </c>
      <c r="E3547">
        <v>0</v>
      </c>
      <c r="F3547">
        <v>2</v>
      </c>
      <c r="G3547">
        <v>1</v>
      </c>
      <c r="H3547">
        <v>0</v>
      </c>
      <c r="I3547">
        <v>0</v>
      </c>
      <c r="J3547">
        <v>0</v>
      </c>
      <c r="K3547">
        <v>0</v>
      </c>
      <c r="L3547" t="s">
        <v>3284</v>
      </c>
      <c r="M3547" t="s">
        <v>3391</v>
      </c>
      <c r="N3547" t="s">
        <v>3392</v>
      </c>
      <c r="O3547" t="s">
        <v>3393</v>
      </c>
      <c r="P3547" t="s">
        <v>3394</v>
      </c>
      <c r="Q3547" t="s">
        <v>3395</v>
      </c>
      <c r="R3547" t="s">
        <v>11780</v>
      </c>
    </row>
    <row r="3548" spans="1:18" x14ac:dyDescent="0.2">
      <c r="A3548">
        <v>1268548</v>
      </c>
      <c r="B3548" t="s">
        <v>11781</v>
      </c>
      <c r="C3548">
        <v>0</v>
      </c>
      <c r="D3548">
        <v>0</v>
      </c>
      <c r="E3548">
        <v>0</v>
      </c>
      <c r="F3548">
        <v>0</v>
      </c>
      <c r="G3548">
        <v>2</v>
      </c>
      <c r="H3548">
        <v>0</v>
      </c>
      <c r="I3548">
        <v>0</v>
      </c>
      <c r="J3548">
        <v>0</v>
      </c>
      <c r="K3548">
        <v>0</v>
      </c>
      <c r="L3548" t="s">
        <v>3284</v>
      </c>
      <c r="M3548" t="s">
        <v>3391</v>
      </c>
      <c r="N3548" t="s">
        <v>4129</v>
      </c>
      <c r="O3548" t="s">
        <v>4130</v>
      </c>
      <c r="P3548" t="s">
        <v>4131</v>
      </c>
      <c r="Q3548" t="s">
        <v>7860</v>
      </c>
      <c r="R3548" t="s">
        <v>11782</v>
      </c>
    </row>
    <row r="3549" spans="1:18" x14ac:dyDescent="0.2">
      <c r="A3549">
        <v>1268041</v>
      </c>
      <c r="B3549" t="s">
        <v>11783</v>
      </c>
      <c r="C3549">
        <v>0</v>
      </c>
      <c r="D3549">
        <v>0</v>
      </c>
      <c r="E3549">
        <v>0</v>
      </c>
      <c r="F3549">
        <v>1</v>
      </c>
      <c r="G3549">
        <v>1</v>
      </c>
      <c r="H3549">
        <v>0</v>
      </c>
      <c r="I3549">
        <v>0</v>
      </c>
      <c r="J3549">
        <v>0</v>
      </c>
      <c r="K3549">
        <v>0</v>
      </c>
      <c r="L3549" t="s">
        <v>3284</v>
      </c>
      <c r="M3549" t="s">
        <v>3307</v>
      </c>
      <c r="N3549" t="s">
        <v>3308</v>
      </c>
      <c r="O3549" t="s">
        <v>3359</v>
      </c>
      <c r="P3549" t="s">
        <v>3360</v>
      </c>
      <c r="Q3549" t="s">
        <v>8548</v>
      </c>
      <c r="R3549" t="s">
        <v>11784</v>
      </c>
    </row>
    <row r="3550" spans="1:18" x14ac:dyDescent="0.2">
      <c r="A3550">
        <v>1267423</v>
      </c>
      <c r="B3550" t="s">
        <v>11785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1</v>
      </c>
      <c r="K3550">
        <v>0</v>
      </c>
      <c r="L3550" t="s">
        <v>3284</v>
      </c>
      <c r="M3550" t="s">
        <v>3391</v>
      </c>
      <c r="N3550" t="s">
        <v>3740</v>
      </c>
      <c r="O3550" t="s">
        <v>3741</v>
      </c>
      <c r="P3550" t="s">
        <v>11786</v>
      </c>
      <c r="Q3550" t="s">
        <v>11787</v>
      </c>
      <c r="R3550" t="s">
        <v>11788</v>
      </c>
    </row>
    <row r="3551" spans="1:18" x14ac:dyDescent="0.2">
      <c r="A3551">
        <v>1267217</v>
      </c>
      <c r="B3551" t="s">
        <v>11789</v>
      </c>
      <c r="C3551">
        <v>0</v>
      </c>
      <c r="D3551">
        <v>2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 t="s">
        <v>3284</v>
      </c>
      <c r="M3551" t="s">
        <v>3296</v>
      </c>
      <c r="N3551" t="s">
        <v>3321</v>
      </c>
      <c r="O3551" t="s">
        <v>3322</v>
      </c>
      <c r="P3551" t="s">
        <v>3398</v>
      </c>
      <c r="Q3551" t="s">
        <v>11790</v>
      </c>
      <c r="R3551" t="s">
        <v>11791</v>
      </c>
    </row>
    <row r="3552" spans="1:18" x14ac:dyDescent="0.2">
      <c r="A3552">
        <v>1267211</v>
      </c>
      <c r="B3552" t="s">
        <v>11792</v>
      </c>
      <c r="C3552">
        <v>0</v>
      </c>
      <c r="D3552">
        <v>0</v>
      </c>
      <c r="E3552">
        <v>0</v>
      </c>
      <c r="F3552">
        <v>1</v>
      </c>
      <c r="G3552">
        <v>0</v>
      </c>
      <c r="H3552">
        <v>0</v>
      </c>
      <c r="I3552">
        <v>0</v>
      </c>
      <c r="J3552">
        <v>0</v>
      </c>
      <c r="K3552">
        <v>0</v>
      </c>
      <c r="L3552" t="s">
        <v>3284</v>
      </c>
      <c r="M3552" t="s">
        <v>3391</v>
      </c>
      <c r="N3552" t="s">
        <v>4129</v>
      </c>
      <c r="O3552" t="s">
        <v>4130</v>
      </c>
      <c r="P3552" t="s">
        <v>4131</v>
      </c>
      <c r="Q3552" t="s">
        <v>9543</v>
      </c>
      <c r="R3552" t="s">
        <v>11793</v>
      </c>
    </row>
    <row r="3553" spans="1:18" x14ac:dyDescent="0.2">
      <c r="A3553">
        <v>1266600</v>
      </c>
      <c r="B3553" t="s">
        <v>11794</v>
      </c>
      <c r="C3553">
        <v>0</v>
      </c>
      <c r="D3553">
        <v>0</v>
      </c>
      <c r="E3553">
        <v>0</v>
      </c>
      <c r="F3553">
        <v>1</v>
      </c>
      <c r="G3553">
        <v>0</v>
      </c>
      <c r="H3553">
        <v>0</v>
      </c>
      <c r="I3553">
        <v>2</v>
      </c>
      <c r="J3553">
        <v>3</v>
      </c>
      <c r="K3553">
        <v>0</v>
      </c>
      <c r="L3553" t="s">
        <v>3284</v>
      </c>
      <c r="M3553" t="s">
        <v>3307</v>
      </c>
      <c r="N3553" t="s">
        <v>3308</v>
      </c>
      <c r="O3553" t="s">
        <v>3359</v>
      </c>
      <c r="P3553" t="s">
        <v>3360</v>
      </c>
      <c r="Q3553" t="s">
        <v>3934</v>
      </c>
      <c r="R3553" t="s">
        <v>11795</v>
      </c>
    </row>
    <row r="3554" spans="1:18" x14ac:dyDescent="0.2">
      <c r="A3554">
        <v>1265740</v>
      </c>
      <c r="B3554" t="s">
        <v>11796</v>
      </c>
      <c r="C3554">
        <v>0</v>
      </c>
      <c r="D3554">
        <v>0</v>
      </c>
      <c r="E3554">
        <v>0</v>
      </c>
      <c r="F3554">
        <v>1</v>
      </c>
      <c r="G3554">
        <v>0</v>
      </c>
      <c r="H3554">
        <v>0</v>
      </c>
      <c r="I3554">
        <v>0</v>
      </c>
      <c r="J3554">
        <v>0</v>
      </c>
      <c r="K3554">
        <v>0</v>
      </c>
      <c r="L3554" t="s">
        <v>3284</v>
      </c>
      <c r="M3554" t="s">
        <v>3391</v>
      </c>
      <c r="N3554" t="s">
        <v>3411</v>
      </c>
      <c r="O3554" t="s">
        <v>3412</v>
      </c>
      <c r="P3554" t="s">
        <v>3413</v>
      </c>
      <c r="Q3554" t="s">
        <v>3414</v>
      </c>
      <c r="R3554" t="s">
        <v>11797</v>
      </c>
    </row>
    <row r="3555" spans="1:18" x14ac:dyDescent="0.2">
      <c r="A3555">
        <v>1262780</v>
      </c>
      <c r="B3555" t="s">
        <v>11798</v>
      </c>
      <c r="C3555">
        <v>1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 t="s">
        <v>3284</v>
      </c>
      <c r="M3555" t="s">
        <v>3327</v>
      </c>
      <c r="N3555" t="s">
        <v>3328</v>
      </c>
      <c r="O3555" t="s">
        <v>3329</v>
      </c>
      <c r="P3555" t="s">
        <v>3330</v>
      </c>
      <c r="Q3555" t="s">
        <v>3331</v>
      </c>
      <c r="R3555" t="s">
        <v>11799</v>
      </c>
    </row>
    <row r="3556" spans="1:18" x14ac:dyDescent="0.2">
      <c r="A3556">
        <v>1260987</v>
      </c>
      <c r="B3556" t="s">
        <v>11800</v>
      </c>
      <c r="C3556">
        <v>1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 t="s">
        <v>3284</v>
      </c>
      <c r="M3556" t="s">
        <v>3296</v>
      </c>
      <c r="N3556" t="s">
        <v>3321</v>
      </c>
      <c r="O3556" t="s">
        <v>3322</v>
      </c>
      <c r="P3556" t="s">
        <v>3323</v>
      </c>
      <c r="Q3556" t="s">
        <v>9838</v>
      </c>
      <c r="R3556" t="s">
        <v>11801</v>
      </c>
    </row>
    <row r="3557" spans="1:18" x14ac:dyDescent="0.2">
      <c r="A3557">
        <v>1259676</v>
      </c>
      <c r="B3557" t="s">
        <v>11802</v>
      </c>
      <c r="C3557">
        <v>0</v>
      </c>
      <c r="D3557">
        <v>0</v>
      </c>
      <c r="E3557">
        <v>0</v>
      </c>
      <c r="F3557">
        <v>1</v>
      </c>
      <c r="G3557">
        <v>0</v>
      </c>
      <c r="H3557">
        <v>0</v>
      </c>
      <c r="I3557">
        <v>0</v>
      </c>
      <c r="J3557">
        <v>0</v>
      </c>
      <c r="K3557">
        <v>0</v>
      </c>
      <c r="L3557" t="s">
        <v>3284</v>
      </c>
      <c r="M3557" t="s">
        <v>3296</v>
      </c>
      <c r="N3557" t="s">
        <v>3343</v>
      </c>
      <c r="O3557" t="s">
        <v>3349</v>
      </c>
      <c r="P3557" t="s">
        <v>3350</v>
      </c>
      <c r="Q3557" t="s">
        <v>3580</v>
      </c>
      <c r="R3557" t="s">
        <v>11803</v>
      </c>
    </row>
    <row r="3558" spans="1:18" x14ac:dyDescent="0.2">
      <c r="A3558">
        <v>1259464</v>
      </c>
      <c r="B3558" t="s">
        <v>11804</v>
      </c>
      <c r="C3558">
        <v>0</v>
      </c>
      <c r="D3558">
        <v>0</v>
      </c>
      <c r="E3558">
        <v>0</v>
      </c>
      <c r="F3558">
        <v>1</v>
      </c>
      <c r="G3558">
        <v>0</v>
      </c>
      <c r="H3558">
        <v>0</v>
      </c>
      <c r="I3558">
        <v>0</v>
      </c>
      <c r="J3558">
        <v>0</v>
      </c>
      <c r="K3558">
        <v>0</v>
      </c>
      <c r="L3558" t="s">
        <v>3284</v>
      </c>
      <c r="M3558" t="s">
        <v>3391</v>
      </c>
      <c r="N3558" t="s">
        <v>3392</v>
      </c>
      <c r="O3558" t="s">
        <v>3393</v>
      </c>
      <c r="P3558" t="s">
        <v>3394</v>
      </c>
      <c r="Q3558" t="s">
        <v>11725</v>
      </c>
      <c r="R3558" t="s">
        <v>11805</v>
      </c>
    </row>
    <row r="3559" spans="1:18" x14ac:dyDescent="0.2">
      <c r="A3559">
        <v>1259258</v>
      </c>
      <c r="B3559" t="s">
        <v>11806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1</v>
      </c>
      <c r="J3559">
        <v>0</v>
      </c>
      <c r="K3559">
        <v>0</v>
      </c>
      <c r="L3559" t="s">
        <v>3284</v>
      </c>
      <c r="M3559" t="s">
        <v>3307</v>
      </c>
      <c r="N3559" t="s">
        <v>3308</v>
      </c>
      <c r="O3559" t="s">
        <v>3359</v>
      </c>
      <c r="P3559" t="s">
        <v>3360</v>
      </c>
      <c r="Q3559" t="s">
        <v>4793</v>
      </c>
      <c r="R3559" t="s">
        <v>11807</v>
      </c>
    </row>
    <row r="3560" spans="1:18" x14ac:dyDescent="0.2">
      <c r="A3560">
        <v>1259239</v>
      </c>
      <c r="B3560" t="s">
        <v>11808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1</v>
      </c>
      <c r="J3560">
        <v>0</v>
      </c>
      <c r="K3560">
        <v>0</v>
      </c>
      <c r="L3560" t="s">
        <v>3284</v>
      </c>
      <c r="M3560" t="s">
        <v>3307</v>
      </c>
      <c r="N3560" t="s">
        <v>3308</v>
      </c>
      <c r="O3560" t="s">
        <v>3359</v>
      </c>
      <c r="P3560" t="s">
        <v>3360</v>
      </c>
      <c r="Q3560" t="s">
        <v>4793</v>
      </c>
      <c r="R3560" t="s">
        <v>11809</v>
      </c>
    </row>
    <row r="3561" spans="1:18" x14ac:dyDescent="0.2">
      <c r="A3561">
        <v>1259202</v>
      </c>
      <c r="B3561" t="s">
        <v>11810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1</v>
      </c>
      <c r="J3561">
        <v>0</v>
      </c>
      <c r="K3561">
        <v>0</v>
      </c>
      <c r="L3561" t="s">
        <v>3284</v>
      </c>
      <c r="M3561" t="s">
        <v>3307</v>
      </c>
      <c r="N3561" t="s">
        <v>3308</v>
      </c>
      <c r="O3561" t="s">
        <v>3359</v>
      </c>
      <c r="P3561" t="s">
        <v>3360</v>
      </c>
      <c r="Q3561" t="s">
        <v>4793</v>
      </c>
      <c r="R3561" t="s">
        <v>11811</v>
      </c>
    </row>
    <row r="3562" spans="1:18" x14ac:dyDescent="0.2">
      <c r="A3562">
        <v>1259184</v>
      </c>
      <c r="B3562" t="s">
        <v>11812</v>
      </c>
      <c r="C3562">
        <v>0</v>
      </c>
      <c r="D3562">
        <v>1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 t="s">
        <v>3284</v>
      </c>
      <c r="M3562" t="s">
        <v>3307</v>
      </c>
      <c r="N3562" t="s">
        <v>3308</v>
      </c>
      <c r="O3562" t="s">
        <v>3359</v>
      </c>
      <c r="P3562" t="s">
        <v>3360</v>
      </c>
      <c r="Q3562" t="s">
        <v>4793</v>
      </c>
      <c r="R3562" t="s">
        <v>11813</v>
      </c>
    </row>
    <row r="3563" spans="1:18" x14ac:dyDescent="0.2">
      <c r="A3563">
        <v>1259145</v>
      </c>
      <c r="B3563" t="s">
        <v>11814</v>
      </c>
      <c r="C3563">
        <v>0</v>
      </c>
      <c r="D3563">
        <v>0</v>
      </c>
      <c r="E3563">
        <v>0</v>
      </c>
      <c r="F3563">
        <v>1</v>
      </c>
      <c r="G3563">
        <v>0</v>
      </c>
      <c r="H3563">
        <v>0</v>
      </c>
      <c r="I3563">
        <v>0</v>
      </c>
      <c r="J3563">
        <v>0</v>
      </c>
      <c r="K3563">
        <v>0</v>
      </c>
      <c r="L3563" t="s">
        <v>3284</v>
      </c>
      <c r="M3563" t="s">
        <v>3307</v>
      </c>
      <c r="N3563" t="s">
        <v>3308</v>
      </c>
      <c r="O3563" t="s">
        <v>3359</v>
      </c>
      <c r="P3563" t="s">
        <v>3360</v>
      </c>
      <c r="Q3563" t="s">
        <v>4793</v>
      </c>
      <c r="R3563" t="s">
        <v>11815</v>
      </c>
    </row>
    <row r="3564" spans="1:18" x14ac:dyDescent="0.2">
      <c r="A3564">
        <v>1256514</v>
      </c>
      <c r="B3564" t="s">
        <v>11816</v>
      </c>
      <c r="C3564">
        <v>0</v>
      </c>
      <c r="D3564">
        <v>0</v>
      </c>
      <c r="E3564">
        <v>0</v>
      </c>
      <c r="F3564">
        <v>0</v>
      </c>
      <c r="G3564">
        <v>1</v>
      </c>
      <c r="H3564">
        <v>0</v>
      </c>
      <c r="I3564">
        <v>0</v>
      </c>
      <c r="J3564">
        <v>0</v>
      </c>
      <c r="K3564">
        <v>0</v>
      </c>
      <c r="L3564" t="s">
        <v>3284</v>
      </c>
      <c r="M3564" t="s">
        <v>3296</v>
      </c>
      <c r="N3564" t="s">
        <v>3343</v>
      </c>
      <c r="O3564" t="s">
        <v>3349</v>
      </c>
      <c r="P3564" t="s">
        <v>3350</v>
      </c>
      <c r="Q3564" t="s">
        <v>3351</v>
      </c>
      <c r="R3564" t="s">
        <v>11817</v>
      </c>
    </row>
    <row r="3565" spans="1:18" x14ac:dyDescent="0.2">
      <c r="A3565">
        <v>1255570</v>
      </c>
      <c r="B3565" t="s">
        <v>11818</v>
      </c>
      <c r="C3565">
        <v>0</v>
      </c>
      <c r="D3565">
        <v>0</v>
      </c>
      <c r="E3565">
        <v>0</v>
      </c>
      <c r="F3565">
        <v>1</v>
      </c>
      <c r="G3565">
        <v>0</v>
      </c>
      <c r="H3565">
        <v>0</v>
      </c>
      <c r="I3565">
        <v>1</v>
      </c>
      <c r="J3565">
        <v>0</v>
      </c>
      <c r="K3565">
        <v>0</v>
      </c>
      <c r="L3565" t="s">
        <v>3284</v>
      </c>
      <c r="M3565" t="s">
        <v>3307</v>
      </c>
      <c r="N3565" t="s">
        <v>3308</v>
      </c>
      <c r="O3565" t="s">
        <v>3359</v>
      </c>
      <c r="P3565" t="s">
        <v>3360</v>
      </c>
      <c r="Q3565" t="s">
        <v>8518</v>
      </c>
      <c r="R3565" t="s">
        <v>11819</v>
      </c>
    </row>
    <row r="3566" spans="1:18" x14ac:dyDescent="0.2">
      <c r="A3566">
        <v>1254437</v>
      </c>
      <c r="B3566" t="s">
        <v>11820</v>
      </c>
      <c r="C3566">
        <v>0</v>
      </c>
      <c r="D3566">
        <v>0</v>
      </c>
      <c r="E3566">
        <v>0</v>
      </c>
      <c r="F3566">
        <v>1</v>
      </c>
      <c r="G3566">
        <v>1</v>
      </c>
      <c r="H3566">
        <v>0</v>
      </c>
      <c r="I3566">
        <v>1</v>
      </c>
      <c r="J3566">
        <v>0</v>
      </c>
      <c r="K3566">
        <v>0</v>
      </c>
      <c r="L3566" t="s">
        <v>3284</v>
      </c>
      <c r="M3566" t="s">
        <v>3391</v>
      </c>
      <c r="N3566" t="s">
        <v>3411</v>
      </c>
      <c r="O3566" t="s">
        <v>3412</v>
      </c>
      <c r="P3566" t="s">
        <v>3413</v>
      </c>
      <c r="Q3566" t="s">
        <v>3785</v>
      </c>
      <c r="R3566" t="s">
        <v>11821</v>
      </c>
    </row>
    <row r="3567" spans="1:18" x14ac:dyDescent="0.2">
      <c r="A3567">
        <v>1248917</v>
      </c>
      <c r="B3567" t="s">
        <v>11822</v>
      </c>
      <c r="C3567">
        <v>0</v>
      </c>
      <c r="D3567">
        <v>0</v>
      </c>
      <c r="E3567">
        <v>0</v>
      </c>
      <c r="F3567">
        <v>1</v>
      </c>
      <c r="G3567">
        <v>0</v>
      </c>
      <c r="H3567">
        <v>0</v>
      </c>
      <c r="I3567">
        <v>0</v>
      </c>
      <c r="J3567">
        <v>0</v>
      </c>
      <c r="K3567">
        <v>0</v>
      </c>
      <c r="L3567" t="s">
        <v>3284</v>
      </c>
      <c r="M3567" t="s">
        <v>3296</v>
      </c>
      <c r="N3567" t="s">
        <v>3343</v>
      </c>
      <c r="O3567" t="s">
        <v>3349</v>
      </c>
      <c r="P3567" t="s">
        <v>4285</v>
      </c>
      <c r="Q3567" t="s">
        <v>11823</v>
      </c>
      <c r="R3567" t="s">
        <v>11824</v>
      </c>
    </row>
    <row r="3568" spans="1:18" x14ac:dyDescent="0.2">
      <c r="A3568">
        <v>1248760</v>
      </c>
      <c r="B3568" t="s">
        <v>11825</v>
      </c>
      <c r="C3568">
        <v>1</v>
      </c>
      <c r="D3568">
        <v>1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 t="s">
        <v>3284</v>
      </c>
      <c r="M3568" t="s">
        <v>3296</v>
      </c>
      <c r="N3568" t="s">
        <v>3343</v>
      </c>
      <c r="O3568" t="s">
        <v>3349</v>
      </c>
      <c r="P3568" t="s">
        <v>3350</v>
      </c>
      <c r="Q3568" t="s">
        <v>11136</v>
      </c>
      <c r="R3568" t="s">
        <v>11826</v>
      </c>
    </row>
    <row r="3569" spans="1:18" x14ac:dyDescent="0.2">
      <c r="A3569">
        <v>1247546</v>
      </c>
      <c r="B3569" t="s">
        <v>11827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1</v>
      </c>
      <c r="K3569">
        <v>0</v>
      </c>
      <c r="L3569" t="s">
        <v>3284</v>
      </c>
      <c r="M3569" t="s">
        <v>3296</v>
      </c>
      <c r="N3569" t="s">
        <v>3297</v>
      </c>
      <c r="O3569" t="s">
        <v>3434</v>
      </c>
      <c r="P3569" t="s">
        <v>3435</v>
      </c>
      <c r="Q3569" t="s">
        <v>3436</v>
      </c>
      <c r="R3569" t="s">
        <v>11828</v>
      </c>
    </row>
    <row r="3570" spans="1:18" x14ac:dyDescent="0.2">
      <c r="A3570">
        <v>1247510</v>
      </c>
      <c r="B3570" t="s">
        <v>11829</v>
      </c>
      <c r="C3570">
        <v>0</v>
      </c>
      <c r="D3570">
        <v>0</v>
      </c>
      <c r="E3570">
        <v>0</v>
      </c>
      <c r="F3570">
        <v>2</v>
      </c>
      <c r="G3570">
        <v>3</v>
      </c>
      <c r="H3570">
        <v>0</v>
      </c>
      <c r="I3570">
        <v>0</v>
      </c>
      <c r="J3570">
        <v>0</v>
      </c>
      <c r="K3570">
        <v>0</v>
      </c>
      <c r="L3570" t="s">
        <v>3284</v>
      </c>
      <c r="M3570" t="s">
        <v>3296</v>
      </c>
      <c r="N3570" t="s">
        <v>3321</v>
      </c>
      <c r="O3570" t="s">
        <v>3322</v>
      </c>
      <c r="P3570" t="s">
        <v>4143</v>
      </c>
      <c r="Q3570" t="s">
        <v>6846</v>
      </c>
      <c r="R3570" t="s">
        <v>11830</v>
      </c>
    </row>
    <row r="3571" spans="1:18" x14ac:dyDescent="0.2">
      <c r="A3571">
        <v>1246981</v>
      </c>
      <c r="B3571" t="s">
        <v>11831</v>
      </c>
      <c r="C3571">
        <v>5</v>
      </c>
      <c r="D3571">
        <v>3</v>
      </c>
      <c r="E3571">
        <v>7</v>
      </c>
      <c r="F3571">
        <v>1</v>
      </c>
      <c r="G3571">
        <v>1</v>
      </c>
      <c r="H3571">
        <v>0</v>
      </c>
      <c r="I3571">
        <v>7</v>
      </c>
      <c r="J3571">
        <v>5</v>
      </c>
      <c r="K3571">
        <v>3</v>
      </c>
      <c r="L3571" t="s">
        <v>3284</v>
      </c>
      <c r="M3571" t="s">
        <v>4022</v>
      </c>
      <c r="N3571" t="s">
        <v>4023</v>
      </c>
      <c r="O3571" t="s">
        <v>4289</v>
      </c>
      <c r="P3571" t="s">
        <v>11832</v>
      </c>
      <c r="Q3571" t="s">
        <v>11833</v>
      </c>
      <c r="R3571" t="s">
        <v>11834</v>
      </c>
    </row>
    <row r="3572" spans="1:18" x14ac:dyDescent="0.2">
      <c r="A3572">
        <v>1246459</v>
      </c>
      <c r="B3572" t="s">
        <v>11835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1</v>
      </c>
      <c r="I3572">
        <v>0</v>
      </c>
      <c r="J3572">
        <v>0</v>
      </c>
      <c r="K3572">
        <v>0</v>
      </c>
      <c r="L3572" t="s">
        <v>3284</v>
      </c>
      <c r="M3572" t="s">
        <v>3296</v>
      </c>
      <c r="N3572" t="s">
        <v>3343</v>
      </c>
      <c r="O3572" t="s">
        <v>3344</v>
      </c>
      <c r="P3572" t="s">
        <v>3355</v>
      </c>
      <c r="Q3572" t="s">
        <v>3356</v>
      </c>
      <c r="R3572" t="s">
        <v>11836</v>
      </c>
    </row>
    <row r="3573" spans="1:18" x14ac:dyDescent="0.2">
      <c r="A3573">
        <v>1245526</v>
      </c>
      <c r="B3573" t="s">
        <v>11837</v>
      </c>
      <c r="C3573">
        <v>0</v>
      </c>
      <c r="D3573">
        <v>0</v>
      </c>
      <c r="E3573">
        <v>0</v>
      </c>
      <c r="F3573">
        <v>0</v>
      </c>
      <c r="G3573">
        <v>1</v>
      </c>
      <c r="H3573">
        <v>0</v>
      </c>
      <c r="I3573">
        <v>1</v>
      </c>
      <c r="J3573">
        <v>0</v>
      </c>
      <c r="K3573">
        <v>0</v>
      </c>
      <c r="L3573" t="s">
        <v>3284</v>
      </c>
      <c r="M3573" t="s">
        <v>3296</v>
      </c>
      <c r="N3573" t="s">
        <v>3297</v>
      </c>
      <c r="O3573" t="s">
        <v>3434</v>
      </c>
      <c r="P3573" t="s">
        <v>3435</v>
      </c>
      <c r="Q3573" t="s">
        <v>11838</v>
      </c>
      <c r="R3573" t="s">
        <v>11839</v>
      </c>
    </row>
    <row r="3574" spans="1:18" x14ac:dyDescent="0.2">
      <c r="A3574">
        <v>1245417</v>
      </c>
      <c r="B3574" t="s">
        <v>11840</v>
      </c>
      <c r="C3574">
        <v>0</v>
      </c>
      <c r="D3574">
        <v>0</v>
      </c>
      <c r="E3574">
        <v>0</v>
      </c>
      <c r="F3574">
        <v>0</v>
      </c>
      <c r="G3574">
        <v>1</v>
      </c>
      <c r="H3574">
        <v>0</v>
      </c>
      <c r="I3574">
        <v>0</v>
      </c>
      <c r="J3574">
        <v>0</v>
      </c>
      <c r="K3574">
        <v>0</v>
      </c>
      <c r="L3574" t="s">
        <v>3284</v>
      </c>
      <c r="M3574" t="s">
        <v>3296</v>
      </c>
      <c r="N3574" t="s">
        <v>3321</v>
      </c>
      <c r="O3574" t="s">
        <v>3322</v>
      </c>
      <c r="P3574" t="s">
        <v>3423</v>
      </c>
      <c r="Q3574" t="s">
        <v>4357</v>
      </c>
      <c r="R3574" t="s">
        <v>11841</v>
      </c>
    </row>
    <row r="3575" spans="1:18" x14ac:dyDescent="0.2">
      <c r="A3575">
        <v>1244513</v>
      </c>
      <c r="B3575" t="s">
        <v>11842</v>
      </c>
      <c r="C3575">
        <v>0</v>
      </c>
      <c r="D3575">
        <v>1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 t="s">
        <v>3284</v>
      </c>
      <c r="M3575" t="s">
        <v>3296</v>
      </c>
      <c r="N3575" t="s">
        <v>3297</v>
      </c>
      <c r="O3575" t="s">
        <v>3469</v>
      </c>
      <c r="P3575" t="s">
        <v>3470</v>
      </c>
      <c r="Q3575" t="s">
        <v>5633</v>
      </c>
      <c r="R3575" t="s">
        <v>11843</v>
      </c>
    </row>
    <row r="3576" spans="1:18" x14ac:dyDescent="0.2">
      <c r="A3576">
        <v>1242174</v>
      </c>
      <c r="B3576" t="s">
        <v>11844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1</v>
      </c>
      <c r="J3576">
        <v>0</v>
      </c>
      <c r="K3576">
        <v>0</v>
      </c>
      <c r="L3576" t="s">
        <v>3284</v>
      </c>
      <c r="M3576" t="s">
        <v>3296</v>
      </c>
      <c r="N3576" t="s">
        <v>3297</v>
      </c>
      <c r="O3576" t="s">
        <v>3469</v>
      </c>
      <c r="P3576" t="s">
        <v>5200</v>
      </c>
      <c r="Q3576" t="s">
        <v>5201</v>
      </c>
      <c r="R3576" t="s">
        <v>11845</v>
      </c>
    </row>
    <row r="3577" spans="1:18" x14ac:dyDescent="0.2">
      <c r="A3577">
        <v>1241982</v>
      </c>
      <c r="B3577" t="s">
        <v>11846</v>
      </c>
      <c r="C3577">
        <v>2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 t="s">
        <v>3284</v>
      </c>
      <c r="M3577" t="s">
        <v>3391</v>
      </c>
      <c r="N3577" t="s">
        <v>3411</v>
      </c>
      <c r="O3577" t="s">
        <v>3412</v>
      </c>
      <c r="P3577" t="s">
        <v>3564</v>
      </c>
      <c r="Q3577" t="s">
        <v>3803</v>
      </c>
      <c r="R3577" t="s">
        <v>11847</v>
      </c>
    </row>
    <row r="3578" spans="1:18" x14ac:dyDescent="0.2">
      <c r="A3578">
        <v>1241981</v>
      </c>
      <c r="B3578" t="s">
        <v>11848</v>
      </c>
      <c r="C3578">
        <v>17</v>
      </c>
      <c r="D3578">
        <v>10</v>
      </c>
      <c r="E3578">
        <v>3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 t="s">
        <v>3284</v>
      </c>
      <c r="M3578" t="s">
        <v>3391</v>
      </c>
      <c r="N3578" t="s">
        <v>3411</v>
      </c>
      <c r="O3578" t="s">
        <v>3412</v>
      </c>
      <c r="P3578" t="s">
        <v>3564</v>
      </c>
      <c r="Q3578" t="s">
        <v>3803</v>
      </c>
      <c r="R3578" t="s">
        <v>11849</v>
      </c>
    </row>
    <row r="3579" spans="1:18" x14ac:dyDescent="0.2">
      <c r="A3579">
        <v>1241978</v>
      </c>
      <c r="B3579" t="s">
        <v>11850</v>
      </c>
      <c r="C3579">
        <v>0</v>
      </c>
      <c r="D3579">
        <v>0</v>
      </c>
      <c r="E3579">
        <v>0</v>
      </c>
      <c r="F3579">
        <v>0</v>
      </c>
      <c r="G3579">
        <v>1</v>
      </c>
      <c r="H3579">
        <v>0</v>
      </c>
      <c r="I3579">
        <v>0</v>
      </c>
      <c r="J3579">
        <v>0</v>
      </c>
      <c r="K3579">
        <v>0</v>
      </c>
      <c r="L3579" t="s">
        <v>3284</v>
      </c>
      <c r="M3579" t="s">
        <v>3391</v>
      </c>
      <c r="N3579" t="s">
        <v>3411</v>
      </c>
      <c r="O3579" t="s">
        <v>3412</v>
      </c>
      <c r="P3579" t="s">
        <v>3564</v>
      </c>
      <c r="Q3579" t="s">
        <v>3803</v>
      </c>
      <c r="R3579" t="s">
        <v>11851</v>
      </c>
    </row>
    <row r="3580" spans="1:18" x14ac:dyDescent="0.2">
      <c r="A3580">
        <v>1241337</v>
      </c>
      <c r="B3580" t="s">
        <v>11852</v>
      </c>
      <c r="C3580">
        <v>0</v>
      </c>
      <c r="D3580">
        <v>0</v>
      </c>
      <c r="E3580">
        <v>0</v>
      </c>
      <c r="F3580">
        <v>1</v>
      </c>
      <c r="G3580">
        <v>0</v>
      </c>
      <c r="H3580">
        <v>0</v>
      </c>
      <c r="I3580">
        <v>0</v>
      </c>
      <c r="J3580">
        <v>0</v>
      </c>
      <c r="K3580">
        <v>0</v>
      </c>
      <c r="L3580" t="s">
        <v>3284</v>
      </c>
      <c r="M3580" t="s">
        <v>3391</v>
      </c>
      <c r="N3580" t="s">
        <v>3392</v>
      </c>
      <c r="O3580" t="s">
        <v>3393</v>
      </c>
      <c r="P3580" t="s">
        <v>3394</v>
      </c>
      <c r="Q3580" t="s">
        <v>3395</v>
      </c>
      <c r="R3580" t="s">
        <v>11853</v>
      </c>
    </row>
    <row r="3581" spans="1:18" x14ac:dyDescent="0.2">
      <c r="A3581">
        <v>1239307</v>
      </c>
      <c r="B3581" t="s">
        <v>11854</v>
      </c>
      <c r="C3581">
        <v>0</v>
      </c>
      <c r="D3581">
        <v>0</v>
      </c>
      <c r="E3581">
        <v>0</v>
      </c>
      <c r="F3581">
        <v>1</v>
      </c>
      <c r="G3581">
        <v>0</v>
      </c>
      <c r="H3581">
        <v>0</v>
      </c>
      <c r="I3581">
        <v>0</v>
      </c>
      <c r="J3581">
        <v>0</v>
      </c>
      <c r="K3581">
        <v>0</v>
      </c>
      <c r="L3581" t="s">
        <v>3284</v>
      </c>
      <c r="M3581" t="s">
        <v>3296</v>
      </c>
      <c r="N3581" t="s">
        <v>3297</v>
      </c>
      <c r="O3581" t="s">
        <v>3298</v>
      </c>
      <c r="P3581" t="s">
        <v>7517</v>
      </c>
      <c r="Q3581" t="s">
        <v>7518</v>
      </c>
      <c r="R3581" t="s">
        <v>11855</v>
      </c>
    </row>
    <row r="3582" spans="1:18" x14ac:dyDescent="0.2">
      <c r="A3582">
        <v>1237077</v>
      </c>
      <c r="B3582" t="s">
        <v>11856</v>
      </c>
      <c r="C3582">
        <v>2</v>
      </c>
      <c r="D3582">
        <v>0</v>
      </c>
      <c r="E3582">
        <v>1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 t="s">
        <v>3284</v>
      </c>
      <c r="M3582" t="s">
        <v>3296</v>
      </c>
      <c r="N3582" t="s">
        <v>3297</v>
      </c>
      <c r="O3582" t="s">
        <v>7551</v>
      </c>
      <c r="P3582" t="s">
        <v>7552</v>
      </c>
      <c r="Q3582" t="s">
        <v>9614</v>
      </c>
      <c r="R3582" t="s">
        <v>11857</v>
      </c>
    </row>
    <row r="3583" spans="1:18" x14ac:dyDescent="0.2">
      <c r="A3583">
        <v>1236486</v>
      </c>
      <c r="B3583" t="s">
        <v>11858</v>
      </c>
      <c r="C3583">
        <v>1</v>
      </c>
      <c r="D3583">
        <v>2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 t="s">
        <v>3284</v>
      </c>
      <c r="M3583" t="s">
        <v>3391</v>
      </c>
      <c r="N3583" t="s">
        <v>3411</v>
      </c>
      <c r="O3583" t="s">
        <v>3412</v>
      </c>
      <c r="P3583" t="s">
        <v>3413</v>
      </c>
      <c r="Q3583" t="s">
        <v>3414</v>
      </c>
      <c r="R3583" t="s">
        <v>11859</v>
      </c>
    </row>
    <row r="3584" spans="1:18" x14ac:dyDescent="0.2">
      <c r="A3584">
        <v>1235591</v>
      </c>
      <c r="B3584" t="s">
        <v>11860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1</v>
      </c>
      <c r="J3584">
        <v>0</v>
      </c>
      <c r="K3584">
        <v>0</v>
      </c>
      <c r="L3584" t="s">
        <v>3284</v>
      </c>
      <c r="M3584" t="s">
        <v>3296</v>
      </c>
      <c r="N3584" t="s">
        <v>3343</v>
      </c>
      <c r="O3584" t="s">
        <v>3344</v>
      </c>
      <c r="P3584" t="s">
        <v>3271</v>
      </c>
      <c r="Q3584" t="s">
        <v>11861</v>
      </c>
      <c r="R3584" t="s">
        <v>11862</v>
      </c>
    </row>
    <row r="3585" spans="1:18" x14ac:dyDescent="0.2">
      <c r="A3585">
        <v>1234842</v>
      </c>
      <c r="B3585" t="s">
        <v>11863</v>
      </c>
      <c r="C3585">
        <v>0</v>
      </c>
      <c r="D3585">
        <v>0</v>
      </c>
      <c r="E3585">
        <v>0</v>
      </c>
      <c r="F3585">
        <v>1</v>
      </c>
      <c r="G3585">
        <v>1</v>
      </c>
      <c r="H3585">
        <v>0</v>
      </c>
      <c r="I3585">
        <v>0</v>
      </c>
      <c r="J3585">
        <v>0</v>
      </c>
      <c r="K3585">
        <v>0</v>
      </c>
      <c r="L3585" t="s">
        <v>3284</v>
      </c>
      <c r="M3585" t="s">
        <v>3391</v>
      </c>
      <c r="N3585" t="s">
        <v>3392</v>
      </c>
      <c r="O3585" t="s">
        <v>3393</v>
      </c>
      <c r="P3585" t="s">
        <v>3394</v>
      </c>
      <c r="Q3585" t="s">
        <v>4082</v>
      </c>
      <c r="R3585" t="s">
        <v>11864</v>
      </c>
    </row>
    <row r="3586" spans="1:18" x14ac:dyDescent="0.2">
      <c r="A3586">
        <v>1234841</v>
      </c>
      <c r="B3586" t="s">
        <v>11865</v>
      </c>
      <c r="C3586">
        <v>0</v>
      </c>
      <c r="D3586">
        <v>0</v>
      </c>
      <c r="E3586">
        <v>0</v>
      </c>
      <c r="F3586">
        <v>1</v>
      </c>
      <c r="G3586">
        <v>0</v>
      </c>
      <c r="H3586">
        <v>0</v>
      </c>
      <c r="I3586">
        <v>0</v>
      </c>
      <c r="J3586">
        <v>0</v>
      </c>
      <c r="K3586">
        <v>0</v>
      </c>
      <c r="L3586" t="s">
        <v>3284</v>
      </c>
      <c r="M3586" t="s">
        <v>3391</v>
      </c>
      <c r="N3586" t="s">
        <v>3392</v>
      </c>
      <c r="O3586" t="s">
        <v>3393</v>
      </c>
      <c r="P3586" t="s">
        <v>3394</v>
      </c>
      <c r="Q3586" t="s">
        <v>4082</v>
      </c>
      <c r="R3586" t="s">
        <v>11866</v>
      </c>
    </row>
    <row r="3587" spans="1:18" x14ac:dyDescent="0.2">
      <c r="A3587">
        <v>1233951</v>
      </c>
      <c r="B3587" t="s">
        <v>11867</v>
      </c>
      <c r="C3587">
        <v>0</v>
      </c>
      <c r="D3587">
        <v>0</v>
      </c>
      <c r="E3587">
        <v>0</v>
      </c>
      <c r="F3587">
        <v>0</v>
      </c>
      <c r="G3587">
        <v>2</v>
      </c>
      <c r="H3587">
        <v>0</v>
      </c>
      <c r="I3587">
        <v>0</v>
      </c>
      <c r="J3587">
        <v>0</v>
      </c>
      <c r="K3587">
        <v>0</v>
      </c>
      <c r="L3587" t="s">
        <v>3284</v>
      </c>
      <c r="M3587" t="s">
        <v>3391</v>
      </c>
      <c r="N3587" t="s">
        <v>3411</v>
      </c>
      <c r="O3587" t="s">
        <v>3412</v>
      </c>
      <c r="P3587" t="s">
        <v>3564</v>
      </c>
      <c r="Q3587" t="s">
        <v>3803</v>
      </c>
      <c r="R3587" t="s">
        <v>11868</v>
      </c>
    </row>
    <row r="3588" spans="1:18" x14ac:dyDescent="0.2">
      <c r="A3588">
        <v>1233411</v>
      </c>
      <c r="B3588" t="s">
        <v>11869</v>
      </c>
      <c r="C3588">
        <v>19</v>
      </c>
      <c r="D3588">
        <v>12</v>
      </c>
      <c r="E3588">
        <v>5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 t="s">
        <v>3284</v>
      </c>
      <c r="M3588" t="s">
        <v>3296</v>
      </c>
      <c r="N3588" t="s">
        <v>3321</v>
      </c>
      <c r="O3588" t="s">
        <v>3322</v>
      </c>
      <c r="P3588" t="s">
        <v>3671</v>
      </c>
      <c r="Q3588" t="s">
        <v>4354</v>
      </c>
      <c r="R3588" t="s">
        <v>11870</v>
      </c>
    </row>
    <row r="3589" spans="1:18" x14ac:dyDescent="0.2">
      <c r="A3589">
        <v>1232866</v>
      </c>
      <c r="B3589" t="s">
        <v>11871</v>
      </c>
      <c r="C3589">
        <v>0</v>
      </c>
      <c r="D3589">
        <v>0</v>
      </c>
      <c r="E3589">
        <v>0</v>
      </c>
      <c r="F3589">
        <v>0</v>
      </c>
      <c r="G3589">
        <v>1</v>
      </c>
      <c r="H3589">
        <v>0</v>
      </c>
      <c r="I3589">
        <v>0</v>
      </c>
      <c r="J3589">
        <v>0</v>
      </c>
      <c r="K3589">
        <v>0</v>
      </c>
      <c r="L3589" t="s">
        <v>3284</v>
      </c>
      <c r="M3589" t="s">
        <v>3296</v>
      </c>
      <c r="N3589" t="s">
        <v>3321</v>
      </c>
      <c r="O3589" t="s">
        <v>3322</v>
      </c>
      <c r="P3589" t="s">
        <v>3423</v>
      </c>
      <c r="Q3589" t="s">
        <v>4923</v>
      </c>
      <c r="R3589" t="s">
        <v>11872</v>
      </c>
    </row>
    <row r="3590" spans="1:18" x14ac:dyDescent="0.2">
      <c r="A3590">
        <v>1232220</v>
      </c>
      <c r="B3590" t="s">
        <v>11873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3</v>
      </c>
      <c r="J3590">
        <v>1</v>
      </c>
      <c r="K3590">
        <v>0</v>
      </c>
      <c r="L3590" t="s">
        <v>3284</v>
      </c>
      <c r="M3590" t="s">
        <v>3296</v>
      </c>
      <c r="N3590" t="s">
        <v>3343</v>
      </c>
      <c r="O3590" t="s">
        <v>3429</v>
      </c>
      <c r="P3590" t="s">
        <v>4336</v>
      </c>
      <c r="Q3590" t="s">
        <v>6265</v>
      </c>
      <c r="R3590" t="s">
        <v>11874</v>
      </c>
    </row>
    <row r="3591" spans="1:18" x14ac:dyDescent="0.2">
      <c r="A3591">
        <v>1231180</v>
      </c>
      <c r="B3591" t="s">
        <v>11875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1</v>
      </c>
      <c r="K3591">
        <v>0</v>
      </c>
      <c r="L3591" t="s">
        <v>3284</v>
      </c>
      <c r="M3591" t="s">
        <v>3296</v>
      </c>
      <c r="N3591" t="s">
        <v>3343</v>
      </c>
      <c r="O3591" t="s">
        <v>3344</v>
      </c>
      <c r="P3591" t="s">
        <v>3898</v>
      </c>
      <c r="Q3591" t="s">
        <v>8204</v>
      </c>
      <c r="R3591" t="s">
        <v>11876</v>
      </c>
    </row>
    <row r="3592" spans="1:18" x14ac:dyDescent="0.2">
      <c r="A3592">
        <v>1230953</v>
      </c>
      <c r="B3592" t="s">
        <v>11877</v>
      </c>
      <c r="C3592">
        <v>0</v>
      </c>
      <c r="D3592">
        <v>2</v>
      </c>
      <c r="E3592">
        <v>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 t="s">
        <v>3284</v>
      </c>
      <c r="M3592" t="s">
        <v>3296</v>
      </c>
      <c r="N3592" t="s">
        <v>3321</v>
      </c>
      <c r="O3592" t="s">
        <v>3322</v>
      </c>
      <c r="P3592" t="s">
        <v>3398</v>
      </c>
      <c r="Q3592" t="s">
        <v>3841</v>
      </c>
      <c r="R3592" t="s">
        <v>11878</v>
      </c>
    </row>
    <row r="3593" spans="1:18" x14ac:dyDescent="0.2">
      <c r="A3593">
        <v>1230389</v>
      </c>
      <c r="B3593" t="s">
        <v>11879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3</v>
      </c>
      <c r="J3593">
        <v>0</v>
      </c>
      <c r="K3593">
        <v>0</v>
      </c>
      <c r="L3593" t="s">
        <v>3284</v>
      </c>
      <c r="M3593" t="s">
        <v>3296</v>
      </c>
      <c r="N3593" t="s">
        <v>3343</v>
      </c>
      <c r="O3593" t="s">
        <v>3344</v>
      </c>
      <c r="P3593" t="s">
        <v>6259</v>
      </c>
      <c r="Q3593" t="s">
        <v>6260</v>
      </c>
      <c r="R3593" t="s">
        <v>11880</v>
      </c>
    </row>
    <row r="3594" spans="1:18" x14ac:dyDescent="0.2">
      <c r="A3594">
        <v>1229490</v>
      </c>
      <c r="B3594" t="s">
        <v>11881</v>
      </c>
      <c r="C3594">
        <v>1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 t="s">
        <v>3284</v>
      </c>
      <c r="M3594" t="s">
        <v>3327</v>
      </c>
      <c r="N3594" t="s">
        <v>3376</v>
      </c>
      <c r="O3594" t="s">
        <v>3718</v>
      </c>
      <c r="P3594" t="s">
        <v>6044</v>
      </c>
      <c r="Q3594" t="s">
        <v>6045</v>
      </c>
      <c r="R3594" t="s">
        <v>11882</v>
      </c>
    </row>
    <row r="3595" spans="1:18" x14ac:dyDescent="0.2">
      <c r="A3595">
        <v>1226968</v>
      </c>
      <c r="B3595" t="s">
        <v>11883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1</v>
      </c>
      <c r="J3595">
        <v>0</v>
      </c>
      <c r="K3595">
        <v>0</v>
      </c>
      <c r="L3595" t="s">
        <v>3284</v>
      </c>
      <c r="M3595" t="s">
        <v>3296</v>
      </c>
      <c r="N3595" t="s">
        <v>3343</v>
      </c>
      <c r="O3595" t="s">
        <v>3861</v>
      </c>
      <c r="P3595" t="s">
        <v>3862</v>
      </c>
      <c r="Q3595" t="s">
        <v>3863</v>
      </c>
      <c r="R3595" t="s">
        <v>11884</v>
      </c>
    </row>
    <row r="3596" spans="1:18" x14ac:dyDescent="0.2">
      <c r="A3596">
        <v>1226757</v>
      </c>
      <c r="B3596" t="s">
        <v>11885</v>
      </c>
      <c r="C3596">
        <v>0</v>
      </c>
      <c r="D3596">
        <v>0</v>
      </c>
      <c r="E3596">
        <v>0</v>
      </c>
      <c r="F3596">
        <v>1</v>
      </c>
      <c r="G3596">
        <v>0</v>
      </c>
      <c r="H3596">
        <v>0</v>
      </c>
      <c r="I3596">
        <v>0</v>
      </c>
      <c r="J3596">
        <v>0</v>
      </c>
      <c r="K3596">
        <v>0</v>
      </c>
      <c r="L3596" t="s">
        <v>3284</v>
      </c>
      <c r="M3596" t="s">
        <v>3307</v>
      </c>
      <c r="N3596" t="s">
        <v>3308</v>
      </c>
      <c r="O3596" t="s">
        <v>3446</v>
      </c>
      <c r="P3596" t="s">
        <v>3447</v>
      </c>
      <c r="Q3596" t="s">
        <v>3448</v>
      </c>
      <c r="R3596" t="s">
        <v>11886</v>
      </c>
    </row>
    <row r="3597" spans="1:18" x14ac:dyDescent="0.2">
      <c r="A3597">
        <v>1225128</v>
      </c>
      <c r="B3597" t="s">
        <v>11887</v>
      </c>
      <c r="C3597">
        <v>0</v>
      </c>
      <c r="D3597">
        <v>1</v>
      </c>
      <c r="E3597">
        <v>0</v>
      </c>
      <c r="F3597">
        <v>0</v>
      </c>
      <c r="G3597">
        <v>0</v>
      </c>
      <c r="H3597">
        <v>0</v>
      </c>
      <c r="I3597">
        <v>6</v>
      </c>
      <c r="J3597">
        <v>5</v>
      </c>
      <c r="K3597">
        <v>3</v>
      </c>
      <c r="L3597" t="s">
        <v>3284</v>
      </c>
      <c r="M3597" t="s">
        <v>3296</v>
      </c>
      <c r="N3597" t="s">
        <v>3343</v>
      </c>
      <c r="O3597" t="s">
        <v>3429</v>
      </c>
      <c r="P3597" t="s">
        <v>3430</v>
      </c>
      <c r="Q3597" t="s">
        <v>4196</v>
      </c>
      <c r="R3597" t="s">
        <v>11888</v>
      </c>
    </row>
    <row r="3598" spans="1:18" x14ac:dyDescent="0.2">
      <c r="A3598">
        <v>1224513</v>
      </c>
      <c r="B3598" t="s">
        <v>11889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1</v>
      </c>
      <c r="L3598" t="s">
        <v>3284</v>
      </c>
      <c r="M3598" t="s">
        <v>3296</v>
      </c>
      <c r="N3598" t="s">
        <v>3343</v>
      </c>
      <c r="O3598" t="s">
        <v>3429</v>
      </c>
      <c r="P3598" t="s">
        <v>4336</v>
      </c>
      <c r="Q3598" t="s">
        <v>8235</v>
      </c>
      <c r="R3598" t="s">
        <v>11890</v>
      </c>
    </row>
    <row r="3599" spans="1:18" x14ac:dyDescent="0.2">
      <c r="A3599">
        <v>1224511</v>
      </c>
      <c r="B3599" t="s">
        <v>11891</v>
      </c>
      <c r="C3599">
        <v>0</v>
      </c>
      <c r="D3599">
        <v>0</v>
      </c>
      <c r="E3599">
        <v>0</v>
      </c>
      <c r="F3599">
        <v>0</v>
      </c>
      <c r="G3599">
        <v>1</v>
      </c>
      <c r="H3599">
        <v>0</v>
      </c>
      <c r="I3599">
        <v>0</v>
      </c>
      <c r="J3599">
        <v>0</v>
      </c>
      <c r="K3599">
        <v>0</v>
      </c>
      <c r="L3599" t="s">
        <v>3284</v>
      </c>
      <c r="M3599" t="s">
        <v>3296</v>
      </c>
      <c r="N3599" t="s">
        <v>3321</v>
      </c>
      <c r="O3599" t="s">
        <v>3322</v>
      </c>
      <c r="P3599" t="s">
        <v>3323</v>
      </c>
      <c r="Q3599" t="s">
        <v>9838</v>
      </c>
      <c r="R3599" t="s">
        <v>11892</v>
      </c>
    </row>
    <row r="3600" spans="1:18" x14ac:dyDescent="0.2">
      <c r="A3600">
        <v>1221500</v>
      </c>
      <c r="B3600" t="s">
        <v>11893</v>
      </c>
      <c r="C3600">
        <v>2</v>
      </c>
      <c r="D3600">
        <v>1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 t="s">
        <v>3284</v>
      </c>
      <c r="M3600" t="s">
        <v>3327</v>
      </c>
      <c r="N3600" t="s">
        <v>3376</v>
      </c>
      <c r="O3600" t="s">
        <v>3377</v>
      </c>
      <c r="P3600" t="s">
        <v>3378</v>
      </c>
      <c r="Q3600" t="s">
        <v>4703</v>
      </c>
      <c r="R3600" t="s">
        <v>11894</v>
      </c>
    </row>
    <row r="3601" spans="1:18" x14ac:dyDescent="0.2">
      <c r="A3601">
        <v>1217970</v>
      </c>
      <c r="B3601" t="s">
        <v>11895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1</v>
      </c>
      <c r="J3601">
        <v>0</v>
      </c>
      <c r="K3601">
        <v>0</v>
      </c>
      <c r="L3601" t="s">
        <v>3284</v>
      </c>
      <c r="M3601" t="s">
        <v>3296</v>
      </c>
      <c r="N3601" t="s">
        <v>3343</v>
      </c>
      <c r="O3601" t="s">
        <v>3371</v>
      </c>
      <c r="P3601" t="s">
        <v>3688</v>
      </c>
      <c r="Q3601" t="s">
        <v>11896</v>
      </c>
      <c r="R3601" t="s">
        <v>11897</v>
      </c>
    </row>
    <row r="3602" spans="1:18" x14ac:dyDescent="0.2">
      <c r="A3602">
        <v>1216932</v>
      </c>
      <c r="B3602" t="s">
        <v>11898</v>
      </c>
      <c r="C3602">
        <v>5</v>
      </c>
      <c r="D3602">
        <v>2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 t="s">
        <v>3284</v>
      </c>
      <c r="M3602" t="s">
        <v>3327</v>
      </c>
      <c r="N3602" t="s">
        <v>3328</v>
      </c>
      <c r="O3602" t="s">
        <v>3329</v>
      </c>
      <c r="P3602" t="s">
        <v>3330</v>
      </c>
      <c r="Q3602" t="s">
        <v>3331</v>
      </c>
      <c r="R3602" t="s">
        <v>11899</v>
      </c>
    </row>
    <row r="3603" spans="1:18" x14ac:dyDescent="0.2">
      <c r="A3603">
        <v>1216040</v>
      </c>
      <c r="B3603" t="s">
        <v>11900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1</v>
      </c>
      <c r="J3603">
        <v>0</v>
      </c>
      <c r="K3603">
        <v>0</v>
      </c>
      <c r="L3603" t="s">
        <v>3284</v>
      </c>
      <c r="M3603" t="s">
        <v>3296</v>
      </c>
      <c r="N3603" t="s">
        <v>3297</v>
      </c>
      <c r="O3603" t="s">
        <v>8851</v>
      </c>
      <c r="P3603" t="s">
        <v>8852</v>
      </c>
      <c r="Q3603" t="s">
        <v>10605</v>
      </c>
      <c r="R3603" t="s">
        <v>11901</v>
      </c>
    </row>
    <row r="3604" spans="1:18" x14ac:dyDescent="0.2">
      <c r="A3604">
        <v>1211851</v>
      </c>
      <c r="B3604" t="s">
        <v>11902</v>
      </c>
      <c r="C3604">
        <v>0</v>
      </c>
      <c r="D3604">
        <v>0</v>
      </c>
      <c r="E3604">
        <v>0</v>
      </c>
      <c r="F3604">
        <v>2</v>
      </c>
      <c r="G3604">
        <v>0</v>
      </c>
      <c r="H3604">
        <v>0</v>
      </c>
      <c r="I3604">
        <v>0</v>
      </c>
      <c r="J3604">
        <v>0</v>
      </c>
      <c r="K3604">
        <v>0</v>
      </c>
      <c r="L3604" t="s">
        <v>3284</v>
      </c>
      <c r="M3604" t="s">
        <v>3391</v>
      </c>
      <c r="N3604" t="s">
        <v>3740</v>
      </c>
      <c r="O3604" t="s">
        <v>3741</v>
      </c>
      <c r="P3604" t="s">
        <v>3742</v>
      </c>
      <c r="Q3604" t="s">
        <v>4598</v>
      </c>
      <c r="R3604" t="s">
        <v>11903</v>
      </c>
    </row>
    <row r="3605" spans="1:18" x14ac:dyDescent="0.2">
      <c r="A3605">
        <v>1211806</v>
      </c>
      <c r="B3605" t="s">
        <v>11904</v>
      </c>
      <c r="C3605">
        <v>0</v>
      </c>
      <c r="D3605">
        <v>0</v>
      </c>
      <c r="E3605">
        <v>0</v>
      </c>
      <c r="F3605">
        <v>1</v>
      </c>
      <c r="G3605">
        <v>0</v>
      </c>
      <c r="H3605">
        <v>0</v>
      </c>
      <c r="I3605">
        <v>0</v>
      </c>
      <c r="J3605">
        <v>0</v>
      </c>
      <c r="K3605">
        <v>0</v>
      </c>
      <c r="L3605" t="s">
        <v>3284</v>
      </c>
      <c r="M3605" t="s">
        <v>3296</v>
      </c>
      <c r="N3605" t="s">
        <v>3343</v>
      </c>
      <c r="O3605" t="s">
        <v>3349</v>
      </c>
      <c r="P3605" t="s">
        <v>3350</v>
      </c>
      <c r="Q3605" t="s">
        <v>3351</v>
      </c>
      <c r="R3605" t="s">
        <v>11905</v>
      </c>
    </row>
    <row r="3606" spans="1:18" x14ac:dyDescent="0.2">
      <c r="A3606">
        <v>1211114</v>
      </c>
      <c r="B3606" t="s">
        <v>11906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1</v>
      </c>
      <c r="I3606">
        <v>0</v>
      </c>
      <c r="J3606">
        <v>0</v>
      </c>
      <c r="K3606">
        <v>0</v>
      </c>
      <c r="L3606" t="s">
        <v>3284</v>
      </c>
      <c r="M3606" t="s">
        <v>3296</v>
      </c>
      <c r="N3606" t="s">
        <v>3297</v>
      </c>
      <c r="O3606" t="s">
        <v>3469</v>
      </c>
      <c r="P3606" t="s">
        <v>3470</v>
      </c>
      <c r="Q3606" t="s">
        <v>6962</v>
      </c>
      <c r="R3606" t="s">
        <v>11907</v>
      </c>
    </row>
    <row r="3607" spans="1:18" x14ac:dyDescent="0.2">
      <c r="A3607">
        <v>1210932</v>
      </c>
      <c r="B3607" t="s">
        <v>11908</v>
      </c>
      <c r="C3607">
        <v>0</v>
      </c>
      <c r="D3607">
        <v>1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 t="s">
        <v>3284</v>
      </c>
      <c r="M3607" t="s">
        <v>3296</v>
      </c>
      <c r="N3607" t="s">
        <v>3343</v>
      </c>
      <c r="O3607" t="s">
        <v>3344</v>
      </c>
      <c r="P3607" t="s">
        <v>3355</v>
      </c>
      <c r="Q3607" t="s">
        <v>10442</v>
      </c>
      <c r="R3607" t="s">
        <v>11909</v>
      </c>
    </row>
    <row r="3608" spans="1:18" x14ac:dyDescent="0.2">
      <c r="A3608">
        <v>1208607</v>
      </c>
      <c r="B3608" t="s">
        <v>11910</v>
      </c>
      <c r="C3608">
        <v>0</v>
      </c>
      <c r="D3608">
        <v>0</v>
      </c>
      <c r="E3608">
        <v>0</v>
      </c>
      <c r="F3608">
        <v>1</v>
      </c>
      <c r="G3608">
        <v>1</v>
      </c>
      <c r="H3608">
        <v>0</v>
      </c>
      <c r="I3608">
        <v>3</v>
      </c>
      <c r="J3608">
        <v>0</v>
      </c>
      <c r="K3608">
        <v>0</v>
      </c>
      <c r="L3608" t="s">
        <v>3284</v>
      </c>
      <c r="M3608" t="s">
        <v>3296</v>
      </c>
      <c r="N3608" t="s">
        <v>3297</v>
      </c>
      <c r="O3608" t="s">
        <v>3298</v>
      </c>
      <c r="P3608" t="s">
        <v>4399</v>
      </c>
      <c r="Q3608" t="s">
        <v>11911</v>
      </c>
      <c r="R3608" t="s">
        <v>11912</v>
      </c>
    </row>
    <row r="3609" spans="1:18" x14ac:dyDescent="0.2">
      <c r="A3609">
        <v>1207057</v>
      </c>
      <c r="B3609" t="s">
        <v>11913</v>
      </c>
      <c r="C3609">
        <v>1</v>
      </c>
      <c r="D3609">
        <v>1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 t="s">
        <v>3284</v>
      </c>
      <c r="M3609" t="s">
        <v>3296</v>
      </c>
      <c r="N3609" t="s">
        <v>3321</v>
      </c>
      <c r="O3609" t="s">
        <v>3322</v>
      </c>
      <c r="P3609" t="s">
        <v>3398</v>
      </c>
      <c r="Q3609" t="s">
        <v>6530</v>
      </c>
      <c r="R3609" t="s">
        <v>11914</v>
      </c>
    </row>
    <row r="3610" spans="1:18" x14ac:dyDescent="0.2">
      <c r="A3610">
        <v>1206085</v>
      </c>
      <c r="B3610" t="s">
        <v>11915</v>
      </c>
      <c r="C3610">
        <v>0</v>
      </c>
      <c r="D3610">
        <v>0</v>
      </c>
      <c r="E3610">
        <v>0</v>
      </c>
      <c r="F3610">
        <v>3</v>
      </c>
      <c r="G3610">
        <v>0</v>
      </c>
      <c r="H3610">
        <v>0</v>
      </c>
      <c r="I3610">
        <v>0</v>
      </c>
      <c r="J3610">
        <v>0</v>
      </c>
      <c r="K3610">
        <v>0</v>
      </c>
      <c r="L3610" t="s">
        <v>3284</v>
      </c>
      <c r="M3610" t="s">
        <v>3307</v>
      </c>
      <c r="N3610" t="s">
        <v>3308</v>
      </c>
      <c r="O3610" t="s">
        <v>11916</v>
      </c>
      <c r="P3610" t="s">
        <v>11917</v>
      </c>
      <c r="Q3610" t="s">
        <v>11918</v>
      </c>
      <c r="R3610" t="s">
        <v>11919</v>
      </c>
    </row>
    <row r="3611" spans="1:18" x14ac:dyDescent="0.2">
      <c r="A3611">
        <v>1203471</v>
      </c>
      <c r="B3611" t="s">
        <v>11920</v>
      </c>
      <c r="C3611">
        <v>0</v>
      </c>
      <c r="D3611">
        <v>0</v>
      </c>
      <c r="E3611">
        <v>1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 t="s">
        <v>3284</v>
      </c>
      <c r="M3611" t="s">
        <v>6718</v>
      </c>
      <c r="N3611" t="s">
        <v>11921</v>
      </c>
      <c r="O3611" t="s">
        <v>11922</v>
      </c>
      <c r="P3611" t="s">
        <v>11923</v>
      </c>
      <c r="Q3611" t="s">
        <v>11924</v>
      </c>
      <c r="R3611" t="s">
        <v>11925</v>
      </c>
    </row>
    <row r="3612" spans="1:18" x14ac:dyDescent="0.2">
      <c r="A3612">
        <v>1202134</v>
      </c>
      <c r="B3612" t="s">
        <v>11926</v>
      </c>
      <c r="C3612">
        <v>0</v>
      </c>
      <c r="D3612">
        <v>0</v>
      </c>
      <c r="E3612">
        <v>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 t="s">
        <v>3284</v>
      </c>
      <c r="M3612" t="s">
        <v>3296</v>
      </c>
      <c r="N3612" t="s">
        <v>3297</v>
      </c>
      <c r="O3612" t="s">
        <v>4124</v>
      </c>
      <c r="P3612" t="s">
        <v>4125</v>
      </c>
      <c r="Q3612" t="s">
        <v>11927</v>
      </c>
      <c r="R3612" t="s">
        <v>11928</v>
      </c>
    </row>
    <row r="3613" spans="1:18" x14ac:dyDescent="0.2">
      <c r="A3613">
        <v>1201036</v>
      </c>
      <c r="B3613" t="s">
        <v>11929</v>
      </c>
      <c r="C3613">
        <v>1</v>
      </c>
      <c r="D3613">
        <v>1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 t="s">
        <v>3284</v>
      </c>
      <c r="M3613" t="s">
        <v>3296</v>
      </c>
      <c r="N3613" t="s">
        <v>3343</v>
      </c>
      <c r="O3613" t="s">
        <v>3344</v>
      </c>
      <c r="P3613" t="s">
        <v>4076</v>
      </c>
      <c r="Q3613" t="s">
        <v>6071</v>
      </c>
      <c r="R3613" t="s">
        <v>11930</v>
      </c>
    </row>
    <row r="3614" spans="1:18" x14ac:dyDescent="0.2">
      <c r="A3614">
        <v>1198456</v>
      </c>
      <c r="B3614" t="s">
        <v>11931</v>
      </c>
      <c r="C3614">
        <v>0</v>
      </c>
      <c r="D3614">
        <v>1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 t="s">
        <v>3284</v>
      </c>
      <c r="M3614" t="s">
        <v>3296</v>
      </c>
      <c r="N3614" t="s">
        <v>3297</v>
      </c>
      <c r="O3614" t="s">
        <v>3434</v>
      </c>
      <c r="P3614" t="s">
        <v>3435</v>
      </c>
      <c r="Q3614" t="s">
        <v>8369</v>
      </c>
      <c r="R3614" t="s">
        <v>11932</v>
      </c>
    </row>
    <row r="3615" spans="1:18" x14ac:dyDescent="0.2">
      <c r="A3615">
        <v>1198452</v>
      </c>
      <c r="B3615" t="s">
        <v>11933</v>
      </c>
      <c r="C3615">
        <v>0</v>
      </c>
      <c r="D3615">
        <v>0</v>
      </c>
      <c r="E3615">
        <v>0</v>
      </c>
      <c r="F3615">
        <v>1</v>
      </c>
      <c r="G3615">
        <v>0</v>
      </c>
      <c r="H3615">
        <v>0</v>
      </c>
      <c r="I3615">
        <v>0</v>
      </c>
      <c r="J3615">
        <v>0</v>
      </c>
      <c r="K3615">
        <v>0</v>
      </c>
      <c r="L3615" t="s">
        <v>3284</v>
      </c>
      <c r="M3615" t="s">
        <v>3296</v>
      </c>
      <c r="N3615" t="s">
        <v>3321</v>
      </c>
      <c r="O3615" t="s">
        <v>3322</v>
      </c>
      <c r="P3615" t="s">
        <v>3323</v>
      </c>
      <c r="Q3615" t="s">
        <v>3577</v>
      </c>
      <c r="R3615" t="s">
        <v>11934</v>
      </c>
    </row>
    <row r="3616" spans="1:18" x14ac:dyDescent="0.2">
      <c r="A3616">
        <v>1195956</v>
      </c>
      <c r="B3616" t="s">
        <v>11935</v>
      </c>
      <c r="C3616">
        <v>3</v>
      </c>
      <c r="D3616">
        <v>1</v>
      </c>
      <c r="E3616">
        <v>0</v>
      </c>
      <c r="F3616">
        <v>1</v>
      </c>
      <c r="G3616">
        <v>0</v>
      </c>
      <c r="H3616">
        <v>0</v>
      </c>
      <c r="I3616">
        <v>0</v>
      </c>
      <c r="J3616">
        <v>2</v>
      </c>
      <c r="K3616">
        <v>0</v>
      </c>
      <c r="L3616" t="s">
        <v>3284</v>
      </c>
      <c r="M3616" t="s">
        <v>3307</v>
      </c>
      <c r="N3616" t="s">
        <v>3308</v>
      </c>
      <c r="O3616" t="s">
        <v>3359</v>
      </c>
      <c r="P3616" t="s">
        <v>3360</v>
      </c>
      <c r="Q3616" t="s">
        <v>8000</v>
      </c>
      <c r="R3616" t="s">
        <v>11936</v>
      </c>
    </row>
    <row r="3617" spans="1:18" x14ac:dyDescent="0.2">
      <c r="A3617">
        <v>1194168</v>
      </c>
      <c r="B3617" t="s">
        <v>11937</v>
      </c>
      <c r="C3617">
        <v>3</v>
      </c>
      <c r="D3617">
        <v>1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 t="s">
        <v>3284</v>
      </c>
      <c r="M3617" t="s">
        <v>3296</v>
      </c>
      <c r="N3617" t="s">
        <v>3321</v>
      </c>
      <c r="O3617" t="s">
        <v>3322</v>
      </c>
      <c r="P3617" t="s">
        <v>3398</v>
      </c>
      <c r="Q3617" t="s">
        <v>3806</v>
      </c>
      <c r="R3617" t="s">
        <v>11938</v>
      </c>
    </row>
    <row r="3618" spans="1:18" x14ac:dyDescent="0.2">
      <c r="A3618">
        <v>1193713</v>
      </c>
      <c r="B3618" t="s">
        <v>11939</v>
      </c>
      <c r="C3618">
        <v>0</v>
      </c>
      <c r="D3618">
        <v>1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 t="s">
        <v>3284</v>
      </c>
      <c r="M3618" t="s">
        <v>3327</v>
      </c>
      <c r="N3618" t="s">
        <v>3376</v>
      </c>
      <c r="O3618" t="s">
        <v>3377</v>
      </c>
      <c r="P3618" t="s">
        <v>3378</v>
      </c>
      <c r="Q3618" t="s">
        <v>3608</v>
      </c>
      <c r="R3618" t="s">
        <v>11940</v>
      </c>
    </row>
    <row r="3619" spans="1:18" x14ac:dyDescent="0.2">
      <c r="A3619">
        <v>1193620</v>
      </c>
      <c r="B3619" t="s">
        <v>11941</v>
      </c>
      <c r="C3619">
        <v>0</v>
      </c>
      <c r="D3619">
        <v>0</v>
      </c>
      <c r="E3619">
        <v>0</v>
      </c>
      <c r="F3619">
        <v>0</v>
      </c>
      <c r="G3619">
        <v>1</v>
      </c>
      <c r="H3619">
        <v>0</v>
      </c>
      <c r="I3619">
        <v>0</v>
      </c>
      <c r="J3619">
        <v>0</v>
      </c>
      <c r="K3619">
        <v>0</v>
      </c>
      <c r="L3619" t="s">
        <v>3284</v>
      </c>
      <c r="M3619" t="s">
        <v>3296</v>
      </c>
      <c r="N3619" t="s">
        <v>3321</v>
      </c>
      <c r="O3619" t="s">
        <v>4147</v>
      </c>
      <c r="P3619" t="s">
        <v>4164</v>
      </c>
      <c r="Q3619" t="s">
        <v>4165</v>
      </c>
      <c r="R3619" t="s">
        <v>11942</v>
      </c>
    </row>
    <row r="3620" spans="1:18" x14ac:dyDescent="0.2">
      <c r="A3620">
        <v>1192162</v>
      </c>
      <c r="B3620" t="s">
        <v>11943</v>
      </c>
      <c r="C3620">
        <v>0</v>
      </c>
      <c r="D3620">
        <v>1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 t="s">
        <v>3284</v>
      </c>
      <c r="M3620" t="s">
        <v>3296</v>
      </c>
      <c r="N3620" t="s">
        <v>3321</v>
      </c>
      <c r="O3620" t="s">
        <v>5306</v>
      </c>
      <c r="P3620" t="s">
        <v>5307</v>
      </c>
      <c r="Q3620" t="s">
        <v>5308</v>
      </c>
      <c r="R3620" t="s">
        <v>11944</v>
      </c>
    </row>
    <row r="3621" spans="1:18" x14ac:dyDescent="0.2">
      <c r="A3621">
        <v>1191678</v>
      </c>
      <c r="B3621" t="s">
        <v>11945</v>
      </c>
      <c r="C3621">
        <v>0</v>
      </c>
      <c r="D3621">
        <v>0</v>
      </c>
      <c r="E3621">
        <v>0</v>
      </c>
      <c r="F3621">
        <v>0</v>
      </c>
      <c r="G3621">
        <v>1</v>
      </c>
      <c r="H3621">
        <v>0</v>
      </c>
      <c r="I3621">
        <v>0</v>
      </c>
      <c r="J3621">
        <v>0</v>
      </c>
      <c r="K3621">
        <v>0</v>
      </c>
      <c r="L3621" t="s">
        <v>3284</v>
      </c>
      <c r="M3621" t="s">
        <v>3296</v>
      </c>
      <c r="N3621" t="s">
        <v>3343</v>
      </c>
      <c r="O3621" t="s">
        <v>3344</v>
      </c>
      <c r="P3621" t="s">
        <v>3355</v>
      </c>
      <c r="Q3621" t="s">
        <v>11946</v>
      </c>
      <c r="R3621" t="s">
        <v>11947</v>
      </c>
    </row>
    <row r="3622" spans="1:18" x14ac:dyDescent="0.2">
      <c r="A3622">
        <v>1187851</v>
      </c>
      <c r="B3622" t="s">
        <v>11948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1</v>
      </c>
      <c r="K3622">
        <v>1</v>
      </c>
      <c r="L3622" t="s">
        <v>3284</v>
      </c>
      <c r="M3622" t="s">
        <v>3296</v>
      </c>
      <c r="N3622" t="s">
        <v>3343</v>
      </c>
      <c r="O3622" t="s">
        <v>3371</v>
      </c>
      <c r="P3622" t="s">
        <v>3688</v>
      </c>
      <c r="Q3622" t="s">
        <v>11949</v>
      </c>
      <c r="R3622" t="s">
        <v>11950</v>
      </c>
    </row>
    <row r="3623" spans="1:18" x14ac:dyDescent="0.2">
      <c r="A3623">
        <v>1185412</v>
      </c>
      <c r="B3623" t="s">
        <v>11951</v>
      </c>
      <c r="C3623">
        <v>1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 t="s">
        <v>3284</v>
      </c>
      <c r="M3623" t="s">
        <v>3327</v>
      </c>
      <c r="N3623" t="s">
        <v>3328</v>
      </c>
      <c r="O3623" t="s">
        <v>4017</v>
      </c>
      <c r="P3623" t="s">
        <v>4567</v>
      </c>
      <c r="Q3623" t="s">
        <v>4568</v>
      </c>
      <c r="R3623" t="s">
        <v>11952</v>
      </c>
    </row>
    <row r="3624" spans="1:18" x14ac:dyDescent="0.2">
      <c r="A3624">
        <v>1179778</v>
      </c>
      <c r="B3624" t="s">
        <v>11953</v>
      </c>
      <c r="C3624">
        <v>0</v>
      </c>
      <c r="D3624">
        <v>0</v>
      </c>
      <c r="E3624">
        <v>0</v>
      </c>
      <c r="F3624">
        <v>0</v>
      </c>
      <c r="G3624">
        <v>1</v>
      </c>
      <c r="H3624">
        <v>0</v>
      </c>
      <c r="I3624">
        <v>0</v>
      </c>
      <c r="J3624">
        <v>0</v>
      </c>
      <c r="K3624">
        <v>0</v>
      </c>
      <c r="L3624" t="s">
        <v>3284</v>
      </c>
      <c r="M3624" t="s">
        <v>3296</v>
      </c>
      <c r="N3624" t="s">
        <v>3297</v>
      </c>
      <c r="O3624" t="s">
        <v>3434</v>
      </c>
      <c r="P3624" t="s">
        <v>3435</v>
      </c>
      <c r="Q3624" t="s">
        <v>3436</v>
      </c>
      <c r="R3624" t="s">
        <v>11954</v>
      </c>
    </row>
    <row r="3625" spans="1:18" x14ac:dyDescent="0.2">
      <c r="A3625">
        <v>1179467</v>
      </c>
      <c r="B3625" t="s">
        <v>11955</v>
      </c>
      <c r="C3625">
        <v>0</v>
      </c>
      <c r="D3625">
        <v>1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 t="s">
        <v>3284</v>
      </c>
      <c r="M3625" t="s">
        <v>3327</v>
      </c>
      <c r="N3625" t="s">
        <v>3376</v>
      </c>
      <c r="O3625" t="s">
        <v>3377</v>
      </c>
      <c r="P3625" t="s">
        <v>11311</v>
      </c>
      <c r="Q3625" t="s">
        <v>11956</v>
      </c>
      <c r="R3625" t="s">
        <v>11957</v>
      </c>
    </row>
    <row r="3626" spans="1:18" x14ac:dyDescent="0.2">
      <c r="A3626">
        <v>1178482</v>
      </c>
      <c r="B3626" t="s">
        <v>11958</v>
      </c>
      <c r="C3626">
        <v>0</v>
      </c>
      <c r="D3626">
        <v>0</v>
      </c>
      <c r="E3626">
        <v>1</v>
      </c>
      <c r="F3626">
        <v>0</v>
      </c>
      <c r="G3626">
        <v>1</v>
      </c>
      <c r="H3626">
        <v>0</v>
      </c>
      <c r="I3626">
        <v>0</v>
      </c>
      <c r="J3626">
        <v>0</v>
      </c>
      <c r="K3626">
        <v>1</v>
      </c>
      <c r="L3626" t="s">
        <v>3284</v>
      </c>
      <c r="M3626" t="s">
        <v>3296</v>
      </c>
      <c r="N3626" t="s">
        <v>3297</v>
      </c>
      <c r="O3626" t="s">
        <v>4500</v>
      </c>
      <c r="P3626" t="s">
        <v>4501</v>
      </c>
      <c r="Q3626" t="s">
        <v>4822</v>
      </c>
      <c r="R3626" t="s">
        <v>11959</v>
      </c>
    </row>
    <row r="3627" spans="1:18" x14ac:dyDescent="0.2">
      <c r="A3627">
        <v>1177982</v>
      </c>
      <c r="B3627" t="s">
        <v>11960</v>
      </c>
      <c r="C3627">
        <v>2</v>
      </c>
      <c r="D3627">
        <v>1</v>
      </c>
      <c r="E3627">
        <v>0</v>
      </c>
      <c r="F3627">
        <v>3</v>
      </c>
      <c r="G3627">
        <v>3</v>
      </c>
      <c r="H3627">
        <v>0</v>
      </c>
      <c r="I3627">
        <v>1</v>
      </c>
      <c r="J3627">
        <v>5</v>
      </c>
      <c r="K3627">
        <v>0</v>
      </c>
      <c r="L3627" t="s">
        <v>3284</v>
      </c>
      <c r="M3627" t="s">
        <v>3296</v>
      </c>
      <c r="N3627" t="s">
        <v>3321</v>
      </c>
      <c r="O3627" t="s">
        <v>3322</v>
      </c>
      <c r="P3627" t="s">
        <v>3398</v>
      </c>
      <c r="Q3627" t="s">
        <v>11961</v>
      </c>
      <c r="R3627" t="s">
        <v>11962</v>
      </c>
    </row>
    <row r="3628" spans="1:18" x14ac:dyDescent="0.2">
      <c r="A3628">
        <v>1176721</v>
      </c>
      <c r="B3628" t="s">
        <v>11963</v>
      </c>
      <c r="C3628">
        <v>0</v>
      </c>
      <c r="D3628">
        <v>0</v>
      </c>
      <c r="E3628">
        <v>0</v>
      </c>
      <c r="F3628">
        <v>8</v>
      </c>
      <c r="G3628">
        <v>4</v>
      </c>
      <c r="H3628">
        <v>0</v>
      </c>
      <c r="I3628">
        <v>0</v>
      </c>
      <c r="J3628">
        <v>0</v>
      </c>
      <c r="K3628">
        <v>0</v>
      </c>
      <c r="L3628" t="s">
        <v>3284</v>
      </c>
      <c r="M3628" t="s">
        <v>3391</v>
      </c>
      <c r="N3628" t="s">
        <v>3392</v>
      </c>
      <c r="O3628" t="s">
        <v>3393</v>
      </c>
      <c r="P3628" t="s">
        <v>3394</v>
      </c>
      <c r="Q3628" t="s">
        <v>4082</v>
      </c>
      <c r="R3628" t="s">
        <v>11964</v>
      </c>
    </row>
    <row r="3629" spans="1:18" x14ac:dyDescent="0.2">
      <c r="A3629">
        <v>1176649</v>
      </c>
      <c r="B3629" t="s">
        <v>11965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1</v>
      </c>
      <c r="L3629" t="s">
        <v>3284</v>
      </c>
      <c r="M3629" t="s">
        <v>3296</v>
      </c>
      <c r="N3629" t="s">
        <v>3343</v>
      </c>
      <c r="O3629" t="s">
        <v>3344</v>
      </c>
      <c r="P3629" t="s">
        <v>3355</v>
      </c>
      <c r="Q3629" t="s">
        <v>3546</v>
      </c>
      <c r="R3629" t="s">
        <v>11966</v>
      </c>
    </row>
    <row r="3630" spans="1:18" x14ac:dyDescent="0.2">
      <c r="A3630">
        <v>1176257</v>
      </c>
      <c r="B3630" t="s">
        <v>11967</v>
      </c>
      <c r="C3630">
        <v>0</v>
      </c>
      <c r="D3630">
        <v>0</v>
      </c>
      <c r="E3630">
        <v>0</v>
      </c>
      <c r="F3630">
        <v>1</v>
      </c>
      <c r="G3630">
        <v>1</v>
      </c>
      <c r="H3630">
        <v>0</v>
      </c>
      <c r="I3630">
        <v>0</v>
      </c>
      <c r="J3630">
        <v>0</v>
      </c>
      <c r="K3630">
        <v>0</v>
      </c>
      <c r="L3630" t="s">
        <v>3284</v>
      </c>
      <c r="M3630" t="s">
        <v>3296</v>
      </c>
      <c r="N3630" t="s">
        <v>3297</v>
      </c>
      <c r="O3630" t="s">
        <v>3434</v>
      </c>
      <c r="P3630" t="s">
        <v>3435</v>
      </c>
      <c r="Q3630" t="s">
        <v>5438</v>
      </c>
      <c r="R3630" t="s">
        <v>11968</v>
      </c>
    </row>
    <row r="3631" spans="1:18" x14ac:dyDescent="0.2">
      <c r="A3631">
        <v>1176176</v>
      </c>
      <c r="B3631" t="s">
        <v>11969</v>
      </c>
      <c r="C3631">
        <v>0</v>
      </c>
      <c r="D3631">
        <v>0</v>
      </c>
      <c r="E3631">
        <v>0</v>
      </c>
      <c r="F3631">
        <v>1</v>
      </c>
      <c r="G3631">
        <v>0</v>
      </c>
      <c r="H3631">
        <v>0</v>
      </c>
      <c r="I3631">
        <v>0</v>
      </c>
      <c r="J3631">
        <v>0</v>
      </c>
      <c r="K3631">
        <v>0</v>
      </c>
      <c r="L3631" t="s">
        <v>3284</v>
      </c>
      <c r="M3631" t="s">
        <v>3296</v>
      </c>
      <c r="N3631" t="s">
        <v>3343</v>
      </c>
      <c r="O3631" t="s">
        <v>3344</v>
      </c>
      <c r="P3631" t="s">
        <v>6089</v>
      </c>
      <c r="Q3631" t="s">
        <v>7900</v>
      </c>
      <c r="R3631" t="s">
        <v>11970</v>
      </c>
    </row>
    <row r="3632" spans="1:18" x14ac:dyDescent="0.2">
      <c r="A3632">
        <v>1173028</v>
      </c>
      <c r="B3632" t="s">
        <v>11971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1</v>
      </c>
      <c r="I3632">
        <v>1</v>
      </c>
      <c r="J3632">
        <v>0</v>
      </c>
      <c r="K3632">
        <v>2</v>
      </c>
      <c r="L3632" t="s">
        <v>3284</v>
      </c>
      <c r="M3632" t="s">
        <v>4022</v>
      </c>
      <c r="N3632" t="s">
        <v>4023</v>
      </c>
      <c r="O3632" t="s">
        <v>6292</v>
      </c>
      <c r="P3632" t="s">
        <v>7541</v>
      </c>
      <c r="Q3632" t="s">
        <v>7542</v>
      </c>
      <c r="R3632" t="s">
        <v>11972</v>
      </c>
    </row>
    <row r="3633" spans="1:18" x14ac:dyDescent="0.2">
      <c r="A3633">
        <v>1173026</v>
      </c>
      <c r="B3633" t="s">
        <v>11973</v>
      </c>
      <c r="C3633">
        <v>0</v>
      </c>
      <c r="D3633">
        <v>0</v>
      </c>
      <c r="E3633">
        <v>0</v>
      </c>
      <c r="F3633">
        <v>0</v>
      </c>
      <c r="G3633">
        <v>1</v>
      </c>
      <c r="H3633">
        <v>0</v>
      </c>
      <c r="I3633">
        <v>0</v>
      </c>
      <c r="J3633">
        <v>0</v>
      </c>
      <c r="K3633">
        <v>0</v>
      </c>
      <c r="L3633" t="s">
        <v>3284</v>
      </c>
      <c r="M3633" t="s">
        <v>4022</v>
      </c>
      <c r="N3633" t="s">
        <v>4023</v>
      </c>
      <c r="O3633" t="s">
        <v>6944</v>
      </c>
      <c r="P3633" t="s">
        <v>11974</v>
      </c>
      <c r="Q3633" t="s">
        <v>11975</v>
      </c>
      <c r="R3633" t="s">
        <v>11976</v>
      </c>
    </row>
    <row r="3634" spans="1:18" x14ac:dyDescent="0.2">
      <c r="A3634">
        <v>1172621</v>
      </c>
      <c r="B3634" t="s">
        <v>11977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1</v>
      </c>
      <c r="J3634">
        <v>1</v>
      </c>
      <c r="K3634">
        <v>0</v>
      </c>
      <c r="L3634" t="s">
        <v>3284</v>
      </c>
      <c r="M3634" t="s">
        <v>3307</v>
      </c>
      <c r="N3634" t="s">
        <v>3308</v>
      </c>
      <c r="O3634" t="s">
        <v>3359</v>
      </c>
      <c r="P3634" t="s">
        <v>3360</v>
      </c>
      <c r="Q3634" t="s">
        <v>11356</v>
      </c>
      <c r="R3634" t="s">
        <v>11978</v>
      </c>
    </row>
    <row r="3635" spans="1:18" x14ac:dyDescent="0.2">
      <c r="A3635">
        <v>1172614</v>
      </c>
      <c r="B3635" t="s">
        <v>11979</v>
      </c>
      <c r="C3635">
        <v>0</v>
      </c>
      <c r="D3635">
        <v>1</v>
      </c>
      <c r="E3635">
        <v>1</v>
      </c>
      <c r="F3635">
        <v>2</v>
      </c>
      <c r="G3635">
        <v>0</v>
      </c>
      <c r="H3635">
        <v>1</v>
      </c>
      <c r="I3635">
        <v>0</v>
      </c>
      <c r="J3635">
        <v>0</v>
      </c>
      <c r="K3635">
        <v>1</v>
      </c>
      <c r="L3635" t="s">
        <v>3284</v>
      </c>
      <c r="M3635" t="s">
        <v>3327</v>
      </c>
      <c r="N3635" t="s">
        <v>3376</v>
      </c>
      <c r="O3635" t="s">
        <v>3377</v>
      </c>
      <c r="P3635" t="s">
        <v>3604</v>
      </c>
      <c r="Q3635" t="s">
        <v>3668</v>
      </c>
      <c r="R3635" t="s">
        <v>11980</v>
      </c>
    </row>
    <row r="3636" spans="1:18" x14ac:dyDescent="0.2">
      <c r="A3636">
        <v>1166257</v>
      </c>
      <c r="B3636" t="s">
        <v>11981</v>
      </c>
      <c r="C3636">
        <v>0</v>
      </c>
      <c r="D3636">
        <v>0</v>
      </c>
      <c r="E3636">
        <v>0</v>
      </c>
      <c r="F3636">
        <v>0</v>
      </c>
      <c r="G3636">
        <v>1</v>
      </c>
      <c r="H3636">
        <v>0</v>
      </c>
      <c r="I3636">
        <v>0</v>
      </c>
      <c r="J3636">
        <v>0</v>
      </c>
      <c r="K3636">
        <v>0</v>
      </c>
      <c r="L3636" t="s">
        <v>3284</v>
      </c>
      <c r="M3636" t="s">
        <v>3296</v>
      </c>
      <c r="N3636" t="s">
        <v>3343</v>
      </c>
      <c r="O3636" t="s">
        <v>3344</v>
      </c>
      <c r="P3636" t="s">
        <v>7012</v>
      </c>
      <c r="Q3636" t="s">
        <v>11982</v>
      </c>
      <c r="R3636" t="s">
        <v>11983</v>
      </c>
    </row>
    <row r="3637" spans="1:18" x14ac:dyDescent="0.2">
      <c r="A3637">
        <v>1166073</v>
      </c>
      <c r="B3637" t="s">
        <v>11984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1</v>
      </c>
      <c r="J3637">
        <v>0</v>
      </c>
      <c r="K3637">
        <v>0</v>
      </c>
      <c r="L3637" t="s">
        <v>3284</v>
      </c>
      <c r="M3637" t="s">
        <v>3296</v>
      </c>
      <c r="N3637" t="s">
        <v>3343</v>
      </c>
      <c r="O3637" t="s">
        <v>3344</v>
      </c>
      <c r="P3637" t="s">
        <v>4347</v>
      </c>
      <c r="Q3637" t="s">
        <v>6412</v>
      </c>
      <c r="R3637" t="s">
        <v>11985</v>
      </c>
    </row>
    <row r="3638" spans="1:18" x14ac:dyDescent="0.2">
      <c r="A3638">
        <v>1165852</v>
      </c>
      <c r="B3638" t="s">
        <v>11986</v>
      </c>
      <c r="C3638">
        <v>1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 t="s">
        <v>3284</v>
      </c>
      <c r="M3638" t="s">
        <v>3296</v>
      </c>
      <c r="N3638" t="s">
        <v>3321</v>
      </c>
      <c r="O3638" t="s">
        <v>3322</v>
      </c>
      <c r="P3638" t="s">
        <v>3398</v>
      </c>
      <c r="Q3638" t="s">
        <v>11790</v>
      </c>
      <c r="R3638" t="s">
        <v>11987</v>
      </c>
    </row>
    <row r="3639" spans="1:18" x14ac:dyDescent="0.2">
      <c r="A3639">
        <v>1164595</v>
      </c>
      <c r="B3639" t="s">
        <v>11988</v>
      </c>
      <c r="C3639">
        <v>0</v>
      </c>
      <c r="D3639">
        <v>0</v>
      </c>
      <c r="E3639">
        <v>0</v>
      </c>
      <c r="F3639">
        <v>1</v>
      </c>
      <c r="G3639">
        <v>1</v>
      </c>
      <c r="H3639">
        <v>0</v>
      </c>
      <c r="I3639">
        <v>0</v>
      </c>
      <c r="J3639">
        <v>0</v>
      </c>
      <c r="K3639">
        <v>0</v>
      </c>
      <c r="L3639" t="s">
        <v>3284</v>
      </c>
      <c r="M3639" t="s">
        <v>3307</v>
      </c>
      <c r="N3639" t="s">
        <v>3308</v>
      </c>
      <c r="O3639" t="s">
        <v>3359</v>
      </c>
      <c r="P3639" t="s">
        <v>3360</v>
      </c>
      <c r="Q3639" t="s">
        <v>3913</v>
      </c>
      <c r="R3639" t="s">
        <v>11989</v>
      </c>
    </row>
    <row r="3640" spans="1:18" x14ac:dyDescent="0.2">
      <c r="A3640">
        <v>1163419</v>
      </c>
      <c r="B3640" t="s">
        <v>11990</v>
      </c>
      <c r="C3640">
        <v>1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 t="s">
        <v>3284</v>
      </c>
      <c r="M3640" t="s">
        <v>3296</v>
      </c>
      <c r="N3640" t="s">
        <v>3343</v>
      </c>
      <c r="O3640" t="s">
        <v>3344</v>
      </c>
      <c r="P3640" t="s">
        <v>3837</v>
      </c>
      <c r="Q3640" t="s">
        <v>4865</v>
      </c>
      <c r="R3640" t="s">
        <v>11991</v>
      </c>
    </row>
    <row r="3641" spans="1:18" x14ac:dyDescent="0.2">
      <c r="A3641">
        <v>1162970</v>
      </c>
      <c r="B3641" t="s">
        <v>11992</v>
      </c>
      <c r="C3641">
        <v>1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2</v>
      </c>
      <c r="J3641">
        <v>0</v>
      </c>
      <c r="K3641">
        <v>0</v>
      </c>
      <c r="L3641" t="s">
        <v>3284</v>
      </c>
      <c r="M3641" t="s">
        <v>3307</v>
      </c>
      <c r="N3641" t="s">
        <v>3308</v>
      </c>
      <c r="O3641" t="s">
        <v>3359</v>
      </c>
      <c r="P3641" t="s">
        <v>3360</v>
      </c>
      <c r="Q3641" t="s">
        <v>8840</v>
      </c>
      <c r="R3641" t="s">
        <v>11993</v>
      </c>
    </row>
    <row r="3642" spans="1:18" x14ac:dyDescent="0.2">
      <c r="A3642">
        <v>1162968</v>
      </c>
      <c r="B3642" t="s">
        <v>11994</v>
      </c>
      <c r="C3642">
        <v>1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 t="s">
        <v>3284</v>
      </c>
      <c r="M3642" t="s">
        <v>3307</v>
      </c>
      <c r="N3642" t="s">
        <v>3308</v>
      </c>
      <c r="O3642" t="s">
        <v>3359</v>
      </c>
      <c r="P3642" t="s">
        <v>3360</v>
      </c>
      <c r="Q3642" t="s">
        <v>5290</v>
      </c>
      <c r="R3642" t="s">
        <v>11995</v>
      </c>
    </row>
    <row r="3643" spans="1:18" x14ac:dyDescent="0.2">
      <c r="A3643">
        <v>1162967</v>
      </c>
      <c r="B3643" t="s">
        <v>11996</v>
      </c>
      <c r="C3643">
        <v>0</v>
      </c>
      <c r="D3643">
        <v>2</v>
      </c>
      <c r="E3643">
        <v>0</v>
      </c>
      <c r="F3643">
        <v>0</v>
      </c>
      <c r="G3643">
        <v>1</v>
      </c>
      <c r="H3643">
        <v>0</v>
      </c>
      <c r="I3643">
        <v>2</v>
      </c>
      <c r="J3643">
        <v>0</v>
      </c>
      <c r="K3643">
        <v>0</v>
      </c>
      <c r="L3643" t="s">
        <v>3284</v>
      </c>
      <c r="M3643" t="s">
        <v>3307</v>
      </c>
      <c r="N3643" t="s">
        <v>3308</v>
      </c>
      <c r="O3643" t="s">
        <v>3359</v>
      </c>
      <c r="P3643" t="s">
        <v>3360</v>
      </c>
      <c r="Q3643" t="s">
        <v>11997</v>
      </c>
      <c r="R3643" t="s">
        <v>11998</v>
      </c>
    </row>
    <row r="3644" spans="1:18" x14ac:dyDescent="0.2">
      <c r="A3644">
        <v>1162966</v>
      </c>
      <c r="B3644" t="s">
        <v>11999</v>
      </c>
      <c r="C3644">
        <v>1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 t="s">
        <v>3284</v>
      </c>
      <c r="M3644" t="s">
        <v>3307</v>
      </c>
      <c r="N3644" t="s">
        <v>3308</v>
      </c>
      <c r="O3644" t="s">
        <v>3359</v>
      </c>
      <c r="P3644" t="s">
        <v>3360</v>
      </c>
      <c r="Q3644" t="s">
        <v>6517</v>
      </c>
      <c r="R3644" t="s">
        <v>12000</v>
      </c>
    </row>
    <row r="3645" spans="1:18" x14ac:dyDescent="0.2">
      <c r="A3645">
        <v>1158292</v>
      </c>
      <c r="B3645" t="s">
        <v>12001</v>
      </c>
      <c r="C3645">
        <v>0</v>
      </c>
      <c r="D3645">
        <v>0</v>
      </c>
      <c r="E3645">
        <v>0</v>
      </c>
      <c r="F3645">
        <v>0</v>
      </c>
      <c r="G3645">
        <v>1</v>
      </c>
      <c r="H3645">
        <v>0</v>
      </c>
      <c r="I3645">
        <v>0</v>
      </c>
      <c r="J3645">
        <v>0</v>
      </c>
      <c r="K3645">
        <v>0</v>
      </c>
      <c r="L3645" t="s">
        <v>3284</v>
      </c>
      <c r="M3645" t="s">
        <v>3296</v>
      </c>
      <c r="N3645" t="s">
        <v>3321</v>
      </c>
      <c r="O3645" t="s">
        <v>3322</v>
      </c>
      <c r="P3645" t="s">
        <v>3271</v>
      </c>
      <c r="Q3645" t="s">
        <v>12002</v>
      </c>
      <c r="R3645" t="s">
        <v>12003</v>
      </c>
    </row>
    <row r="3646" spans="1:18" x14ac:dyDescent="0.2">
      <c r="A3646">
        <v>1156313</v>
      </c>
      <c r="B3646" t="s">
        <v>12004</v>
      </c>
      <c r="C3646">
        <v>0</v>
      </c>
      <c r="D3646">
        <v>0</v>
      </c>
      <c r="E3646">
        <v>0</v>
      </c>
      <c r="F3646">
        <v>0</v>
      </c>
      <c r="G3646">
        <v>1</v>
      </c>
      <c r="H3646">
        <v>0</v>
      </c>
      <c r="I3646">
        <v>0</v>
      </c>
      <c r="J3646">
        <v>0</v>
      </c>
      <c r="K3646">
        <v>0</v>
      </c>
      <c r="L3646" t="s">
        <v>3284</v>
      </c>
      <c r="M3646" t="s">
        <v>3296</v>
      </c>
      <c r="N3646" t="s">
        <v>3297</v>
      </c>
      <c r="O3646" t="s">
        <v>3434</v>
      </c>
      <c r="P3646" t="s">
        <v>3435</v>
      </c>
      <c r="Q3646" t="s">
        <v>3436</v>
      </c>
      <c r="R3646" t="s">
        <v>12005</v>
      </c>
    </row>
    <row r="3647" spans="1:18" x14ac:dyDescent="0.2">
      <c r="A3647">
        <v>1155739</v>
      </c>
      <c r="B3647" t="s">
        <v>12006</v>
      </c>
      <c r="C3647">
        <v>0</v>
      </c>
      <c r="D3647">
        <v>0</v>
      </c>
      <c r="E3647">
        <v>0</v>
      </c>
      <c r="F3647">
        <v>1</v>
      </c>
      <c r="G3647">
        <v>0</v>
      </c>
      <c r="H3647">
        <v>0</v>
      </c>
      <c r="I3647">
        <v>0</v>
      </c>
      <c r="J3647">
        <v>0</v>
      </c>
      <c r="K3647">
        <v>0</v>
      </c>
      <c r="L3647" t="s">
        <v>3284</v>
      </c>
      <c r="M3647" t="s">
        <v>4022</v>
      </c>
      <c r="N3647" t="s">
        <v>4023</v>
      </c>
      <c r="O3647" t="s">
        <v>6292</v>
      </c>
      <c r="P3647" t="s">
        <v>7541</v>
      </c>
      <c r="Q3647" t="s">
        <v>7863</v>
      </c>
      <c r="R3647" t="s">
        <v>12007</v>
      </c>
    </row>
    <row r="3648" spans="1:18" x14ac:dyDescent="0.2">
      <c r="A3648">
        <v>1155073</v>
      </c>
      <c r="B3648" t="s">
        <v>12008</v>
      </c>
      <c r="C3648">
        <v>1</v>
      </c>
      <c r="D3648">
        <v>1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 t="s">
        <v>3284</v>
      </c>
      <c r="M3648" t="s">
        <v>3327</v>
      </c>
      <c r="N3648" t="s">
        <v>3376</v>
      </c>
      <c r="O3648" t="s">
        <v>3718</v>
      </c>
      <c r="P3648" t="s">
        <v>6044</v>
      </c>
      <c r="Q3648" t="s">
        <v>6045</v>
      </c>
      <c r="R3648" t="s">
        <v>12009</v>
      </c>
    </row>
    <row r="3649" spans="1:18" x14ac:dyDescent="0.2">
      <c r="A3649">
        <v>1150400</v>
      </c>
      <c r="B3649" t="s">
        <v>12010</v>
      </c>
      <c r="C3649">
        <v>0</v>
      </c>
      <c r="D3649">
        <v>0</v>
      </c>
      <c r="E3649">
        <v>0</v>
      </c>
      <c r="F3649">
        <v>1</v>
      </c>
      <c r="G3649">
        <v>0</v>
      </c>
      <c r="H3649">
        <v>2</v>
      </c>
      <c r="I3649">
        <v>0</v>
      </c>
      <c r="J3649">
        <v>0</v>
      </c>
      <c r="K3649">
        <v>0</v>
      </c>
      <c r="L3649" t="s">
        <v>3284</v>
      </c>
      <c r="M3649" t="s">
        <v>3296</v>
      </c>
      <c r="N3649" t="s">
        <v>3343</v>
      </c>
      <c r="O3649" t="s">
        <v>3402</v>
      </c>
      <c r="P3649" t="s">
        <v>3403</v>
      </c>
      <c r="Q3649" t="s">
        <v>3536</v>
      </c>
      <c r="R3649" t="s">
        <v>12011</v>
      </c>
    </row>
    <row r="3650" spans="1:18" x14ac:dyDescent="0.2">
      <c r="A3650">
        <v>1150157</v>
      </c>
      <c r="B3650" t="s">
        <v>12012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31</v>
      </c>
      <c r="J3650">
        <v>19</v>
      </c>
      <c r="K3650">
        <v>23</v>
      </c>
      <c r="L3650" t="s">
        <v>3284</v>
      </c>
      <c r="M3650" t="s">
        <v>3327</v>
      </c>
      <c r="N3650" t="s">
        <v>3376</v>
      </c>
      <c r="O3650" t="s">
        <v>3377</v>
      </c>
      <c r="P3650" t="s">
        <v>3378</v>
      </c>
      <c r="Q3650" t="s">
        <v>3379</v>
      </c>
      <c r="R3650" t="s">
        <v>12013</v>
      </c>
    </row>
    <row r="3651" spans="1:18" x14ac:dyDescent="0.2">
      <c r="A3651">
        <v>1149133</v>
      </c>
      <c r="B3651" t="s">
        <v>12014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1</v>
      </c>
      <c r="I3651">
        <v>0</v>
      </c>
      <c r="J3651">
        <v>0</v>
      </c>
      <c r="K3651">
        <v>0</v>
      </c>
      <c r="L3651" t="s">
        <v>3284</v>
      </c>
      <c r="M3651" t="s">
        <v>3296</v>
      </c>
      <c r="N3651" t="s">
        <v>3297</v>
      </c>
      <c r="O3651" t="s">
        <v>3434</v>
      </c>
      <c r="P3651" t="s">
        <v>3435</v>
      </c>
      <c r="Q3651" t="s">
        <v>6436</v>
      </c>
      <c r="R3651" t="s">
        <v>12015</v>
      </c>
    </row>
    <row r="3652" spans="1:18" x14ac:dyDescent="0.2">
      <c r="A3652">
        <v>1147684</v>
      </c>
      <c r="B3652" t="s">
        <v>12016</v>
      </c>
      <c r="C3652">
        <v>0</v>
      </c>
      <c r="D3652">
        <v>0</v>
      </c>
      <c r="E3652">
        <v>0</v>
      </c>
      <c r="F3652">
        <v>0</v>
      </c>
      <c r="G3652">
        <v>1</v>
      </c>
      <c r="H3652">
        <v>0</v>
      </c>
      <c r="I3652">
        <v>0</v>
      </c>
      <c r="J3652">
        <v>0</v>
      </c>
      <c r="K3652">
        <v>0</v>
      </c>
      <c r="L3652" t="s">
        <v>3284</v>
      </c>
      <c r="M3652" t="s">
        <v>3296</v>
      </c>
      <c r="N3652" t="s">
        <v>3321</v>
      </c>
      <c r="O3652" t="s">
        <v>3322</v>
      </c>
      <c r="P3652" t="s">
        <v>4143</v>
      </c>
      <c r="Q3652" t="s">
        <v>4539</v>
      </c>
      <c r="R3652" t="s">
        <v>12017</v>
      </c>
    </row>
    <row r="3653" spans="1:18" x14ac:dyDescent="0.2">
      <c r="A3653">
        <v>1147123</v>
      </c>
      <c r="B3653" t="s">
        <v>12018</v>
      </c>
      <c r="C3653">
        <v>3</v>
      </c>
      <c r="D3653">
        <v>1</v>
      </c>
      <c r="E3653">
        <v>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 t="s">
        <v>3284</v>
      </c>
      <c r="M3653" t="s">
        <v>3327</v>
      </c>
      <c r="N3653" t="s">
        <v>3328</v>
      </c>
      <c r="O3653" t="s">
        <v>3329</v>
      </c>
      <c r="P3653" t="s">
        <v>3330</v>
      </c>
      <c r="Q3653" t="s">
        <v>10181</v>
      </c>
      <c r="R3653" t="s">
        <v>12019</v>
      </c>
    </row>
    <row r="3654" spans="1:18" x14ac:dyDescent="0.2">
      <c r="A3654">
        <v>1146892</v>
      </c>
      <c r="B3654" t="s">
        <v>12020</v>
      </c>
      <c r="C3654">
        <v>0</v>
      </c>
      <c r="D3654">
        <v>0</v>
      </c>
      <c r="E3654">
        <v>1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 t="s">
        <v>3284</v>
      </c>
      <c r="M3654" t="s">
        <v>3296</v>
      </c>
      <c r="N3654" t="s">
        <v>3343</v>
      </c>
      <c r="O3654" t="s">
        <v>3371</v>
      </c>
      <c r="P3654" t="s">
        <v>3688</v>
      </c>
      <c r="Q3654" t="s">
        <v>8261</v>
      </c>
      <c r="R3654" t="s">
        <v>12021</v>
      </c>
    </row>
    <row r="3655" spans="1:18" x14ac:dyDescent="0.2">
      <c r="A3655">
        <v>1145106</v>
      </c>
      <c r="B3655" t="s">
        <v>12022</v>
      </c>
      <c r="C3655">
        <v>8</v>
      </c>
      <c r="D3655">
        <v>10</v>
      </c>
      <c r="E3655">
        <v>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 t="s">
        <v>3284</v>
      </c>
      <c r="M3655" t="s">
        <v>3391</v>
      </c>
      <c r="N3655" t="s">
        <v>3392</v>
      </c>
      <c r="O3655" t="s">
        <v>3393</v>
      </c>
      <c r="P3655" t="s">
        <v>3394</v>
      </c>
      <c r="Q3655" t="s">
        <v>4351</v>
      </c>
      <c r="R3655" t="s">
        <v>12023</v>
      </c>
    </row>
    <row r="3656" spans="1:18" x14ac:dyDescent="0.2">
      <c r="A3656">
        <v>1144682</v>
      </c>
      <c r="B3656" t="s">
        <v>12024</v>
      </c>
      <c r="C3656">
        <v>0</v>
      </c>
      <c r="D3656">
        <v>1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 t="s">
        <v>3284</v>
      </c>
      <c r="M3656" t="s">
        <v>3816</v>
      </c>
      <c r="N3656" t="s">
        <v>3817</v>
      </c>
      <c r="O3656" t="s">
        <v>3818</v>
      </c>
      <c r="P3656" t="s">
        <v>3819</v>
      </c>
      <c r="Q3656" t="s">
        <v>9611</v>
      </c>
      <c r="R3656" t="s">
        <v>12025</v>
      </c>
    </row>
    <row r="3657" spans="1:18" x14ac:dyDescent="0.2">
      <c r="A3657">
        <v>1144680</v>
      </c>
      <c r="B3657" t="s">
        <v>12026</v>
      </c>
      <c r="C3657">
        <v>0</v>
      </c>
      <c r="D3657">
        <v>0</v>
      </c>
      <c r="E3657">
        <v>0</v>
      </c>
      <c r="F3657">
        <v>1</v>
      </c>
      <c r="G3657">
        <v>2</v>
      </c>
      <c r="H3657">
        <v>0</v>
      </c>
      <c r="I3657">
        <v>0</v>
      </c>
      <c r="J3657">
        <v>0</v>
      </c>
      <c r="K3657">
        <v>0</v>
      </c>
      <c r="L3657" t="s">
        <v>3284</v>
      </c>
      <c r="M3657" t="s">
        <v>3816</v>
      </c>
      <c r="N3657" t="s">
        <v>3817</v>
      </c>
      <c r="O3657" t="s">
        <v>3818</v>
      </c>
      <c r="P3657" t="s">
        <v>3819</v>
      </c>
      <c r="Q3657" t="s">
        <v>3820</v>
      </c>
      <c r="R3657" t="s">
        <v>12027</v>
      </c>
    </row>
    <row r="3658" spans="1:18" x14ac:dyDescent="0.2">
      <c r="A3658">
        <v>1144342</v>
      </c>
      <c r="B3658" t="s">
        <v>12028</v>
      </c>
      <c r="C3658">
        <v>0</v>
      </c>
      <c r="D3658">
        <v>0</v>
      </c>
      <c r="E3658">
        <v>0</v>
      </c>
      <c r="F3658">
        <v>1</v>
      </c>
      <c r="G3658">
        <v>0</v>
      </c>
      <c r="H3658">
        <v>0</v>
      </c>
      <c r="I3658">
        <v>0</v>
      </c>
      <c r="J3658">
        <v>0</v>
      </c>
      <c r="K3658">
        <v>0</v>
      </c>
      <c r="L3658" t="s">
        <v>3284</v>
      </c>
      <c r="M3658" t="s">
        <v>3296</v>
      </c>
      <c r="N3658" t="s">
        <v>3321</v>
      </c>
      <c r="O3658" t="s">
        <v>3322</v>
      </c>
      <c r="P3658" t="s">
        <v>3323</v>
      </c>
      <c r="Q3658" t="s">
        <v>3518</v>
      </c>
      <c r="R3658" t="s">
        <v>12029</v>
      </c>
    </row>
    <row r="3659" spans="1:18" x14ac:dyDescent="0.2">
      <c r="A3659">
        <v>1144340</v>
      </c>
      <c r="B3659" t="s">
        <v>12030</v>
      </c>
      <c r="C3659">
        <v>1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 t="s">
        <v>3284</v>
      </c>
      <c r="M3659" t="s">
        <v>3296</v>
      </c>
      <c r="N3659" t="s">
        <v>3297</v>
      </c>
      <c r="O3659" t="s">
        <v>3434</v>
      </c>
      <c r="P3659" t="s">
        <v>3435</v>
      </c>
      <c r="Q3659" t="s">
        <v>3436</v>
      </c>
      <c r="R3659" t="s">
        <v>12031</v>
      </c>
    </row>
    <row r="3660" spans="1:18" x14ac:dyDescent="0.2">
      <c r="A3660">
        <v>1144336</v>
      </c>
      <c r="B3660" t="s">
        <v>12032</v>
      </c>
      <c r="C3660">
        <v>0</v>
      </c>
      <c r="D3660">
        <v>0</v>
      </c>
      <c r="E3660">
        <v>1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 t="s">
        <v>3284</v>
      </c>
      <c r="M3660" t="s">
        <v>3296</v>
      </c>
      <c r="N3660" t="s">
        <v>3297</v>
      </c>
      <c r="O3660" t="s">
        <v>3434</v>
      </c>
      <c r="P3660" t="s">
        <v>3435</v>
      </c>
      <c r="Q3660" t="s">
        <v>3436</v>
      </c>
      <c r="R3660" t="s">
        <v>12033</v>
      </c>
    </row>
    <row r="3661" spans="1:18" x14ac:dyDescent="0.2">
      <c r="A3661">
        <v>1144331</v>
      </c>
      <c r="B3661" t="s">
        <v>12034</v>
      </c>
      <c r="C3661">
        <v>0</v>
      </c>
      <c r="D3661">
        <v>0</v>
      </c>
      <c r="E3661">
        <v>0</v>
      </c>
      <c r="F3661">
        <v>1</v>
      </c>
      <c r="G3661">
        <v>0</v>
      </c>
      <c r="H3661">
        <v>0</v>
      </c>
      <c r="I3661">
        <v>0</v>
      </c>
      <c r="J3661">
        <v>0</v>
      </c>
      <c r="K3661">
        <v>0</v>
      </c>
      <c r="L3661" t="s">
        <v>3284</v>
      </c>
      <c r="M3661" t="s">
        <v>3296</v>
      </c>
      <c r="N3661" t="s">
        <v>3297</v>
      </c>
      <c r="O3661" t="s">
        <v>3434</v>
      </c>
      <c r="P3661" t="s">
        <v>3435</v>
      </c>
      <c r="Q3661" t="s">
        <v>3436</v>
      </c>
      <c r="R3661" t="s">
        <v>12035</v>
      </c>
    </row>
    <row r="3662" spans="1:18" x14ac:dyDescent="0.2">
      <c r="A3662">
        <v>1144319</v>
      </c>
      <c r="B3662" t="s">
        <v>12036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2</v>
      </c>
      <c r="J3662">
        <v>1</v>
      </c>
      <c r="K3662">
        <v>0</v>
      </c>
      <c r="L3662" t="s">
        <v>3284</v>
      </c>
      <c r="M3662" t="s">
        <v>3296</v>
      </c>
      <c r="N3662" t="s">
        <v>3321</v>
      </c>
      <c r="O3662" t="s">
        <v>3322</v>
      </c>
      <c r="P3662" t="s">
        <v>3323</v>
      </c>
      <c r="Q3662" t="s">
        <v>3518</v>
      </c>
      <c r="R3662" t="s">
        <v>12037</v>
      </c>
    </row>
    <row r="3663" spans="1:18" x14ac:dyDescent="0.2">
      <c r="A3663">
        <v>1144318</v>
      </c>
      <c r="B3663" t="s">
        <v>12038</v>
      </c>
      <c r="C3663">
        <v>0</v>
      </c>
      <c r="D3663">
        <v>0</v>
      </c>
      <c r="E3663">
        <v>0</v>
      </c>
      <c r="F3663">
        <v>2</v>
      </c>
      <c r="G3663">
        <v>0</v>
      </c>
      <c r="H3663">
        <v>0</v>
      </c>
      <c r="I3663">
        <v>0</v>
      </c>
      <c r="J3663">
        <v>0</v>
      </c>
      <c r="K3663">
        <v>0</v>
      </c>
      <c r="L3663" t="s">
        <v>3284</v>
      </c>
      <c r="M3663" t="s">
        <v>3296</v>
      </c>
      <c r="N3663" t="s">
        <v>3321</v>
      </c>
      <c r="O3663" t="s">
        <v>3322</v>
      </c>
      <c r="P3663" t="s">
        <v>3398</v>
      </c>
      <c r="Q3663" t="s">
        <v>4593</v>
      </c>
      <c r="R3663" t="s">
        <v>12039</v>
      </c>
    </row>
    <row r="3664" spans="1:18" x14ac:dyDescent="0.2">
      <c r="A3664">
        <v>1144317</v>
      </c>
      <c r="B3664" t="s">
        <v>12040</v>
      </c>
      <c r="C3664">
        <v>1</v>
      </c>
      <c r="D3664">
        <v>1</v>
      </c>
      <c r="E3664">
        <v>0</v>
      </c>
      <c r="F3664">
        <v>27</v>
      </c>
      <c r="G3664">
        <v>19</v>
      </c>
      <c r="H3664">
        <v>0</v>
      </c>
      <c r="I3664">
        <v>0</v>
      </c>
      <c r="J3664">
        <v>1</v>
      </c>
      <c r="K3664">
        <v>0</v>
      </c>
      <c r="L3664" t="s">
        <v>3284</v>
      </c>
      <c r="M3664" t="s">
        <v>3296</v>
      </c>
      <c r="N3664" t="s">
        <v>3321</v>
      </c>
      <c r="O3664" t="s">
        <v>3322</v>
      </c>
      <c r="P3664" t="s">
        <v>3398</v>
      </c>
      <c r="Q3664" t="s">
        <v>3556</v>
      </c>
      <c r="R3664" t="s">
        <v>12041</v>
      </c>
    </row>
    <row r="3665" spans="1:18" x14ac:dyDescent="0.2">
      <c r="A3665">
        <v>1144315</v>
      </c>
      <c r="B3665" t="s">
        <v>12042</v>
      </c>
      <c r="C3665">
        <v>0</v>
      </c>
      <c r="D3665">
        <v>0</v>
      </c>
      <c r="E3665">
        <v>0</v>
      </c>
      <c r="F3665">
        <v>1</v>
      </c>
      <c r="G3665">
        <v>0</v>
      </c>
      <c r="H3665">
        <v>0</v>
      </c>
      <c r="I3665">
        <v>0</v>
      </c>
      <c r="J3665">
        <v>0</v>
      </c>
      <c r="K3665">
        <v>0</v>
      </c>
      <c r="L3665" t="s">
        <v>3284</v>
      </c>
      <c r="M3665" t="s">
        <v>3296</v>
      </c>
      <c r="N3665" t="s">
        <v>3321</v>
      </c>
      <c r="O3665" t="s">
        <v>3322</v>
      </c>
      <c r="P3665" t="s">
        <v>3398</v>
      </c>
      <c r="Q3665" t="s">
        <v>3399</v>
      </c>
      <c r="R3665" t="s">
        <v>12043</v>
      </c>
    </row>
    <row r="3666" spans="1:18" x14ac:dyDescent="0.2">
      <c r="A3666">
        <v>1144313</v>
      </c>
      <c r="B3666" t="s">
        <v>12044</v>
      </c>
      <c r="C3666">
        <v>0</v>
      </c>
      <c r="D3666">
        <v>0</v>
      </c>
      <c r="E3666">
        <v>0</v>
      </c>
      <c r="F3666">
        <v>1</v>
      </c>
      <c r="G3666">
        <v>0</v>
      </c>
      <c r="H3666">
        <v>0</v>
      </c>
      <c r="I3666">
        <v>0</v>
      </c>
      <c r="J3666">
        <v>0</v>
      </c>
      <c r="K3666">
        <v>0</v>
      </c>
      <c r="L3666" t="s">
        <v>3284</v>
      </c>
      <c r="M3666" t="s">
        <v>3391</v>
      </c>
      <c r="N3666" t="s">
        <v>3411</v>
      </c>
      <c r="O3666" t="s">
        <v>3412</v>
      </c>
      <c r="P3666" t="s">
        <v>3413</v>
      </c>
      <c r="Q3666" t="s">
        <v>3414</v>
      </c>
      <c r="R3666" t="s">
        <v>12045</v>
      </c>
    </row>
    <row r="3667" spans="1:18" x14ac:dyDescent="0.2">
      <c r="A3667">
        <v>1144310</v>
      </c>
      <c r="B3667" t="s">
        <v>12046</v>
      </c>
      <c r="C3667">
        <v>0</v>
      </c>
      <c r="D3667">
        <v>0</v>
      </c>
      <c r="E3667">
        <v>0</v>
      </c>
      <c r="F3667">
        <v>1</v>
      </c>
      <c r="G3667">
        <v>1</v>
      </c>
      <c r="H3667">
        <v>0</v>
      </c>
      <c r="I3667">
        <v>0</v>
      </c>
      <c r="J3667">
        <v>0</v>
      </c>
      <c r="K3667">
        <v>0</v>
      </c>
      <c r="L3667" t="s">
        <v>3284</v>
      </c>
      <c r="M3667" t="s">
        <v>3296</v>
      </c>
      <c r="N3667" t="s">
        <v>3343</v>
      </c>
      <c r="O3667" t="s">
        <v>3344</v>
      </c>
      <c r="P3667" t="s">
        <v>3355</v>
      </c>
      <c r="Q3667" t="s">
        <v>3356</v>
      </c>
      <c r="R3667" t="s">
        <v>12047</v>
      </c>
    </row>
    <row r="3668" spans="1:18" x14ac:dyDescent="0.2">
      <c r="A3668">
        <v>1144305</v>
      </c>
      <c r="B3668" t="s">
        <v>12048</v>
      </c>
      <c r="C3668">
        <v>0</v>
      </c>
      <c r="D3668">
        <v>0</v>
      </c>
      <c r="E3668">
        <v>0</v>
      </c>
      <c r="F3668">
        <v>6</v>
      </c>
      <c r="G3668">
        <v>1</v>
      </c>
      <c r="H3668">
        <v>0</v>
      </c>
      <c r="I3668">
        <v>0</v>
      </c>
      <c r="J3668">
        <v>0</v>
      </c>
      <c r="K3668">
        <v>0</v>
      </c>
      <c r="L3668" t="s">
        <v>3284</v>
      </c>
      <c r="M3668" t="s">
        <v>3296</v>
      </c>
      <c r="N3668" t="s">
        <v>3343</v>
      </c>
      <c r="O3668" t="s">
        <v>3349</v>
      </c>
      <c r="P3668" t="s">
        <v>3350</v>
      </c>
      <c r="Q3668" t="s">
        <v>3351</v>
      </c>
      <c r="R3668" t="s">
        <v>12049</v>
      </c>
    </row>
    <row r="3669" spans="1:18" x14ac:dyDescent="0.2">
      <c r="A3669">
        <v>1144304</v>
      </c>
      <c r="B3669" t="s">
        <v>12050</v>
      </c>
      <c r="C3669">
        <v>0</v>
      </c>
      <c r="D3669">
        <v>1</v>
      </c>
      <c r="E3669">
        <v>0</v>
      </c>
      <c r="F3669">
        <v>2</v>
      </c>
      <c r="G3669">
        <v>0</v>
      </c>
      <c r="H3669">
        <v>0</v>
      </c>
      <c r="I3669">
        <v>0</v>
      </c>
      <c r="J3669">
        <v>0</v>
      </c>
      <c r="K3669">
        <v>0</v>
      </c>
      <c r="L3669" t="s">
        <v>3284</v>
      </c>
      <c r="M3669" t="s">
        <v>3296</v>
      </c>
      <c r="N3669" t="s">
        <v>3343</v>
      </c>
      <c r="O3669" t="s">
        <v>3402</v>
      </c>
      <c r="P3669" t="s">
        <v>3403</v>
      </c>
      <c r="Q3669" t="s">
        <v>3404</v>
      </c>
      <c r="R3669" t="s">
        <v>12051</v>
      </c>
    </row>
    <row r="3670" spans="1:18" x14ac:dyDescent="0.2">
      <c r="A3670">
        <v>1141887</v>
      </c>
      <c r="B3670" t="s">
        <v>12052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2</v>
      </c>
      <c r="J3670">
        <v>0</v>
      </c>
      <c r="K3670">
        <v>0</v>
      </c>
      <c r="L3670" t="s">
        <v>3284</v>
      </c>
      <c r="M3670" t="s">
        <v>3296</v>
      </c>
      <c r="N3670" t="s">
        <v>3343</v>
      </c>
      <c r="O3670" t="s">
        <v>3349</v>
      </c>
      <c r="P3670" t="s">
        <v>3350</v>
      </c>
      <c r="Q3670" t="s">
        <v>3580</v>
      </c>
      <c r="R3670" t="s">
        <v>12053</v>
      </c>
    </row>
    <row r="3671" spans="1:18" x14ac:dyDescent="0.2">
      <c r="A3671">
        <v>1137848</v>
      </c>
      <c r="B3671" t="s">
        <v>12054</v>
      </c>
      <c r="C3671">
        <v>1</v>
      </c>
      <c r="D3671">
        <v>2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 t="s">
        <v>3284</v>
      </c>
      <c r="M3671" t="s">
        <v>3327</v>
      </c>
      <c r="N3671" t="s">
        <v>3328</v>
      </c>
      <c r="O3671" t="s">
        <v>3329</v>
      </c>
      <c r="P3671" t="s">
        <v>3330</v>
      </c>
      <c r="Q3671" t="s">
        <v>3331</v>
      </c>
      <c r="R3671" t="s">
        <v>12055</v>
      </c>
    </row>
    <row r="3672" spans="1:18" x14ac:dyDescent="0.2">
      <c r="A3672">
        <v>1137095</v>
      </c>
      <c r="B3672" t="s">
        <v>12056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1</v>
      </c>
      <c r="L3672" t="s">
        <v>3284</v>
      </c>
      <c r="M3672" t="s">
        <v>4022</v>
      </c>
      <c r="N3672" t="s">
        <v>4023</v>
      </c>
      <c r="O3672" t="s">
        <v>4289</v>
      </c>
      <c r="P3672" t="s">
        <v>4290</v>
      </c>
      <c r="Q3672" t="s">
        <v>4291</v>
      </c>
      <c r="R3672" t="s">
        <v>12057</v>
      </c>
    </row>
    <row r="3673" spans="1:18" x14ac:dyDescent="0.2">
      <c r="A3673">
        <v>1136941</v>
      </c>
      <c r="B3673" t="s">
        <v>12058</v>
      </c>
      <c r="C3673">
        <v>0</v>
      </c>
      <c r="D3673">
        <v>0</v>
      </c>
      <c r="E3673">
        <v>0</v>
      </c>
      <c r="F3673">
        <v>1</v>
      </c>
      <c r="G3673">
        <v>0</v>
      </c>
      <c r="H3673">
        <v>0</v>
      </c>
      <c r="I3673">
        <v>0</v>
      </c>
      <c r="J3673">
        <v>0</v>
      </c>
      <c r="K3673">
        <v>0</v>
      </c>
      <c r="L3673" t="s">
        <v>3284</v>
      </c>
      <c r="M3673" t="s">
        <v>3307</v>
      </c>
      <c r="N3673" t="s">
        <v>3308</v>
      </c>
      <c r="O3673" t="s">
        <v>3635</v>
      </c>
      <c r="P3673" t="s">
        <v>4321</v>
      </c>
      <c r="Q3673" t="s">
        <v>4322</v>
      </c>
      <c r="R3673" t="s">
        <v>12059</v>
      </c>
    </row>
    <row r="3674" spans="1:18" x14ac:dyDescent="0.2">
      <c r="A3674">
        <v>1134687</v>
      </c>
      <c r="B3674" t="s">
        <v>12060</v>
      </c>
      <c r="C3674">
        <v>0</v>
      </c>
      <c r="D3674">
        <v>0</v>
      </c>
      <c r="E3674">
        <v>1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 t="s">
        <v>3284</v>
      </c>
      <c r="M3674" t="s">
        <v>3296</v>
      </c>
      <c r="N3674" t="s">
        <v>3297</v>
      </c>
      <c r="O3674" t="s">
        <v>3298</v>
      </c>
      <c r="P3674" t="s">
        <v>3826</v>
      </c>
      <c r="Q3674" t="s">
        <v>7086</v>
      </c>
      <c r="R3674" t="s">
        <v>12061</v>
      </c>
    </row>
    <row r="3675" spans="1:18" x14ac:dyDescent="0.2">
      <c r="A3675">
        <v>1134413</v>
      </c>
      <c r="B3675" t="s">
        <v>12062</v>
      </c>
      <c r="C3675">
        <v>0</v>
      </c>
      <c r="D3675">
        <v>1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 t="s">
        <v>3284</v>
      </c>
      <c r="M3675" t="s">
        <v>3327</v>
      </c>
      <c r="N3675" t="s">
        <v>3376</v>
      </c>
      <c r="O3675" t="s">
        <v>3377</v>
      </c>
      <c r="P3675" t="s">
        <v>3378</v>
      </c>
      <c r="Q3675" t="s">
        <v>12063</v>
      </c>
      <c r="R3675" t="s">
        <v>12064</v>
      </c>
    </row>
    <row r="3676" spans="1:18" x14ac:dyDescent="0.2">
      <c r="A3676">
        <v>1133106</v>
      </c>
      <c r="B3676" t="s">
        <v>12065</v>
      </c>
      <c r="C3676">
        <v>1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 t="s">
        <v>3284</v>
      </c>
      <c r="M3676" t="s">
        <v>3296</v>
      </c>
      <c r="N3676" t="s">
        <v>3297</v>
      </c>
      <c r="O3676" t="s">
        <v>3271</v>
      </c>
      <c r="P3676" t="s">
        <v>8658</v>
      </c>
      <c r="Q3676" t="s">
        <v>8659</v>
      </c>
      <c r="R3676" t="s">
        <v>12066</v>
      </c>
    </row>
    <row r="3677" spans="1:18" x14ac:dyDescent="0.2">
      <c r="A3677">
        <v>1132659</v>
      </c>
      <c r="B3677" t="s">
        <v>12067</v>
      </c>
      <c r="C3677">
        <v>4</v>
      </c>
      <c r="D3677">
        <v>4</v>
      </c>
      <c r="E3677">
        <v>0</v>
      </c>
      <c r="F3677">
        <v>1</v>
      </c>
      <c r="G3677">
        <v>0</v>
      </c>
      <c r="H3677">
        <v>0</v>
      </c>
      <c r="I3677">
        <v>1</v>
      </c>
      <c r="J3677">
        <v>1</v>
      </c>
      <c r="K3677">
        <v>0</v>
      </c>
      <c r="L3677" t="s">
        <v>3284</v>
      </c>
      <c r="M3677" t="s">
        <v>3296</v>
      </c>
      <c r="N3677" t="s">
        <v>3343</v>
      </c>
      <c r="O3677" t="s">
        <v>3344</v>
      </c>
      <c r="P3677" t="s">
        <v>3355</v>
      </c>
      <c r="Q3677" t="s">
        <v>3356</v>
      </c>
      <c r="R3677" t="s">
        <v>12068</v>
      </c>
    </row>
    <row r="3678" spans="1:18" x14ac:dyDescent="0.2">
      <c r="A3678">
        <v>1132441</v>
      </c>
      <c r="B3678" t="s">
        <v>12069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1</v>
      </c>
      <c r="J3678">
        <v>0</v>
      </c>
      <c r="K3678">
        <v>0</v>
      </c>
      <c r="L3678" t="s">
        <v>3284</v>
      </c>
      <c r="M3678" t="s">
        <v>3307</v>
      </c>
      <c r="N3678" t="s">
        <v>3308</v>
      </c>
      <c r="O3678" t="s">
        <v>3359</v>
      </c>
      <c r="P3678" t="s">
        <v>3407</v>
      </c>
      <c r="Q3678" t="s">
        <v>3408</v>
      </c>
      <c r="R3678" t="s">
        <v>12070</v>
      </c>
    </row>
    <row r="3679" spans="1:18" x14ac:dyDescent="0.2">
      <c r="A3679">
        <v>1131551</v>
      </c>
      <c r="B3679" t="s">
        <v>12071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1</v>
      </c>
      <c r="K3679">
        <v>0</v>
      </c>
      <c r="L3679" t="s">
        <v>3284</v>
      </c>
      <c r="M3679" t="s">
        <v>3296</v>
      </c>
      <c r="N3679" t="s">
        <v>3321</v>
      </c>
      <c r="O3679" t="s">
        <v>5469</v>
      </c>
      <c r="P3679" t="s">
        <v>6828</v>
      </c>
      <c r="Q3679" t="s">
        <v>11290</v>
      </c>
      <c r="R3679" t="s">
        <v>12072</v>
      </c>
    </row>
    <row r="3680" spans="1:18" x14ac:dyDescent="0.2">
      <c r="A3680">
        <v>1130726</v>
      </c>
      <c r="B3680" t="s">
        <v>12073</v>
      </c>
      <c r="C3680">
        <v>1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 t="s">
        <v>3284</v>
      </c>
      <c r="M3680" t="s">
        <v>3296</v>
      </c>
      <c r="N3680" t="s">
        <v>3343</v>
      </c>
      <c r="O3680" t="s">
        <v>3371</v>
      </c>
      <c r="P3680" t="s">
        <v>3688</v>
      </c>
      <c r="Q3680" t="s">
        <v>9866</v>
      </c>
      <c r="R3680" t="s">
        <v>12074</v>
      </c>
    </row>
    <row r="3681" spans="1:18" x14ac:dyDescent="0.2">
      <c r="A3681">
        <v>1129547</v>
      </c>
      <c r="B3681" t="s">
        <v>12075</v>
      </c>
      <c r="C3681">
        <v>0</v>
      </c>
      <c r="D3681">
        <v>0</v>
      </c>
      <c r="E3681">
        <v>0</v>
      </c>
      <c r="F3681">
        <v>1</v>
      </c>
      <c r="G3681">
        <v>2</v>
      </c>
      <c r="H3681">
        <v>0</v>
      </c>
      <c r="I3681">
        <v>0</v>
      </c>
      <c r="J3681">
        <v>0</v>
      </c>
      <c r="K3681">
        <v>0</v>
      </c>
      <c r="L3681" t="s">
        <v>3284</v>
      </c>
      <c r="M3681" t="s">
        <v>3296</v>
      </c>
      <c r="N3681" t="s">
        <v>3343</v>
      </c>
      <c r="O3681" t="s">
        <v>3349</v>
      </c>
      <c r="P3681" t="s">
        <v>3350</v>
      </c>
      <c r="Q3681" t="s">
        <v>4175</v>
      </c>
      <c r="R3681" t="s">
        <v>12076</v>
      </c>
    </row>
    <row r="3682" spans="1:18" x14ac:dyDescent="0.2">
      <c r="A3682">
        <v>1125979</v>
      </c>
      <c r="B3682" t="s">
        <v>12077</v>
      </c>
      <c r="C3682">
        <v>0</v>
      </c>
      <c r="D3682">
        <v>0</v>
      </c>
      <c r="E3682">
        <v>0</v>
      </c>
      <c r="F3682">
        <v>1</v>
      </c>
      <c r="G3682">
        <v>0</v>
      </c>
      <c r="H3682">
        <v>0</v>
      </c>
      <c r="I3682">
        <v>0</v>
      </c>
      <c r="J3682">
        <v>0</v>
      </c>
      <c r="K3682">
        <v>0</v>
      </c>
      <c r="L3682" t="s">
        <v>3284</v>
      </c>
      <c r="M3682" t="s">
        <v>3296</v>
      </c>
      <c r="N3682" t="s">
        <v>3343</v>
      </c>
      <c r="O3682" t="s">
        <v>3344</v>
      </c>
      <c r="P3682" t="s">
        <v>3355</v>
      </c>
      <c r="Q3682" t="s">
        <v>3356</v>
      </c>
      <c r="R3682" t="s">
        <v>12078</v>
      </c>
    </row>
    <row r="3683" spans="1:18" x14ac:dyDescent="0.2">
      <c r="A3683">
        <v>1125966</v>
      </c>
      <c r="B3683" t="s">
        <v>12079</v>
      </c>
      <c r="C3683">
        <v>0</v>
      </c>
      <c r="D3683">
        <v>1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 t="s">
        <v>3284</v>
      </c>
      <c r="M3683" t="s">
        <v>3327</v>
      </c>
      <c r="N3683" t="s">
        <v>3376</v>
      </c>
      <c r="O3683" t="s">
        <v>3377</v>
      </c>
      <c r="P3683" t="s">
        <v>11311</v>
      </c>
      <c r="Q3683" t="s">
        <v>12080</v>
      </c>
      <c r="R3683" t="s">
        <v>12081</v>
      </c>
    </row>
    <row r="3684" spans="1:18" x14ac:dyDescent="0.2">
      <c r="A3684">
        <v>1123067</v>
      </c>
      <c r="B3684" t="s">
        <v>12082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2</v>
      </c>
      <c r="J3684">
        <v>0</v>
      </c>
      <c r="K3684">
        <v>0</v>
      </c>
      <c r="L3684" t="s">
        <v>3284</v>
      </c>
      <c r="M3684" t="s">
        <v>3296</v>
      </c>
      <c r="N3684" t="s">
        <v>3343</v>
      </c>
      <c r="O3684" t="s">
        <v>3371</v>
      </c>
      <c r="P3684" t="s">
        <v>3372</v>
      </c>
      <c r="Q3684" t="s">
        <v>6520</v>
      </c>
      <c r="R3684" t="s">
        <v>12083</v>
      </c>
    </row>
    <row r="3685" spans="1:18" x14ac:dyDescent="0.2">
      <c r="A3685">
        <v>1122941</v>
      </c>
      <c r="B3685" t="s">
        <v>12084</v>
      </c>
      <c r="C3685">
        <v>1</v>
      </c>
      <c r="D3685">
        <v>0</v>
      </c>
      <c r="E3685">
        <v>0</v>
      </c>
      <c r="F3685">
        <v>1</v>
      </c>
      <c r="G3685">
        <v>0</v>
      </c>
      <c r="H3685">
        <v>0</v>
      </c>
      <c r="I3685">
        <v>0</v>
      </c>
      <c r="J3685">
        <v>0</v>
      </c>
      <c r="K3685">
        <v>0</v>
      </c>
      <c r="L3685" t="s">
        <v>3284</v>
      </c>
      <c r="M3685" t="s">
        <v>3391</v>
      </c>
      <c r="N3685" t="s">
        <v>3392</v>
      </c>
      <c r="O3685" t="s">
        <v>3393</v>
      </c>
      <c r="P3685" t="s">
        <v>3394</v>
      </c>
      <c r="Q3685" t="s">
        <v>3395</v>
      </c>
      <c r="R3685" t="s">
        <v>12085</v>
      </c>
    </row>
    <row r="3686" spans="1:18" x14ac:dyDescent="0.2">
      <c r="A3686">
        <v>1122261</v>
      </c>
      <c r="B3686" t="s">
        <v>12086</v>
      </c>
      <c r="C3686">
        <v>7</v>
      </c>
      <c r="D3686">
        <v>10</v>
      </c>
      <c r="E3686">
        <v>4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 t="s">
        <v>3284</v>
      </c>
      <c r="M3686" t="s">
        <v>3296</v>
      </c>
      <c r="N3686" t="s">
        <v>3343</v>
      </c>
      <c r="O3686" t="s">
        <v>3344</v>
      </c>
      <c r="P3686" t="s">
        <v>5136</v>
      </c>
      <c r="Q3686" t="s">
        <v>5137</v>
      </c>
      <c r="R3686" t="s">
        <v>12087</v>
      </c>
    </row>
    <row r="3687" spans="1:18" x14ac:dyDescent="0.2">
      <c r="A3687">
        <v>1121298</v>
      </c>
      <c r="B3687" t="s">
        <v>12088</v>
      </c>
      <c r="C3687">
        <v>16</v>
      </c>
      <c r="D3687">
        <v>17</v>
      </c>
      <c r="E3687">
        <v>11</v>
      </c>
      <c r="F3687">
        <v>1</v>
      </c>
      <c r="G3687">
        <v>0</v>
      </c>
      <c r="H3687">
        <v>0</v>
      </c>
      <c r="I3687">
        <v>1</v>
      </c>
      <c r="J3687">
        <v>1</v>
      </c>
      <c r="K3687">
        <v>0</v>
      </c>
      <c r="L3687" t="s">
        <v>3284</v>
      </c>
      <c r="M3687" t="s">
        <v>3327</v>
      </c>
      <c r="N3687" t="s">
        <v>3328</v>
      </c>
      <c r="O3687" t="s">
        <v>3329</v>
      </c>
      <c r="P3687" t="s">
        <v>3330</v>
      </c>
      <c r="Q3687" t="s">
        <v>3331</v>
      </c>
      <c r="R3687" t="s">
        <v>12089</v>
      </c>
    </row>
    <row r="3688" spans="1:18" x14ac:dyDescent="0.2">
      <c r="A3688">
        <v>1120792</v>
      </c>
      <c r="B3688" t="s">
        <v>12090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2</v>
      </c>
      <c r="J3688">
        <v>0</v>
      </c>
      <c r="K3688">
        <v>2</v>
      </c>
      <c r="L3688" t="s">
        <v>3284</v>
      </c>
      <c r="M3688" t="s">
        <v>3296</v>
      </c>
      <c r="N3688" t="s">
        <v>3343</v>
      </c>
      <c r="O3688" t="s">
        <v>3344</v>
      </c>
      <c r="P3688" t="s">
        <v>8284</v>
      </c>
      <c r="Q3688" t="s">
        <v>12091</v>
      </c>
      <c r="R3688" t="s">
        <v>12092</v>
      </c>
    </row>
    <row r="3689" spans="1:18" x14ac:dyDescent="0.2">
      <c r="A3689">
        <v>1120658</v>
      </c>
      <c r="B3689" t="s">
        <v>12093</v>
      </c>
      <c r="C3689">
        <v>0</v>
      </c>
      <c r="D3689">
        <v>0</v>
      </c>
      <c r="E3689">
        <v>0</v>
      </c>
      <c r="F3689">
        <v>1</v>
      </c>
      <c r="G3689">
        <v>0</v>
      </c>
      <c r="H3689">
        <v>0</v>
      </c>
      <c r="I3689">
        <v>0</v>
      </c>
      <c r="J3689">
        <v>0</v>
      </c>
      <c r="K3689">
        <v>0</v>
      </c>
      <c r="L3689" t="s">
        <v>3284</v>
      </c>
      <c r="M3689" t="s">
        <v>3296</v>
      </c>
      <c r="N3689" t="s">
        <v>3343</v>
      </c>
      <c r="O3689" t="s">
        <v>3344</v>
      </c>
      <c r="P3689" t="s">
        <v>3898</v>
      </c>
      <c r="Q3689" t="s">
        <v>10458</v>
      </c>
      <c r="R3689" t="s">
        <v>12094</v>
      </c>
    </row>
    <row r="3690" spans="1:18" x14ac:dyDescent="0.2">
      <c r="A3690">
        <v>1118279</v>
      </c>
      <c r="B3690" t="s">
        <v>12095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1</v>
      </c>
      <c r="K3690">
        <v>0</v>
      </c>
      <c r="L3690" t="s">
        <v>3284</v>
      </c>
      <c r="M3690" t="s">
        <v>4022</v>
      </c>
      <c r="N3690" t="s">
        <v>4023</v>
      </c>
      <c r="O3690" t="s">
        <v>6292</v>
      </c>
      <c r="P3690" t="s">
        <v>12096</v>
      </c>
      <c r="Q3690" t="s">
        <v>12097</v>
      </c>
      <c r="R3690" t="s">
        <v>12098</v>
      </c>
    </row>
    <row r="3691" spans="1:18" x14ac:dyDescent="0.2">
      <c r="A3691">
        <v>1114875</v>
      </c>
      <c r="B3691" t="s">
        <v>12099</v>
      </c>
      <c r="C3691">
        <v>0</v>
      </c>
      <c r="D3691">
        <v>0</v>
      </c>
      <c r="E3691">
        <v>0</v>
      </c>
      <c r="F3691">
        <v>1</v>
      </c>
      <c r="G3691">
        <v>2</v>
      </c>
      <c r="H3691">
        <v>0</v>
      </c>
      <c r="I3691">
        <v>0</v>
      </c>
      <c r="J3691">
        <v>0</v>
      </c>
      <c r="K3691">
        <v>0</v>
      </c>
      <c r="L3691" t="s">
        <v>3284</v>
      </c>
      <c r="M3691" t="s">
        <v>3391</v>
      </c>
      <c r="N3691" t="s">
        <v>3411</v>
      </c>
      <c r="O3691" t="s">
        <v>3412</v>
      </c>
      <c r="P3691" t="s">
        <v>3413</v>
      </c>
      <c r="Q3691" t="s">
        <v>3414</v>
      </c>
      <c r="R3691" t="s">
        <v>12100</v>
      </c>
    </row>
    <row r="3692" spans="1:18" x14ac:dyDescent="0.2">
      <c r="A3692">
        <v>1114874</v>
      </c>
      <c r="B3692" t="s">
        <v>12101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1</v>
      </c>
      <c r="J3692">
        <v>0</v>
      </c>
      <c r="K3692">
        <v>0</v>
      </c>
      <c r="L3692" t="s">
        <v>3284</v>
      </c>
      <c r="M3692" t="s">
        <v>3391</v>
      </c>
      <c r="N3692" t="s">
        <v>3411</v>
      </c>
      <c r="O3692" t="s">
        <v>3412</v>
      </c>
      <c r="P3692" t="s">
        <v>3413</v>
      </c>
      <c r="Q3692" t="s">
        <v>3414</v>
      </c>
      <c r="R3692" t="s">
        <v>12102</v>
      </c>
    </row>
    <row r="3693" spans="1:18" x14ac:dyDescent="0.2">
      <c r="A3693">
        <v>1114870</v>
      </c>
      <c r="B3693" t="s">
        <v>12103</v>
      </c>
      <c r="C3693">
        <v>1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 t="s">
        <v>3284</v>
      </c>
      <c r="M3693" t="s">
        <v>3391</v>
      </c>
      <c r="N3693" t="s">
        <v>3411</v>
      </c>
      <c r="O3693" t="s">
        <v>3412</v>
      </c>
      <c r="P3693" t="s">
        <v>3413</v>
      </c>
      <c r="Q3693" t="s">
        <v>3414</v>
      </c>
      <c r="R3693" t="s">
        <v>12104</v>
      </c>
    </row>
    <row r="3694" spans="1:18" x14ac:dyDescent="0.2">
      <c r="A3694">
        <v>1114861</v>
      </c>
      <c r="B3694" t="s">
        <v>12105</v>
      </c>
      <c r="C3694">
        <v>0</v>
      </c>
      <c r="D3694">
        <v>0</v>
      </c>
      <c r="E3694">
        <v>0</v>
      </c>
      <c r="F3694">
        <v>0</v>
      </c>
      <c r="G3694">
        <v>1</v>
      </c>
      <c r="H3694">
        <v>0</v>
      </c>
      <c r="I3694">
        <v>0</v>
      </c>
      <c r="J3694">
        <v>0</v>
      </c>
      <c r="K3694">
        <v>0</v>
      </c>
      <c r="L3694" t="s">
        <v>3284</v>
      </c>
      <c r="M3694" t="s">
        <v>3391</v>
      </c>
      <c r="N3694" t="s">
        <v>3411</v>
      </c>
      <c r="O3694" t="s">
        <v>3412</v>
      </c>
      <c r="P3694" t="s">
        <v>3413</v>
      </c>
      <c r="Q3694" t="s">
        <v>3414</v>
      </c>
      <c r="R3694" t="s">
        <v>12106</v>
      </c>
    </row>
    <row r="3695" spans="1:18" x14ac:dyDescent="0.2">
      <c r="A3695">
        <v>1113665</v>
      </c>
      <c r="B3695" t="s">
        <v>12107</v>
      </c>
      <c r="C3695">
        <v>0</v>
      </c>
      <c r="D3695">
        <v>0</v>
      </c>
      <c r="E3695">
        <v>0</v>
      </c>
      <c r="F3695">
        <v>2</v>
      </c>
      <c r="G3695">
        <v>0</v>
      </c>
      <c r="H3695">
        <v>0</v>
      </c>
      <c r="I3695">
        <v>0</v>
      </c>
      <c r="J3695">
        <v>0</v>
      </c>
      <c r="K3695">
        <v>0</v>
      </c>
      <c r="L3695" t="s">
        <v>3284</v>
      </c>
      <c r="M3695" t="s">
        <v>3296</v>
      </c>
      <c r="N3695" t="s">
        <v>3297</v>
      </c>
      <c r="O3695" t="s">
        <v>3434</v>
      </c>
      <c r="P3695" t="s">
        <v>3435</v>
      </c>
      <c r="Q3695" t="s">
        <v>3436</v>
      </c>
      <c r="R3695" t="s">
        <v>12108</v>
      </c>
    </row>
    <row r="3696" spans="1:18" x14ac:dyDescent="0.2">
      <c r="A3696">
        <v>1112274</v>
      </c>
      <c r="B3696" t="s">
        <v>12109</v>
      </c>
      <c r="C3696">
        <v>0</v>
      </c>
      <c r="D3696">
        <v>1</v>
      </c>
      <c r="E3696">
        <v>0</v>
      </c>
      <c r="F3696">
        <v>1</v>
      </c>
      <c r="G3696">
        <v>0</v>
      </c>
      <c r="H3696">
        <v>0</v>
      </c>
      <c r="I3696">
        <v>0</v>
      </c>
      <c r="J3696">
        <v>0</v>
      </c>
      <c r="K3696">
        <v>0</v>
      </c>
      <c r="L3696" t="s">
        <v>3284</v>
      </c>
      <c r="M3696" t="s">
        <v>3296</v>
      </c>
      <c r="N3696" t="s">
        <v>3321</v>
      </c>
      <c r="O3696" t="s">
        <v>5469</v>
      </c>
      <c r="P3696" t="s">
        <v>6828</v>
      </c>
      <c r="Q3696" t="s">
        <v>6829</v>
      </c>
      <c r="R3696" t="s">
        <v>12110</v>
      </c>
    </row>
    <row r="3697" spans="1:18" x14ac:dyDescent="0.2">
      <c r="A3697">
        <v>1111140</v>
      </c>
      <c r="B3697" t="s">
        <v>12111</v>
      </c>
      <c r="C3697">
        <v>1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 t="s">
        <v>3284</v>
      </c>
      <c r="M3697" t="s">
        <v>3296</v>
      </c>
      <c r="N3697" t="s">
        <v>3321</v>
      </c>
      <c r="O3697" t="s">
        <v>3322</v>
      </c>
      <c r="P3697" t="s">
        <v>3323</v>
      </c>
      <c r="Q3697" t="s">
        <v>8972</v>
      </c>
      <c r="R3697" t="s">
        <v>12112</v>
      </c>
    </row>
    <row r="3698" spans="1:18" x14ac:dyDescent="0.2">
      <c r="A3698">
        <v>1111106</v>
      </c>
      <c r="B3698" t="s">
        <v>12113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3</v>
      </c>
      <c r="J3698">
        <v>0</v>
      </c>
      <c r="K3698">
        <v>0</v>
      </c>
      <c r="L3698" t="s">
        <v>3284</v>
      </c>
      <c r="M3698" t="s">
        <v>3296</v>
      </c>
      <c r="N3698" t="s">
        <v>3343</v>
      </c>
      <c r="O3698" t="s">
        <v>3344</v>
      </c>
      <c r="P3698" t="s">
        <v>3661</v>
      </c>
      <c r="Q3698" t="s">
        <v>3662</v>
      </c>
      <c r="R3698" t="s">
        <v>12114</v>
      </c>
    </row>
    <row r="3699" spans="1:18" x14ac:dyDescent="0.2">
      <c r="A3699">
        <v>1110389</v>
      </c>
      <c r="B3699" t="s">
        <v>12115</v>
      </c>
      <c r="C3699">
        <v>1</v>
      </c>
      <c r="D3699">
        <v>0</v>
      </c>
      <c r="E3699">
        <v>0</v>
      </c>
      <c r="F3699">
        <v>0</v>
      </c>
      <c r="G3699">
        <v>1</v>
      </c>
      <c r="H3699">
        <v>0</v>
      </c>
      <c r="I3699">
        <v>0</v>
      </c>
      <c r="J3699">
        <v>0</v>
      </c>
      <c r="K3699">
        <v>0</v>
      </c>
      <c r="L3699" t="s">
        <v>3284</v>
      </c>
      <c r="M3699" t="s">
        <v>3296</v>
      </c>
      <c r="N3699" t="s">
        <v>3321</v>
      </c>
      <c r="O3699" t="s">
        <v>3322</v>
      </c>
      <c r="P3699" t="s">
        <v>3398</v>
      </c>
      <c r="Q3699" t="s">
        <v>12116</v>
      </c>
      <c r="R3699" t="s">
        <v>12117</v>
      </c>
    </row>
    <row r="3700" spans="1:18" x14ac:dyDescent="0.2">
      <c r="A3700">
        <v>1109740</v>
      </c>
      <c r="B3700" t="s">
        <v>12118</v>
      </c>
      <c r="C3700">
        <v>0</v>
      </c>
      <c r="D3700">
        <v>1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 t="s">
        <v>3284</v>
      </c>
      <c r="M3700" t="s">
        <v>3391</v>
      </c>
      <c r="N3700" t="s">
        <v>3411</v>
      </c>
      <c r="O3700" t="s">
        <v>3412</v>
      </c>
      <c r="P3700" t="s">
        <v>3413</v>
      </c>
      <c r="Q3700" t="s">
        <v>12119</v>
      </c>
      <c r="R3700" t="s">
        <v>12120</v>
      </c>
    </row>
    <row r="3701" spans="1:18" x14ac:dyDescent="0.2">
      <c r="A3701">
        <v>1109412</v>
      </c>
      <c r="B3701" t="s">
        <v>12121</v>
      </c>
      <c r="C3701">
        <v>0</v>
      </c>
      <c r="D3701">
        <v>1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 t="s">
        <v>3284</v>
      </c>
      <c r="M3701" t="s">
        <v>3296</v>
      </c>
      <c r="N3701" t="s">
        <v>3297</v>
      </c>
      <c r="O3701" t="s">
        <v>3298</v>
      </c>
      <c r="P3701" t="s">
        <v>6582</v>
      </c>
      <c r="Q3701" t="s">
        <v>11279</v>
      </c>
      <c r="R3701" t="s">
        <v>12122</v>
      </c>
    </row>
    <row r="3702" spans="1:18" x14ac:dyDescent="0.2">
      <c r="A3702">
        <v>1108595</v>
      </c>
      <c r="B3702" t="s">
        <v>12123</v>
      </c>
      <c r="C3702">
        <v>0</v>
      </c>
      <c r="D3702">
        <v>0</v>
      </c>
      <c r="E3702">
        <v>4</v>
      </c>
      <c r="F3702">
        <v>0</v>
      </c>
      <c r="G3702">
        <v>1</v>
      </c>
      <c r="H3702">
        <v>0</v>
      </c>
      <c r="I3702">
        <v>1</v>
      </c>
      <c r="J3702">
        <v>1</v>
      </c>
      <c r="K3702">
        <v>5</v>
      </c>
      <c r="L3702" t="s">
        <v>3284</v>
      </c>
      <c r="M3702" t="s">
        <v>3296</v>
      </c>
      <c r="N3702" t="s">
        <v>3321</v>
      </c>
      <c r="O3702" t="s">
        <v>5306</v>
      </c>
      <c r="P3702" t="s">
        <v>5307</v>
      </c>
      <c r="Q3702" t="s">
        <v>9185</v>
      </c>
      <c r="R3702" t="s">
        <v>12124</v>
      </c>
    </row>
    <row r="3703" spans="1:18" x14ac:dyDescent="0.2">
      <c r="A3703">
        <v>1105204</v>
      </c>
      <c r="B3703" t="s">
        <v>12125</v>
      </c>
      <c r="C3703">
        <v>0</v>
      </c>
      <c r="D3703">
        <v>0</v>
      </c>
      <c r="E3703">
        <v>0</v>
      </c>
      <c r="F3703">
        <v>1</v>
      </c>
      <c r="G3703">
        <v>2</v>
      </c>
      <c r="H3703">
        <v>0</v>
      </c>
      <c r="I3703">
        <v>0</v>
      </c>
      <c r="J3703">
        <v>0</v>
      </c>
      <c r="K3703">
        <v>0</v>
      </c>
      <c r="L3703" t="s">
        <v>3284</v>
      </c>
      <c r="M3703" t="s">
        <v>3296</v>
      </c>
      <c r="N3703" t="s">
        <v>3321</v>
      </c>
      <c r="O3703" t="s">
        <v>3322</v>
      </c>
      <c r="P3703" t="s">
        <v>3398</v>
      </c>
      <c r="Q3703" t="s">
        <v>3399</v>
      </c>
      <c r="R3703" t="s">
        <v>12126</v>
      </c>
    </row>
    <row r="3704" spans="1:18" x14ac:dyDescent="0.2">
      <c r="A3704">
        <v>1101404</v>
      </c>
      <c r="B3704" t="s">
        <v>12127</v>
      </c>
      <c r="C3704">
        <v>0</v>
      </c>
      <c r="D3704">
        <v>0</v>
      </c>
      <c r="E3704">
        <v>0</v>
      </c>
      <c r="F3704">
        <v>0</v>
      </c>
      <c r="G3704">
        <v>1</v>
      </c>
      <c r="H3704">
        <v>0</v>
      </c>
      <c r="I3704">
        <v>0</v>
      </c>
      <c r="J3704">
        <v>0</v>
      </c>
      <c r="K3704">
        <v>0</v>
      </c>
      <c r="L3704" t="s">
        <v>3284</v>
      </c>
      <c r="M3704" t="s">
        <v>3296</v>
      </c>
      <c r="N3704" t="s">
        <v>3321</v>
      </c>
      <c r="O3704" t="s">
        <v>4147</v>
      </c>
      <c r="P3704" t="s">
        <v>4164</v>
      </c>
      <c r="Q3704" t="s">
        <v>12128</v>
      </c>
      <c r="R3704" t="s">
        <v>12129</v>
      </c>
    </row>
    <row r="3705" spans="1:18" x14ac:dyDescent="0.2">
      <c r="A3705">
        <v>1101373</v>
      </c>
      <c r="B3705" t="s">
        <v>12130</v>
      </c>
      <c r="C3705">
        <v>1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 t="s">
        <v>3284</v>
      </c>
      <c r="M3705" t="s">
        <v>3296</v>
      </c>
      <c r="N3705" t="s">
        <v>3321</v>
      </c>
      <c r="O3705" t="s">
        <v>3322</v>
      </c>
      <c r="P3705" t="s">
        <v>3271</v>
      </c>
      <c r="Q3705" t="s">
        <v>8019</v>
      </c>
      <c r="R3705" t="s">
        <v>12131</v>
      </c>
    </row>
    <row r="3706" spans="1:18" x14ac:dyDescent="0.2">
      <c r="A3706">
        <v>1101189</v>
      </c>
      <c r="B3706" t="s">
        <v>12132</v>
      </c>
      <c r="C3706">
        <v>1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 t="s">
        <v>3284</v>
      </c>
      <c r="M3706" t="s">
        <v>3296</v>
      </c>
      <c r="N3706" t="s">
        <v>3343</v>
      </c>
      <c r="O3706" t="s">
        <v>3371</v>
      </c>
      <c r="P3706" t="s">
        <v>3688</v>
      </c>
      <c r="Q3706" t="s">
        <v>4406</v>
      </c>
      <c r="R3706" t="s">
        <v>12133</v>
      </c>
    </row>
    <row r="3707" spans="1:18" x14ac:dyDescent="0.2">
      <c r="A3707">
        <v>1100725</v>
      </c>
      <c r="B3707" t="s">
        <v>12134</v>
      </c>
      <c r="C3707">
        <v>1</v>
      </c>
      <c r="D3707">
        <v>1</v>
      </c>
      <c r="E3707">
        <v>1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 t="s">
        <v>3284</v>
      </c>
      <c r="M3707" t="s">
        <v>3296</v>
      </c>
      <c r="N3707" t="s">
        <v>3321</v>
      </c>
      <c r="O3707" t="s">
        <v>3322</v>
      </c>
      <c r="P3707" t="s">
        <v>3398</v>
      </c>
      <c r="Q3707" t="s">
        <v>4796</v>
      </c>
      <c r="R3707" t="s">
        <v>12135</v>
      </c>
    </row>
    <row r="3708" spans="1:18" x14ac:dyDescent="0.2">
      <c r="A3708">
        <v>1100724</v>
      </c>
      <c r="B3708" t="s">
        <v>12136</v>
      </c>
      <c r="C3708">
        <v>1</v>
      </c>
      <c r="D3708">
        <v>4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 t="s">
        <v>3284</v>
      </c>
      <c r="M3708" t="s">
        <v>3296</v>
      </c>
      <c r="N3708" t="s">
        <v>3321</v>
      </c>
      <c r="O3708" t="s">
        <v>3322</v>
      </c>
      <c r="P3708" t="s">
        <v>3398</v>
      </c>
      <c r="Q3708" t="s">
        <v>4796</v>
      </c>
      <c r="R3708" t="s">
        <v>12137</v>
      </c>
    </row>
    <row r="3709" spans="1:18" x14ac:dyDescent="0.2">
      <c r="A3709">
        <v>1100721</v>
      </c>
      <c r="B3709" t="s">
        <v>12138</v>
      </c>
      <c r="C3709">
        <v>2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 t="s">
        <v>3284</v>
      </c>
      <c r="M3709" t="s">
        <v>3296</v>
      </c>
      <c r="N3709" t="s">
        <v>3321</v>
      </c>
      <c r="O3709" t="s">
        <v>3322</v>
      </c>
      <c r="P3709" t="s">
        <v>3398</v>
      </c>
      <c r="Q3709" t="s">
        <v>4796</v>
      </c>
      <c r="R3709" t="s">
        <v>12139</v>
      </c>
    </row>
    <row r="3710" spans="1:18" x14ac:dyDescent="0.2">
      <c r="A3710">
        <v>1100720</v>
      </c>
      <c r="B3710" t="s">
        <v>12140</v>
      </c>
      <c r="C3710">
        <v>1</v>
      </c>
      <c r="D3710">
        <v>1</v>
      </c>
      <c r="E3710">
        <v>1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 t="s">
        <v>3284</v>
      </c>
      <c r="M3710" t="s">
        <v>3296</v>
      </c>
      <c r="N3710" t="s">
        <v>3321</v>
      </c>
      <c r="O3710" t="s">
        <v>3322</v>
      </c>
      <c r="P3710" t="s">
        <v>3398</v>
      </c>
      <c r="Q3710" t="s">
        <v>4796</v>
      </c>
      <c r="R3710" t="s">
        <v>12141</v>
      </c>
    </row>
    <row r="3711" spans="1:18" x14ac:dyDescent="0.2">
      <c r="A3711">
        <v>1100719</v>
      </c>
      <c r="B3711" t="s">
        <v>12142</v>
      </c>
      <c r="C3711">
        <v>1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 t="s">
        <v>3284</v>
      </c>
      <c r="M3711" t="s">
        <v>3296</v>
      </c>
      <c r="N3711" t="s">
        <v>3321</v>
      </c>
      <c r="O3711" t="s">
        <v>3322</v>
      </c>
      <c r="P3711" t="s">
        <v>3398</v>
      </c>
      <c r="Q3711" t="s">
        <v>4796</v>
      </c>
      <c r="R3711" t="s">
        <v>12143</v>
      </c>
    </row>
    <row r="3712" spans="1:18" x14ac:dyDescent="0.2">
      <c r="A3712">
        <v>1100718</v>
      </c>
      <c r="B3712" t="s">
        <v>12144</v>
      </c>
      <c r="C3712">
        <v>7</v>
      </c>
      <c r="D3712">
        <v>7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 t="s">
        <v>3284</v>
      </c>
      <c r="M3712" t="s">
        <v>3296</v>
      </c>
      <c r="N3712" t="s">
        <v>3321</v>
      </c>
      <c r="O3712" t="s">
        <v>3322</v>
      </c>
      <c r="P3712" t="s">
        <v>3398</v>
      </c>
      <c r="Q3712" t="s">
        <v>4796</v>
      </c>
      <c r="R3712" t="s">
        <v>12145</v>
      </c>
    </row>
    <row r="3713" spans="1:18" x14ac:dyDescent="0.2">
      <c r="A3713">
        <v>1100711</v>
      </c>
      <c r="B3713" t="s">
        <v>12146</v>
      </c>
      <c r="C3713">
        <v>3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 t="s">
        <v>3284</v>
      </c>
      <c r="M3713" t="s">
        <v>3296</v>
      </c>
      <c r="N3713" t="s">
        <v>3321</v>
      </c>
      <c r="O3713" t="s">
        <v>3322</v>
      </c>
      <c r="P3713" t="s">
        <v>3398</v>
      </c>
      <c r="Q3713" t="s">
        <v>4796</v>
      </c>
      <c r="R3713" t="s">
        <v>12147</v>
      </c>
    </row>
    <row r="3714" spans="1:18" x14ac:dyDescent="0.2">
      <c r="A3714">
        <v>1100707</v>
      </c>
      <c r="B3714" t="s">
        <v>12148</v>
      </c>
      <c r="C3714">
        <v>1</v>
      </c>
      <c r="D3714">
        <v>2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 t="s">
        <v>3284</v>
      </c>
      <c r="M3714" t="s">
        <v>3296</v>
      </c>
      <c r="N3714" t="s">
        <v>3321</v>
      </c>
      <c r="O3714" t="s">
        <v>3322</v>
      </c>
      <c r="P3714" t="s">
        <v>3398</v>
      </c>
      <c r="Q3714" t="s">
        <v>4796</v>
      </c>
      <c r="R3714" t="s">
        <v>12149</v>
      </c>
    </row>
    <row r="3715" spans="1:18" x14ac:dyDescent="0.2">
      <c r="A3715">
        <v>1100706</v>
      </c>
      <c r="B3715" t="s">
        <v>12150</v>
      </c>
      <c r="C3715">
        <v>0</v>
      </c>
      <c r="D3715">
        <v>0</v>
      </c>
      <c r="E3715">
        <v>0</v>
      </c>
      <c r="F3715">
        <v>1</v>
      </c>
      <c r="G3715">
        <v>0</v>
      </c>
      <c r="H3715">
        <v>0</v>
      </c>
      <c r="I3715">
        <v>0</v>
      </c>
      <c r="J3715">
        <v>0</v>
      </c>
      <c r="K3715">
        <v>0</v>
      </c>
      <c r="L3715" t="s">
        <v>3284</v>
      </c>
      <c r="M3715" t="s">
        <v>3296</v>
      </c>
      <c r="N3715" t="s">
        <v>3321</v>
      </c>
      <c r="O3715" t="s">
        <v>3322</v>
      </c>
      <c r="P3715" t="s">
        <v>3398</v>
      </c>
      <c r="Q3715" t="s">
        <v>4796</v>
      </c>
      <c r="R3715" t="s">
        <v>12151</v>
      </c>
    </row>
    <row r="3716" spans="1:18" x14ac:dyDescent="0.2">
      <c r="A3716">
        <v>1100705</v>
      </c>
      <c r="B3716" t="s">
        <v>12152</v>
      </c>
      <c r="C3716">
        <v>1</v>
      </c>
      <c r="D3716">
        <v>0</v>
      </c>
      <c r="E3716">
        <v>0</v>
      </c>
      <c r="F3716">
        <v>0</v>
      </c>
      <c r="G3716">
        <v>1</v>
      </c>
      <c r="H3716">
        <v>0</v>
      </c>
      <c r="I3716">
        <v>0</v>
      </c>
      <c r="J3716">
        <v>0</v>
      </c>
      <c r="K3716">
        <v>0</v>
      </c>
      <c r="L3716" t="s">
        <v>3284</v>
      </c>
      <c r="M3716" t="s">
        <v>3296</v>
      </c>
      <c r="N3716" t="s">
        <v>3321</v>
      </c>
      <c r="O3716" t="s">
        <v>3322</v>
      </c>
      <c r="P3716" t="s">
        <v>3398</v>
      </c>
      <c r="Q3716" t="s">
        <v>4796</v>
      </c>
      <c r="R3716" t="s">
        <v>12153</v>
      </c>
    </row>
    <row r="3717" spans="1:18" x14ac:dyDescent="0.2">
      <c r="A3717">
        <v>1100704</v>
      </c>
      <c r="B3717" t="s">
        <v>12154</v>
      </c>
      <c r="C3717">
        <v>0</v>
      </c>
      <c r="D3717">
        <v>1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 t="s">
        <v>3284</v>
      </c>
      <c r="M3717" t="s">
        <v>3296</v>
      </c>
      <c r="N3717" t="s">
        <v>3321</v>
      </c>
      <c r="O3717" t="s">
        <v>3322</v>
      </c>
      <c r="P3717" t="s">
        <v>3398</v>
      </c>
      <c r="Q3717" t="s">
        <v>4796</v>
      </c>
      <c r="R3717" t="s">
        <v>12155</v>
      </c>
    </row>
    <row r="3718" spans="1:18" x14ac:dyDescent="0.2">
      <c r="A3718">
        <v>1100699</v>
      </c>
      <c r="B3718" t="s">
        <v>12156</v>
      </c>
      <c r="C3718">
        <v>1</v>
      </c>
      <c r="D3718">
        <v>2</v>
      </c>
      <c r="E3718">
        <v>1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 t="s">
        <v>3284</v>
      </c>
      <c r="M3718" t="s">
        <v>3296</v>
      </c>
      <c r="N3718" t="s">
        <v>3321</v>
      </c>
      <c r="O3718" t="s">
        <v>3322</v>
      </c>
      <c r="P3718" t="s">
        <v>3398</v>
      </c>
      <c r="Q3718" t="s">
        <v>4796</v>
      </c>
      <c r="R3718" t="s">
        <v>12157</v>
      </c>
    </row>
    <row r="3719" spans="1:18" x14ac:dyDescent="0.2">
      <c r="A3719">
        <v>1099853</v>
      </c>
      <c r="B3719" t="s">
        <v>12158</v>
      </c>
      <c r="C3719">
        <v>0</v>
      </c>
      <c r="D3719">
        <v>0</v>
      </c>
      <c r="E3719">
        <v>0</v>
      </c>
      <c r="F3719">
        <v>0</v>
      </c>
      <c r="G3719">
        <v>1</v>
      </c>
      <c r="H3719">
        <v>0</v>
      </c>
      <c r="I3719">
        <v>0</v>
      </c>
      <c r="J3719">
        <v>0</v>
      </c>
      <c r="K3719">
        <v>0</v>
      </c>
      <c r="L3719" t="s">
        <v>3284</v>
      </c>
      <c r="M3719" t="s">
        <v>3391</v>
      </c>
      <c r="N3719" t="s">
        <v>3765</v>
      </c>
      <c r="O3719" t="s">
        <v>3766</v>
      </c>
      <c r="P3719" t="s">
        <v>12159</v>
      </c>
      <c r="Q3719" t="s">
        <v>12160</v>
      </c>
      <c r="R3719" t="s">
        <v>12161</v>
      </c>
    </row>
    <row r="3720" spans="1:18" x14ac:dyDescent="0.2">
      <c r="A3720">
        <v>1099794</v>
      </c>
      <c r="B3720" t="s">
        <v>12162</v>
      </c>
      <c r="C3720">
        <v>0</v>
      </c>
      <c r="D3720">
        <v>0</v>
      </c>
      <c r="E3720">
        <v>0</v>
      </c>
      <c r="F3720">
        <v>1</v>
      </c>
      <c r="G3720">
        <v>0</v>
      </c>
      <c r="H3720">
        <v>0</v>
      </c>
      <c r="I3720">
        <v>0</v>
      </c>
      <c r="J3720">
        <v>0</v>
      </c>
      <c r="K3720">
        <v>0</v>
      </c>
      <c r="L3720" t="s">
        <v>3284</v>
      </c>
      <c r="M3720" t="s">
        <v>3391</v>
      </c>
      <c r="N3720" t="s">
        <v>5344</v>
      </c>
      <c r="O3720" t="s">
        <v>5345</v>
      </c>
      <c r="P3720" t="s">
        <v>12163</v>
      </c>
      <c r="Q3720" t="s">
        <v>12164</v>
      </c>
      <c r="R3720" t="s">
        <v>12165</v>
      </c>
    </row>
    <row r="3721" spans="1:18" x14ac:dyDescent="0.2">
      <c r="A3721">
        <v>1096341</v>
      </c>
      <c r="B3721" t="s">
        <v>12166</v>
      </c>
      <c r="C3721">
        <v>7</v>
      </c>
      <c r="D3721">
        <v>11</v>
      </c>
      <c r="E3721">
        <v>4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 t="s">
        <v>3284</v>
      </c>
      <c r="M3721" t="s">
        <v>3327</v>
      </c>
      <c r="N3721" t="s">
        <v>3328</v>
      </c>
      <c r="O3721" t="s">
        <v>3329</v>
      </c>
      <c r="P3721" t="s">
        <v>3330</v>
      </c>
      <c r="Q3721" t="s">
        <v>12167</v>
      </c>
      <c r="R3721" t="s">
        <v>12168</v>
      </c>
    </row>
    <row r="3722" spans="1:18" x14ac:dyDescent="0.2">
      <c r="A3722">
        <v>1086393</v>
      </c>
      <c r="B3722" t="s">
        <v>12169</v>
      </c>
      <c r="C3722">
        <v>1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1</v>
      </c>
      <c r="K3722">
        <v>0</v>
      </c>
      <c r="L3722" t="s">
        <v>3284</v>
      </c>
      <c r="M3722" t="s">
        <v>3391</v>
      </c>
      <c r="N3722" t="s">
        <v>4129</v>
      </c>
      <c r="O3722" t="s">
        <v>4130</v>
      </c>
      <c r="P3722" t="s">
        <v>4131</v>
      </c>
      <c r="Q3722" t="s">
        <v>9543</v>
      </c>
      <c r="R3722" t="s">
        <v>12170</v>
      </c>
    </row>
    <row r="3723" spans="1:18" x14ac:dyDescent="0.2">
      <c r="A3723">
        <v>1084520</v>
      </c>
      <c r="B3723" t="s">
        <v>12171</v>
      </c>
      <c r="C3723">
        <v>0</v>
      </c>
      <c r="D3723">
        <v>0</v>
      </c>
      <c r="E3723">
        <v>0</v>
      </c>
      <c r="F3723">
        <v>1</v>
      </c>
      <c r="G3723">
        <v>0</v>
      </c>
      <c r="H3723">
        <v>0</v>
      </c>
      <c r="I3723">
        <v>0</v>
      </c>
      <c r="J3723">
        <v>0</v>
      </c>
      <c r="K3723">
        <v>0</v>
      </c>
      <c r="L3723" t="s">
        <v>3284</v>
      </c>
      <c r="M3723" t="s">
        <v>3391</v>
      </c>
      <c r="N3723" t="s">
        <v>4129</v>
      </c>
      <c r="O3723" t="s">
        <v>4130</v>
      </c>
      <c r="P3723" t="s">
        <v>4131</v>
      </c>
      <c r="Q3723" t="s">
        <v>8377</v>
      </c>
      <c r="R3723" t="s">
        <v>12172</v>
      </c>
    </row>
    <row r="3724" spans="1:18" x14ac:dyDescent="0.2">
      <c r="A3724">
        <v>1082851</v>
      </c>
      <c r="B3724" t="s">
        <v>12173</v>
      </c>
      <c r="C3724">
        <v>1</v>
      </c>
      <c r="D3724">
        <v>1</v>
      </c>
      <c r="E3724">
        <v>0</v>
      </c>
      <c r="F3724">
        <v>1</v>
      </c>
      <c r="G3724">
        <v>0</v>
      </c>
      <c r="H3724">
        <v>0</v>
      </c>
      <c r="I3724">
        <v>0</v>
      </c>
      <c r="J3724">
        <v>0</v>
      </c>
      <c r="K3724">
        <v>0</v>
      </c>
      <c r="L3724" t="s">
        <v>3284</v>
      </c>
      <c r="M3724" t="s">
        <v>3296</v>
      </c>
      <c r="N3724" t="s">
        <v>3321</v>
      </c>
      <c r="O3724" t="s">
        <v>3322</v>
      </c>
      <c r="P3724" t="s">
        <v>3398</v>
      </c>
      <c r="Q3724" t="s">
        <v>3806</v>
      </c>
      <c r="R3724" t="s">
        <v>12174</v>
      </c>
    </row>
    <row r="3725" spans="1:18" x14ac:dyDescent="0.2">
      <c r="A3725">
        <v>1082345</v>
      </c>
      <c r="B3725" t="s">
        <v>12175</v>
      </c>
      <c r="C3725">
        <v>0</v>
      </c>
      <c r="D3725">
        <v>0</v>
      </c>
      <c r="E3725">
        <v>0</v>
      </c>
      <c r="F3725">
        <v>1</v>
      </c>
      <c r="G3725">
        <v>0</v>
      </c>
      <c r="H3725">
        <v>0</v>
      </c>
      <c r="I3725">
        <v>0</v>
      </c>
      <c r="J3725">
        <v>0</v>
      </c>
      <c r="K3725">
        <v>0</v>
      </c>
      <c r="L3725" t="s">
        <v>3284</v>
      </c>
      <c r="M3725" t="s">
        <v>3296</v>
      </c>
      <c r="N3725" t="s">
        <v>3343</v>
      </c>
      <c r="O3725" t="s">
        <v>3349</v>
      </c>
      <c r="P3725" t="s">
        <v>3350</v>
      </c>
      <c r="Q3725" t="s">
        <v>4175</v>
      </c>
      <c r="R3725" t="s">
        <v>12176</v>
      </c>
    </row>
    <row r="3726" spans="1:18" x14ac:dyDescent="0.2">
      <c r="A3726">
        <v>1081644</v>
      </c>
      <c r="B3726" t="s">
        <v>12177</v>
      </c>
      <c r="C3726">
        <v>1</v>
      </c>
      <c r="D3726">
        <v>0</v>
      </c>
      <c r="E3726">
        <v>1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 t="s">
        <v>3284</v>
      </c>
      <c r="M3726" t="s">
        <v>3307</v>
      </c>
      <c r="N3726" t="s">
        <v>3308</v>
      </c>
      <c r="O3726" t="s">
        <v>3359</v>
      </c>
      <c r="P3726" t="s">
        <v>3360</v>
      </c>
      <c r="Q3726" t="s">
        <v>5441</v>
      </c>
      <c r="R3726" t="s">
        <v>12178</v>
      </c>
    </row>
    <row r="3727" spans="1:18" x14ac:dyDescent="0.2">
      <c r="A3727">
        <v>1081040</v>
      </c>
      <c r="B3727" t="s">
        <v>12179</v>
      </c>
      <c r="C3727">
        <v>0</v>
      </c>
      <c r="D3727">
        <v>1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 t="s">
        <v>3284</v>
      </c>
      <c r="M3727" t="s">
        <v>3307</v>
      </c>
      <c r="N3727" t="s">
        <v>3308</v>
      </c>
      <c r="O3727" t="s">
        <v>3359</v>
      </c>
      <c r="P3727" t="s">
        <v>3360</v>
      </c>
      <c r="Q3727" t="s">
        <v>3361</v>
      </c>
      <c r="R3727" t="s">
        <v>12180</v>
      </c>
    </row>
    <row r="3728" spans="1:18" x14ac:dyDescent="0.2">
      <c r="A3728">
        <v>1081025</v>
      </c>
      <c r="B3728" t="s">
        <v>12181</v>
      </c>
      <c r="C3728">
        <v>0</v>
      </c>
      <c r="D3728">
        <v>1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 t="s">
        <v>3284</v>
      </c>
      <c r="M3728" t="s">
        <v>3296</v>
      </c>
      <c r="N3728" t="s">
        <v>3343</v>
      </c>
      <c r="O3728" t="s">
        <v>3429</v>
      </c>
      <c r="P3728" t="s">
        <v>4336</v>
      </c>
      <c r="Q3728" t="s">
        <v>6265</v>
      </c>
      <c r="R3728" t="s">
        <v>12182</v>
      </c>
    </row>
    <row r="3729" spans="1:18" x14ac:dyDescent="0.2">
      <c r="A3729">
        <v>1077255</v>
      </c>
      <c r="B3729" t="s">
        <v>12183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1</v>
      </c>
      <c r="J3729">
        <v>0</v>
      </c>
      <c r="K3729">
        <v>0</v>
      </c>
      <c r="L3729" t="s">
        <v>3284</v>
      </c>
      <c r="M3729" t="s">
        <v>3296</v>
      </c>
      <c r="N3729" t="s">
        <v>3297</v>
      </c>
      <c r="O3729" t="s">
        <v>4037</v>
      </c>
      <c r="P3729" t="s">
        <v>4038</v>
      </c>
      <c r="Q3729" t="s">
        <v>12184</v>
      </c>
      <c r="R3729" t="s">
        <v>12185</v>
      </c>
    </row>
    <row r="3730" spans="1:18" x14ac:dyDescent="0.2">
      <c r="A3730">
        <v>1076594</v>
      </c>
      <c r="B3730" t="s">
        <v>12186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1</v>
      </c>
      <c r="J3730">
        <v>0</v>
      </c>
      <c r="K3730">
        <v>0</v>
      </c>
      <c r="L3730" t="s">
        <v>3284</v>
      </c>
      <c r="M3730" t="s">
        <v>3296</v>
      </c>
      <c r="N3730" t="s">
        <v>3343</v>
      </c>
      <c r="O3730" t="s">
        <v>3429</v>
      </c>
      <c r="P3730" t="s">
        <v>4336</v>
      </c>
      <c r="Q3730" t="s">
        <v>11639</v>
      </c>
      <c r="R3730" t="s">
        <v>12187</v>
      </c>
    </row>
    <row r="3731" spans="1:18" x14ac:dyDescent="0.2">
      <c r="A3731">
        <v>1074233</v>
      </c>
      <c r="B3731" t="s">
        <v>12188</v>
      </c>
      <c r="C3731">
        <v>0</v>
      </c>
      <c r="D3731">
        <v>1</v>
      </c>
      <c r="E3731">
        <v>0</v>
      </c>
      <c r="F3731">
        <v>0</v>
      </c>
      <c r="G3731">
        <v>0</v>
      </c>
      <c r="H3731">
        <v>0</v>
      </c>
      <c r="I3731">
        <v>2</v>
      </c>
      <c r="J3731">
        <v>0</v>
      </c>
      <c r="K3731">
        <v>0</v>
      </c>
      <c r="L3731" t="s">
        <v>3284</v>
      </c>
      <c r="M3731" t="s">
        <v>3307</v>
      </c>
      <c r="N3731" t="s">
        <v>3308</v>
      </c>
      <c r="O3731" t="s">
        <v>3359</v>
      </c>
      <c r="P3731" t="s">
        <v>3360</v>
      </c>
      <c r="Q3731" t="s">
        <v>12189</v>
      </c>
      <c r="R3731" t="s">
        <v>12190</v>
      </c>
    </row>
    <row r="3732" spans="1:18" x14ac:dyDescent="0.2">
      <c r="A3732">
        <v>1072463</v>
      </c>
      <c r="B3732" t="s">
        <v>12191</v>
      </c>
      <c r="C3732">
        <v>0</v>
      </c>
      <c r="D3732">
        <v>0</v>
      </c>
      <c r="E3732">
        <v>0</v>
      </c>
      <c r="F3732">
        <v>0</v>
      </c>
      <c r="G3732">
        <v>1</v>
      </c>
      <c r="H3732">
        <v>0</v>
      </c>
      <c r="I3732">
        <v>0</v>
      </c>
      <c r="J3732">
        <v>0</v>
      </c>
      <c r="K3732">
        <v>0</v>
      </c>
      <c r="L3732" t="s">
        <v>3284</v>
      </c>
      <c r="M3732" t="s">
        <v>3307</v>
      </c>
      <c r="N3732" t="s">
        <v>3308</v>
      </c>
      <c r="O3732" t="s">
        <v>3359</v>
      </c>
      <c r="P3732" t="s">
        <v>3360</v>
      </c>
      <c r="Q3732" t="s">
        <v>3361</v>
      </c>
      <c r="R3732" t="s">
        <v>12192</v>
      </c>
    </row>
    <row r="3733" spans="1:18" x14ac:dyDescent="0.2">
      <c r="A3733">
        <v>1069987</v>
      </c>
      <c r="B3733" t="s">
        <v>12193</v>
      </c>
      <c r="C3733">
        <v>0</v>
      </c>
      <c r="D3733">
        <v>0</v>
      </c>
      <c r="E3733">
        <v>0</v>
      </c>
      <c r="F3733">
        <v>1</v>
      </c>
      <c r="G3733">
        <v>0</v>
      </c>
      <c r="H3733">
        <v>0</v>
      </c>
      <c r="I3733">
        <v>0</v>
      </c>
      <c r="J3733">
        <v>0</v>
      </c>
      <c r="K3733">
        <v>0</v>
      </c>
      <c r="L3733" t="s">
        <v>3284</v>
      </c>
      <c r="M3733" t="s">
        <v>3296</v>
      </c>
      <c r="N3733" t="s">
        <v>3343</v>
      </c>
      <c r="O3733" t="s">
        <v>3349</v>
      </c>
      <c r="P3733" t="s">
        <v>3350</v>
      </c>
      <c r="Q3733" t="s">
        <v>3580</v>
      </c>
      <c r="R3733" t="s">
        <v>12194</v>
      </c>
    </row>
    <row r="3734" spans="1:18" x14ac:dyDescent="0.2">
      <c r="A3734">
        <v>1069985</v>
      </c>
      <c r="B3734" t="s">
        <v>12195</v>
      </c>
      <c r="C3734">
        <v>0</v>
      </c>
      <c r="D3734">
        <v>0</v>
      </c>
      <c r="E3734">
        <v>0</v>
      </c>
      <c r="F3734">
        <v>5</v>
      </c>
      <c r="G3734">
        <v>3</v>
      </c>
      <c r="H3734">
        <v>0</v>
      </c>
      <c r="I3734">
        <v>0</v>
      </c>
      <c r="J3734">
        <v>0</v>
      </c>
      <c r="K3734">
        <v>0</v>
      </c>
      <c r="L3734" t="s">
        <v>3284</v>
      </c>
      <c r="M3734" t="s">
        <v>3391</v>
      </c>
      <c r="N3734" t="s">
        <v>3392</v>
      </c>
      <c r="O3734" t="s">
        <v>3393</v>
      </c>
      <c r="P3734" t="s">
        <v>3394</v>
      </c>
      <c r="Q3734" t="s">
        <v>3395</v>
      </c>
      <c r="R3734" t="s">
        <v>12196</v>
      </c>
    </row>
    <row r="3735" spans="1:18" x14ac:dyDescent="0.2">
      <c r="A3735">
        <v>1069813</v>
      </c>
      <c r="B3735" t="s">
        <v>12197</v>
      </c>
      <c r="C3735">
        <v>1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 t="s">
        <v>3284</v>
      </c>
      <c r="M3735" t="s">
        <v>3327</v>
      </c>
      <c r="N3735" t="s">
        <v>3376</v>
      </c>
      <c r="O3735" t="s">
        <v>3377</v>
      </c>
      <c r="P3735" t="s">
        <v>3378</v>
      </c>
      <c r="Q3735" t="s">
        <v>8118</v>
      </c>
      <c r="R3735" t="s">
        <v>12198</v>
      </c>
    </row>
    <row r="3736" spans="1:18" x14ac:dyDescent="0.2">
      <c r="A3736">
        <v>1055468</v>
      </c>
      <c r="B3736" t="s">
        <v>12199</v>
      </c>
      <c r="C3736">
        <v>0</v>
      </c>
      <c r="D3736">
        <v>0</v>
      </c>
      <c r="E3736">
        <v>0</v>
      </c>
      <c r="F3736">
        <v>2</v>
      </c>
      <c r="G3736">
        <v>0</v>
      </c>
      <c r="H3736">
        <v>0</v>
      </c>
      <c r="I3736">
        <v>0</v>
      </c>
      <c r="J3736">
        <v>0</v>
      </c>
      <c r="K3736">
        <v>0</v>
      </c>
      <c r="L3736" t="s">
        <v>3284</v>
      </c>
      <c r="M3736" t="s">
        <v>3296</v>
      </c>
      <c r="N3736" t="s">
        <v>3297</v>
      </c>
      <c r="O3736" t="s">
        <v>3434</v>
      </c>
      <c r="P3736" t="s">
        <v>3435</v>
      </c>
      <c r="Q3736" t="s">
        <v>3436</v>
      </c>
      <c r="R3736" t="s">
        <v>12200</v>
      </c>
    </row>
    <row r="3737" spans="1:18" x14ac:dyDescent="0.2">
      <c r="A3737">
        <v>1054972</v>
      </c>
      <c r="B3737" t="s">
        <v>12201</v>
      </c>
      <c r="C3737">
        <v>0</v>
      </c>
      <c r="D3737">
        <v>0</v>
      </c>
      <c r="E3737">
        <v>0</v>
      </c>
      <c r="F3737">
        <v>0</v>
      </c>
      <c r="G3737">
        <v>1</v>
      </c>
      <c r="H3737">
        <v>0</v>
      </c>
      <c r="I3737">
        <v>0</v>
      </c>
      <c r="J3737">
        <v>0</v>
      </c>
      <c r="K3737">
        <v>0</v>
      </c>
      <c r="L3737" t="s">
        <v>3284</v>
      </c>
      <c r="M3737" t="s">
        <v>3296</v>
      </c>
      <c r="N3737" t="s">
        <v>3297</v>
      </c>
      <c r="O3737" t="s">
        <v>4500</v>
      </c>
      <c r="P3737" t="s">
        <v>12202</v>
      </c>
      <c r="Q3737" t="s">
        <v>12203</v>
      </c>
      <c r="R3737" t="s">
        <v>12204</v>
      </c>
    </row>
    <row r="3738" spans="1:18" x14ac:dyDescent="0.2">
      <c r="A3738">
        <v>1054550</v>
      </c>
      <c r="B3738" t="s">
        <v>12205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1</v>
      </c>
      <c r="J3738">
        <v>0</v>
      </c>
      <c r="K3738">
        <v>0</v>
      </c>
      <c r="L3738" t="s">
        <v>3284</v>
      </c>
      <c r="M3738" t="s">
        <v>3307</v>
      </c>
      <c r="N3738" t="s">
        <v>3308</v>
      </c>
      <c r="O3738" t="s">
        <v>3359</v>
      </c>
      <c r="P3738" t="s">
        <v>3271</v>
      </c>
      <c r="Q3738" t="s">
        <v>12206</v>
      </c>
      <c r="R3738" t="s">
        <v>12207</v>
      </c>
    </row>
    <row r="3739" spans="1:18" x14ac:dyDescent="0.2">
      <c r="A3739">
        <v>1054497</v>
      </c>
      <c r="B3739" t="s">
        <v>12208</v>
      </c>
      <c r="C3739">
        <v>3</v>
      </c>
      <c r="D3739">
        <v>3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 t="s">
        <v>3284</v>
      </c>
      <c r="M3739" t="s">
        <v>3296</v>
      </c>
      <c r="N3739" t="s">
        <v>3343</v>
      </c>
      <c r="O3739" t="s">
        <v>3371</v>
      </c>
      <c r="P3739" t="s">
        <v>3688</v>
      </c>
      <c r="Q3739" t="s">
        <v>4278</v>
      </c>
      <c r="R3739" t="s">
        <v>12209</v>
      </c>
    </row>
    <row r="3740" spans="1:18" x14ac:dyDescent="0.2">
      <c r="A3740">
        <v>1054297</v>
      </c>
      <c r="B3740" t="s">
        <v>12210</v>
      </c>
      <c r="C3740">
        <v>11</v>
      </c>
      <c r="D3740">
        <v>10</v>
      </c>
      <c r="E3740">
        <v>7</v>
      </c>
      <c r="F3740">
        <v>0</v>
      </c>
      <c r="G3740">
        <v>0</v>
      </c>
      <c r="H3740">
        <v>0</v>
      </c>
      <c r="I3740">
        <v>0</v>
      </c>
      <c r="J3740">
        <v>1</v>
      </c>
      <c r="K3740">
        <v>0</v>
      </c>
      <c r="L3740" t="s">
        <v>3284</v>
      </c>
      <c r="M3740" t="s">
        <v>3327</v>
      </c>
      <c r="N3740" t="s">
        <v>3328</v>
      </c>
      <c r="O3740" t="s">
        <v>3329</v>
      </c>
      <c r="P3740" t="s">
        <v>3330</v>
      </c>
      <c r="Q3740" t="s">
        <v>3331</v>
      </c>
      <c r="R3740" t="s">
        <v>12211</v>
      </c>
    </row>
    <row r="3741" spans="1:18" x14ac:dyDescent="0.2">
      <c r="A3741">
        <v>1051899</v>
      </c>
      <c r="B3741" t="s">
        <v>12212</v>
      </c>
      <c r="C3741">
        <v>0</v>
      </c>
      <c r="D3741">
        <v>0</v>
      </c>
      <c r="E3741">
        <v>0</v>
      </c>
      <c r="F3741">
        <v>1</v>
      </c>
      <c r="G3741">
        <v>0</v>
      </c>
      <c r="H3741">
        <v>0</v>
      </c>
      <c r="I3741">
        <v>0</v>
      </c>
      <c r="J3741">
        <v>0</v>
      </c>
      <c r="K3741">
        <v>0</v>
      </c>
      <c r="L3741" t="s">
        <v>3284</v>
      </c>
      <c r="M3741" t="s">
        <v>3296</v>
      </c>
      <c r="N3741" t="s">
        <v>3321</v>
      </c>
      <c r="O3741" t="s">
        <v>3322</v>
      </c>
      <c r="P3741" t="s">
        <v>3323</v>
      </c>
      <c r="Q3741" t="s">
        <v>4770</v>
      </c>
      <c r="R3741" t="s">
        <v>12213</v>
      </c>
    </row>
    <row r="3742" spans="1:18" x14ac:dyDescent="0.2">
      <c r="A3742">
        <v>1048394</v>
      </c>
      <c r="B3742" t="s">
        <v>12214</v>
      </c>
      <c r="C3742">
        <v>0</v>
      </c>
      <c r="D3742">
        <v>0</v>
      </c>
      <c r="E3742">
        <v>0</v>
      </c>
      <c r="F3742">
        <v>1</v>
      </c>
      <c r="G3742">
        <v>1</v>
      </c>
      <c r="H3742">
        <v>0</v>
      </c>
      <c r="I3742">
        <v>0</v>
      </c>
      <c r="J3742">
        <v>1</v>
      </c>
      <c r="K3742">
        <v>1</v>
      </c>
      <c r="L3742" t="s">
        <v>3284</v>
      </c>
      <c r="M3742" t="s">
        <v>3307</v>
      </c>
      <c r="N3742" t="s">
        <v>3308</v>
      </c>
      <c r="O3742" t="s">
        <v>3359</v>
      </c>
      <c r="P3742" t="s">
        <v>3360</v>
      </c>
      <c r="Q3742" t="s">
        <v>12215</v>
      </c>
      <c r="R3742" t="s">
        <v>12216</v>
      </c>
    </row>
    <row r="3743" spans="1:18" x14ac:dyDescent="0.2">
      <c r="A3743">
        <v>1048221</v>
      </c>
      <c r="B3743" t="s">
        <v>12217</v>
      </c>
      <c r="C3743">
        <v>0</v>
      </c>
      <c r="D3743">
        <v>0</v>
      </c>
      <c r="E3743">
        <v>0</v>
      </c>
      <c r="F3743">
        <v>3</v>
      </c>
      <c r="G3743">
        <v>1</v>
      </c>
      <c r="H3743">
        <v>0</v>
      </c>
      <c r="I3743">
        <v>0</v>
      </c>
      <c r="J3743">
        <v>0</v>
      </c>
      <c r="K3743">
        <v>0</v>
      </c>
      <c r="L3743" t="s">
        <v>3284</v>
      </c>
      <c r="M3743" t="s">
        <v>3391</v>
      </c>
      <c r="N3743" t="s">
        <v>3392</v>
      </c>
      <c r="O3743" t="s">
        <v>3393</v>
      </c>
      <c r="P3743" t="s">
        <v>3394</v>
      </c>
      <c r="Q3743" t="s">
        <v>4082</v>
      </c>
      <c r="R3743" t="s">
        <v>12218</v>
      </c>
    </row>
    <row r="3744" spans="1:18" x14ac:dyDescent="0.2">
      <c r="A3744">
        <v>1048205</v>
      </c>
      <c r="B3744" t="s">
        <v>12219</v>
      </c>
      <c r="C3744">
        <v>1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 t="s">
        <v>3284</v>
      </c>
      <c r="M3744" t="s">
        <v>3307</v>
      </c>
      <c r="N3744" t="s">
        <v>3308</v>
      </c>
      <c r="O3744" t="s">
        <v>3446</v>
      </c>
      <c r="P3744" t="s">
        <v>3447</v>
      </c>
      <c r="Q3744" t="s">
        <v>3448</v>
      </c>
      <c r="R3744" t="s">
        <v>12220</v>
      </c>
    </row>
    <row r="3745" spans="1:18" x14ac:dyDescent="0.2">
      <c r="A3745">
        <v>1037380</v>
      </c>
      <c r="B3745" t="s">
        <v>12221</v>
      </c>
      <c r="C3745">
        <v>0</v>
      </c>
      <c r="D3745">
        <v>2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 t="s">
        <v>3284</v>
      </c>
      <c r="M3745" t="s">
        <v>3391</v>
      </c>
      <c r="N3745" t="s">
        <v>3411</v>
      </c>
      <c r="O3745" t="s">
        <v>3412</v>
      </c>
      <c r="P3745" t="s">
        <v>3564</v>
      </c>
      <c r="Q3745" t="s">
        <v>3803</v>
      </c>
      <c r="R3745" t="s">
        <v>12222</v>
      </c>
    </row>
    <row r="3746" spans="1:18" x14ac:dyDescent="0.2">
      <c r="A3746">
        <v>1036780</v>
      </c>
      <c r="B3746" t="s">
        <v>12223</v>
      </c>
      <c r="C3746">
        <v>0</v>
      </c>
      <c r="D3746">
        <v>0</v>
      </c>
      <c r="E3746">
        <v>0</v>
      </c>
      <c r="F3746">
        <v>0</v>
      </c>
      <c r="G3746">
        <v>1</v>
      </c>
      <c r="H3746">
        <v>0</v>
      </c>
      <c r="I3746">
        <v>0</v>
      </c>
      <c r="J3746">
        <v>0</v>
      </c>
      <c r="K3746">
        <v>0</v>
      </c>
      <c r="L3746" t="s">
        <v>3284</v>
      </c>
      <c r="M3746" t="s">
        <v>3296</v>
      </c>
      <c r="N3746" t="s">
        <v>3343</v>
      </c>
      <c r="O3746" t="s">
        <v>3344</v>
      </c>
      <c r="P3746" t="s">
        <v>3367</v>
      </c>
      <c r="Q3746" t="s">
        <v>3368</v>
      </c>
      <c r="R3746" t="s">
        <v>12224</v>
      </c>
    </row>
    <row r="3747" spans="1:18" x14ac:dyDescent="0.2">
      <c r="A3747">
        <v>1036779</v>
      </c>
      <c r="B3747" t="s">
        <v>12225</v>
      </c>
      <c r="C3747">
        <v>0</v>
      </c>
      <c r="D3747">
        <v>1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 t="s">
        <v>3284</v>
      </c>
      <c r="M3747" t="s">
        <v>3296</v>
      </c>
      <c r="N3747" t="s">
        <v>3343</v>
      </c>
      <c r="O3747" t="s">
        <v>3344</v>
      </c>
      <c r="P3747" t="s">
        <v>3367</v>
      </c>
      <c r="Q3747" t="s">
        <v>3368</v>
      </c>
      <c r="R3747" t="s">
        <v>12226</v>
      </c>
    </row>
    <row r="3748" spans="1:18" x14ac:dyDescent="0.2">
      <c r="A3748">
        <v>1036778</v>
      </c>
      <c r="B3748" t="s">
        <v>12227</v>
      </c>
      <c r="C3748">
        <v>0</v>
      </c>
      <c r="D3748">
        <v>0</v>
      </c>
      <c r="E3748">
        <v>0</v>
      </c>
      <c r="F3748">
        <v>1</v>
      </c>
      <c r="G3748">
        <v>0</v>
      </c>
      <c r="H3748">
        <v>0</v>
      </c>
      <c r="I3748">
        <v>0</v>
      </c>
      <c r="J3748">
        <v>0</v>
      </c>
      <c r="K3748">
        <v>0</v>
      </c>
      <c r="L3748" t="s">
        <v>3284</v>
      </c>
      <c r="M3748" t="s">
        <v>3296</v>
      </c>
      <c r="N3748" t="s">
        <v>3343</v>
      </c>
      <c r="O3748" t="s">
        <v>3344</v>
      </c>
      <c r="P3748" t="s">
        <v>3367</v>
      </c>
      <c r="Q3748" t="s">
        <v>3368</v>
      </c>
      <c r="R3748" t="s">
        <v>12228</v>
      </c>
    </row>
    <row r="3749" spans="1:18" x14ac:dyDescent="0.2">
      <c r="A3749">
        <v>1035707</v>
      </c>
      <c r="B3749" t="s">
        <v>12229</v>
      </c>
      <c r="C3749">
        <v>0</v>
      </c>
      <c r="D3749">
        <v>0</v>
      </c>
      <c r="E3749">
        <v>0</v>
      </c>
      <c r="F3749">
        <v>0</v>
      </c>
      <c r="G3749">
        <v>1</v>
      </c>
      <c r="H3749">
        <v>0</v>
      </c>
      <c r="I3749">
        <v>0</v>
      </c>
      <c r="J3749">
        <v>0</v>
      </c>
      <c r="K3749">
        <v>0</v>
      </c>
      <c r="L3749" t="s">
        <v>3284</v>
      </c>
      <c r="M3749" t="s">
        <v>3296</v>
      </c>
      <c r="N3749" t="s">
        <v>3321</v>
      </c>
      <c r="O3749" t="s">
        <v>3322</v>
      </c>
      <c r="P3749" t="s">
        <v>3323</v>
      </c>
      <c r="Q3749" t="s">
        <v>3665</v>
      </c>
      <c r="R3749" t="s">
        <v>12230</v>
      </c>
    </row>
    <row r="3750" spans="1:18" x14ac:dyDescent="0.2">
      <c r="A3750">
        <v>1034889</v>
      </c>
      <c r="B3750" t="s">
        <v>12231</v>
      </c>
      <c r="C3750">
        <v>0</v>
      </c>
      <c r="D3750">
        <v>0</v>
      </c>
      <c r="E3750">
        <v>0</v>
      </c>
      <c r="F3750">
        <v>1</v>
      </c>
      <c r="G3750">
        <v>0</v>
      </c>
      <c r="H3750">
        <v>1</v>
      </c>
      <c r="I3750">
        <v>0</v>
      </c>
      <c r="J3750">
        <v>0</v>
      </c>
      <c r="K3750">
        <v>0</v>
      </c>
      <c r="L3750" t="s">
        <v>3284</v>
      </c>
      <c r="M3750" t="s">
        <v>3296</v>
      </c>
      <c r="N3750" t="s">
        <v>3321</v>
      </c>
      <c r="O3750" t="s">
        <v>3322</v>
      </c>
      <c r="P3750" t="s">
        <v>3398</v>
      </c>
      <c r="Q3750" t="s">
        <v>3399</v>
      </c>
      <c r="R3750" t="s">
        <v>12232</v>
      </c>
    </row>
    <row r="3751" spans="1:18" x14ac:dyDescent="0.2">
      <c r="A3751">
        <v>1033740</v>
      </c>
      <c r="B3751" t="s">
        <v>12233</v>
      </c>
      <c r="C3751">
        <v>1</v>
      </c>
      <c r="D3751">
        <v>0</v>
      </c>
      <c r="E3751">
        <v>1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 t="s">
        <v>3284</v>
      </c>
      <c r="M3751" t="s">
        <v>3327</v>
      </c>
      <c r="N3751" t="s">
        <v>3376</v>
      </c>
      <c r="O3751" t="s">
        <v>3377</v>
      </c>
      <c r="P3751" t="s">
        <v>5514</v>
      </c>
      <c r="Q3751" t="s">
        <v>11466</v>
      </c>
      <c r="R3751" t="s">
        <v>12234</v>
      </c>
    </row>
    <row r="3752" spans="1:18" x14ac:dyDescent="0.2">
      <c r="A3752">
        <v>1031594</v>
      </c>
      <c r="B3752" t="s">
        <v>12235</v>
      </c>
      <c r="C3752">
        <v>1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 t="s">
        <v>3284</v>
      </c>
      <c r="M3752" t="s">
        <v>3296</v>
      </c>
      <c r="N3752" t="s">
        <v>3321</v>
      </c>
      <c r="O3752" t="s">
        <v>3322</v>
      </c>
      <c r="P3752" t="s">
        <v>3398</v>
      </c>
      <c r="Q3752" t="s">
        <v>5013</v>
      </c>
      <c r="R3752" t="s">
        <v>12236</v>
      </c>
    </row>
    <row r="3753" spans="1:18" x14ac:dyDescent="0.2">
      <c r="A3753">
        <v>1027966</v>
      </c>
      <c r="B3753" t="s">
        <v>12237</v>
      </c>
      <c r="C3753">
        <v>0</v>
      </c>
      <c r="D3753">
        <v>0</v>
      </c>
      <c r="E3753">
        <v>0</v>
      </c>
      <c r="F3753">
        <v>1</v>
      </c>
      <c r="G3753">
        <v>0</v>
      </c>
      <c r="H3753">
        <v>0</v>
      </c>
      <c r="I3753">
        <v>0</v>
      </c>
      <c r="J3753">
        <v>0</v>
      </c>
      <c r="K3753">
        <v>0</v>
      </c>
      <c r="L3753" t="s">
        <v>3284</v>
      </c>
      <c r="M3753" t="s">
        <v>3296</v>
      </c>
      <c r="N3753" t="s">
        <v>3297</v>
      </c>
      <c r="O3753" t="s">
        <v>3434</v>
      </c>
      <c r="P3753" t="s">
        <v>3435</v>
      </c>
      <c r="Q3753" t="s">
        <v>3436</v>
      </c>
      <c r="R3753" t="s">
        <v>12238</v>
      </c>
    </row>
    <row r="3754" spans="1:18" x14ac:dyDescent="0.2">
      <c r="A3754">
        <v>1008308</v>
      </c>
      <c r="B3754" t="s">
        <v>12239</v>
      </c>
      <c r="C3754">
        <v>0</v>
      </c>
      <c r="D3754">
        <v>1</v>
      </c>
      <c r="E3754">
        <v>1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 t="s">
        <v>3284</v>
      </c>
      <c r="M3754" t="s">
        <v>3327</v>
      </c>
      <c r="N3754" t="s">
        <v>3328</v>
      </c>
      <c r="O3754" t="s">
        <v>3329</v>
      </c>
      <c r="P3754" t="s">
        <v>11317</v>
      </c>
      <c r="Q3754" t="s">
        <v>11318</v>
      </c>
      <c r="R3754" t="s">
        <v>12240</v>
      </c>
    </row>
    <row r="3755" spans="1:18" x14ac:dyDescent="0.2">
      <c r="A3755">
        <v>1007511</v>
      </c>
      <c r="B3755" t="s">
        <v>12241</v>
      </c>
      <c r="C3755">
        <v>0</v>
      </c>
      <c r="D3755">
        <v>0</v>
      </c>
      <c r="E3755">
        <v>0</v>
      </c>
      <c r="F3755">
        <v>1</v>
      </c>
      <c r="G3755">
        <v>0</v>
      </c>
      <c r="H3755">
        <v>0</v>
      </c>
      <c r="I3755">
        <v>1</v>
      </c>
      <c r="J3755">
        <v>0</v>
      </c>
      <c r="K3755">
        <v>0</v>
      </c>
      <c r="L3755" t="s">
        <v>3284</v>
      </c>
      <c r="M3755" t="s">
        <v>3296</v>
      </c>
      <c r="N3755" t="s">
        <v>3343</v>
      </c>
      <c r="O3755" t="s">
        <v>3349</v>
      </c>
      <c r="P3755" t="s">
        <v>3350</v>
      </c>
      <c r="Q3755" t="s">
        <v>4175</v>
      </c>
      <c r="R3755" t="s">
        <v>12242</v>
      </c>
    </row>
    <row r="3756" spans="1:18" x14ac:dyDescent="0.2">
      <c r="A3756">
        <v>1007095</v>
      </c>
      <c r="B3756" t="s">
        <v>12243</v>
      </c>
      <c r="C3756">
        <v>0</v>
      </c>
      <c r="D3756">
        <v>0</v>
      </c>
      <c r="E3756">
        <v>0</v>
      </c>
      <c r="F3756">
        <v>5</v>
      </c>
      <c r="G3756">
        <v>9</v>
      </c>
      <c r="H3756">
        <v>0</v>
      </c>
      <c r="I3756">
        <v>0</v>
      </c>
      <c r="J3756">
        <v>0</v>
      </c>
      <c r="K3756">
        <v>0</v>
      </c>
      <c r="L3756" t="s">
        <v>3284</v>
      </c>
      <c r="M3756" t="s">
        <v>3296</v>
      </c>
      <c r="N3756" t="s">
        <v>3321</v>
      </c>
      <c r="O3756" t="s">
        <v>3322</v>
      </c>
      <c r="P3756" t="s">
        <v>4143</v>
      </c>
      <c r="Q3756" t="s">
        <v>8587</v>
      </c>
      <c r="R3756" t="s">
        <v>12244</v>
      </c>
    </row>
    <row r="3757" spans="1:18" x14ac:dyDescent="0.2">
      <c r="A3757">
        <v>1006623</v>
      </c>
      <c r="B3757" t="s">
        <v>12245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1</v>
      </c>
      <c r="L3757" t="s">
        <v>3284</v>
      </c>
      <c r="M3757" t="s">
        <v>3296</v>
      </c>
      <c r="N3757" t="s">
        <v>3297</v>
      </c>
      <c r="O3757" t="s">
        <v>4112</v>
      </c>
      <c r="P3757" t="s">
        <v>4113</v>
      </c>
      <c r="Q3757" t="s">
        <v>4114</v>
      </c>
      <c r="R3757" t="s">
        <v>12246</v>
      </c>
    </row>
    <row r="3758" spans="1:18" x14ac:dyDescent="0.2">
      <c r="A3758">
        <v>1005667</v>
      </c>
      <c r="B3758" t="s">
        <v>12247</v>
      </c>
      <c r="C3758">
        <v>0</v>
      </c>
      <c r="D3758">
        <v>1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 t="s">
        <v>3284</v>
      </c>
      <c r="M3758" t="s">
        <v>3296</v>
      </c>
      <c r="N3758" t="s">
        <v>3297</v>
      </c>
      <c r="O3758" t="s">
        <v>3298</v>
      </c>
      <c r="P3758" t="s">
        <v>3826</v>
      </c>
      <c r="Q3758" t="s">
        <v>4099</v>
      </c>
      <c r="R3758" t="s">
        <v>12248</v>
      </c>
    </row>
    <row r="3759" spans="1:18" x14ac:dyDescent="0.2">
      <c r="A3759">
        <v>1004150</v>
      </c>
      <c r="B3759" t="s">
        <v>12249</v>
      </c>
      <c r="C3759">
        <v>1</v>
      </c>
      <c r="D3759">
        <v>1</v>
      </c>
      <c r="E3759">
        <v>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 t="s">
        <v>3284</v>
      </c>
      <c r="M3759" t="s">
        <v>3296</v>
      </c>
      <c r="N3759" t="s">
        <v>3297</v>
      </c>
      <c r="O3759" t="s">
        <v>3298</v>
      </c>
      <c r="P3759" t="s">
        <v>4399</v>
      </c>
      <c r="Q3759" t="s">
        <v>11911</v>
      </c>
      <c r="R3759" t="s">
        <v>12250</v>
      </c>
    </row>
    <row r="3760" spans="1:18" x14ac:dyDescent="0.2">
      <c r="A3760">
        <v>1002689</v>
      </c>
      <c r="B3760" t="s">
        <v>12251</v>
      </c>
      <c r="C3760">
        <v>0</v>
      </c>
      <c r="D3760">
        <v>1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 t="s">
        <v>3284</v>
      </c>
      <c r="M3760" t="s">
        <v>4628</v>
      </c>
      <c r="N3760" t="s">
        <v>4964</v>
      </c>
      <c r="O3760" t="s">
        <v>4965</v>
      </c>
      <c r="P3760" t="s">
        <v>4966</v>
      </c>
      <c r="Q3760" t="s">
        <v>12252</v>
      </c>
      <c r="R3760" t="s">
        <v>12253</v>
      </c>
    </row>
    <row r="3761" spans="1:18" x14ac:dyDescent="0.2">
      <c r="A3761">
        <v>1001822</v>
      </c>
      <c r="B3761" t="s">
        <v>12254</v>
      </c>
      <c r="C3761">
        <v>0</v>
      </c>
      <c r="D3761">
        <v>0</v>
      </c>
      <c r="E3761">
        <v>0</v>
      </c>
      <c r="F3761">
        <v>0</v>
      </c>
      <c r="G3761">
        <v>1</v>
      </c>
      <c r="H3761">
        <v>0</v>
      </c>
      <c r="I3761">
        <v>0</v>
      </c>
      <c r="J3761">
        <v>0</v>
      </c>
      <c r="K3761">
        <v>0</v>
      </c>
      <c r="L3761" t="s">
        <v>3284</v>
      </c>
      <c r="M3761" t="s">
        <v>3296</v>
      </c>
      <c r="N3761" t="s">
        <v>3321</v>
      </c>
      <c r="O3761" t="s">
        <v>3322</v>
      </c>
      <c r="P3761" t="s">
        <v>3423</v>
      </c>
      <c r="Q3761" t="s">
        <v>3424</v>
      </c>
      <c r="R3761" t="s">
        <v>12255</v>
      </c>
    </row>
    <row r="3762" spans="1:18" x14ac:dyDescent="0.2">
      <c r="A3762">
        <v>996925</v>
      </c>
      <c r="B3762" t="s">
        <v>12256</v>
      </c>
      <c r="C3762">
        <v>1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 t="s">
        <v>3284</v>
      </c>
      <c r="M3762" t="s">
        <v>4022</v>
      </c>
      <c r="N3762" t="s">
        <v>4023</v>
      </c>
      <c r="O3762" t="s">
        <v>4289</v>
      </c>
      <c r="P3762" t="s">
        <v>12257</v>
      </c>
      <c r="Q3762" t="s">
        <v>12258</v>
      </c>
      <c r="R3762" t="s">
        <v>12259</v>
      </c>
    </row>
    <row r="3763" spans="1:18" x14ac:dyDescent="0.2">
      <c r="A3763">
        <v>993689</v>
      </c>
      <c r="B3763" t="s">
        <v>12260</v>
      </c>
      <c r="C3763">
        <v>1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2</v>
      </c>
      <c r="J3763">
        <v>0</v>
      </c>
      <c r="K3763">
        <v>0</v>
      </c>
      <c r="L3763" t="s">
        <v>3284</v>
      </c>
      <c r="M3763" t="s">
        <v>3296</v>
      </c>
      <c r="N3763" t="s">
        <v>3297</v>
      </c>
      <c r="O3763" t="s">
        <v>3469</v>
      </c>
      <c r="P3763" t="s">
        <v>5200</v>
      </c>
      <c r="Q3763" t="s">
        <v>12261</v>
      </c>
      <c r="R3763" t="s">
        <v>12262</v>
      </c>
    </row>
    <row r="3764" spans="1:18" x14ac:dyDescent="0.2">
      <c r="A3764">
        <v>993502</v>
      </c>
      <c r="B3764" t="s">
        <v>12263</v>
      </c>
      <c r="C3764">
        <v>1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 t="s">
        <v>3284</v>
      </c>
      <c r="M3764" t="s">
        <v>3296</v>
      </c>
      <c r="N3764" t="s">
        <v>3343</v>
      </c>
      <c r="O3764" t="s">
        <v>3344</v>
      </c>
      <c r="P3764" t="s">
        <v>3937</v>
      </c>
      <c r="Q3764" t="s">
        <v>3938</v>
      </c>
      <c r="R3764" t="s">
        <v>12264</v>
      </c>
    </row>
    <row r="3765" spans="1:18" x14ac:dyDescent="0.2">
      <c r="A3765">
        <v>993414</v>
      </c>
      <c r="B3765" t="s">
        <v>12265</v>
      </c>
      <c r="C3765">
        <v>1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 t="s">
        <v>3284</v>
      </c>
      <c r="M3765" t="s">
        <v>3307</v>
      </c>
      <c r="N3765" t="s">
        <v>3308</v>
      </c>
      <c r="O3765" t="s">
        <v>3309</v>
      </c>
      <c r="P3765" t="s">
        <v>6036</v>
      </c>
      <c r="Q3765" t="s">
        <v>11609</v>
      </c>
      <c r="R3765" t="s">
        <v>12266</v>
      </c>
    </row>
    <row r="3766" spans="1:18" x14ac:dyDescent="0.2">
      <c r="A3766">
        <v>991866</v>
      </c>
      <c r="B3766" t="s">
        <v>12267</v>
      </c>
      <c r="C3766">
        <v>0</v>
      </c>
      <c r="D3766">
        <v>0</v>
      </c>
      <c r="E3766">
        <v>0</v>
      </c>
      <c r="F3766">
        <v>0</v>
      </c>
      <c r="G3766">
        <v>1</v>
      </c>
      <c r="H3766">
        <v>0</v>
      </c>
      <c r="I3766">
        <v>0</v>
      </c>
      <c r="J3766">
        <v>0</v>
      </c>
      <c r="K3766">
        <v>0</v>
      </c>
      <c r="L3766" t="s">
        <v>3284</v>
      </c>
      <c r="M3766" t="s">
        <v>3296</v>
      </c>
      <c r="N3766" t="s">
        <v>3343</v>
      </c>
      <c r="O3766" t="s">
        <v>3371</v>
      </c>
      <c r="P3766" t="s">
        <v>3372</v>
      </c>
      <c r="Q3766" t="s">
        <v>6340</v>
      </c>
      <c r="R3766" t="s">
        <v>12268</v>
      </c>
    </row>
    <row r="3767" spans="1:18" x14ac:dyDescent="0.2">
      <c r="A3767">
        <v>990373</v>
      </c>
      <c r="B3767" t="s">
        <v>12269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3</v>
      </c>
      <c r="J3767">
        <v>3</v>
      </c>
      <c r="K3767">
        <v>6</v>
      </c>
      <c r="L3767" t="s">
        <v>3284</v>
      </c>
      <c r="M3767" t="s">
        <v>3296</v>
      </c>
      <c r="N3767" t="s">
        <v>3343</v>
      </c>
      <c r="O3767" t="s">
        <v>3429</v>
      </c>
      <c r="P3767" t="s">
        <v>3430</v>
      </c>
      <c r="Q3767" t="s">
        <v>12270</v>
      </c>
      <c r="R3767" t="s">
        <v>12271</v>
      </c>
    </row>
    <row r="3768" spans="1:18" x14ac:dyDescent="0.2">
      <c r="A3768">
        <v>990370</v>
      </c>
      <c r="B3768" t="s">
        <v>12272</v>
      </c>
      <c r="C3768">
        <v>1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 t="s">
        <v>3284</v>
      </c>
      <c r="M3768" t="s">
        <v>3296</v>
      </c>
      <c r="N3768" t="s">
        <v>3321</v>
      </c>
      <c r="O3768" t="s">
        <v>5306</v>
      </c>
      <c r="P3768" t="s">
        <v>5307</v>
      </c>
      <c r="Q3768" t="s">
        <v>12273</v>
      </c>
      <c r="R3768" t="s">
        <v>12274</v>
      </c>
    </row>
    <row r="3769" spans="1:18" x14ac:dyDescent="0.2">
      <c r="A3769">
        <v>988821</v>
      </c>
      <c r="B3769" t="s">
        <v>12275</v>
      </c>
      <c r="C3769">
        <v>1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 t="s">
        <v>3284</v>
      </c>
      <c r="M3769" t="s">
        <v>3307</v>
      </c>
      <c r="N3769" t="s">
        <v>3308</v>
      </c>
      <c r="O3769" t="s">
        <v>3359</v>
      </c>
      <c r="P3769" t="s">
        <v>3588</v>
      </c>
      <c r="Q3769" t="s">
        <v>4970</v>
      </c>
      <c r="R3769" t="s">
        <v>12276</v>
      </c>
    </row>
    <row r="3770" spans="1:18" x14ac:dyDescent="0.2">
      <c r="A3770">
        <v>986746</v>
      </c>
      <c r="B3770" t="s">
        <v>12277</v>
      </c>
      <c r="C3770">
        <v>0</v>
      </c>
      <c r="D3770">
        <v>1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 t="s">
        <v>3284</v>
      </c>
      <c r="M3770" t="s">
        <v>3296</v>
      </c>
      <c r="N3770" t="s">
        <v>3297</v>
      </c>
      <c r="O3770" t="s">
        <v>7551</v>
      </c>
      <c r="P3770" t="s">
        <v>12278</v>
      </c>
      <c r="Q3770" t="s">
        <v>12279</v>
      </c>
      <c r="R3770" t="s">
        <v>12280</v>
      </c>
    </row>
    <row r="3771" spans="1:18" x14ac:dyDescent="0.2">
      <c r="A3771">
        <v>984307</v>
      </c>
      <c r="B3771" t="s">
        <v>12281</v>
      </c>
      <c r="C3771">
        <v>0</v>
      </c>
      <c r="D3771">
        <v>0</v>
      </c>
      <c r="E3771">
        <v>0</v>
      </c>
      <c r="F3771">
        <v>1</v>
      </c>
      <c r="G3771">
        <v>0</v>
      </c>
      <c r="H3771">
        <v>0</v>
      </c>
      <c r="I3771">
        <v>1</v>
      </c>
      <c r="J3771">
        <v>0</v>
      </c>
      <c r="K3771">
        <v>0</v>
      </c>
      <c r="L3771" t="s">
        <v>3284</v>
      </c>
      <c r="M3771" t="s">
        <v>3296</v>
      </c>
      <c r="N3771" t="s">
        <v>3321</v>
      </c>
      <c r="O3771" t="s">
        <v>3322</v>
      </c>
      <c r="P3771" t="s">
        <v>3423</v>
      </c>
      <c r="Q3771" t="s">
        <v>4357</v>
      </c>
      <c r="R3771" t="s">
        <v>12282</v>
      </c>
    </row>
    <row r="3772" spans="1:18" x14ac:dyDescent="0.2">
      <c r="A3772">
        <v>981605</v>
      </c>
      <c r="B3772" t="s">
        <v>12283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1</v>
      </c>
      <c r="J3772">
        <v>0</v>
      </c>
      <c r="K3772">
        <v>0</v>
      </c>
      <c r="L3772" t="s">
        <v>3284</v>
      </c>
      <c r="M3772" t="s">
        <v>3296</v>
      </c>
      <c r="N3772" t="s">
        <v>3297</v>
      </c>
      <c r="O3772" t="s">
        <v>4500</v>
      </c>
      <c r="P3772" t="s">
        <v>5719</v>
      </c>
      <c r="Q3772" t="s">
        <v>12284</v>
      </c>
      <c r="R3772" t="s">
        <v>12285</v>
      </c>
    </row>
    <row r="3773" spans="1:18" x14ac:dyDescent="0.2">
      <c r="A3773">
        <v>980631</v>
      </c>
      <c r="B3773" t="s">
        <v>12286</v>
      </c>
      <c r="C3773">
        <v>0</v>
      </c>
      <c r="D3773">
        <v>1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1</v>
      </c>
      <c r="K3773">
        <v>0</v>
      </c>
      <c r="L3773" t="s">
        <v>3284</v>
      </c>
      <c r="M3773" t="s">
        <v>3296</v>
      </c>
      <c r="N3773" t="s">
        <v>3343</v>
      </c>
      <c r="O3773" t="s">
        <v>3344</v>
      </c>
      <c r="P3773" t="s">
        <v>3661</v>
      </c>
      <c r="Q3773" t="s">
        <v>8895</v>
      </c>
      <c r="R3773" t="s">
        <v>12287</v>
      </c>
    </row>
    <row r="3774" spans="1:18" x14ac:dyDescent="0.2">
      <c r="A3774">
        <v>980584</v>
      </c>
      <c r="B3774" t="s">
        <v>12288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3</v>
      </c>
      <c r="I3774">
        <v>0</v>
      </c>
      <c r="J3774">
        <v>0</v>
      </c>
      <c r="K3774">
        <v>1</v>
      </c>
      <c r="L3774" t="s">
        <v>3284</v>
      </c>
      <c r="M3774" t="s">
        <v>3391</v>
      </c>
      <c r="N3774" t="s">
        <v>3411</v>
      </c>
      <c r="O3774" t="s">
        <v>3412</v>
      </c>
      <c r="P3774" t="s">
        <v>3413</v>
      </c>
      <c r="Q3774" t="s">
        <v>4420</v>
      </c>
      <c r="R3774" t="s">
        <v>12289</v>
      </c>
    </row>
    <row r="3775" spans="1:18" x14ac:dyDescent="0.2">
      <c r="A3775">
        <v>980561</v>
      </c>
      <c r="B3775" t="s">
        <v>12290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1</v>
      </c>
      <c r="J3775">
        <v>0</v>
      </c>
      <c r="K3775">
        <v>0</v>
      </c>
      <c r="L3775" t="s">
        <v>3284</v>
      </c>
      <c r="M3775" t="s">
        <v>3296</v>
      </c>
      <c r="N3775" t="s">
        <v>3297</v>
      </c>
      <c r="O3775" t="s">
        <v>6324</v>
      </c>
      <c r="P3775" t="s">
        <v>6325</v>
      </c>
      <c r="Q3775" t="s">
        <v>12291</v>
      </c>
      <c r="R3775" t="s">
        <v>12292</v>
      </c>
    </row>
    <row r="3776" spans="1:18" x14ac:dyDescent="0.2">
      <c r="A3776">
        <v>980254</v>
      </c>
      <c r="B3776" t="s">
        <v>12293</v>
      </c>
      <c r="C3776">
        <v>20</v>
      </c>
      <c r="D3776">
        <v>27</v>
      </c>
      <c r="E3776">
        <v>448</v>
      </c>
      <c r="F3776">
        <v>28</v>
      </c>
      <c r="G3776">
        <v>34</v>
      </c>
      <c r="H3776">
        <v>304</v>
      </c>
      <c r="I3776">
        <v>67</v>
      </c>
      <c r="J3776">
        <v>47</v>
      </c>
      <c r="K3776">
        <v>379</v>
      </c>
      <c r="L3776" t="s">
        <v>3284</v>
      </c>
      <c r="M3776" t="s">
        <v>3794</v>
      </c>
      <c r="N3776" t="s">
        <v>3795</v>
      </c>
      <c r="O3776" t="s">
        <v>7746</v>
      </c>
      <c r="P3776" t="s">
        <v>7747</v>
      </c>
      <c r="Q3776" t="s">
        <v>7748</v>
      </c>
      <c r="R3776" t="s">
        <v>12294</v>
      </c>
    </row>
    <row r="3777" spans="1:18" x14ac:dyDescent="0.2">
      <c r="A3777">
        <v>979970</v>
      </c>
      <c r="B3777" t="s">
        <v>12295</v>
      </c>
      <c r="C3777">
        <v>0</v>
      </c>
      <c r="D3777">
        <v>1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 t="s">
        <v>3284</v>
      </c>
      <c r="M3777" t="s">
        <v>3391</v>
      </c>
      <c r="N3777" t="s">
        <v>3765</v>
      </c>
      <c r="O3777" t="s">
        <v>3766</v>
      </c>
      <c r="P3777" t="s">
        <v>10620</v>
      </c>
      <c r="Q3777" t="s">
        <v>10621</v>
      </c>
      <c r="R3777" t="s">
        <v>12296</v>
      </c>
    </row>
    <row r="3778" spans="1:18" x14ac:dyDescent="0.2">
      <c r="A3778">
        <v>957042</v>
      </c>
      <c r="B3778" t="s">
        <v>12297</v>
      </c>
      <c r="C3778">
        <v>0</v>
      </c>
      <c r="D3778">
        <v>1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 t="s">
        <v>3284</v>
      </c>
      <c r="M3778" t="s">
        <v>3327</v>
      </c>
      <c r="N3778" t="s">
        <v>3328</v>
      </c>
      <c r="O3778" t="s">
        <v>11667</v>
      </c>
      <c r="P3778" t="s">
        <v>12298</v>
      </c>
      <c r="Q3778" t="s">
        <v>12299</v>
      </c>
      <c r="R3778" t="s">
        <v>12300</v>
      </c>
    </row>
    <row r="3779" spans="1:18" x14ac:dyDescent="0.2">
      <c r="A3779">
        <v>948519</v>
      </c>
      <c r="B3779" t="s">
        <v>12301</v>
      </c>
      <c r="C3779">
        <v>0</v>
      </c>
      <c r="D3779">
        <v>1</v>
      </c>
      <c r="E3779">
        <v>0</v>
      </c>
      <c r="F3779">
        <v>0</v>
      </c>
      <c r="G3779">
        <v>0</v>
      </c>
      <c r="H3779">
        <v>0</v>
      </c>
      <c r="I3779">
        <v>1</v>
      </c>
      <c r="J3779">
        <v>1</v>
      </c>
      <c r="K3779">
        <v>2</v>
      </c>
      <c r="L3779" t="s">
        <v>3284</v>
      </c>
      <c r="M3779" t="s">
        <v>3296</v>
      </c>
      <c r="N3779" t="s">
        <v>3297</v>
      </c>
      <c r="O3779" t="s">
        <v>4112</v>
      </c>
      <c r="P3779" t="s">
        <v>4113</v>
      </c>
      <c r="Q3779" t="s">
        <v>4114</v>
      </c>
      <c r="R3779" t="s">
        <v>12302</v>
      </c>
    </row>
    <row r="3780" spans="1:18" x14ac:dyDescent="0.2">
      <c r="A3780">
        <v>947378</v>
      </c>
      <c r="B3780" t="s">
        <v>12303</v>
      </c>
      <c r="C3780">
        <v>0</v>
      </c>
      <c r="D3780">
        <v>0</v>
      </c>
      <c r="E3780">
        <v>0</v>
      </c>
      <c r="F3780">
        <v>2</v>
      </c>
      <c r="G3780">
        <v>1</v>
      </c>
      <c r="H3780">
        <v>1</v>
      </c>
      <c r="I3780">
        <v>0</v>
      </c>
      <c r="J3780">
        <v>0</v>
      </c>
      <c r="K3780">
        <v>0</v>
      </c>
      <c r="L3780" t="s">
        <v>3284</v>
      </c>
      <c r="M3780" t="s">
        <v>3296</v>
      </c>
      <c r="N3780" t="s">
        <v>3343</v>
      </c>
      <c r="O3780" t="s">
        <v>3402</v>
      </c>
      <c r="P3780" t="s">
        <v>3403</v>
      </c>
      <c r="Q3780" t="s">
        <v>3536</v>
      </c>
      <c r="R3780" t="s">
        <v>12304</v>
      </c>
    </row>
    <row r="3781" spans="1:18" x14ac:dyDescent="0.2">
      <c r="A3781">
        <v>947309</v>
      </c>
      <c r="B3781" t="s">
        <v>12305</v>
      </c>
      <c r="C3781">
        <v>1</v>
      </c>
      <c r="D3781">
        <v>0</v>
      </c>
      <c r="E3781">
        <v>0</v>
      </c>
      <c r="F3781">
        <v>65</v>
      </c>
      <c r="G3781">
        <v>55</v>
      </c>
      <c r="H3781">
        <v>1</v>
      </c>
      <c r="I3781">
        <v>0</v>
      </c>
      <c r="J3781">
        <v>0</v>
      </c>
      <c r="K3781">
        <v>0</v>
      </c>
      <c r="L3781" t="s">
        <v>3284</v>
      </c>
      <c r="M3781" t="s">
        <v>3391</v>
      </c>
      <c r="N3781" t="s">
        <v>3392</v>
      </c>
      <c r="O3781" t="s">
        <v>3393</v>
      </c>
      <c r="P3781" t="s">
        <v>3394</v>
      </c>
      <c r="Q3781" t="s">
        <v>3395</v>
      </c>
      <c r="R3781" t="s">
        <v>12306</v>
      </c>
    </row>
    <row r="3782" spans="1:18" x14ac:dyDescent="0.2">
      <c r="A3782">
        <v>946678</v>
      </c>
      <c r="B3782" t="s">
        <v>12307</v>
      </c>
      <c r="C3782">
        <v>0</v>
      </c>
      <c r="D3782">
        <v>0</v>
      </c>
      <c r="E3782">
        <v>0</v>
      </c>
      <c r="F3782">
        <v>0</v>
      </c>
      <c r="G3782">
        <v>2</v>
      </c>
      <c r="H3782">
        <v>0</v>
      </c>
      <c r="I3782">
        <v>0</v>
      </c>
      <c r="J3782">
        <v>0</v>
      </c>
      <c r="K3782">
        <v>0</v>
      </c>
      <c r="L3782" t="s">
        <v>3284</v>
      </c>
      <c r="M3782" t="s">
        <v>3391</v>
      </c>
      <c r="N3782" t="s">
        <v>3411</v>
      </c>
      <c r="O3782" t="s">
        <v>3412</v>
      </c>
      <c r="P3782" t="s">
        <v>3413</v>
      </c>
      <c r="Q3782" t="s">
        <v>3414</v>
      </c>
      <c r="R3782" t="s">
        <v>12308</v>
      </c>
    </row>
    <row r="3783" spans="1:18" x14ac:dyDescent="0.2">
      <c r="A3783">
        <v>946677</v>
      </c>
      <c r="B3783" t="s">
        <v>12309</v>
      </c>
      <c r="C3783">
        <v>0</v>
      </c>
      <c r="D3783">
        <v>0</v>
      </c>
      <c r="E3783">
        <v>0</v>
      </c>
      <c r="F3783">
        <v>6</v>
      </c>
      <c r="G3783">
        <v>5</v>
      </c>
      <c r="H3783">
        <v>0</v>
      </c>
      <c r="I3783">
        <v>0</v>
      </c>
      <c r="J3783">
        <v>0</v>
      </c>
      <c r="K3783">
        <v>0</v>
      </c>
      <c r="L3783" t="s">
        <v>3284</v>
      </c>
      <c r="M3783" t="s">
        <v>3391</v>
      </c>
      <c r="N3783" t="s">
        <v>3411</v>
      </c>
      <c r="O3783" t="s">
        <v>3412</v>
      </c>
      <c r="P3783" t="s">
        <v>3413</v>
      </c>
      <c r="Q3783" t="s">
        <v>3414</v>
      </c>
      <c r="R3783" t="s">
        <v>12310</v>
      </c>
    </row>
    <row r="3784" spans="1:18" x14ac:dyDescent="0.2">
      <c r="A3784">
        <v>943830</v>
      </c>
      <c r="B3784" t="s">
        <v>12311</v>
      </c>
      <c r="C3784">
        <v>1</v>
      </c>
      <c r="D3784">
        <v>0</v>
      </c>
      <c r="E3784">
        <v>0</v>
      </c>
      <c r="F3784">
        <v>1</v>
      </c>
      <c r="G3784">
        <v>1</v>
      </c>
      <c r="H3784">
        <v>0</v>
      </c>
      <c r="I3784">
        <v>0</v>
      </c>
      <c r="J3784">
        <v>0</v>
      </c>
      <c r="K3784">
        <v>0</v>
      </c>
      <c r="L3784" t="s">
        <v>3284</v>
      </c>
      <c r="M3784" t="s">
        <v>3296</v>
      </c>
      <c r="N3784" t="s">
        <v>3343</v>
      </c>
      <c r="O3784" t="s">
        <v>3344</v>
      </c>
      <c r="P3784" t="s">
        <v>3937</v>
      </c>
      <c r="Q3784" t="s">
        <v>7974</v>
      </c>
      <c r="R3784" t="s">
        <v>12312</v>
      </c>
    </row>
    <row r="3785" spans="1:18" x14ac:dyDescent="0.2">
      <c r="A3785">
        <v>942866</v>
      </c>
      <c r="B3785" t="s">
        <v>12313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1</v>
      </c>
      <c r="I3785">
        <v>0</v>
      </c>
      <c r="J3785">
        <v>0</v>
      </c>
      <c r="K3785">
        <v>0</v>
      </c>
      <c r="L3785" t="s">
        <v>3284</v>
      </c>
      <c r="M3785" t="s">
        <v>3296</v>
      </c>
      <c r="N3785" t="s">
        <v>3321</v>
      </c>
      <c r="O3785" t="s">
        <v>3322</v>
      </c>
      <c r="P3785" t="s">
        <v>3423</v>
      </c>
      <c r="Q3785" t="s">
        <v>3424</v>
      </c>
      <c r="R3785" t="s">
        <v>12314</v>
      </c>
    </row>
    <row r="3786" spans="1:18" x14ac:dyDescent="0.2">
      <c r="A3786">
        <v>941986</v>
      </c>
      <c r="B3786" t="s">
        <v>12315</v>
      </c>
      <c r="C3786">
        <v>0</v>
      </c>
      <c r="D3786">
        <v>0</v>
      </c>
      <c r="E3786">
        <v>1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 t="s">
        <v>3284</v>
      </c>
      <c r="M3786" t="s">
        <v>3307</v>
      </c>
      <c r="N3786" t="s">
        <v>3308</v>
      </c>
      <c r="O3786" t="s">
        <v>3382</v>
      </c>
      <c r="P3786" t="s">
        <v>3383</v>
      </c>
      <c r="Q3786" t="s">
        <v>3543</v>
      </c>
      <c r="R3786" t="s">
        <v>12316</v>
      </c>
    </row>
    <row r="3787" spans="1:18" x14ac:dyDescent="0.2">
      <c r="A3787">
        <v>941907</v>
      </c>
      <c r="B3787" t="s">
        <v>12317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1</v>
      </c>
      <c r="K3787">
        <v>0</v>
      </c>
      <c r="L3787" t="s">
        <v>3284</v>
      </c>
      <c r="M3787" t="s">
        <v>3296</v>
      </c>
      <c r="N3787" t="s">
        <v>3343</v>
      </c>
      <c r="O3787" t="s">
        <v>3349</v>
      </c>
      <c r="P3787" t="s">
        <v>3350</v>
      </c>
      <c r="Q3787" t="s">
        <v>6427</v>
      </c>
      <c r="R3787" t="s">
        <v>12318</v>
      </c>
    </row>
    <row r="3788" spans="1:18" x14ac:dyDescent="0.2">
      <c r="A3788">
        <v>938405</v>
      </c>
      <c r="B3788" t="s">
        <v>12319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3</v>
      </c>
      <c r="J3788">
        <v>1</v>
      </c>
      <c r="K3788">
        <v>0</v>
      </c>
      <c r="L3788" t="s">
        <v>3284</v>
      </c>
      <c r="M3788" t="s">
        <v>3296</v>
      </c>
      <c r="N3788" t="s">
        <v>3343</v>
      </c>
      <c r="O3788" t="s">
        <v>3429</v>
      </c>
      <c r="P3788" t="s">
        <v>3430</v>
      </c>
      <c r="Q3788" t="s">
        <v>6632</v>
      </c>
      <c r="R3788" t="s">
        <v>12320</v>
      </c>
    </row>
    <row r="3789" spans="1:18" x14ac:dyDescent="0.2">
      <c r="A3789">
        <v>938155</v>
      </c>
      <c r="B3789" t="s">
        <v>12321</v>
      </c>
      <c r="C3789">
        <v>0</v>
      </c>
      <c r="D3789">
        <v>2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 t="s">
        <v>3284</v>
      </c>
      <c r="M3789" t="s">
        <v>3327</v>
      </c>
      <c r="N3789" t="s">
        <v>3376</v>
      </c>
      <c r="O3789" t="s">
        <v>3718</v>
      </c>
      <c r="P3789" t="s">
        <v>9461</v>
      </c>
      <c r="Q3789" t="s">
        <v>12322</v>
      </c>
      <c r="R3789" t="s">
        <v>12323</v>
      </c>
    </row>
    <row r="3790" spans="1:18" x14ac:dyDescent="0.2">
      <c r="A3790">
        <v>937251</v>
      </c>
      <c r="B3790" t="s">
        <v>12324</v>
      </c>
      <c r="C3790">
        <v>0</v>
      </c>
      <c r="D3790">
        <v>1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 t="s">
        <v>3284</v>
      </c>
      <c r="M3790" t="s">
        <v>3327</v>
      </c>
      <c r="N3790" t="s">
        <v>3328</v>
      </c>
      <c r="O3790" t="s">
        <v>3329</v>
      </c>
      <c r="P3790" t="s">
        <v>3330</v>
      </c>
      <c r="Q3790" t="s">
        <v>11490</v>
      </c>
      <c r="R3790" t="s">
        <v>12325</v>
      </c>
    </row>
    <row r="3791" spans="1:18" x14ac:dyDescent="0.2">
      <c r="A3791">
        <v>935844</v>
      </c>
      <c r="B3791" t="s">
        <v>12326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1</v>
      </c>
      <c r="J3791">
        <v>0</v>
      </c>
      <c r="K3791">
        <v>0</v>
      </c>
      <c r="L3791" t="s">
        <v>3284</v>
      </c>
      <c r="M3791" t="s">
        <v>3307</v>
      </c>
      <c r="N3791" t="s">
        <v>3308</v>
      </c>
      <c r="O3791" t="s">
        <v>3309</v>
      </c>
      <c r="P3791" t="s">
        <v>3310</v>
      </c>
      <c r="Q3791" t="s">
        <v>3311</v>
      </c>
      <c r="R3791" t="s">
        <v>12327</v>
      </c>
    </row>
    <row r="3792" spans="1:18" x14ac:dyDescent="0.2">
      <c r="A3792">
        <v>933262</v>
      </c>
      <c r="B3792" t="s">
        <v>12328</v>
      </c>
      <c r="C3792">
        <v>0</v>
      </c>
      <c r="D3792">
        <v>1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 t="s">
        <v>3284</v>
      </c>
      <c r="M3792" t="s">
        <v>6718</v>
      </c>
      <c r="N3792" t="s">
        <v>9362</v>
      </c>
      <c r="O3792" t="s">
        <v>9363</v>
      </c>
      <c r="P3792" t="s">
        <v>9364</v>
      </c>
      <c r="Q3792" t="s">
        <v>9365</v>
      </c>
      <c r="R3792" t="s">
        <v>12329</v>
      </c>
    </row>
    <row r="3793" spans="1:18" x14ac:dyDescent="0.2">
      <c r="A3793">
        <v>933059</v>
      </c>
      <c r="B3793" t="s">
        <v>12330</v>
      </c>
      <c r="C3793">
        <v>4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 t="s">
        <v>3284</v>
      </c>
      <c r="M3793" t="s">
        <v>3296</v>
      </c>
      <c r="N3793" t="s">
        <v>3343</v>
      </c>
      <c r="O3793" t="s">
        <v>3371</v>
      </c>
      <c r="P3793" t="s">
        <v>3688</v>
      </c>
      <c r="Q3793" t="s">
        <v>4278</v>
      </c>
      <c r="R3793" t="s">
        <v>12331</v>
      </c>
    </row>
    <row r="3794" spans="1:18" x14ac:dyDescent="0.2">
      <c r="A3794">
        <v>932217</v>
      </c>
      <c r="B3794" t="s">
        <v>12332</v>
      </c>
      <c r="C3794">
        <v>2</v>
      </c>
      <c r="D3794">
        <v>2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 t="s">
        <v>3284</v>
      </c>
      <c r="M3794" t="s">
        <v>3327</v>
      </c>
      <c r="N3794" t="s">
        <v>4384</v>
      </c>
      <c r="O3794" t="s">
        <v>4605</v>
      </c>
      <c r="P3794" t="s">
        <v>10025</v>
      </c>
      <c r="Q3794" t="s">
        <v>10209</v>
      </c>
      <c r="R3794" t="s">
        <v>12333</v>
      </c>
    </row>
    <row r="3795" spans="1:18" x14ac:dyDescent="0.2">
      <c r="A3795">
        <v>931504</v>
      </c>
      <c r="B3795" t="s">
        <v>12334</v>
      </c>
      <c r="C3795">
        <v>0</v>
      </c>
      <c r="D3795">
        <v>0</v>
      </c>
      <c r="E3795">
        <v>0</v>
      </c>
      <c r="F3795">
        <v>4</v>
      </c>
      <c r="G3795">
        <v>6</v>
      </c>
      <c r="H3795">
        <v>0</v>
      </c>
      <c r="I3795">
        <v>0</v>
      </c>
      <c r="J3795">
        <v>0</v>
      </c>
      <c r="K3795">
        <v>0</v>
      </c>
      <c r="L3795" t="s">
        <v>3284</v>
      </c>
      <c r="M3795" t="s">
        <v>3391</v>
      </c>
      <c r="N3795" t="s">
        <v>3392</v>
      </c>
      <c r="O3795" t="s">
        <v>3393</v>
      </c>
      <c r="P3795" t="s">
        <v>3394</v>
      </c>
      <c r="Q3795" t="s">
        <v>4082</v>
      </c>
      <c r="R3795" t="s">
        <v>12335</v>
      </c>
    </row>
    <row r="3796" spans="1:18" x14ac:dyDescent="0.2">
      <c r="A3796">
        <v>930972</v>
      </c>
      <c r="B3796" t="s">
        <v>12336</v>
      </c>
      <c r="C3796">
        <v>0</v>
      </c>
      <c r="D3796">
        <v>0</v>
      </c>
      <c r="E3796">
        <v>0</v>
      </c>
      <c r="F3796">
        <v>0</v>
      </c>
      <c r="G3796">
        <v>1</v>
      </c>
      <c r="H3796">
        <v>0</v>
      </c>
      <c r="I3796">
        <v>0</v>
      </c>
      <c r="J3796">
        <v>0</v>
      </c>
      <c r="K3796">
        <v>0</v>
      </c>
      <c r="L3796" t="s">
        <v>3284</v>
      </c>
      <c r="M3796" t="s">
        <v>3391</v>
      </c>
      <c r="N3796" t="s">
        <v>3740</v>
      </c>
      <c r="O3796" t="s">
        <v>3741</v>
      </c>
      <c r="P3796" t="s">
        <v>12337</v>
      </c>
      <c r="Q3796" t="s">
        <v>12338</v>
      </c>
      <c r="R3796" t="s">
        <v>12339</v>
      </c>
    </row>
    <row r="3797" spans="1:18" x14ac:dyDescent="0.2">
      <c r="A3797">
        <v>930166</v>
      </c>
      <c r="B3797" t="s">
        <v>12340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1</v>
      </c>
      <c r="K3797">
        <v>1</v>
      </c>
      <c r="L3797" t="s">
        <v>3284</v>
      </c>
      <c r="M3797" t="s">
        <v>3296</v>
      </c>
      <c r="N3797" t="s">
        <v>3297</v>
      </c>
      <c r="O3797" t="s">
        <v>3434</v>
      </c>
      <c r="P3797" t="s">
        <v>3435</v>
      </c>
      <c r="Q3797" t="s">
        <v>3436</v>
      </c>
      <c r="R3797" t="s">
        <v>12341</v>
      </c>
    </row>
    <row r="3798" spans="1:18" x14ac:dyDescent="0.2">
      <c r="A3798">
        <v>930146</v>
      </c>
      <c r="B3798" t="s">
        <v>12342</v>
      </c>
      <c r="C3798">
        <v>1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 t="s">
        <v>3284</v>
      </c>
      <c r="M3798" t="s">
        <v>3327</v>
      </c>
      <c r="N3798" t="s">
        <v>3376</v>
      </c>
      <c r="O3798" t="s">
        <v>3377</v>
      </c>
      <c r="P3798" t="s">
        <v>3378</v>
      </c>
      <c r="Q3798" t="s">
        <v>8825</v>
      </c>
      <c r="R3798" t="s">
        <v>12343</v>
      </c>
    </row>
    <row r="3799" spans="1:18" x14ac:dyDescent="0.2">
      <c r="A3799">
        <v>929813</v>
      </c>
      <c r="B3799" t="s">
        <v>12344</v>
      </c>
      <c r="C3799">
        <v>0</v>
      </c>
      <c r="D3799">
        <v>1</v>
      </c>
      <c r="E3799">
        <v>0</v>
      </c>
      <c r="F3799">
        <v>0</v>
      </c>
      <c r="G3799">
        <v>1</v>
      </c>
      <c r="H3799">
        <v>0</v>
      </c>
      <c r="I3799">
        <v>0</v>
      </c>
      <c r="J3799">
        <v>0</v>
      </c>
      <c r="K3799">
        <v>0</v>
      </c>
      <c r="L3799" t="s">
        <v>3284</v>
      </c>
      <c r="M3799" t="s">
        <v>3296</v>
      </c>
      <c r="N3799" t="s">
        <v>3297</v>
      </c>
      <c r="O3799" t="s">
        <v>3298</v>
      </c>
      <c r="P3799" t="s">
        <v>3299</v>
      </c>
      <c r="Q3799" t="s">
        <v>12345</v>
      </c>
      <c r="R3799" t="s">
        <v>12346</v>
      </c>
    </row>
    <row r="3800" spans="1:18" x14ac:dyDescent="0.2">
      <c r="A3800">
        <v>927083</v>
      </c>
      <c r="B3800" t="s">
        <v>12347</v>
      </c>
      <c r="C3800">
        <v>0</v>
      </c>
      <c r="D3800">
        <v>0</v>
      </c>
      <c r="E3800">
        <v>0</v>
      </c>
      <c r="F3800">
        <v>1</v>
      </c>
      <c r="G3800">
        <v>1</v>
      </c>
      <c r="H3800">
        <v>0</v>
      </c>
      <c r="I3800">
        <v>0</v>
      </c>
      <c r="J3800">
        <v>0</v>
      </c>
      <c r="K3800">
        <v>0</v>
      </c>
      <c r="L3800" t="s">
        <v>3284</v>
      </c>
      <c r="M3800" t="s">
        <v>5163</v>
      </c>
      <c r="N3800" t="s">
        <v>3271</v>
      </c>
      <c r="O3800" t="s">
        <v>6394</v>
      </c>
      <c r="P3800" t="s">
        <v>12348</v>
      </c>
      <c r="Q3800" t="s">
        <v>12349</v>
      </c>
      <c r="R3800" t="s">
        <v>12350</v>
      </c>
    </row>
    <row r="3801" spans="1:18" x14ac:dyDescent="0.2">
      <c r="A3801">
        <v>915471</v>
      </c>
      <c r="B3801" t="s">
        <v>12351</v>
      </c>
      <c r="C3801">
        <v>0</v>
      </c>
      <c r="D3801">
        <v>0</v>
      </c>
      <c r="E3801">
        <v>0</v>
      </c>
      <c r="F3801">
        <v>0</v>
      </c>
      <c r="G3801">
        <v>1</v>
      </c>
      <c r="H3801">
        <v>0</v>
      </c>
      <c r="I3801">
        <v>0</v>
      </c>
      <c r="J3801">
        <v>0</v>
      </c>
      <c r="K3801">
        <v>0</v>
      </c>
      <c r="L3801" t="s">
        <v>3284</v>
      </c>
      <c r="M3801" t="s">
        <v>3296</v>
      </c>
      <c r="N3801" t="s">
        <v>3297</v>
      </c>
      <c r="O3801" t="s">
        <v>3434</v>
      </c>
      <c r="P3801" t="s">
        <v>3435</v>
      </c>
      <c r="Q3801" t="s">
        <v>3436</v>
      </c>
      <c r="R3801" t="s">
        <v>12352</v>
      </c>
    </row>
    <row r="3802" spans="1:18" x14ac:dyDescent="0.2">
      <c r="A3802">
        <v>915099</v>
      </c>
      <c r="B3802" t="s">
        <v>12353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1</v>
      </c>
      <c r="L3802" t="s">
        <v>3284</v>
      </c>
      <c r="M3802" t="s">
        <v>3296</v>
      </c>
      <c r="N3802" t="s">
        <v>3297</v>
      </c>
      <c r="O3802" t="s">
        <v>3434</v>
      </c>
      <c r="P3802" t="s">
        <v>3435</v>
      </c>
      <c r="Q3802" t="s">
        <v>3436</v>
      </c>
      <c r="R3802" t="s">
        <v>12354</v>
      </c>
    </row>
    <row r="3803" spans="1:18" x14ac:dyDescent="0.2">
      <c r="A3803">
        <v>913865</v>
      </c>
      <c r="B3803" t="s">
        <v>12355</v>
      </c>
      <c r="C3803">
        <v>0</v>
      </c>
      <c r="D3803">
        <v>1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 t="s">
        <v>3284</v>
      </c>
      <c r="M3803" t="s">
        <v>3327</v>
      </c>
      <c r="N3803" t="s">
        <v>3328</v>
      </c>
      <c r="O3803" t="s">
        <v>3329</v>
      </c>
      <c r="P3803" t="s">
        <v>4329</v>
      </c>
      <c r="Q3803" t="s">
        <v>4330</v>
      </c>
      <c r="R3803" t="s">
        <v>12356</v>
      </c>
    </row>
    <row r="3804" spans="1:18" x14ac:dyDescent="0.2">
      <c r="A3804">
        <v>913761</v>
      </c>
      <c r="B3804" t="s">
        <v>12357</v>
      </c>
      <c r="C3804">
        <v>0</v>
      </c>
      <c r="D3804">
        <v>0</v>
      </c>
      <c r="E3804">
        <v>0</v>
      </c>
      <c r="F3804">
        <v>3</v>
      </c>
      <c r="G3804">
        <v>1</v>
      </c>
      <c r="H3804">
        <v>0</v>
      </c>
      <c r="I3804">
        <v>0</v>
      </c>
      <c r="J3804">
        <v>0</v>
      </c>
      <c r="K3804">
        <v>0</v>
      </c>
      <c r="L3804" t="s">
        <v>3284</v>
      </c>
      <c r="M3804" t="s">
        <v>3296</v>
      </c>
      <c r="N3804" t="s">
        <v>3321</v>
      </c>
      <c r="O3804" t="s">
        <v>3322</v>
      </c>
      <c r="P3804" t="s">
        <v>3398</v>
      </c>
      <c r="Q3804" t="s">
        <v>3399</v>
      </c>
      <c r="R3804" t="s">
        <v>12358</v>
      </c>
    </row>
    <row r="3805" spans="1:18" x14ac:dyDescent="0.2">
      <c r="A3805">
        <v>913252</v>
      </c>
      <c r="B3805" t="s">
        <v>12359</v>
      </c>
      <c r="C3805">
        <v>0</v>
      </c>
      <c r="D3805">
        <v>1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 t="s">
        <v>3284</v>
      </c>
      <c r="M3805" t="s">
        <v>3296</v>
      </c>
      <c r="N3805" t="s">
        <v>3343</v>
      </c>
      <c r="O3805" t="s">
        <v>3371</v>
      </c>
      <c r="P3805" t="s">
        <v>3688</v>
      </c>
      <c r="Q3805" t="s">
        <v>4406</v>
      </c>
      <c r="R3805" t="s">
        <v>12360</v>
      </c>
    </row>
    <row r="3806" spans="1:18" x14ac:dyDescent="0.2">
      <c r="A3806">
        <v>913099</v>
      </c>
      <c r="B3806" t="s">
        <v>12361</v>
      </c>
      <c r="C3806">
        <v>1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 t="s">
        <v>3284</v>
      </c>
      <c r="M3806" t="s">
        <v>3327</v>
      </c>
      <c r="N3806" t="s">
        <v>4384</v>
      </c>
      <c r="O3806" t="s">
        <v>3271</v>
      </c>
      <c r="P3806" t="s">
        <v>3271</v>
      </c>
      <c r="Q3806" t="s">
        <v>4385</v>
      </c>
      <c r="R3806" t="s">
        <v>12362</v>
      </c>
    </row>
    <row r="3807" spans="1:18" x14ac:dyDescent="0.2">
      <c r="A3807">
        <v>912594</v>
      </c>
      <c r="B3807" t="s">
        <v>12363</v>
      </c>
      <c r="C3807">
        <v>0</v>
      </c>
      <c r="D3807">
        <v>0</v>
      </c>
      <c r="E3807">
        <v>0</v>
      </c>
      <c r="F3807">
        <v>1</v>
      </c>
      <c r="G3807">
        <v>1</v>
      </c>
      <c r="H3807">
        <v>0</v>
      </c>
      <c r="I3807">
        <v>0</v>
      </c>
      <c r="J3807">
        <v>0</v>
      </c>
      <c r="K3807">
        <v>0</v>
      </c>
      <c r="L3807" t="s">
        <v>3284</v>
      </c>
      <c r="M3807" t="s">
        <v>3307</v>
      </c>
      <c r="N3807" t="s">
        <v>3308</v>
      </c>
      <c r="O3807" t="s">
        <v>3635</v>
      </c>
      <c r="P3807" t="s">
        <v>4011</v>
      </c>
      <c r="Q3807" t="s">
        <v>4471</v>
      </c>
      <c r="R3807" t="s">
        <v>12364</v>
      </c>
    </row>
    <row r="3808" spans="1:18" x14ac:dyDescent="0.2">
      <c r="A3808">
        <v>911241</v>
      </c>
      <c r="B3808" t="s">
        <v>12365</v>
      </c>
      <c r="C3808">
        <v>0</v>
      </c>
      <c r="D3808">
        <v>0</v>
      </c>
      <c r="E3808">
        <v>0</v>
      </c>
      <c r="F3808">
        <v>0</v>
      </c>
      <c r="G3808">
        <v>1</v>
      </c>
      <c r="H3808">
        <v>0</v>
      </c>
      <c r="I3808">
        <v>0</v>
      </c>
      <c r="J3808">
        <v>0</v>
      </c>
      <c r="K3808">
        <v>0</v>
      </c>
      <c r="L3808" t="s">
        <v>3284</v>
      </c>
      <c r="M3808" t="s">
        <v>3296</v>
      </c>
      <c r="N3808" t="s">
        <v>3297</v>
      </c>
      <c r="O3808" t="s">
        <v>3434</v>
      </c>
      <c r="P3808" t="s">
        <v>3435</v>
      </c>
      <c r="Q3808" t="s">
        <v>3436</v>
      </c>
      <c r="R3808" t="s">
        <v>12366</v>
      </c>
    </row>
    <row r="3809" spans="1:18" x14ac:dyDescent="0.2">
      <c r="A3809">
        <v>910310</v>
      </c>
      <c r="B3809" t="s">
        <v>12367</v>
      </c>
      <c r="C3809">
        <v>3</v>
      </c>
      <c r="D3809">
        <v>0</v>
      </c>
      <c r="E3809">
        <v>1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 t="s">
        <v>3284</v>
      </c>
      <c r="M3809" t="s">
        <v>3327</v>
      </c>
      <c r="N3809" t="s">
        <v>6610</v>
      </c>
      <c r="O3809" t="s">
        <v>6611</v>
      </c>
      <c r="P3809" t="s">
        <v>6612</v>
      </c>
      <c r="Q3809" t="s">
        <v>6613</v>
      </c>
      <c r="R3809" t="s">
        <v>12368</v>
      </c>
    </row>
    <row r="3810" spans="1:18" x14ac:dyDescent="0.2">
      <c r="A3810">
        <v>908966</v>
      </c>
      <c r="B3810" t="s">
        <v>12369</v>
      </c>
      <c r="C3810">
        <v>0</v>
      </c>
      <c r="D3810">
        <v>0</v>
      </c>
      <c r="E3810">
        <v>0</v>
      </c>
      <c r="F3810">
        <v>1</v>
      </c>
      <c r="G3810">
        <v>0</v>
      </c>
      <c r="H3810">
        <v>0</v>
      </c>
      <c r="I3810">
        <v>0</v>
      </c>
      <c r="J3810">
        <v>0</v>
      </c>
      <c r="K3810">
        <v>0</v>
      </c>
      <c r="L3810" t="s">
        <v>3284</v>
      </c>
      <c r="M3810" t="s">
        <v>3391</v>
      </c>
      <c r="N3810" t="s">
        <v>4129</v>
      </c>
      <c r="O3810" t="s">
        <v>4130</v>
      </c>
      <c r="P3810" t="s">
        <v>4131</v>
      </c>
      <c r="Q3810" t="s">
        <v>12370</v>
      </c>
      <c r="R3810" t="s">
        <v>12371</v>
      </c>
    </row>
    <row r="3811" spans="1:18" x14ac:dyDescent="0.2">
      <c r="A3811">
        <v>908846</v>
      </c>
      <c r="B3811" t="s">
        <v>12372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1</v>
      </c>
      <c r="K3811">
        <v>0</v>
      </c>
      <c r="L3811" t="s">
        <v>3284</v>
      </c>
      <c r="M3811" t="s">
        <v>3307</v>
      </c>
      <c r="N3811" t="s">
        <v>3308</v>
      </c>
      <c r="O3811" t="s">
        <v>3359</v>
      </c>
      <c r="P3811" t="s">
        <v>3360</v>
      </c>
      <c r="Q3811" t="s">
        <v>9108</v>
      </c>
      <c r="R3811" t="s">
        <v>12373</v>
      </c>
    </row>
    <row r="3812" spans="1:18" x14ac:dyDescent="0.2">
      <c r="A3812">
        <v>908809</v>
      </c>
      <c r="B3812" t="s">
        <v>12374</v>
      </c>
      <c r="C3812">
        <v>0</v>
      </c>
      <c r="D3812">
        <v>1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 t="s">
        <v>3284</v>
      </c>
      <c r="M3812" t="s">
        <v>3327</v>
      </c>
      <c r="N3812" t="s">
        <v>3328</v>
      </c>
      <c r="O3812" t="s">
        <v>3329</v>
      </c>
      <c r="P3812" t="s">
        <v>3330</v>
      </c>
      <c r="Q3812" t="s">
        <v>10181</v>
      </c>
      <c r="R3812" t="s">
        <v>12375</v>
      </c>
    </row>
    <row r="3813" spans="1:18" x14ac:dyDescent="0.2">
      <c r="A3813">
        <v>908359</v>
      </c>
      <c r="B3813" t="s">
        <v>12376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3</v>
      </c>
      <c r="J3813">
        <v>1</v>
      </c>
      <c r="K3813">
        <v>1</v>
      </c>
      <c r="L3813" t="s">
        <v>3284</v>
      </c>
      <c r="M3813" t="s">
        <v>3307</v>
      </c>
      <c r="N3813" t="s">
        <v>3308</v>
      </c>
      <c r="O3813" t="s">
        <v>3309</v>
      </c>
      <c r="P3813" t="s">
        <v>3310</v>
      </c>
      <c r="Q3813" t="s">
        <v>3311</v>
      </c>
      <c r="R3813" t="s">
        <v>12377</v>
      </c>
    </row>
    <row r="3814" spans="1:18" x14ac:dyDescent="0.2">
      <c r="A3814">
        <v>907779</v>
      </c>
      <c r="B3814" t="s">
        <v>12378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2</v>
      </c>
      <c r="J3814">
        <v>2</v>
      </c>
      <c r="K3814">
        <v>0</v>
      </c>
      <c r="L3814" t="s">
        <v>3284</v>
      </c>
      <c r="M3814" t="s">
        <v>3296</v>
      </c>
      <c r="N3814" t="s">
        <v>3343</v>
      </c>
      <c r="O3814" t="s">
        <v>3429</v>
      </c>
      <c r="P3814" t="s">
        <v>3430</v>
      </c>
      <c r="Q3814" t="s">
        <v>3651</v>
      </c>
      <c r="R3814" t="s">
        <v>12379</v>
      </c>
    </row>
    <row r="3815" spans="1:18" x14ac:dyDescent="0.2">
      <c r="A3815">
        <v>904190</v>
      </c>
      <c r="B3815" t="s">
        <v>12380</v>
      </c>
      <c r="C3815">
        <v>1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 t="s">
        <v>3284</v>
      </c>
      <c r="M3815" t="s">
        <v>3327</v>
      </c>
      <c r="N3815" t="s">
        <v>3328</v>
      </c>
      <c r="O3815" t="s">
        <v>4017</v>
      </c>
      <c r="P3815" t="s">
        <v>4018</v>
      </c>
      <c r="Q3815" t="s">
        <v>12381</v>
      </c>
      <c r="R3815" t="s">
        <v>12382</v>
      </c>
    </row>
    <row r="3816" spans="1:18" x14ac:dyDescent="0.2">
      <c r="A3816">
        <v>889306</v>
      </c>
      <c r="B3816" t="s">
        <v>12383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1</v>
      </c>
      <c r="K3816">
        <v>0</v>
      </c>
      <c r="L3816" t="s">
        <v>3284</v>
      </c>
      <c r="M3816" t="s">
        <v>3327</v>
      </c>
      <c r="N3816" t="s">
        <v>3376</v>
      </c>
      <c r="O3816" t="s">
        <v>3377</v>
      </c>
      <c r="P3816" t="s">
        <v>5514</v>
      </c>
      <c r="Q3816" t="s">
        <v>12384</v>
      </c>
      <c r="R3816" t="s">
        <v>12385</v>
      </c>
    </row>
    <row r="3817" spans="1:18" x14ac:dyDescent="0.2">
      <c r="A3817">
        <v>889300</v>
      </c>
      <c r="B3817" t="s">
        <v>12386</v>
      </c>
      <c r="C3817">
        <v>0</v>
      </c>
      <c r="D3817">
        <v>0</v>
      </c>
      <c r="E3817">
        <v>0</v>
      </c>
      <c r="F3817">
        <v>0</v>
      </c>
      <c r="G3817">
        <v>1</v>
      </c>
      <c r="H3817">
        <v>0</v>
      </c>
      <c r="I3817">
        <v>0</v>
      </c>
      <c r="J3817">
        <v>0</v>
      </c>
      <c r="K3817">
        <v>0</v>
      </c>
      <c r="L3817" t="s">
        <v>3284</v>
      </c>
      <c r="M3817" t="s">
        <v>3296</v>
      </c>
      <c r="N3817" t="s">
        <v>3343</v>
      </c>
      <c r="O3817" t="s">
        <v>3344</v>
      </c>
      <c r="P3817" t="s">
        <v>3898</v>
      </c>
      <c r="Q3817" t="s">
        <v>8204</v>
      </c>
      <c r="R3817" t="s">
        <v>12387</v>
      </c>
    </row>
    <row r="3818" spans="1:18" x14ac:dyDescent="0.2">
      <c r="A3818">
        <v>889268</v>
      </c>
      <c r="B3818" t="s">
        <v>12388</v>
      </c>
      <c r="C3818">
        <v>1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 t="s">
        <v>3284</v>
      </c>
      <c r="M3818" t="s">
        <v>5163</v>
      </c>
      <c r="N3818" t="s">
        <v>3271</v>
      </c>
      <c r="O3818" t="s">
        <v>12389</v>
      </c>
      <c r="P3818" t="s">
        <v>12390</v>
      </c>
      <c r="Q3818" t="s">
        <v>12391</v>
      </c>
      <c r="R3818" t="s">
        <v>12392</v>
      </c>
    </row>
    <row r="3819" spans="1:18" x14ac:dyDescent="0.2">
      <c r="A3819">
        <v>886556</v>
      </c>
      <c r="B3819" t="s">
        <v>12393</v>
      </c>
      <c r="C3819">
        <v>0</v>
      </c>
      <c r="D3819">
        <v>3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 t="s">
        <v>3284</v>
      </c>
      <c r="M3819" t="s">
        <v>3296</v>
      </c>
      <c r="N3819" t="s">
        <v>3321</v>
      </c>
      <c r="O3819" t="s">
        <v>3322</v>
      </c>
      <c r="P3819" t="s">
        <v>3671</v>
      </c>
      <c r="Q3819" t="s">
        <v>12394</v>
      </c>
      <c r="R3819" t="s">
        <v>12395</v>
      </c>
    </row>
    <row r="3820" spans="1:18" x14ac:dyDescent="0.2">
      <c r="A3820">
        <v>886343</v>
      </c>
      <c r="B3820" t="s">
        <v>12396</v>
      </c>
      <c r="C3820">
        <v>0</v>
      </c>
      <c r="D3820">
        <v>0</v>
      </c>
      <c r="E3820">
        <v>0</v>
      </c>
      <c r="F3820">
        <v>2</v>
      </c>
      <c r="G3820">
        <v>0</v>
      </c>
      <c r="H3820">
        <v>0</v>
      </c>
      <c r="I3820">
        <v>0</v>
      </c>
      <c r="J3820">
        <v>0</v>
      </c>
      <c r="K3820">
        <v>0</v>
      </c>
      <c r="L3820" t="s">
        <v>3284</v>
      </c>
      <c r="M3820" t="s">
        <v>3307</v>
      </c>
      <c r="N3820" t="s">
        <v>3308</v>
      </c>
      <c r="O3820" t="s">
        <v>3635</v>
      </c>
      <c r="P3820" t="s">
        <v>4011</v>
      </c>
      <c r="Q3820" t="s">
        <v>4012</v>
      </c>
      <c r="R3820" t="s">
        <v>12397</v>
      </c>
    </row>
    <row r="3821" spans="1:18" x14ac:dyDescent="0.2">
      <c r="A3821">
        <v>885581</v>
      </c>
      <c r="B3821" t="s">
        <v>12398</v>
      </c>
      <c r="C3821">
        <v>0</v>
      </c>
      <c r="D3821">
        <v>2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 t="s">
        <v>3284</v>
      </c>
      <c r="M3821" t="s">
        <v>3327</v>
      </c>
      <c r="N3821" t="s">
        <v>3328</v>
      </c>
      <c r="O3821" t="s">
        <v>3329</v>
      </c>
      <c r="P3821" t="s">
        <v>4329</v>
      </c>
      <c r="Q3821" t="s">
        <v>4330</v>
      </c>
      <c r="R3821" t="s">
        <v>12399</v>
      </c>
    </row>
    <row r="3822" spans="1:18" x14ac:dyDescent="0.2">
      <c r="A3822">
        <v>884107</v>
      </c>
      <c r="B3822" t="s">
        <v>12400</v>
      </c>
      <c r="C3822">
        <v>1</v>
      </c>
      <c r="D3822">
        <v>0</v>
      </c>
      <c r="E3822">
        <v>0</v>
      </c>
      <c r="F3822">
        <v>0</v>
      </c>
      <c r="G3822">
        <v>1</v>
      </c>
      <c r="H3822">
        <v>0</v>
      </c>
      <c r="I3822">
        <v>0</v>
      </c>
      <c r="J3822">
        <v>0</v>
      </c>
      <c r="K3822">
        <v>0</v>
      </c>
      <c r="L3822" t="s">
        <v>3284</v>
      </c>
      <c r="M3822" t="s">
        <v>3391</v>
      </c>
      <c r="N3822" t="s">
        <v>3411</v>
      </c>
      <c r="O3822" t="s">
        <v>3412</v>
      </c>
      <c r="P3822" t="s">
        <v>12401</v>
      </c>
      <c r="Q3822" t="s">
        <v>12402</v>
      </c>
      <c r="R3822" t="s">
        <v>12403</v>
      </c>
    </row>
    <row r="3823" spans="1:18" x14ac:dyDescent="0.2">
      <c r="A3823">
        <v>882824</v>
      </c>
      <c r="B3823" t="s">
        <v>12404</v>
      </c>
      <c r="C3823">
        <v>1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 t="s">
        <v>3284</v>
      </c>
      <c r="M3823" t="s">
        <v>3307</v>
      </c>
      <c r="N3823" t="s">
        <v>3308</v>
      </c>
      <c r="O3823" t="s">
        <v>3359</v>
      </c>
      <c r="P3823" t="s">
        <v>3965</v>
      </c>
      <c r="Q3823" t="s">
        <v>12405</v>
      </c>
      <c r="R3823" t="s">
        <v>12406</v>
      </c>
    </row>
    <row r="3824" spans="1:18" x14ac:dyDescent="0.2">
      <c r="A3824">
        <v>881268</v>
      </c>
      <c r="B3824" t="s">
        <v>12407</v>
      </c>
      <c r="C3824">
        <v>0</v>
      </c>
      <c r="D3824">
        <v>0</v>
      </c>
      <c r="E3824">
        <v>0</v>
      </c>
      <c r="F3824">
        <v>1</v>
      </c>
      <c r="G3824">
        <v>0</v>
      </c>
      <c r="H3824">
        <v>0</v>
      </c>
      <c r="I3824">
        <v>0</v>
      </c>
      <c r="J3824">
        <v>0</v>
      </c>
      <c r="K3824">
        <v>0</v>
      </c>
      <c r="L3824" t="s">
        <v>3284</v>
      </c>
      <c r="M3824" t="s">
        <v>3307</v>
      </c>
      <c r="N3824" t="s">
        <v>3308</v>
      </c>
      <c r="O3824" t="s">
        <v>3359</v>
      </c>
      <c r="P3824" t="s">
        <v>3360</v>
      </c>
      <c r="Q3824" t="s">
        <v>3561</v>
      </c>
      <c r="R3824" t="s">
        <v>12408</v>
      </c>
    </row>
    <row r="3825" spans="1:18" x14ac:dyDescent="0.2">
      <c r="A3825">
        <v>881260</v>
      </c>
      <c r="B3825" t="s">
        <v>12409</v>
      </c>
      <c r="C3825">
        <v>0</v>
      </c>
      <c r="D3825">
        <v>0</v>
      </c>
      <c r="E3825">
        <v>2</v>
      </c>
      <c r="F3825">
        <v>0</v>
      </c>
      <c r="G3825">
        <v>1</v>
      </c>
      <c r="H3825">
        <v>0</v>
      </c>
      <c r="I3825">
        <v>1</v>
      </c>
      <c r="J3825">
        <v>0</v>
      </c>
      <c r="K3825">
        <v>0</v>
      </c>
      <c r="L3825" t="s">
        <v>3284</v>
      </c>
      <c r="M3825" t="s">
        <v>3296</v>
      </c>
      <c r="N3825" t="s">
        <v>3297</v>
      </c>
      <c r="O3825" t="s">
        <v>3298</v>
      </c>
      <c r="P3825" t="s">
        <v>3826</v>
      </c>
      <c r="Q3825" t="s">
        <v>6074</v>
      </c>
      <c r="R3825" t="s">
        <v>12410</v>
      </c>
    </row>
    <row r="3826" spans="1:18" x14ac:dyDescent="0.2">
      <c r="A3826">
        <v>879970</v>
      </c>
      <c r="B3826" t="s">
        <v>12411</v>
      </c>
      <c r="C3826">
        <v>0</v>
      </c>
      <c r="D3826">
        <v>2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 t="s">
        <v>3284</v>
      </c>
      <c r="M3826" t="s">
        <v>3327</v>
      </c>
      <c r="N3826" t="s">
        <v>3328</v>
      </c>
      <c r="O3826" t="s">
        <v>4017</v>
      </c>
      <c r="P3826" t="s">
        <v>11367</v>
      </c>
      <c r="Q3826" t="s">
        <v>11368</v>
      </c>
      <c r="R3826" t="s">
        <v>12412</v>
      </c>
    </row>
    <row r="3827" spans="1:18" x14ac:dyDescent="0.2">
      <c r="A3827">
        <v>879274</v>
      </c>
      <c r="B3827" t="s">
        <v>12413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2</v>
      </c>
      <c r="I3827">
        <v>0</v>
      </c>
      <c r="J3827">
        <v>0</v>
      </c>
      <c r="K3827">
        <v>0</v>
      </c>
      <c r="L3827" t="s">
        <v>3284</v>
      </c>
      <c r="M3827" t="s">
        <v>3296</v>
      </c>
      <c r="N3827" t="s">
        <v>3343</v>
      </c>
      <c r="O3827" t="s">
        <v>3344</v>
      </c>
      <c r="P3827" t="s">
        <v>3355</v>
      </c>
      <c r="Q3827" t="s">
        <v>3846</v>
      </c>
      <c r="R3827" t="s">
        <v>12414</v>
      </c>
    </row>
    <row r="3828" spans="1:18" x14ac:dyDescent="0.2">
      <c r="A3828">
        <v>878220</v>
      </c>
      <c r="B3828" t="s">
        <v>12415</v>
      </c>
      <c r="C3828">
        <v>4</v>
      </c>
      <c r="D3828">
        <v>6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 t="s">
        <v>3284</v>
      </c>
      <c r="M3828" t="s">
        <v>3391</v>
      </c>
      <c r="N3828" t="s">
        <v>3411</v>
      </c>
      <c r="O3828" t="s">
        <v>3412</v>
      </c>
      <c r="P3828" t="s">
        <v>3564</v>
      </c>
      <c r="Q3828" t="s">
        <v>3803</v>
      </c>
      <c r="R3828" t="s">
        <v>12416</v>
      </c>
    </row>
    <row r="3829" spans="1:18" x14ac:dyDescent="0.2">
      <c r="A3829">
        <v>877464</v>
      </c>
      <c r="B3829" t="s">
        <v>12417</v>
      </c>
      <c r="C3829">
        <v>0</v>
      </c>
      <c r="D3829">
        <v>0</v>
      </c>
      <c r="E3829">
        <v>0</v>
      </c>
      <c r="F3829">
        <v>4</v>
      </c>
      <c r="G3829">
        <v>6</v>
      </c>
      <c r="H3829">
        <v>0</v>
      </c>
      <c r="I3829">
        <v>0</v>
      </c>
      <c r="J3829">
        <v>0</v>
      </c>
      <c r="K3829">
        <v>0</v>
      </c>
      <c r="L3829" t="s">
        <v>3284</v>
      </c>
      <c r="M3829" t="s">
        <v>3391</v>
      </c>
      <c r="N3829" t="s">
        <v>3411</v>
      </c>
      <c r="O3829" t="s">
        <v>3412</v>
      </c>
      <c r="P3829" t="s">
        <v>3413</v>
      </c>
      <c r="Q3829" t="s">
        <v>3414</v>
      </c>
      <c r="R3829" t="s">
        <v>12418</v>
      </c>
    </row>
    <row r="3830" spans="1:18" x14ac:dyDescent="0.2">
      <c r="A3830">
        <v>876091</v>
      </c>
      <c r="B3830" t="s">
        <v>12419</v>
      </c>
      <c r="C3830">
        <v>1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 t="s">
        <v>3284</v>
      </c>
      <c r="M3830" t="s">
        <v>3327</v>
      </c>
      <c r="N3830" t="s">
        <v>3328</v>
      </c>
      <c r="O3830" t="s">
        <v>3329</v>
      </c>
      <c r="P3830" t="s">
        <v>4620</v>
      </c>
      <c r="Q3830" t="s">
        <v>6303</v>
      </c>
      <c r="R3830" t="s">
        <v>12420</v>
      </c>
    </row>
    <row r="3831" spans="1:18" x14ac:dyDescent="0.2">
      <c r="A3831">
        <v>875932</v>
      </c>
      <c r="B3831" t="s">
        <v>12421</v>
      </c>
      <c r="C3831">
        <v>1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 t="s">
        <v>3284</v>
      </c>
      <c r="M3831" t="s">
        <v>3296</v>
      </c>
      <c r="N3831" t="s">
        <v>3297</v>
      </c>
      <c r="O3831" t="s">
        <v>8851</v>
      </c>
      <c r="P3831" t="s">
        <v>8852</v>
      </c>
      <c r="Q3831" t="s">
        <v>8853</v>
      </c>
      <c r="R3831" t="s">
        <v>12422</v>
      </c>
    </row>
    <row r="3832" spans="1:18" x14ac:dyDescent="0.2">
      <c r="A3832">
        <v>875043</v>
      </c>
      <c r="B3832" t="s">
        <v>12423</v>
      </c>
      <c r="C3832">
        <v>0</v>
      </c>
      <c r="D3832">
        <v>1</v>
      </c>
      <c r="E3832">
        <v>0</v>
      </c>
      <c r="F3832">
        <v>0</v>
      </c>
      <c r="G3832">
        <v>0</v>
      </c>
      <c r="H3832">
        <v>0</v>
      </c>
      <c r="I3832">
        <v>1</v>
      </c>
      <c r="J3832">
        <v>0</v>
      </c>
      <c r="K3832">
        <v>0</v>
      </c>
      <c r="L3832" t="s">
        <v>3284</v>
      </c>
      <c r="M3832" t="s">
        <v>3296</v>
      </c>
      <c r="N3832" t="s">
        <v>3297</v>
      </c>
      <c r="O3832" t="s">
        <v>4124</v>
      </c>
      <c r="P3832" t="s">
        <v>4125</v>
      </c>
      <c r="Q3832" t="s">
        <v>5083</v>
      </c>
      <c r="R3832" t="s">
        <v>12424</v>
      </c>
    </row>
    <row r="3833" spans="1:18" x14ac:dyDescent="0.2">
      <c r="A3833">
        <v>875041</v>
      </c>
      <c r="B3833" t="s">
        <v>12425</v>
      </c>
      <c r="C3833">
        <v>0</v>
      </c>
      <c r="D3833">
        <v>1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 t="s">
        <v>3284</v>
      </c>
      <c r="M3833" t="s">
        <v>3296</v>
      </c>
      <c r="N3833" t="s">
        <v>3343</v>
      </c>
      <c r="O3833" t="s">
        <v>3371</v>
      </c>
      <c r="P3833" t="s">
        <v>3688</v>
      </c>
      <c r="Q3833" t="s">
        <v>4278</v>
      </c>
      <c r="R3833" t="s">
        <v>12426</v>
      </c>
    </row>
    <row r="3834" spans="1:18" x14ac:dyDescent="0.2">
      <c r="A3834">
        <v>873516</v>
      </c>
      <c r="B3834" t="s">
        <v>12427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1</v>
      </c>
      <c r="L3834" t="s">
        <v>3284</v>
      </c>
      <c r="M3834" t="s">
        <v>3296</v>
      </c>
      <c r="N3834" t="s">
        <v>3343</v>
      </c>
      <c r="O3834" t="s">
        <v>3344</v>
      </c>
      <c r="P3834" t="s">
        <v>8284</v>
      </c>
      <c r="Q3834" t="s">
        <v>12091</v>
      </c>
      <c r="R3834" t="s">
        <v>12428</v>
      </c>
    </row>
    <row r="3835" spans="1:18" x14ac:dyDescent="0.2">
      <c r="A3835">
        <v>871696</v>
      </c>
      <c r="B3835" t="s">
        <v>12429</v>
      </c>
      <c r="C3835">
        <v>0</v>
      </c>
      <c r="D3835">
        <v>0</v>
      </c>
      <c r="E3835">
        <v>0</v>
      </c>
      <c r="F3835">
        <v>0</v>
      </c>
      <c r="G3835">
        <v>1</v>
      </c>
      <c r="H3835">
        <v>0</v>
      </c>
      <c r="I3835">
        <v>1</v>
      </c>
      <c r="J3835">
        <v>0</v>
      </c>
      <c r="K3835">
        <v>0</v>
      </c>
      <c r="L3835" t="s">
        <v>3284</v>
      </c>
      <c r="M3835" t="s">
        <v>3391</v>
      </c>
      <c r="N3835" t="s">
        <v>3392</v>
      </c>
      <c r="O3835" t="s">
        <v>3393</v>
      </c>
      <c r="P3835" t="s">
        <v>3394</v>
      </c>
      <c r="Q3835" t="s">
        <v>3395</v>
      </c>
      <c r="R3835" t="s">
        <v>12430</v>
      </c>
    </row>
    <row r="3836" spans="1:18" x14ac:dyDescent="0.2">
      <c r="A3836">
        <v>871695</v>
      </c>
      <c r="B3836" t="s">
        <v>12431</v>
      </c>
      <c r="C3836">
        <v>0</v>
      </c>
      <c r="D3836">
        <v>0</v>
      </c>
      <c r="E3836">
        <v>0</v>
      </c>
      <c r="F3836">
        <v>0</v>
      </c>
      <c r="G3836">
        <v>1</v>
      </c>
      <c r="H3836">
        <v>1</v>
      </c>
      <c r="I3836">
        <v>0</v>
      </c>
      <c r="J3836">
        <v>0</v>
      </c>
      <c r="K3836">
        <v>0</v>
      </c>
      <c r="L3836" t="s">
        <v>3284</v>
      </c>
      <c r="M3836" t="s">
        <v>3391</v>
      </c>
      <c r="N3836" t="s">
        <v>3411</v>
      </c>
      <c r="O3836" t="s">
        <v>3412</v>
      </c>
      <c r="P3836" t="s">
        <v>3413</v>
      </c>
      <c r="Q3836" t="s">
        <v>3414</v>
      </c>
      <c r="R3836" t="s">
        <v>12432</v>
      </c>
    </row>
    <row r="3837" spans="1:18" x14ac:dyDescent="0.2">
      <c r="A3837">
        <v>871694</v>
      </c>
      <c r="B3837" t="s">
        <v>12433</v>
      </c>
      <c r="C3837">
        <v>1</v>
      </c>
      <c r="D3837">
        <v>0</v>
      </c>
      <c r="E3837">
        <v>0</v>
      </c>
      <c r="F3837">
        <v>1</v>
      </c>
      <c r="G3837">
        <v>0</v>
      </c>
      <c r="H3837">
        <v>0</v>
      </c>
      <c r="I3837">
        <v>0</v>
      </c>
      <c r="J3837">
        <v>0</v>
      </c>
      <c r="K3837">
        <v>0</v>
      </c>
      <c r="L3837" t="s">
        <v>3284</v>
      </c>
      <c r="M3837" t="s">
        <v>3391</v>
      </c>
      <c r="N3837" t="s">
        <v>3411</v>
      </c>
      <c r="O3837" t="s">
        <v>3412</v>
      </c>
      <c r="P3837" t="s">
        <v>3413</v>
      </c>
      <c r="Q3837" t="s">
        <v>3414</v>
      </c>
      <c r="R3837" t="s">
        <v>12434</v>
      </c>
    </row>
    <row r="3838" spans="1:18" x14ac:dyDescent="0.2">
      <c r="A3838">
        <v>870476</v>
      </c>
      <c r="B3838" t="s">
        <v>12435</v>
      </c>
      <c r="C3838">
        <v>0</v>
      </c>
      <c r="D3838">
        <v>0</v>
      </c>
      <c r="E3838">
        <v>0</v>
      </c>
      <c r="F3838">
        <v>0</v>
      </c>
      <c r="G3838">
        <v>1</v>
      </c>
      <c r="H3838">
        <v>0</v>
      </c>
      <c r="I3838">
        <v>0</v>
      </c>
      <c r="J3838">
        <v>0</v>
      </c>
      <c r="K3838">
        <v>0</v>
      </c>
      <c r="L3838" t="s">
        <v>3284</v>
      </c>
      <c r="M3838" t="s">
        <v>3296</v>
      </c>
      <c r="N3838" t="s">
        <v>3343</v>
      </c>
      <c r="O3838" t="s">
        <v>3349</v>
      </c>
      <c r="P3838" t="s">
        <v>3350</v>
      </c>
      <c r="Q3838" t="s">
        <v>4175</v>
      </c>
      <c r="R3838" t="s">
        <v>12436</v>
      </c>
    </row>
    <row r="3839" spans="1:18" x14ac:dyDescent="0.2">
      <c r="A3839">
        <v>869962</v>
      </c>
      <c r="B3839" t="s">
        <v>12437</v>
      </c>
      <c r="C3839">
        <v>3</v>
      </c>
      <c r="D3839">
        <v>0</v>
      </c>
      <c r="E3839">
        <v>0</v>
      </c>
      <c r="F3839">
        <v>1</v>
      </c>
      <c r="G3839">
        <v>0</v>
      </c>
      <c r="H3839">
        <v>0</v>
      </c>
      <c r="I3839">
        <v>1</v>
      </c>
      <c r="J3839">
        <v>1</v>
      </c>
      <c r="K3839">
        <v>0</v>
      </c>
      <c r="L3839" t="s">
        <v>3284</v>
      </c>
      <c r="M3839" t="s">
        <v>3391</v>
      </c>
      <c r="N3839" t="s">
        <v>3392</v>
      </c>
      <c r="O3839" t="s">
        <v>3393</v>
      </c>
      <c r="P3839" t="s">
        <v>3394</v>
      </c>
      <c r="Q3839" t="s">
        <v>3395</v>
      </c>
      <c r="R3839" t="s">
        <v>12438</v>
      </c>
    </row>
    <row r="3840" spans="1:18" x14ac:dyDescent="0.2">
      <c r="A3840">
        <v>869555</v>
      </c>
      <c r="B3840" t="s">
        <v>12439</v>
      </c>
      <c r="C3840">
        <v>0</v>
      </c>
      <c r="D3840">
        <v>0</v>
      </c>
      <c r="E3840">
        <v>1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 t="s">
        <v>3284</v>
      </c>
      <c r="M3840" t="s">
        <v>3327</v>
      </c>
      <c r="N3840" t="s">
        <v>3376</v>
      </c>
      <c r="O3840" t="s">
        <v>3377</v>
      </c>
      <c r="P3840" t="s">
        <v>3604</v>
      </c>
      <c r="Q3840" t="s">
        <v>3668</v>
      </c>
      <c r="R3840" t="s">
        <v>12440</v>
      </c>
    </row>
    <row r="3841" spans="1:18" x14ac:dyDescent="0.2">
      <c r="A3841">
        <v>869394</v>
      </c>
      <c r="B3841" t="s">
        <v>12441</v>
      </c>
      <c r="C3841">
        <v>0</v>
      </c>
      <c r="D3841">
        <v>1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 t="s">
        <v>3284</v>
      </c>
      <c r="M3841" t="s">
        <v>3391</v>
      </c>
      <c r="N3841" t="s">
        <v>3740</v>
      </c>
      <c r="O3841" t="s">
        <v>3741</v>
      </c>
      <c r="P3841" t="s">
        <v>3853</v>
      </c>
      <c r="Q3841" t="s">
        <v>8528</v>
      </c>
      <c r="R3841" t="s">
        <v>12442</v>
      </c>
    </row>
    <row r="3842" spans="1:18" x14ac:dyDescent="0.2">
      <c r="A3842">
        <v>867080</v>
      </c>
      <c r="B3842" t="s">
        <v>12443</v>
      </c>
      <c r="C3842">
        <v>1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 t="s">
        <v>3284</v>
      </c>
      <c r="M3842" t="s">
        <v>3327</v>
      </c>
      <c r="N3842" t="s">
        <v>3376</v>
      </c>
      <c r="O3842" t="s">
        <v>3377</v>
      </c>
      <c r="P3842" t="s">
        <v>3604</v>
      </c>
      <c r="Q3842" t="s">
        <v>3668</v>
      </c>
      <c r="R3842" t="s">
        <v>12444</v>
      </c>
    </row>
    <row r="3843" spans="1:18" x14ac:dyDescent="0.2">
      <c r="A3843">
        <v>866807</v>
      </c>
      <c r="B3843" t="s">
        <v>12445</v>
      </c>
      <c r="C3843">
        <v>0</v>
      </c>
      <c r="D3843">
        <v>1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 t="s">
        <v>3284</v>
      </c>
      <c r="M3843" t="s">
        <v>3391</v>
      </c>
      <c r="N3843" t="s">
        <v>3740</v>
      </c>
      <c r="O3843" t="s">
        <v>3741</v>
      </c>
      <c r="P3843" t="s">
        <v>12446</v>
      </c>
      <c r="Q3843" t="s">
        <v>12447</v>
      </c>
      <c r="R3843" t="s">
        <v>12448</v>
      </c>
    </row>
    <row r="3844" spans="1:18" x14ac:dyDescent="0.2">
      <c r="A3844">
        <v>866564</v>
      </c>
      <c r="B3844" t="s">
        <v>12449</v>
      </c>
      <c r="C3844">
        <v>0</v>
      </c>
      <c r="D3844">
        <v>0</v>
      </c>
      <c r="E3844">
        <v>0</v>
      </c>
      <c r="F3844">
        <v>1</v>
      </c>
      <c r="G3844">
        <v>0</v>
      </c>
      <c r="H3844">
        <v>0</v>
      </c>
      <c r="I3844">
        <v>0</v>
      </c>
      <c r="J3844">
        <v>0</v>
      </c>
      <c r="K3844">
        <v>0</v>
      </c>
      <c r="L3844" t="s">
        <v>3284</v>
      </c>
      <c r="M3844" t="s">
        <v>3296</v>
      </c>
      <c r="N3844" t="s">
        <v>3321</v>
      </c>
      <c r="O3844" t="s">
        <v>3322</v>
      </c>
      <c r="P3844" t="s">
        <v>3398</v>
      </c>
      <c r="Q3844" t="s">
        <v>4593</v>
      </c>
      <c r="R3844" t="s">
        <v>12450</v>
      </c>
    </row>
    <row r="3845" spans="1:18" x14ac:dyDescent="0.2">
      <c r="A3845">
        <v>863372</v>
      </c>
      <c r="B3845" t="s">
        <v>12451</v>
      </c>
      <c r="C3845">
        <v>1</v>
      </c>
      <c r="D3845">
        <v>2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 t="s">
        <v>3284</v>
      </c>
      <c r="M3845" t="s">
        <v>3296</v>
      </c>
      <c r="N3845" t="s">
        <v>3321</v>
      </c>
      <c r="O3845" t="s">
        <v>3322</v>
      </c>
      <c r="P3845" t="s">
        <v>3323</v>
      </c>
      <c r="Q3845" t="s">
        <v>3518</v>
      </c>
      <c r="R3845" t="s">
        <v>12452</v>
      </c>
    </row>
    <row r="3846" spans="1:18" x14ac:dyDescent="0.2">
      <c r="A3846">
        <v>862415</v>
      </c>
      <c r="B3846" t="s">
        <v>12453</v>
      </c>
      <c r="C3846">
        <v>1</v>
      </c>
      <c r="D3846">
        <v>1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 t="s">
        <v>3284</v>
      </c>
      <c r="M3846" t="s">
        <v>3327</v>
      </c>
      <c r="N3846" t="s">
        <v>3753</v>
      </c>
      <c r="O3846" t="s">
        <v>3754</v>
      </c>
      <c r="P3846" t="s">
        <v>10142</v>
      </c>
      <c r="Q3846" t="s">
        <v>12454</v>
      </c>
      <c r="R3846" t="s">
        <v>12455</v>
      </c>
    </row>
    <row r="3847" spans="1:18" x14ac:dyDescent="0.2">
      <c r="A3847">
        <v>862126</v>
      </c>
      <c r="B3847" t="s">
        <v>12456</v>
      </c>
      <c r="C3847">
        <v>0</v>
      </c>
      <c r="D3847">
        <v>0</v>
      </c>
      <c r="E3847">
        <v>0</v>
      </c>
      <c r="F3847">
        <v>1</v>
      </c>
      <c r="G3847">
        <v>2</v>
      </c>
      <c r="H3847">
        <v>0</v>
      </c>
      <c r="I3847">
        <v>0</v>
      </c>
      <c r="J3847">
        <v>0</v>
      </c>
      <c r="K3847">
        <v>0</v>
      </c>
      <c r="L3847" t="s">
        <v>3284</v>
      </c>
      <c r="M3847" t="s">
        <v>3391</v>
      </c>
      <c r="N3847" t="s">
        <v>3392</v>
      </c>
      <c r="O3847" t="s">
        <v>3393</v>
      </c>
      <c r="P3847" t="s">
        <v>3394</v>
      </c>
      <c r="Q3847" t="s">
        <v>4082</v>
      </c>
      <c r="R3847" t="s">
        <v>12457</v>
      </c>
    </row>
    <row r="3848" spans="1:18" x14ac:dyDescent="0.2">
      <c r="A3848">
        <v>861534</v>
      </c>
      <c r="B3848" t="s">
        <v>12458</v>
      </c>
      <c r="C3848">
        <v>0</v>
      </c>
      <c r="D3848">
        <v>0</v>
      </c>
      <c r="E3848">
        <v>0</v>
      </c>
      <c r="F3848">
        <v>1</v>
      </c>
      <c r="G3848">
        <v>2</v>
      </c>
      <c r="H3848">
        <v>0</v>
      </c>
      <c r="I3848">
        <v>0</v>
      </c>
      <c r="J3848">
        <v>0</v>
      </c>
      <c r="K3848">
        <v>0</v>
      </c>
      <c r="L3848" t="s">
        <v>3284</v>
      </c>
      <c r="M3848" t="s">
        <v>3296</v>
      </c>
      <c r="N3848" t="s">
        <v>3343</v>
      </c>
      <c r="O3848" t="s">
        <v>3349</v>
      </c>
      <c r="P3848" t="s">
        <v>3350</v>
      </c>
      <c r="Q3848" t="s">
        <v>3580</v>
      </c>
      <c r="R3848" t="s">
        <v>12459</v>
      </c>
    </row>
    <row r="3849" spans="1:18" x14ac:dyDescent="0.2">
      <c r="A3849">
        <v>857265</v>
      </c>
      <c r="B3849" t="s">
        <v>12460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1</v>
      </c>
      <c r="J3849">
        <v>0</v>
      </c>
      <c r="K3849">
        <v>0</v>
      </c>
      <c r="L3849" t="s">
        <v>3284</v>
      </c>
      <c r="M3849" t="s">
        <v>3296</v>
      </c>
      <c r="N3849" t="s">
        <v>3321</v>
      </c>
      <c r="O3849" t="s">
        <v>5306</v>
      </c>
      <c r="P3849" t="s">
        <v>5385</v>
      </c>
      <c r="Q3849" t="s">
        <v>12461</v>
      </c>
      <c r="R3849" t="s">
        <v>12462</v>
      </c>
    </row>
    <row r="3850" spans="1:18" x14ac:dyDescent="0.2">
      <c r="A3850">
        <v>797900</v>
      </c>
      <c r="B3850" t="s">
        <v>12463</v>
      </c>
      <c r="C3850">
        <v>0</v>
      </c>
      <c r="D3850">
        <v>1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 t="s">
        <v>3284</v>
      </c>
      <c r="M3850" t="s">
        <v>3391</v>
      </c>
      <c r="N3850" t="s">
        <v>3411</v>
      </c>
      <c r="O3850" t="s">
        <v>3412</v>
      </c>
      <c r="P3850" t="s">
        <v>3413</v>
      </c>
      <c r="Q3850" t="s">
        <v>3414</v>
      </c>
      <c r="R3850" t="s">
        <v>12464</v>
      </c>
    </row>
    <row r="3851" spans="1:18" x14ac:dyDescent="0.2">
      <c r="A3851">
        <v>797541</v>
      </c>
      <c r="B3851" t="s">
        <v>12465</v>
      </c>
      <c r="C3851">
        <v>0</v>
      </c>
      <c r="D3851">
        <v>0</v>
      </c>
      <c r="E3851">
        <v>0</v>
      </c>
      <c r="F3851">
        <v>6</v>
      </c>
      <c r="G3851">
        <v>1</v>
      </c>
      <c r="H3851">
        <v>0</v>
      </c>
      <c r="I3851">
        <v>0</v>
      </c>
      <c r="J3851">
        <v>0</v>
      </c>
      <c r="K3851">
        <v>0</v>
      </c>
      <c r="L3851" t="s">
        <v>3284</v>
      </c>
      <c r="M3851" t="s">
        <v>3391</v>
      </c>
      <c r="N3851" t="s">
        <v>3392</v>
      </c>
      <c r="O3851" t="s">
        <v>3393</v>
      </c>
      <c r="P3851" t="s">
        <v>3394</v>
      </c>
      <c r="Q3851" t="s">
        <v>4082</v>
      </c>
      <c r="R3851" t="s">
        <v>12466</v>
      </c>
    </row>
    <row r="3852" spans="1:18" x14ac:dyDescent="0.2">
      <c r="A3852">
        <v>797419</v>
      </c>
      <c r="B3852" t="s">
        <v>12467</v>
      </c>
      <c r="C3852">
        <v>1</v>
      </c>
      <c r="D3852">
        <v>0</v>
      </c>
      <c r="E3852">
        <v>0</v>
      </c>
      <c r="F3852">
        <v>1</v>
      </c>
      <c r="G3852">
        <v>0</v>
      </c>
      <c r="H3852">
        <v>0</v>
      </c>
      <c r="I3852">
        <v>0</v>
      </c>
      <c r="J3852">
        <v>0</v>
      </c>
      <c r="K3852">
        <v>0</v>
      </c>
      <c r="L3852" t="s">
        <v>3284</v>
      </c>
      <c r="M3852" t="s">
        <v>3391</v>
      </c>
      <c r="N3852" t="s">
        <v>3411</v>
      </c>
      <c r="O3852" t="s">
        <v>3412</v>
      </c>
      <c r="P3852" t="s">
        <v>3413</v>
      </c>
      <c r="Q3852" t="s">
        <v>12468</v>
      </c>
      <c r="R3852" t="s">
        <v>12469</v>
      </c>
    </row>
    <row r="3853" spans="1:18" x14ac:dyDescent="0.2">
      <c r="A3853">
        <v>796937</v>
      </c>
      <c r="B3853" t="s">
        <v>12470</v>
      </c>
      <c r="C3853">
        <v>0</v>
      </c>
      <c r="D3853">
        <v>1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 t="s">
        <v>3284</v>
      </c>
      <c r="M3853" t="s">
        <v>3327</v>
      </c>
      <c r="N3853" t="s">
        <v>3328</v>
      </c>
      <c r="O3853" t="s">
        <v>4184</v>
      </c>
      <c r="P3853" t="s">
        <v>11339</v>
      </c>
      <c r="Q3853" t="s">
        <v>12471</v>
      </c>
      <c r="R3853" t="s">
        <v>12472</v>
      </c>
    </row>
    <row r="3854" spans="1:18" x14ac:dyDescent="0.2">
      <c r="A3854">
        <v>768543</v>
      </c>
      <c r="B3854" t="s">
        <v>12473</v>
      </c>
      <c r="C3854">
        <v>1</v>
      </c>
      <c r="D3854">
        <v>1</v>
      </c>
      <c r="E3854">
        <v>1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 t="s">
        <v>3284</v>
      </c>
      <c r="M3854" t="s">
        <v>3296</v>
      </c>
      <c r="N3854" t="s">
        <v>3321</v>
      </c>
      <c r="O3854" t="s">
        <v>3322</v>
      </c>
      <c r="P3854" t="s">
        <v>3398</v>
      </c>
      <c r="Q3854" t="s">
        <v>4796</v>
      </c>
      <c r="R3854" t="s">
        <v>12474</v>
      </c>
    </row>
    <row r="3855" spans="1:18" x14ac:dyDescent="0.2">
      <c r="A3855">
        <v>768528</v>
      </c>
      <c r="B3855" t="s">
        <v>12475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1</v>
      </c>
      <c r="J3855">
        <v>0</v>
      </c>
      <c r="K3855">
        <v>0</v>
      </c>
      <c r="L3855" t="s">
        <v>3284</v>
      </c>
      <c r="M3855" t="s">
        <v>3296</v>
      </c>
      <c r="N3855" t="s">
        <v>3297</v>
      </c>
      <c r="O3855" t="s">
        <v>4556</v>
      </c>
      <c r="P3855" t="s">
        <v>6227</v>
      </c>
      <c r="Q3855" t="s">
        <v>6228</v>
      </c>
      <c r="R3855" t="s">
        <v>12476</v>
      </c>
    </row>
    <row r="3856" spans="1:18" x14ac:dyDescent="0.2">
      <c r="A3856">
        <v>768480</v>
      </c>
      <c r="B3856" t="s">
        <v>12477</v>
      </c>
      <c r="C3856">
        <v>0</v>
      </c>
      <c r="D3856">
        <v>0</v>
      </c>
      <c r="E3856">
        <v>0</v>
      </c>
      <c r="F3856">
        <v>20</v>
      </c>
      <c r="G3856">
        <v>12</v>
      </c>
      <c r="H3856">
        <v>1</v>
      </c>
      <c r="I3856">
        <v>0</v>
      </c>
      <c r="J3856">
        <v>0</v>
      </c>
      <c r="K3856">
        <v>0</v>
      </c>
      <c r="L3856" t="s">
        <v>3284</v>
      </c>
      <c r="M3856" t="s">
        <v>3391</v>
      </c>
      <c r="N3856" t="s">
        <v>3392</v>
      </c>
      <c r="O3856" t="s">
        <v>3393</v>
      </c>
      <c r="P3856" t="s">
        <v>3394</v>
      </c>
      <c r="Q3856" t="s">
        <v>4082</v>
      </c>
      <c r="R3856" t="s">
        <v>12478</v>
      </c>
    </row>
    <row r="3857" spans="1:18" x14ac:dyDescent="0.2">
      <c r="A3857">
        <v>767427</v>
      </c>
      <c r="B3857" t="s">
        <v>12479</v>
      </c>
      <c r="C3857">
        <v>0</v>
      </c>
      <c r="D3857">
        <v>0</v>
      </c>
      <c r="E3857">
        <v>0</v>
      </c>
      <c r="F3857">
        <v>1</v>
      </c>
      <c r="G3857">
        <v>0</v>
      </c>
      <c r="H3857">
        <v>0</v>
      </c>
      <c r="I3857">
        <v>0</v>
      </c>
      <c r="J3857">
        <v>0</v>
      </c>
      <c r="K3857">
        <v>0</v>
      </c>
      <c r="L3857" t="s">
        <v>3284</v>
      </c>
      <c r="M3857" t="s">
        <v>4022</v>
      </c>
      <c r="N3857" t="s">
        <v>4023</v>
      </c>
      <c r="O3857" t="s">
        <v>12480</v>
      </c>
      <c r="P3857" t="s">
        <v>12481</v>
      </c>
      <c r="Q3857" t="s">
        <v>12482</v>
      </c>
      <c r="R3857" t="s">
        <v>12483</v>
      </c>
    </row>
    <row r="3858" spans="1:18" x14ac:dyDescent="0.2">
      <c r="A3858">
        <v>766224</v>
      </c>
      <c r="B3858" t="s">
        <v>12484</v>
      </c>
      <c r="C3858">
        <v>0</v>
      </c>
      <c r="D3858">
        <v>1</v>
      </c>
      <c r="E3858">
        <v>0</v>
      </c>
      <c r="F3858">
        <v>1</v>
      </c>
      <c r="G3858">
        <v>2</v>
      </c>
      <c r="H3858">
        <v>0</v>
      </c>
      <c r="I3858">
        <v>0</v>
      </c>
      <c r="J3858">
        <v>0</v>
      </c>
      <c r="K3858">
        <v>1</v>
      </c>
      <c r="L3858" t="s">
        <v>3284</v>
      </c>
      <c r="M3858" t="s">
        <v>3296</v>
      </c>
      <c r="N3858" t="s">
        <v>3297</v>
      </c>
      <c r="O3858" t="s">
        <v>8851</v>
      </c>
      <c r="P3858" t="s">
        <v>8852</v>
      </c>
      <c r="Q3858" t="s">
        <v>10605</v>
      </c>
      <c r="R3858" t="s">
        <v>12485</v>
      </c>
    </row>
    <row r="3859" spans="1:18" x14ac:dyDescent="0.2">
      <c r="A3859">
        <v>766136</v>
      </c>
      <c r="B3859" t="s">
        <v>12486</v>
      </c>
      <c r="C3859">
        <v>0</v>
      </c>
      <c r="D3859">
        <v>1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 t="s">
        <v>3284</v>
      </c>
      <c r="M3859" t="s">
        <v>3327</v>
      </c>
      <c r="N3859" t="s">
        <v>12487</v>
      </c>
      <c r="O3859" t="s">
        <v>12488</v>
      </c>
      <c r="P3859" t="s">
        <v>12489</v>
      </c>
      <c r="Q3859" t="s">
        <v>12490</v>
      </c>
      <c r="R3859" t="s">
        <v>12491</v>
      </c>
    </row>
    <row r="3860" spans="1:18" x14ac:dyDescent="0.2">
      <c r="A3860">
        <v>764842</v>
      </c>
      <c r="B3860" t="s">
        <v>12492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1</v>
      </c>
      <c r="J3860">
        <v>0</v>
      </c>
      <c r="K3860">
        <v>0</v>
      </c>
      <c r="L3860" t="s">
        <v>3284</v>
      </c>
      <c r="M3860" t="s">
        <v>3296</v>
      </c>
      <c r="N3860" t="s">
        <v>3321</v>
      </c>
      <c r="O3860" t="s">
        <v>3322</v>
      </c>
      <c r="P3860" t="s">
        <v>4143</v>
      </c>
      <c r="Q3860" t="s">
        <v>12493</v>
      </c>
      <c r="R3860" t="s">
        <v>12494</v>
      </c>
    </row>
    <row r="3861" spans="1:18" x14ac:dyDescent="0.2">
      <c r="A3861">
        <v>763782</v>
      </c>
      <c r="B3861" t="s">
        <v>12495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1</v>
      </c>
      <c r="J3861">
        <v>0</v>
      </c>
      <c r="K3861">
        <v>0</v>
      </c>
      <c r="L3861" t="s">
        <v>3284</v>
      </c>
      <c r="M3861" t="s">
        <v>3307</v>
      </c>
      <c r="N3861" t="s">
        <v>3308</v>
      </c>
      <c r="O3861" t="s">
        <v>3949</v>
      </c>
      <c r="P3861" t="s">
        <v>3950</v>
      </c>
      <c r="Q3861" t="s">
        <v>6350</v>
      </c>
      <c r="R3861" t="s">
        <v>12496</v>
      </c>
    </row>
    <row r="3862" spans="1:18" x14ac:dyDescent="0.2">
      <c r="A3862">
        <v>761804</v>
      </c>
      <c r="B3862" t="s">
        <v>12497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1</v>
      </c>
      <c r="J3862">
        <v>0</v>
      </c>
      <c r="K3862">
        <v>0</v>
      </c>
      <c r="L3862" t="s">
        <v>3284</v>
      </c>
      <c r="M3862" t="s">
        <v>3307</v>
      </c>
      <c r="N3862" t="s">
        <v>3308</v>
      </c>
      <c r="O3862" t="s">
        <v>3635</v>
      </c>
      <c r="P3862" t="s">
        <v>4011</v>
      </c>
      <c r="Q3862" t="s">
        <v>4012</v>
      </c>
      <c r="R3862" t="s">
        <v>12498</v>
      </c>
    </row>
    <row r="3863" spans="1:18" x14ac:dyDescent="0.2">
      <c r="A3863">
        <v>758826</v>
      </c>
      <c r="B3863" t="s">
        <v>12499</v>
      </c>
      <c r="C3863">
        <v>0</v>
      </c>
      <c r="D3863">
        <v>0</v>
      </c>
      <c r="E3863">
        <v>1</v>
      </c>
      <c r="F3863">
        <v>3</v>
      </c>
      <c r="G3863">
        <v>2</v>
      </c>
      <c r="H3863">
        <v>0</v>
      </c>
      <c r="I3863">
        <v>0</v>
      </c>
      <c r="J3863">
        <v>1</v>
      </c>
      <c r="K3863">
        <v>0</v>
      </c>
      <c r="L3863" t="s">
        <v>3284</v>
      </c>
      <c r="M3863" t="s">
        <v>3296</v>
      </c>
      <c r="N3863" t="s">
        <v>3321</v>
      </c>
      <c r="O3863" t="s">
        <v>3322</v>
      </c>
      <c r="P3863" t="s">
        <v>3398</v>
      </c>
      <c r="Q3863" t="s">
        <v>3556</v>
      </c>
      <c r="R3863" t="s">
        <v>12500</v>
      </c>
    </row>
    <row r="3864" spans="1:18" x14ac:dyDescent="0.2">
      <c r="A3864">
        <v>755731</v>
      </c>
      <c r="B3864" t="s">
        <v>12501</v>
      </c>
      <c r="C3864">
        <v>0</v>
      </c>
      <c r="D3864">
        <v>1</v>
      </c>
      <c r="E3864">
        <v>1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 t="s">
        <v>3284</v>
      </c>
      <c r="M3864" t="s">
        <v>3327</v>
      </c>
      <c r="N3864" t="s">
        <v>3328</v>
      </c>
      <c r="O3864" t="s">
        <v>3329</v>
      </c>
      <c r="P3864" t="s">
        <v>3330</v>
      </c>
      <c r="Q3864" t="s">
        <v>3331</v>
      </c>
      <c r="R3864" t="s">
        <v>12502</v>
      </c>
    </row>
    <row r="3865" spans="1:18" x14ac:dyDescent="0.2">
      <c r="A3865">
        <v>748120</v>
      </c>
      <c r="B3865" t="s">
        <v>12503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1</v>
      </c>
      <c r="J3865">
        <v>0</v>
      </c>
      <c r="K3865">
        <v>0</v>
      </c>
      <c r="L3865" t="s">
        <v>3284</v>
      </c>
      <c r="M3865" t="s">
        <v>3296</v>
      </c>
      <c r="N3865" t="s">
        <v>3297</v>
      </c>
      <c r="O3865" t="s">
        <v>4037</v>
      </c>
      <c r="P3865" t="s">
        <v>4038</v>
      </c>
      <c r="Q3865" t="s">
        <v>12504</v>
      </c>
      <c r="R3865" t="s">
        <v>12505</v>
      </c>
    </row>
    <row r="3866" spans="1:18" x14ac:dyDescent="0.2">
      <c r="A3866">
        <v>747377</v>
      </c>
      <c r="B3866" t="s">
        <v>12506</v>
      </c>
      <c r="C3866">
        <v>0</v>
      </c>
      <c r="D3866">
        <v>3</v>
      </c>
      <c r="E3866">
        <v>6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 t="s">
        <v>3284</v>
      </c>
      <c r="M3866" t="s">
        <v>3327</v>
      </c>
      <c r="N3866" t="s">
        <v>3328</v>
      </c>
      <c r="O3866" t="s">
        <v>3329</v>
      </c>
      <c r="P3866" t="s">
        <v>3330</v>
      </c>
      <c r="Q3866" t="s">
        <v>3331</v>
      </c>
      <c r="R3866" t="s">
        <v>12507</v>
      </c>
    </row>
    <row r="3867" spans="1:18" x14ac:dyDescent="0.2">
      <c r="A3867">
        <v>747304</v>
      </c>
      <c r="B3867" t="s">
        <v>12508</v>
      </c>
      <c r="C3867">
        <v>6</v>
      </c>
      <c r="D3867">
        <v>6</v>
      </c>
      <c r="E3867">
        <v>4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 t="s">
        <v>3284</v>
      </c>
      <c r="M3867" t="s">
        <v>3296</v>
      </c>
      <c r="N3867" t="s">
        <v>3321</v>
      </c>
      <c r="O3867" t="s">
        <v>3322</v>
      </c>
      <c r="P3867" t="s">
        <v>3398</v>
      </c>
      <c r="Q3867" t="s">
        <v>9491</v>
      </c>
      <c r="R3867" t="s">
        <v>12509</v>
      </c>
    </row>
    <row r="3868" spans="1:18" x14ac:dyDescent="0.2">
      <c r="A3868">
        <v>745714</v>
      </c>
      <c r="B3868" t="s">
        <v>12510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1</v>
      </c>
      <c r="K3868">
        <v>0</v>
      </c>
      <c r="L3868" t="s">
        <v>3284</v>
      </c>
      <c r="M3868" t="s">
        <v>3296</v>
      </c>
      <c r="N3868" t="s">
        <v>3343</v>
      </c>
      <c r="O3868" t="s">
        <v>12511</v>
      </c>
      <c r="P3868" t="s">
        <v>12512</v>
      </c>
      <c r="Q3868" t="s">
        <v>12513</v>
      </c>
      <c r="R3868" t="s">
        <v>12514</v>
      </c>
    </row>
    <row r="3869" spans="1:18" x14ac:dyDescent="0.2">
      <c r="A3869">
        <v>745369</v>
      </c>
      <c r="B3869" t="s">
        <v>12515</v>
      </c>
      <c r="C3869">
        <v>0</v>
      </c>
      <c r="D3869">
        <v>1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 t="s">
        <v>3284</v>
      </c>
      <c r="M3869" t="s">
        <v>3327</v>
      </c>
      <c r="N3869" t="s">
        <v>3328</v>
      </c>
      <c r="O3869" t="s">
        <v>4184</v>
      </c>
      <c r="P3869" t="s">
        <v>11339</v>
      </c>
      <c r="Q3869" t="s">
        <v>11340</v>
      </c>
      <c r="R3869" t="s">
        <v>12516</v>
      </c>
    </row>
    <row r="3870" spans="1:18" x14ac:dyDescent="0.2">
      <c r="A3870">
        <v>745368</v>
      </c>
      <c r="B3870" t="s">
        <v>12517</v>
      </c>
      <c r="C3870">
        <v>1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 t="s">
        <v>3284</v>
      </c>
      <c r="M3870" t="s">
        <v>3327</v>
      </c>
      <c r="N3870" t="s">
        <v>3328</v>
      </c>
      <c r="O3870" t="s">
        <v>3329</v>
      </c>
      <c r="P3870" t="s">
        <v>3271</v>
      </c>
      <c r="Q3870" t="s">
        <v>9241</v>
      </c>
      <c r="R3870" t="s">
        <v>12518</v>
      </c>
    </row>
    <row r="3871" spans="1:18" x14ac:dyDescent="0.2">
      <c r="A3871">
        <v>744980</v>
      </c>
      <c r="B3871" t="s">
        <v>12519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2</v>
      </c>
      <c r="J3871">
        <v>0</v>
      </c>
      <c r="K3871">
        <v>0</v>
      </c>
      <c r="L3871" t="s">
        <v>3284</v>
      </c>
      <c r="M3871" t="s">
        <v>3296</v>
      </c>
      <c r="N3871" t="s">
        <v>3343</v>
      </c>
      <c r="O3871" t="s">
        <v>3344</v>
      </c>
      <c r="P3871" t="s">
        <v>4785</v>
      </c>
      <c r="Q3871" t="s">
        <v>4786</v>
      </c>
      <c r="R3871" t="s">
        <v>12520</v>
      </c>
    </row>
    <row r="3872" spans="1:18" x14ac:dyDescent="0.2">
      <c r="A3872">
        <v>744406</v>
      </c>
      <c r="B3872" t="s">
        <v>12521</v>
      </c>
      <c r="C3872">
        <v>1</v>
      </c>
      <c r="D3872">
        <v>2</v>
      </c>
      <c r="E3872">
        <v>0</v>
      </c>
      <c r="F3872">
        <v>0</v>
      </c>
      <c r="G3872">
        <v>1</v>
      </c>
      <c r="H3872">
        <v>1</v>
      </c>
      <c r="I3872">
        <v>0</v>
      </c>
      <c r="J3872">
        <v>0</v>
      </c>
      <c r="K3872">
        <v>0</v>
      </c>
      <c r="L3872" t="s">
        <v>3284</v>
      </c>
      <c r="M3872" t="s">
        <v>3296</v>
      </c>
      <c r="N3872" t="s">
        <v>3321</v>
      </c>
      <c r="O3872" t="s">
        <v>3322</v>
      </c>
      <c r="P3872" t="s">
        <v>3671</v>
      </c>
      <c r="Q3872" t="s">
        <v>5824</v>
      </c>
      <c r="R3872" t="s">
        <v>12522</v>
      </c>
    </row>
    <row r="3873" spans="1:18" x14ac:dyDescent="0.2">
      <c r="A3873">
        <v>742169</v>
      </c>
      <c r="B3873" t="s">
        <v>12523</v>
      </c>
      <c r="C3873">
        <v>0</v>
      </c>
      <c r="D3873">
        <v>1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 t="s">
        <v>3284</v>
      </c>
      <c r="M3873" t="s">
        <v>3327</v>
      </c>
      <c r="N3873" t="s">
        <v>3376</v>
      </c>
      <c r="O3873" t="s">
        <v>3377</v>
      </c>
      <c r="P3873" t="s">
        <v>3378</v>
      </c>
      <c r="Q3873" t="s">
        <v>4703</v>
      </c>
      <c r="R3873" t="s">
        <v>12524</v>
      </c>
    </row>
    <row r="3874" spans="1:18" x14ac:dyDescent="0.2">
      <c r="A3874">
        <v>742013</v>
      </c>
      <c r="B3874" t="s">
        <v>12525</v>
      </c>
      <c r="C3874">
        <v>0</v>
      </c>
      <c r="D3874">
        <v>0</v>
      </c>
      <c r="E3874">
        <v>0</v>
      </c>
      <c r="F3874">
        <v>7</v>
      </c>
      <c r="G3874">
        <v>5</v>
      </c>
      <c r="H3874">
        <v>4</v>
      </c>
      <c r="I3874">
        <v>24</v>
      </c>
      <c r="J3874">
        <v>11</v>
      </c>
      <c r="K3874">
        <v>14</v>
      </c>
      <c r="L3874" t="s">
        <v>3284</v>
      </c>
      <c r="M3874" t="s">
        <v>3296</v>
      </c>
      <c r="N3874" t="s">
        <v>3321</v>
      </c>
      <c r="O3874" t="s">
        <v>3322</v>
      </c>
      <c r="P3874" t="s">
        <v>3398</v>
      </c>
      <c r="Q3874" t="s">
        <v>3439</v>
      </c>
      <c r="R3874" t="s">
        <v>12526</v>
      </c>
    </row>
    <row r="3875" spans="1:18" x14ac:dyDescent="0.2">
      <c r="A3875">
        <v>741074</v>
      </c>
      <c r="B3875" t="s">
        <v>12527</v>
      </c>
      <c r="C3875">
        <v>0</v>
      </c>
      <c r="D3875">
        <v>0</v>
      </c>
      <c r="E3875">
        <v>0</v>
      </c>
      <c r="F3875">
        <v>0</v>
      </c>
      <c r="G3875">
        <v>1</v>
      </c>
      <c r="H3875">
        <v>0</v>
      </c>
      <c r="I3875">
        <v>0</v>
      </c>
      <c r="J3875">
        <v>0</v>
      </c>
      <c r="K3875">
        <v>0</v>
      </c>
      <c r="L3875" t="s">
        <v>3284</v>
      </c>
      <c r="M3875" t="s">
        <v>3391</v>
      </c>
      <c r="N3875" t="s">
        <v>3411</v>
      </c>
      <c r="O3875" t="s">
        <v>3412</v>
      </c>
      <c r="P3875" t="s">
        <v>3564</v>
      </c>
      <c r="Q3875" t="s">
        <v>3803</v>
      </c>
      <c r="R3875" t="s">
        <v>12528</v>
      </c>
    </row>
    <row r="3876" spans="1:18" x14ac:dyDescent="0.2">
      <c r="A3876">
        <v>739143</v>
      </c>
      <c r="B3876" t="s">
        <v>12529</v>
      </c>
      <c r="C3876">
        <v>0</v>
      </c>
      <c r="D3876">
        <v>0</v>
      </c>
      <c r="E3876">
        <v>0</v>
      </c>
      <c r="F3876">
        <v>31</v>
      </c>
      <c r="G3876">
        <v>17</v>
      </c>
      <c r="H3876">
        <v>2</v>
      </c>
      <c r="I3876">
        <v>0</v>
      </c>
      <c r="J3876">
        <v>0</v>
      </c>
      <c r="K3876">
        <v>0</v>
      </c>
      <c r="L3876" t="s">
        <v>3284</v>
      </c>
      <c r="M3876" t="s">
        <v>3391</v>
      </c>
      <c r="N3876" t="s">
        <v>3411</v>
      </c>
      <c r="O3876" t="s">
        <v>3412</v>
      </c>
      <c r="P3876" t="s">
        <v>3413</v>
      </c>
      <c r="Q3876" t="s">
        <v>3414</v>
      </c>
      <c r="R3876" t="s">
        <v>12530</v>
      </c>
    </row>
    <row r="3877" spans="1:18" x14ac:dyDescent="0.2">
      <c r="A3877">
        <v>735519</v>
      </c>
      <c r="B3877" t="s">
        <v>12531</v>
      </c>
      <c r="C3877">
        <v>0</v>
      </c>
      <c r="D3877">
        <v>0</v>
      </c>
      <c r="E3877">
        <v>0</v>
      </c>
      <c r="F3877">
        <v>0</v>
      </c>
      <c r="G3877">
        <v>1</v>
      </c>
      <c r="H3877">
        <v>0</v>
      </c>
      <c r="I3877">
        <v>0</v>
      </c>
      <c r="J3877">
        <v>0</v>
      </c>
      <c r="K3877">
        <v>0</v>
      </c>
      <c r="L3877" t="s">
        <v>3284</v>
      </c>
      <c r="M3877" t="s">
        <v>3296</v>
      </c>
      <c r="N3877" t="s">
        <v>3343</v>
      </c>
      <c r="O3877" t="s">
        <v>3344</v>
      </c>
      <c r="P3877" t="s">
        <v>3355</v>
      </c>
      <c r="Q3877" t="s">
        <v>3356</v>
      </c>
      <c r="R3877" t="s">
        <v>12532</v>
      </c>
    </row>
    <row r="3878" spans="1:18" x14ac:dyDescent="0.2">
      <c r="A3878">
        <v>735512</v>
      </c>
      <c r="B3878" t="s">
        <v>12533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87</v>
      </c>
      <c r="J3878">
        <v>30</v>
      </c>
      <c r="K3878">
        <v>2</v>
      </c>
      <c r="L3878" t="s">
        <v>3284</v>
      </c>
      <c r="M3878" t="s">
        <v>3296</v>
      </c>
      <c r="N3878" t="s">
        <v>3343</v>
      </c>
      <c r="O3878" t="s">
        <v>3344</v>
      </c>
      <c r="P3878" t="s">
        <v>6259</v>
      </c>
      <c r="Q3878" t="s">
        <v>6260</v>
      </c>
      <c r="R3878" t="s">
        <v>12534</v>
      </c>
    </row>
    <row r="3879" spans="1:18" x14ac:dyDescent="0.2">
      <c r="A3879">
        <v>732238</v>
      </c>
      <c r="B3879" t="s">
        <v>12535</v>
      </c>
      <c r="C3879">
        <v>0</v>
      </c>
      <c r="D3879">
        <v>0</v>
      </c>
      <c r="E3879">
        <v>0</v>
      </c>
      <c r="F3879">
        <v>0</v>
      </c>
      <c r="G3879">
        <v>1</v>
      </c>
      <c r="H3879">
        <v>0</v>
      </c>
      <c r="I3879">
        <v>0</v>
      </c>
      <c r="J3879">
        <v>0</v>
      </c>
      <c r="K3879">
        <v>0</v>
      </c>
      <c r="L3879" t="s">
        <v>3284</v>
      </c>
      <c r="M3879" t="s">
        <v>3296</v>
      </c>
      <c r="N3879" t="s">
        <v>3297</v>
      </c>
      <c r="O3879" t="s">
        <v>7529</v>
      </c>
      <c r="P3879" t="s">
        <v>7530</v>
      </c>
      <c r="Q3879" t="s">
        <v>9635</v>
      </c>
      <c r="R3879" t="s">
        <v>12536</v>
      </c>
    </row>
    <row r="3880" spans="1:18" x14ac:dyDescent="0.2">
      <c r="A3880">
        <v>728056</v>
      </c>
      <c r="B3880" t="s">
        <v>12537</v>
      </c>
      <c r="C3880">
        <v>0</v>
      </c>
      <c r="D3880">
        <v>0</v>
      </c>
      <c r="E3880">
        <v>0</v>
      </c>
      <c r="F3880">
        <v>1</v>
      </c>
      <c r="G3880">
        <v>2</v>
      </c>
      <c r="H3880">
        <v>0</v>
      </c>
      <c r="I3880">
        <v>0</v>
      </c>
      <c r="J3880">
        <v>0</v>
      </c>
      <c r="K3880">
        <v>0</v>
      </c>
      <c r="L3880" t="s">
        <v>3284</v>
      </c>
      <c r="M3880" t="s">
        <v>3391</v>
      </c>
      <c r="N3880" t="s">
        <v>3411</v>
      </c>
      <c r="O3880" t="s">
        <v>3412</v>
      </c>
      <c r="P3880" t="s">
        <v>3413</v>
      </c>
      <c r="Q3880" t="s">
        <v>3414</v>
      </c>
      <c r="R3880" t="s">
        <v>12538</v>
      </c>
    </row>
    <row r="3881" spans="1:18" x14ac:dyDescent="0.2">
      <c r="A3881">
        <v>728005</v>
      </c>
      <c r="B3881" t="s">
        <v>12539</v>
      </c>
      <c r="C3881">
        <v>0</v>
      </c>
      <c r="D3881">
        <v>0</v>
      </c>
      <c r="E3881">
        <v>0</v>
      </c>
      <c r="F3881">
        <v>0</v>
      </c>
      <c r="G3881">
        <v>1</v>
      </c>
      <c r="H3881">
        <v>0</v>
      </c>
      <c r="I3881">
        <v>0</v>
      </c>
      <c r="J3881">
        <v>0</v>
      </c>
      <c r="K3881">
        <v>0</v>
      </c>
      <c r="L3881" t="s">
        <v>3284</v>
      </c>
      <c r="M3881" t="s">
        <v>3296</v>
      </c>
      <c r="N3881" t="s">
        <v>3343</v>
      </c>
      <c r="O3881" t="s">
        <v>3344</v>
      </c>
      <c r="P3881" t="s">
        <v>3345</v>
      </c>
      <c r="Q3881" t="s">
        <v>3346</v>
      </c>
      <c r="R3881" t="s">
        <v>12540</v>
      </c>
    </row>
    <row r="3882" spans="1:18" x14ac:dyDescent="0.2">
      <c r="A3882">
        <v>727963</v>
      </c>
      <c r="B3882" t="s">
        <v>12541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1</v>
      </c>
      <c r="J3882">
        <v>0</v>
      </c>
      <c r="K3882">
        <v>0</v>
      </c>
      <c r="L3882" t="s">
        <v>3284</v>
      </c>
      <c r="M3882" t="s">
        <v>3296</v>
      </c>
      <c r="N3882" t="s">
        <v>3297</v>
      </c>
      <c r="O3882" t="s">
        <v>12542</v>
      </c>
      <c r="P3882" t="s">
        <v>12543</v>
      </c>
      <c r="Q3882" t="s">
        <v>12544</v>
      </c>
      <c r="R3882" t="s">
        <v>12545</v>
      </c>
    </row>
    <row r="3883" spans="1:18" x14ac:dyDescent="0.2">
      <c r="A3883">
        <v>716796</v>
      </c>
      <c r="B3883" t="s">
        <v>12546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1</v>
      </c>
      <c r="J3883">
        <v>0</v>
      </c>
      <c r="K3883">
        <v>0</v>
      </c>
      <c r="L3883" t="s">
        <v>3284</v>
      </c>
      <c r="M3883" t="s">
        <v>3296</v>
      </c>
      <c r="N3883" t="s">
        <v>3343</v>
      </c>
      <c r="O3883" t="s">
        <v>3861</v>
      </c>
      <c r="P3883" t="s">
        <v>3862</v>
      </c>
      <c r="Q3883" t="s">
        <v>3863</v>
      </c>
      <c r="R3883" t="s">
        <v>12547</v>
      </c>
    </row>
    <row r="3884" spans="1:18" x14ac:dyDescent="0.2">
      <c r="A3884">
        <v>715785</v>
      </c>
      <c r="B3884" t="s">
        <v>12548</v>
      </c>
      <c r="C3884">
        <v>0</v>
      </c>
      <c r="D3884">
        <v>0</v>
      </c>
      <c r="E3884">
        <v>0</v>
      </c>
      <c r="F3884">
        <v>1</v>
      </c>
      <c r="G3884">
        <v>0</v>
      </c>
      <c r="H3884">
        <v>0</v>
      </c>
      <c r="I3884">
        <v>0</v>
      </c>
      <c r="J3884">
        <v>0</v>
      </c>
      <c r="K3884">
        <v>0</v>
      </c>
      <c r="L3884" t="s">
        <v>3284</v>
      </c>
      <c r="M3884" t="s">
        <v>3307</v>
      </c>
      <c r="N3884" t="s">
        <v>3308</v>
      </c>
      <c r="O3884" t="s">
        <v>3359</v>
      </c>
      <c r="P3884" t="s">
        <v>3360</v>
      </c>
      <c r="Q3884" t="s">
        <v>8548</v>
      </c>
      <c r="R3884" t="s">
        <v>12549</v>
      </c>
    </row>
    <row r="3885" spans="1:18" x14ac:dyDescent="0.2">
      <c r="A3885">
        <v>715784</v>
      </c>
      <c r="B3885" t="s">
        <v>12550</v>
      </c>
      <c r="C3885">
        <v>0</v>
      </c>
      <c r="D3885">
        <v>0</v>
      </c>
      <c r="E3885">
        <v>0</v>
      </c>
      <c r="F3885">
        <v>1</v>
      </c>
      <c r="G3885">
        <v>0</v>
      </c>
      <c r="H3885">
        <v>0</v>
      </c>
      <c r="I3885">
        <v>0</v>
      </c>
      <c r="J3885">
        <v>0</v>
      </c>
      <c r="K3885">
        <v>0</v>
      </c>
      <c r="L3885" t="s">
        <v>3284</v>
      </c>
      <c r="M3885" t="s">
        <v>3307</v>
      </c>
      <c r="N3885" t="s">
        <v>3308</v>
      </c>
      <c r="O3885" t="s">
        <v>3309</v>
      </c>
      <c r="P3885" t="s">
        <v>3310</v>
      </c>
      <c r="Q3885" t="s">
        <v>3311</v>
      </c>
      <c r="R3885" t="s">
        <v>12551</v>
      </c>
    </row>
    <row r="3886" spans="1:18" x14ac:dyDescent="0.2">
      <c r="A3886">
        <v>713556</v>
      </c>
      <c r="B3886" t="s">
        <v>12552</v>
      </c>
      <c r="C3886">
        <v>0</v>
      </c>
      <c r="D3886">
        <v>1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 t="s">
        <v>3284</v>
      </c>
      <c r="M3886" t="s">
        <v>3391</v>
      </c>
      <c r="N3886" t="s">
        <v>3411</v>
      </c>
      <c r="O3886" t="s">
        <v>3412</v>
      </c>
      <c r="P3886" t="s">
        <v>3564</v>
      </c>
      <c r="Q3886" t="s">
        <v>3803</v>
      </c>
      <c r="R3886" t="s">
        <v>12553</v>
      </c>
    </row>
    <row r="3887" spans="1:18" x14ac:dyDescent="0.2">
      <c r="A3887">
        <v>708131</v>
      </c>
      <c r="B3887" t="s">
        <v>12554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5</v>
      </c>
      <c r="J3887">
        <v>5</v>
      </c>
      <c r="K3887">
        <v>1</v>
      </c>
      <c r="L3887" t="s">
        <v>3284</v>
      </c>
      <c r="M3887" t="s">
        <v>3307</v>
      </c>
      <c r="N3887" t="s">
        <v>3308</v>
      </c>
      <c r="O3887" t="s">
        <v>3359</v>
      </c>
      <c r="P3887" t="s">
        <v>3360</v>
      </c>
      <c r="Q3887" t="s">
        <v>9494</v>
      </c>
      <c r="R3887" t="s">
        <v>12555</v>
      </c>
    </row>
    <row r="3888" spans="1:18" x14ac:dyDescent="0.2">
      <c r="A3888">
        <v>707214</v>
      </c>
      <c r="B3888" t="s">
        <v>12556</v>
      </c>
      <c r="C3888">
        <v>0</v>
      </c>
      <c r="D3888">
        <v>1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 t="s">
        <v>3284</v>
      </c>
      <c r="M3888" t="s">
        <v>3296</v>
      </c>
      <c r="N3888" t="s">
        <v>3343</v>
      </c>
      <c r="O3888" t="s">
        <v>3349</v>
      </c>
      <c r="P3888" t="s">
        <v>3350</v>
      </c>
      <c r="Q3888" t="s">
        <v>3351</v>
      </c>
      <c r="R3888" t="s">
        <v>12557</v>
      </c>
    </row>
    <row r="3889" spans="1:18" x14ac:dyDescent="0.2">
      <c r="A3889">
        <v>706574</v>
      </c>
      <c r="B3889" t="s">
        <v>12558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1</v>
      </c>
      <c r="J3889">
        <v>0</v>
      </c>
      <c r="K3889">
        <v>0</v>
      </c>
      <c r="L3889" t="s">
        <v>3284</v>
      </c>
      <c r="M3889" t="s">
        <v>3307</v>
      </c>
      <c r="N3889" t="s">
        <v>3308</v>
      </c>
      <c r="O3889" t="s">
        <v>3494</v>
      </c>
      <c r="P3889" t="s">
        <v>3495</v>
      </c>
      <c r="Q3889" t="s">
        <v>12559</v>
      </c>
      <c r="R3889" t="s">
        <v>12560</v>
      </c>
    </row>
    <row r="3890" spans="1:18" x14ac:dyDescent="0.2">
      <c r="A3890">
        <v>706186</v>
      </c>
      <c r="B3890" t="s">
        <v>12561</v>
      </c>
      <c r="C3890">
        <v>1</v>
      </c>
      <c r="D3890">
        <v>1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 t="s">
        <v>3284</v>
      </c>
      <c r="M3890" t="s">
        <v>3391</v>
      </c>
      <c r="N3890" t="s">
        <v>3411</v>
      </c>
      <c r="O3890" t="s">
        <v>3412</v>
      </c>
      <c r="P3890" t="s">
        <v>3413</v>
      </c>
      <c r="Q3890" t="s">
        <v>3414</v>
      </c>
      <c r="R3890" t="s">
        <v>12562</v>
      </c>
    </row>
    <row r="3891" spans="1:18" x14ac:dyDescent="0.2">
      <c r="A3891">
        <v>704125</v>
      </c>
      <c r="B3891" t="s">
        <v>12563</v>
      </c>
      <c r="C3891">
        <v>7</v>
      </c>
      <c r="D3891">
        <v>3</v>
      </c>
      <c r="E3891">
        <v>3</v>
      </c>
      <c r="F3891">
        <v>0</v>
      </c>
      <c r="G3891">
        <v>0</v>
      </c>
      <c r="H3891">
        <v>0</v>
      </c>
      <c r="I3891">
        <v>1</v>
      </c>
      <c r="J3891">
        <v>0</v>
      </c>
      <c r="K3891">
        <v>0</v>
      </c>
      <c r="L3891" t="s">
        <v>3284</v>
      </c>
      <c r="M3891" t="s">
        <v>3327</v>
      </c>
      <c r="N3891" t="s">
        <v>3328</v>
      </c>
      <c r="O3891" t="s">
        <v>3329</v>
      </c>
      <c r="P3891" t="s">
        <v>3330</v>
      </c>
      <c r="Q3891" t="s">
        <v>3331</v>
      </c>
      <c r="R3891" t="s">
        <v>12564</v>
      </c>
    </row>
    <row r="3892" spans="1:18" x14ac:dyDescent="0.2">
      <c r="A3892">
        <v>702742</v>
      </c>
      <c r="B3892" t="s">
        <v>12565</v>
      </c>
      <c r="C3892">
        <v>0</v>
      </c>
      <c r="D3892">
        <v>0</v>
      </c>
      <c r="E3892">
        <v>0</v>
      </c>
      <c r="F3892">
        <v>0</v>
      </c>
      <c r="G3892">
        <v>1</v>
      </c>
      <c r="H3892">
        <v>0</v>
      </c>
      <c r="I3892">
        <v>0</v>
      </c>
      <c r="J3892">
        <v>0</v>
      </c>
      <c r="K3892">
        <v>0</v>
      </c>
      <c r="L3892" t="s">
        <v>3284</v>
      </c>
      <c r="M3892" t="s">
        <v>3307</v>
      </c>
      <c r="N3892" t="s">
        <v>3308</v>
      </c>
      <c r="O3892" t="s">
        <v>3359</v>
      </c>
      <c r="P3892" t="s">
        <v>5005</v>
      </c>
      <c r="Q3892" t="s">
        <v>12566</v>
      </c>
      <c r="R3892" t="s">
        <v>12567</v>
      </c>
    </row>
    <row r="3893" spans="1:18" x14ac:dyDescent="0.2">
      <c r="A3893">
        <v>701108</v>
      </c>
      <c r="B3893" t="s">
        <v>12568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1</v>
      </c>
      <c r="K3893">
        <v>0</v>
      </c>
      <c r="L3893" t="s">
        <v>3284</v>
      </c>
      <c r="M3893" t="s">
        <v>3296</v>
      </c>
      <c r="N3893" t="s">
        <v>3321</v>
      </c>
      <c r="O3893" t="s">
        <v>3322</v>
      </c>
      <c r="P3893" t="s">
        <v>3423</v>
      </c>
      <c r="Q3893" t="s">
        <v>3424</v>
      </c>
      <c r="R3893" t="s">
        <v>12569</v>
      </c>
    </row>
    <row r="3894" spans="1:18" x14ac:dyDescent="0.2">
      <c r="A3894">
        <v>693223</v>
      </c>
      <c r="B3894" t="s">
        <v>12570</v>
      </c>
      <c r="C3894">
        <v>0</v>
      </c>
      <c r="D3894">
        <v>0</v>
      </c>
      <c r="E3894">
        <v>0</v>
      </c>
      <c r="F3894">
        <v>0</v>
      </c>
      <c r="G3894">
        <v>1</v>
      </c>
      <c r="H3894">
        <v>0</v>
      </c>
      <c r="I3894">
        <v>0</v>
      </c>
      <c r="J3894">
        <v>0</v>
      </c>
      <c r="K3894">
        <v>0</v>
      </c>
      <c r="L3894" t="s">
        <v>3284</v>
      </c>
      <c r="M3894" t="s">
        <v>4022</v>
      </c>
      <c r="N3894" t="s">
        <v>4023</v>
      </c>
      <c r="O3894" t="s">
        <v>6944</v>
      </c>
      <c r="P3894" t="s">
        <v>11974</v>
      </c>
      <c r="Q3894" t="s">
        <v>12571</v>
      </c>
      <c r="R3894" t="s">
        <v>12572</v>
      </c>
    </row>
    <row r="3895" spans="1:18" x14ac:dyDescent="0.2">
      <c r="A3895">
        <v>692994</v>
      </c>
      <c r="B3895" t="s">
        <v>12573</v>
      </c>
      <c r="C3895">
        <v>0</v>
      </c>
      <c r="D3895">
        <v>0</v>
      </c>
      <c r="E3895">
        <v>0</v>
      </c>
      <c r="F3895">
        <v>3</v>
      </c>
      <c r="G3895">
        <v>1</v>
      </c>
      <c r="H3895">
        <v>0</v>
      </c>
      <c r="I3895">
        <v>0</v>
      </c>
      <c r="J3895">
        <v>0</v>
      </c>
      <c r="K3895">
        <v>0</v>
      </c>
      <c r="L3895" t="s">
        <v>3284</v>
      </c>
      <c r="M3895" t="s">
        <v>3391</v>
      </c>
      <c r="N3895" t="s">
        <v>3392</v>
      </c>
      <c r="O3895" t="s">
        <v>3393</v>
      </c>
      <c r="P3895" t="s">
        <v>3394</v>
      </c>
      <c r="Q3895" t="s">
        <v>4082</v>
      </c>
      <c r="R3895" t="s">
        <v>12574</v>
      </c>
    </row>
    <row r="3896" spans="1:18" x14ac:dyDescent="0.2">
      <c r="A3896">
        <v>692036</v>
      </c>
      <c r="B3896" t="s">
        <v>12575</v>
      </c>
      <c r="C3896">
        <v>0</v>
      </c>
      <c r="D3896">
        <v>1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 t="s">
        <v>3284</v>
      </c>
      <c r="M3896" t="s">
        <v>3794</v>
      </c>
      <c r="N3896" t="s">
        <v>3795</v>
      </c>
      <c r="O3896" t="s">
        <v>9928</v>
      </c>
      <c r="P3896" t="s">
        <v>9929</v>
      </c>
      <c r="Q3896" t="s">
        <v>12576</v>
      </c>
      <c r="R3896" t="s">
        <v>12577</v>
      </c>
    </row>
    <row r="3897" spans="1:18" x14ac:dyDescent="0.2">
      <c r="A3897">
        <v>689904</v>
      </c>
      <c r="B3897" t="s">
        <v>12578</v>
      </c>
      <c r="C3897">
        <v>4</v>
      </c>
      <c r="D3897">
        <v>2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 t="s">
        <v>3284</v>
      </c>
      <c r="M3897" t="s">
        <v>3327</v>
      </c>
      <c r="N3897" t="s">
        <v>4384</v>
      </c>
      <c r="O3897" t="s">
        <v>4605</v>
      </c>
      <c r="P3897" t="s">
        <v>4606</v>
      </c>
      <c r="Q3897" t="s">
        <v>4607</v>
      </c>
      <c r="R3897" t="s">
        <v>12579</v>
      </c>
    </row>
    <row r="3898" spans="1:18" x14ac:dyDescent="0.2">
      <c r="A3898">
        <v>687846</v>
      </c>
      <c r="B3898" t="s">
        <v>12580</v>
      </c>
      <c r="C3898">
        <v>0</v>
      </c>
      <c r="D3898">
        <v>0</v>
      </c>
      <c r="E3898">
        <v>0</v>
      </c>
      <c r="F3898">
        <v>2</v>
      </c>
      <c r="G3898">
        <v>0</v>
      </c>
      <c r="H3898">
        <v>0</v>
      </c>
      <c r="I3898">
        <v>0</v>
      </c>
      <c r="J3898">
        <v>0</v>
      </c>
      <c r="K3898">
        <v>0</v>
      </c>
      <c r="L3898" t="s">
        <v>3284</v>
      </c>
      <c r="M3898" t="s">
        <v>3391</v>
      </c>
      <c r="N3898" t="s">
        <v>3411</v>
      </c>
      <c r="O3898" t="s">
        <v>3412</v>
      </c>
      <c r="P3898" t="s">
        <v>3564</v>
      </c>
      <c r="Q3898" t="s">
        <v>3803</v>
      </c>
      <c r="R3898" t="s">
        <v>12581</v>
      </c>
    </row>
    <row r="3899" spans="1:18" x14ac:dyDescent="0.2">
      <c r="A3899">
        <v>687845</v>
      </c>
      <c r="B3899" t="s">
        <v>12582</v>
      </c>
      <c r="C3899">
        <v>0</v>
      </c>
      <c r="D3899">
        <v>2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 t="s">
        <v>3284</v>
      </c>
      <c r="M3899" t="s">
        <v>3391</v>
      </c>
      <c r="N3899" t="s">
        <v>3392</v>
      </c>
      <c r="O3899" t="s">
        <v>3393</v>
      </c>
      <c r="P3899" t="s">
        <v>3394</v>
      </c>
      <c r="Q3899" t="s">
        <v>4351</v>
      </c>
      <c r="R3899" t="s">
        <v>12583</v>
      </c>
    </row>
    <row r="3900" spans="1:18" x14ac:dyDescent="0.2">
      <c r="A3900">
        <v>687844</v>
      </c>
      <c r="B3900" t="s">
        <v>12584</v>
      </c>
      <c r="C3900">
        <v>0</v>
      </c>
      <c r="D3900">
        <v>0</v>
      </c>
      <c r="E3900">
        <v>0</v>
      </c>
      <c r="F3900">
        <v>3</v>
      </c>
      <c r="G3900">
        <v>4</v>
      </c>
      <c r="H3900">
        <v>0</v>
      </c>
      <c r="I3900">
        <v>0</v>
      </c>
      <c r="J3900">
        <v>0</v>
      </c>
      <c r="K3900">
        <v>0</v>
      </c>
      <c r="L3900" t="s">
        <v>3284</v>
      </c>
      <c r="M3900" t="s">
        <v>3391</v>
      </c>
      <c r="N3900" t="s">
        <v>3411</v>
      </c>
      <c r="O3900" t="s">
        <v>3412</v>
      </c>
      <c r="P3900" t="s">
        <v>3413</v>
      </c>
      <c r="Q3900" t="s">
        <v>3414</v>
      </c>
      <c r="R3900" t="s">
        <v>12585</v>
      </c>
    </row>
    <row r="3901" spans="1:18" x14ac:dyDescent="0.2">
      <c r="A3901">
        <v>687842</v>
      </c>
      <c r="B3901" t="s">
        <v>12586</v>
      </c>
      <c r="C3901">
        <v>0</v>
      </c>
      <c r="D3901">
        <v>0</v>
      </c>
      <c r="E3901">
        <v>0</v>
      </c>
      <c r="F3901">
        <v>3</v>
      </c>
      <c r="G3901">
        <v>1</v>
      </c>
      <c r="H3901">
        <v>0</v>
      </c>
      <c r="I3901">
        <v>1</v>
      </c>
      <c r="J3901">
        <v>0</v>
      </c>
      <c r="K3901">
        <v>0</v>
      </c>
      <c r="L3901" t="s">
        <v>3284</v>
      </c>
      <c r="M3901" t="s">
        <v>3391</v>
      </c>
      <c r="N3901" t="s">
        <v>3392</v>
      </c>
      <c r="O3901" t="s">
        <v>3393</v>
      </c>
      <c r="P3901" t="s">
        <v>3394</v>
      </c>
      <c r="Q3901" t="s">
        <v>3395</v>
      </c>
      <c r="R3901" t="s">
        <v>12587</v>
      </c>
    </row>
    <row r="3902" spans="1:18" x14ac:dyDescent="0.2">
      <c r="A3902">
        <v>687525</v>
      </c>
      <c r="B3902" t="s">
        <v>12588</v>
      </c>
      <c r="C3902">
        <v>1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1</v>
      </c>
      <c r="J3902">
        <v>1</v>
      </c>
      <c r="K3902">
        <v>0</v>
      </c>
      <c r="L3902" t="s">
        <v>3284</v>
      </c>
      <c r="M3902" t="s">
        <v>3296</v>
      </c>
      <c r="N3902" t="s">
        <v>3343</v>
      </c>
      <c r="O3902" t="s">
        <v>3371</v>
      </c>
      <c r="P3902" t="s">
        <v>3372</v>
      </c>
      <c r="Q3902" t="s">
        <v>6520</v>
      </c>
      <c r="R3902" t="s">
        <v>12589</v>
      </c>
    </row>
    <row r="3903" spans="1:18" x14ac:dyDescent="0.2">
      <c r="A3903">
        <v>686831</v>
      </c>
      <c r="B3903" t="s">
        <v>12590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2</v>
      </c>
      <c r="J3903">
        <v>0</v>
      </c>
      <c r="K3903">
        <v>0</v>
      </c>
      <c r="L3903" t="s">
        <v>3284</v>
      </c>
      <c r="M3903" t="s">
        <v>3296</v>
      </c>
      <c r="N3903" t="s">
        <v>3321</v>
      </c>
      <c r="O3903" t="s">
        <v>5306</v>
      </c>
      <c r="P3903" t="s">
        <v>5307</v>
      </c>
      <c r="Q3903" t="s">
        <v>9185</v>
      </c>
      <c r="R3903" t="s">
        <v>12591</v>
      </c>
    </row>
    <row r="3904" spans="1:18" x14ac:dyDescent="0.2">
      <c r="A3904">
        <v>686597</v>
      </c>
      <c r="B3904" t="s">
        <v>12592</v>
      </c>
      <c r="C3904">
        <v>0</v>
      </c>
      <c r="D3904">
        <v>0</v>
      </c>
      <c r="E3904">
        <v>0</v>
      </c>
      <c r="F3904">
        <v>0</v>
      </c>
      <c r="G3904">
        <v>1</v>
      </c>
      <c r="H3904">
        <v>0</v>
      </c>
      <c r="I3904">
        <v>0</v>
      </c>
      <c r="J3904">
        <v>0</v>
      </c>
      <c r="K3904">
        <v>0</v>
      </c>
      <c r="L3904" t="s">
        <v>3284</v>
      </c>
      <c r="M3904" t="s">
        <v>3296</v>
      </c>
      <c r="N3904" t="s">
        <v>3343</v>
      </c>
      <c r="O3904" t="s">
        <v>3344</v>
      </c>
      <c r="P3904" t="s">
        <v>4347</v>
      </c>
      <c r="Q3904" t="s">
        <v>7357</v>
      </c>
      <c r="R3904" t="s">
        <v>12593</v>
      </c>
    </row>
    <row r="3905" spans="1:18" x14ac:dyDescent="0.2">
      <c r="A3905">
        <v>685778</v>
      </c>
      <c r="B3905" t="s">
        <v>12594</v>
      </c>
      <c r="C3905">
        <v>0</v>
      </c>
      <c r="D3905">
        <v>0</v>
      </c>
      <c r="E3905">
        <v>0</v>
      </c>
      <c r="F3905">
        <v>1</v>
      </c>
      <c r="G3905">
        <v>0</v>
      </c>
      <c r="H3905">
        <v>0</v>
      </c>
      <c r="I3905">
        <v>0</v>
      </c>
      <c r="J3905">
        <v>0</v>
      </c>
      <c r="K3905">
        <v>0</v>
      </c>
      <c r="L3905" t="s">
        <v>3284</v>
      </c>
      <c r="M3905" t="s">
        <v>3296</v>
      </c>
      <c r="N3905" t="s">
        <v>3343</v>
      </c>
      <c r="O3905" t="s">
        <v>3349</v>
      </c>
      <c r="P3905" t="s">
        <v>3350</v>
      </c>
      <c r="Q3905" t="s">
        <v>3580</v>
      </c>
      <c r="R3905" t="s">
        <v>12595</v>
      </c>
    </row>
    <row r="3906" spans="1:18" x14ac:dyDescent="0.2">
      <c r="A3906">
        <v>683047</v>
      </c>
      <c r="B3906" t="s">
        <v>12596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1</v>
      </c>
      <c r="J3906">
        <v>0</v>
      </c>
      <c r="K3906">
        <v>0</v>
      </c>
      <c r="L3906" t="s">
        <v>3284</v>
      </c>
      <c r="M3906" t="s">
        <v>3307</v>
      </c>
      <c r="N3906" t="s">
        <v>3308</v>
      </c>
      <c r="O3906" t="s">
        <v>3359</v>
      </c>
      <c r="P3906" t="s">
        <v>3360</v>
      </c>
      <c r="Q3906" t="s">
        <v>3361</v>
      </c>
      <c r="R3906" t="s">
        <v>12597</v>
      </c>
    </row>
    <row r="3907" spans="1:18" x14ac:dyDescent="0.2">
      <c r="A3907">
        <v>682956</v>
      </c>
      <c r="B3907" t="s">
        <v>12598</v>
      </c>
      <c r="C3907">
        <v>0</v>
      </c>
      <c r="D3907">
        <v>0</v>
      </c>
      <c r="E3907">
        <v>0</v>
      </c>
      <c r="F3907">
        <v>0</v>
      </c>
      <c r="G3907">
        <v>1</v>
      </c>
      <c r="H3907">
        <v>0</v>
      </c>
      <c r="I3907">
        <v>0</v>
      </c>
      <c r="J3907">
        <v>0</v>
      </c>
      <c r="K3907">
        <v>0</v>
      </c>
      <c r="L3907" t="s">
        <v>3284</v>
      </c>
      <c r="M3907" t="s">
        <v>3327</v>
      </c>
      <c r="N3907" t="s">
        <v>3376</v>
      </c>
      <c r="O3907" t="s">
        <v>3377</v>
      </c>
      <c r="P3907" t="s">
        <v>3604</v>
      </c>
      <c r="Q3907" t="s">
        <v>3668</v>
      </c>
      <c r="R3907" t="s">
        <v>12599</v>
      </c>
    </row>
    <row r="3908" spans="1:18" x14ac:dyDescent="0.2">
      <c r="A3908">
        <v>682863</v>
      </c>
      <c r="B3908" t="s">
        <v>12600</v>
      </c>
      <c r="C3908">
        <v>1</v>
      </c>
      <c r="D3908">
        <v>0</v>
      </c>
      <c r="E3908">
        <v>0</v>
      </c>
      <c r="F3908">
        <v>5</v>
      </c>
      <c r="G3908">
        <v>2</v>
      </c>
      <c r="H3908">
        <v>2</v>
      </c>
      <c r="I3908">
        <v>9</v>
      </c>
      <c r="J3908">
        <v>2</v>
      </c>
      <c r="K3908">
        <v>3</v>
      </c>
      <c r="L3908" t="s">
        <v>3284</v>
      </c>
      <c r="M3908" t="s">
        <v>3296</v>
      </c>
      <c r="N3908" t="s">
        <v>3321</v>
      </c>
      <c r="O3908" t="s">
        <v>3322</v>
      </c>
      <c r="P3908" t="s">
        <v>3398</v>
      </c>
      <c r="Q3908" t="s">
        <v>3439</v>
      </c>
      <c r="R3908" t="s">
        <v>12601</v>
      </c>
    </row>
    <row r="3909" spans="1:18" x14ac:dyDescent="0.2">
      <c r="A3909">
        <v>682798</v>
      </c>
      <c r="B3909" t="s">
        <v>12602</v>
      </c>
      <c r="C3909">
        <v>0</v>
      </c>
      <c r="D3909">
        <v>0</v>
      </c>
      <c r="E3909">
        <v>0</v>
      </c>
      <c r="F3909">
        <v>1</v>
      </c>
      <c r="G3909">
        <v>0</v>
      </c>
      <c r="H3909">
        <v>0</v>
      </c>
      <c r="I3909">
        <v>0</v>
      </c>
      <c r="J3909">
        <v>0</v>
      </c>
      <c r="K3909">
        <v>0</v>
      </c>
      <c r="L3909" t="s">
        <v>3284</v>
      </c>
      <c r="M3909" t="s">
        <v>3296</v>
      </c>
      <c r="N3909" t="s">
        <v>3321</v>
      </c>
      <c r="O3909" t="s">
        <v>5306</v>
      </c>
      <c r="P3909" t="s">
        <v>5385</v>
      </c>
      <c r="Q3909" t="s">
        <v>12603</v>
      </c>
      <c r="R3909" t="s">
        <v>12604</v>
      </c>
    </row>
    <row r="3910" spans="1:18" x14ac:dyDescent="0.2">
      <c r="A3910">
        <v>680378</v>
      </c>
      <c r="B3910" t="s">
        <v>12605</v>
      </c>
      <c r="C3910">
        <v>0</v>
      </c>
      <c r="D3910">
        <v>1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 t="s">
        <v>3284</v>
      </c>
      <c r="M3910" t="s">
        <v>3327</v>
      </c>
      <c r="N3910" t="s">
        <v>3328</v>
      </c>
      <c r="O3910" t="s">
        <v>4017</v>
      </c>
      <c r="P3910" t="s">
        <v>12606</v>
      </c>
      <c r="Q3910" t="s">
        <v>12607</v>
      </c>
      <c r="R3910" t="s">
        <v>12608</v>
      </c>
    </row>
    <row r="3911" spans="1:18" x14ac:dyDescent="0.2">
      <c r="A3911">
        <v>680248</v>
      </c>
      <c r="B3911" t="s">
        <v>12609</v>
      </c>
      <c r="C3911">
        <v>0</v>
      </c>
      <c r="D3911">
        <v>0</v>
      </c>
      <c r="E3911">
        <v>0</v>
      </c>
      <c r="F3911">
        <v>1</v>
      </c>
      <c r="G3911">
        <v>0</v>
      </c>
      <c r="H3911">
        <v>0</v>
      </c>
      <c r="I3911">
        <v>0</v>
      </c>
      <c r="J3911">
        <v>0</v>
      </c>
      <c r="K3911">
        <v>0</v>
      </c>
      <c r="L3911" t="s">
        <v>3284</v>
      </c>
      <c r="M3911" t="s">
        <v>3296</v>
      </c>
      <c r="N3911" t="s">
        <v>3343</v>
      </c>
      <c r="O3911" t="s">
        <v>3344</v>
      </c>
      <c r="P3911" t="s">
        <v>3355</v>
      </c>
      <c r="Q3911" t="s">
        <v>7835</v>
      </c>
      <c r="R3911" t="s">
        <v>12610</v>
      </c>
    </row>
    <row r="3912" spans="1:18" x14ac:dyDescent="0.2">
      <c r="A3912">
        <v>679313</v>
      </c>
      <c r="B3912" t="s">
        <v>12611</v>
      </c>
      <c r="C3912">
        <v>0</v>
      </c>
      <c r="D3912">
        <v>1</v>
      </c>
      <c r="E3912">
        <v>1</v>
      </c>
      <c r="F3912">
        <v>5</v>
      </c>
      <c r="G3912">
        <v>4</v>
      </c>
      <c r="H3912">
        <v>0</v>
      </c>
      <c r="I3912">
        <v>2</v>
      </c>
      <c r="J3912">
        <v>1</v>
      </c>
      <c r="K3912">
        <v>1</v>
      </c>
      <c r="L3912" t="s">
        <v>3284</v>
      </c>
      <c r="M3912" t="s">
        <v>3296</v>
      </c>
      <c r="N3912" t="s">
        <v>3321</v>
      </c>
      <c r="O3912" t="s">
        <v>3322</v>
      </c>
      <c r="P3912" t="s">
        <v>3398</v>
      </c>
      <c r="Q3912" t="s">
        <v>3918</v>
      </c>
      <c r="R3912" t="s">
        <v>12612</v>
      </c>
    </row>
    <row r="3913" spans="1:18" x14ac:dyDescent="0.2">
      <c r="A3913">
        <v>679259</v>
      </c>
      <c r="B3913" t="s">
        <v>12613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1</v>
      </c>
      <c r="J3913">
        <v>0</v>
      </c>
      <c r="K3913">
        <v>0</v>
      </c>
      <c r="L3913" t="s">
        <v>3284</v>
      </c>
      <c r="M3913" t="s">
        <v>3296</v>
      </c>
      <c r="N3913" t="s">
        <v>3297</v>
      </c>
      <c r="O3913" t="s">
        <v>7551</v>
      </c>
      <c r="P3913" t="s">
        <v>7552</v>
      </c>
      <c r="Q3913" t="s">
        <v>12614</v>
      </c>
      <c r="R3913" t="s">
        <v>12615</v>
      </c>
    </row>
    <row r="3914" spans="1:18" x14ac:dyDescent="0.2">
      <c r="A3914">
        <v>676599</v>
      </c>
      <c r="B3914" t="s">
        <v>12616</v>
      </c>
      <c r="C3914">
        <v>0</v>
      </c>
      <c r="D3914">
        <v>0</v>
      </c>
      <c r="E3914">
        <v>0</v>
      </c>
      <c r="F3914">
        <v>64</v>
      </c>
      <c r="G3914">
        <v>39</v>
      </c>
      <c r="H3914">
        <v>17</v>
      </c>
      <c r="I3914">
        <v>0</v>
      </c>
      <c r="J3914">
        <v>0</v>
      </c>
      <c r="K3914">
        <v>0</v>
      </c>
      <c r="L3914" t="s">
        <v>3284</v>
      </c>
      <c r="M3914" t="s">
        <v>3296</v>
      </c>
      <c r="N3914" t="s">
        <v>3297</v>
      </c>
      <c r="O3914" t="s">
        <v>3469</v>
      </c>
      <c r="P3914" t="s">
        <v>3470</v>
      </c>
      <c r="Q3914" t="s">
        <v>3471</v>
      </c>
      <c r="R3914" t="s">
        <v>12617</v>
      </c>
    </row>
    <row r="3915" spans="1:18" x14ac:dyDescent="0.2">
      <c r="A3915">
        <v>674703</v>
      </c>
      <c r="B3915" t="s">
        <v>12618</v>
      </c>
      <c r="C3915">
        <v>0</v>
      </c>
      <c r="D3915">
        <v>1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 t="s">
        <v>3284</v>
      </c>
      <c r="M3915" t="s">
        <v>3296</v>
      </c>
      <c r="N3915" t="s">
        <v>3343</v>
      </c>
      <c r="O3915" t="s">
        <v>3344</v>
      </c>
      <c r="P3915" t="s">
        <v>3837</v>
      </c>
      <c r="Q3915" t="s">
        <v>3838</v>
      </c>
      <c r="R3915" t="s">
        <v>12619</v>
      </c>
    </row>
    <row r="3916" spans="1:18" x14ac:dyDescent="0.2">
      <c r="A3916">
        <v>673550</v>
      </c>
      <c r="B3916" t="s">
        <v>12620</v>
      </c>
      <c r="C3916">
        <v>1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 t="s">
        <v>3284</v>
      </c>
      <c r="M3916" t="s">
        <v>3296</v>
      </c>
      <c r="N3916" t="s">
        <v>3321</v>
      </c>
      <c r="O3916" t="s">
        <v>3322</v>
      </c>
      <c r="P3916" t="s">
        <v>3398</v>
      </c>
      <c r="Q3916" t="s">
        <v>3806</v>
      </c>
      <c r="R3916" t="s">
        <v>12621</v>
      </c>
    </row>
    <row r="3917" spans="1:18" x14ac:dyDescent="0.2">
      <c r="A3917">
        <v>671622</v>
      </c>
      <c r="B3917" t="s">
        <v>12622</v>
      </c>
      <c r="C3917">
        <v>0</v>
      </c>
      <c r="D3917">
        <v>1</v>
      </c>
      <c r="E3917">
        <v>0</v>
      </c>
      <c r="F3917">
        <v>0</v>
      </c>
      <c r="G3917">
        <v>0</v>
      </c>
      <c r="H3917">
        <v>0</v>
      </c>
      <c r="I3917">
        <v>1</v>
      </c>
      <c r="J3917">
        <v>0</v>
      </c>
      <c r="K3917">
        <v>0</v>
      </c>
      <c r="L3917" t="s">
        <v>3284</v>
      </c>
      <c r="M3917" t="s">
        <v>3307</v>
      </c>
      <c r="N3917" t="s">
        <v>3308</v>
      </c>
      <c r="O3917" t="s">
        <v>3359</v>
      </c>
      <c r="P3917" t="s">
        <v>3360</v>
      </c>
      <c r="Q3917" t="s">
        <v>3361</v>
      </c>
      <c r="R3917" t="s">
        <v>12623</v>
      </c>
    </row>
    <row r="3918" spans="1:18" x14ac:dyDescent="0.2">
      <c r="A3918">
        <v>666685</v>
      </c>
      <c r="B3918" t="s">
        <v>12624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1</v>
      </c>
      <c r="J3918">
        <v>1</v>
      </c>
      <c r="K3918">
        <v>0</v>
      </c>
      <c r="L3918" t="s">
        <v>3284</v>
      </c>
      <c r="M3918" t="s">
        <v>3296</v>
      </c>
      <c r="N3918" t="s">
        <v>3297</v>
      </c>
      <c r="O3918" t="s">
        <v>3469</v>
      </c>
      <c r="P3918" t="s">
        <v>5200</v>
      </c>
      <c r="Q3918" t="s">
        <v>12625</v>
      </c>
      <c r="R3918" t="s">
        <v>12626</v>
      </c>
    </row>
    <row r="3919" spans="1:18" x14ac:dyDescent="0.2">
      <c r="A3919">
        <v>665903</v>
      </c>
      <c r="B3919" t="s">
        <v>12627</v>
      </c>
      <c r="C3919">
        <v>1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 t="s">
        <v>3284</v>
      </c>
      <c r="M3919" t="s">
        <v>3307</v>
      </c>
      <c r="N3919" t="s">
        <v>12628</v>
      </c>
      <c r="O3919" t="s">
        <v>12629</v>
      </c>
      <c r="P3919" t="s">
        <v>12630</v>
      </c>
      <c r="Q3919" t="s">
        <v>12631</v>
      </c>
      <c r="R3919" t="s">
        <v>12632</v>
      </c>
    </row>
    <row r="3920" spans="1:18" x14ac:dyDescent="0.2">
      <c r="A3920">
        <v>665467</v>
      </c>
      <c r="B3920" t="s">
        <v>12633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1</v>
      </c>
      <c r="K3920">
        <v>0</v>
      </c>
      <c r="L3920" t="s">
        <v>3284</v>
      </c>
      <c r="M3920" t="s">
        <v>3296</v>
      </c>
      <c r="N3920" t="s">
        <v>3343</v>
      </c>
      <c r="O3920" t="s">
        <v>3344</v>
      </c>
      <c r="P3920" t="s">
        <v>3387</v>
      </c>
      <c r="Q3920" t="s">
        <v>12634</v>
      </c>
      <c r="R3920" t="s">
        <v>12635</v>
      </c>
    </row>
    <row r="3921" spans="1:18" x14ac:dyDescent="0.2">
      <c r="A3921">
        <v>665118</v>
      </c>
      <c r="B3921" t="s">
        <v>12636</v>
      </c>
      <c r="C3921">
        <v>0</v>
      </c>
      <c r="D3921">
        <v>0</v>
      </c>
      <c r="E3921">
        <v>0</v>
      </c>
      <c r="F3921">
        <v>1</v>
      </c>
      <c r="G3921">
        <v>0</v>
      </c>
      <c r="H3921">
        <v>0</v>
      </c>
      <c r="I3921">
        <v>0</v>
      </c>
      <c r="J3921">
        <v>0</v>
      </c>
      <c r="K3921">
        <v>0</v>
      </c>
      <c r="L3921" t="s">
        <v>3284</v>
      </c>
      <c r="M3921" t="s">
        <v>3296</v>
      </c>
      <c r="N3921" t="s">
        <v>3343</v>
      </c>
      <c r="O3921" t="s">
        <v>3344</v>
      </c>
      <c r="P3921" t="s">
        <v>3345</v>
      </c>
      <c r="Q3921" t="s">
        <v>3346</v>
      </c>
      <c r="R3921" t="s">
        <v>12637</v>
      </c>
    </row>
    <row r="3922" spans="1:18" x14ac:dyDescent="0.2">
      <c r="A3922">
        <v>662548</v>
      </c>
      <c r="B3922" t="s">
        <v>12638</v>
      </c>
      <c r="C3922">
        <v>0</v>
      </c>
      <c r="D3922">
        <v>2</v>
      </c>
      <c r="E3922">
        <v>0</v>
      </c>
      <c r="F3922">
        <v>1</v>
      </c>
      <c r="G3922">
        <v>1</v>
      </c>
      <c r="H3922">
        <v>0</v>
      </c>
      <c r="I3922">
        <v>0</v>
      </c>
      <c r="J3922">
        <v>0</v>
      </c>
      <c r="K3922">
        <v>0</v>
      </c>
      <c r="L3922" t="s">
        <v>3284</v>
      </c>
      <c r="M3922" t="s">
        <v>3296</v>
      </c>
      <c r="N3922" t="s">
        <v>3321</v>
      </c>
      <c r="O3922" t="s">
        <v>3322</v>
      </c>
      <c r="P3922" t="s">
        <v>3398</v>
      </c>
      <c r="Q3922" t="s">
        <v>3399</v>
      </c>
      <c r="R3922" t="s">
        <v>12639</v>
      </c>
    </row>
    <row r="3923" spans="1:18" x14ac:dyDescent="0.2">
      <c r="A3923">
        <v>661979</v>
      </c>
      <c r="B3923" t="s">
        <v>12640</v>
      </c>
      <c r="C3923">
        <v>0</v>
      </c>
      <c r="D3923">
        <v>0</v>
      </c>
      <c r="E3923">
        <v>0</v>
      </c>
      <c r="F3923">
        <v>1</v>
      </c>
      <c r="G3923">
        <v>0</v>
      </c>
      <c r="H3923">
        <v>0</v>
      </c>
      <c r="I3923">
        <v>0</v>
      </c>
      <c r="J3923">
        <v>0</v>
      </c>
      <c r="K3923">
        <v>0</v>
      </c>
      <c r="L3923" t="s">
        <v>3284</v>
      </c>
      <c r="M3923" t="s">
        <v>3307</v>
      </c>
      <c r="N3923" t="s">
        <v>3308</v>
      </c>
      <c r="O3923" t="s">
        <v>3359</v>
      </c>
      <c r="P3923" t="s">
        <v>12641</v>
      </c>
      <c r="Q3923" t="s">
        <v>12642</v>
      </c>
      <c r="R3923" t="s">
        <v>12643</v>
      </c>
    </row>
    <row r="3924" spans="1:18" x14ac:dyDescent="0.2">
      <c r="A3924">
        <v>661485</v>
      </c>
      <c r="B3924" t="s">
        <v>12644</v>
      </c>
      <c r="C3924">
        <v>1</v>
      </c>
      <c r="D3924">
        <v>1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 t="s">
        <v>3284</v>
      </c>
      <c r="M3924" t="s">
        <v>3307</v>
      </c>
      <c r="N3924" t="s">
        <v>3308</v>
      </c>
      <c r="O3924" t="s">
        <v>3309</v>
      </c>
      <c r="P3924" t="s">
        <v>3310</v>
      </c>
      <c r="Q3924" t="s">
        <v>3311</v>
      </c>
      <c r="R3924" t="s">
        <v>12645</v>
      </c>
    </row>
    <row r="3925" spans="1:18" x14ac:dyDescent="0.2">
      <c r="A3925">
        <v>661483</v>
      </c>
      <c r="B3925" t="s">
        <v>12646</v>
      </c>
      <c r="C3925">
        <v>4</v>
      </c>
      <c r="D3925">
        <v>1</v>
      </c>
      <c r="E3925">
        <v>1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 t="s">
        <v>3284</v>
      </c>
      <c r="M3925" t="s">
        <v>3307</v>
      </c>
      <c r="N3925" t="s">
        <v>3308</v>
      </c>
      <c r="O3925" t="s">
        <v>3309</v>
      </c>
      <c r="P3925" t="s">
        <v>3310</v>
      </c>
      <c r="Q3925" t="s">
        <v>3311</v>
      </c>
      <c r="R3925" t="s">
        <v>12647</v>
      </c>
    </row>
    <row r="3926" spans="1:18" x14ac:dyDescent="0.2">
      <c r="A3926">
        <v>661329</v>
      </c>
      <c r="B3926" t="s">
        <v>12648</v>
      </c>
      <c r="C3926">
        <v>0</v>
      </c>
      <c r="D3926">
        <v>0</v>
      </c>
      <c r="E3926">
        <v>0</v>
      </c>
      <c r="F3926">
        <v>3</v>
      </c>
      <c r="G3926">
        <v>2</v>
      </c>
      <c r="H3926">
        <v>2</v>
      </c>
      <c r="I3926">
        <v>0</v>
      </c>
      <c r="J3926">
        <v>0</v>
      </c>
      <c r="K3926">
        <v>0</v>
      </c>
      <c r="L3926" t="s">
        <v>3284</v>
      </c>
      <c r="M3926" t="s">
        <v>3307</v>
      </c>
      <c r="N3926" t="s">
        <v>3308</v>
      </c>
      <c r="O3926" t="s">
        <v>3359</v>
      </c>
      <c r="P3926" t="s">
        <v>3360</v>
      </c>
      <c r="Q3926" t="s">
        <v>3561</v>
      </c>
      <c r="R3926" t="s">
        <v>12649</v>
      </c>
    </row>
    <row r="3927" spans="1:18" x14ac:dyDescent="0.2">
      <c r="A3927">
        <v>659014</v>
      </c>
      <c r="B3927" t="s">
        <v>12650</v>
      </c>
      <c r="C3927">
        <v>1</v>
      </c>
      <c r="D3927">
        <v>0</v>
      </c>
      <c r="E3927">
        <v>0</v>
      </c>
      <c r="F3927">
        <v>1</v>
      </c>
      <c r="G3927">
        <v>1</v>
      </c>
      <c r="H3927">
        <v>0</v>
      </c>
      <c r="I3927">
        <v>0</v>
      </c>
      <c r="J3927">
        <v>0</v>
      </c>
      <c r="K3927">
        <v>0</v>
      </c>
      <c r="L3927" t="s">
        <v>3284</v>
      </c>
      <c r="M3927" t="s">
        <v>3391</v>
      </c>
      <c r="N3927" t="s">
        <v>3740</v>
      </c>
      <c r="O3927" t="s">
        <v>3741</v>
      </c>
      <c r="P3927" t="s">
        <v>3742</v>
      </c>
      <c r="Q3927" t="s">
        <v>4598</v>
      </c>
      <c r="R3927" t="s">
        <v>12651</v>
      </c>
    </row>
    <row r="3928" spans="1:18" x14ac:dyDescent="0.2">
      <c r="A3928">
        <v>658666</v>
      </c>
      <c r="B3928" t="s">
        <v>12652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1</v>
      </c>
      <c r="J3928">
        <v>1</v>
      </c>
      <c r="K3928">
        <v>0</v>
      </c>
      <c r="L3928" t="s">
        <v>3284</v>
      </c>
      <c r="M3928" t="s">
        <v>3327</v>
      </c>
      <c r="N3928" t="s">
        <v>3376</v>
      </c>
      <c r="O3928" t="s">
        <v>3377</v>
      </c>
      <c r="P3928" t="s">
        <v>3378</v>
      </c>
      <c r="Q3928" t="s">
        <v>3379</v>
      </c>
      <c r="R3928" t="s">
        <v>12653</v>
      </c>
    </row>
    <row r="3929" spans="1:18" x14ac:dyDescent="0.2">
      <c r="A3929">
        <v>658225</v>
      </c>
      <c r="B3929" t="s">
        <v>12654</v>
      </c>
      <c r="C3929">
        <v>0</v>
      </c>
      <c r="D3929">
        <v>0</v>
      </c>
      <c r="E3929">
        <v>0</v>
      </c>
      <c r="F3929">
        <v>1</v>
      </c>
      <c r="G3929">
        <v>1</v>
      </c>
      <c r="H3929">
        <v>0</v>
      </c>
      <c r="I3929">
        <v>0</v>
      </c>
      <c r="J3929">
        <v>0</v>
      </c>
      <c r="K3929">
        <v>0</v>
      </c>
      <c r="L3929" t="s">
        <v>3284</v>
      </c>
      <c r="M3929" t="s">
        <v>3296</v>
      </c>
      <c r="N3929" t="s">
        <v>3343</v>
      </c>
      <c r="O3929" t="s">
        <v>3349</v>
      </c>
      <c r="P3929" t="s">
        <v>3350</v>
      </c>
      <c r="Q3929" t="s">
        <v>3580</v>
      </c>
      <c r="R3929" t="s">
        <v>12655</v>
      </c>
    </row>
    <row r="3930" spans="1:18" x14ac:dyDescent="0.2">
      <c r="A3930">
        <v>657276</v>
      </c>
      <c r="B3930" t="s">
        <v>12656</v>
      </c>
      <c r="C3930">
        <v>4</v>
      </c>
      <c r="D3930">
        <v>3</v>
      </c>
      <c r="E3930">
        <v>1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 t="s">
        <v>3284</v>
      </c>
      <c r="M3930" t="s">
        <v>3296</v>
      </c>
      <c r="N3930" t="s">
        <v>3321</v>
      </c>
      <c r="O3930" t="s">
        <v>5306</v>
      </c>
      <c r="P3930" t="s">
        <v>5307</v>
      </c>
      <c r="Q3930" t="s">
        <v>5308</v>
      </c>
      <c r="R3930" t="s">
        <v>12657</v>
      </c>
    </row>
    <row r="3931" spans="1:18" x14ac:dyDescent="0.2">
      <c r="A3931">
        <v>655607</v>
      </c>
      <c r="B3931" t="s">
        <v>12658</v>
      </c>
      <c r="C3931">
        <v>1</v>
      </c>
      <c r="D3931">
        <v>1</v>
      </c>
      <c r="E3931">
        <v>1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 t="s">
        <v>3284</v>
      </c>
      <c r="M3931" t="s">
        <v>3327</v>
      </c>
      <c r="N3931" t="s">
        <v>3328</v>
      </c>
      <c r="O3931" t="s">
        <v>4184</v>
      </c>
      <c r="P3931" t="s">
        <v>4185</v>
      </c>
      <c r="Q3931" t="s">
        <v>4186</v>
      </c>
      <c r="R3931" t="s">
        <v>12659</v>
      </c>
    </row>
    <row r="3932" spans="1:18" x14ac:dyDescent="0.2">
      <c r="A3932">
        <v>655338</v>
      </c>
      <c r="B3932" t="s">
        <v>12660</v>
      </c>
      <c r="C3932">
        <v>5</v>
      </c>
      <c r="D3932">
        <v>7</v>
      </c>
      <c r="E3932">
        <v>5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1</v>
      </c>
      <c r="L3932" t="s">
        <v>3284</v>
      </c>
      <c r="M3932" t="s">
        <v>3327</v>
      </c>
      <c r="N3932" t="s">
        <v>3328</v>
      </c>
      <c r="O3932" t="s">
        <v>3329</v>
      </c>
      <c r="P3932" t="s">
        <v>3330</v>
      </c>
      <c r="Q3932" t="s">
        <v>12661</v>
      </c>
      <c r="R3932" t="s">
        <v>12662</v>
      </c>
    </row>
    <row r="3933" spans="1:18" x14ac:dyDescent="0.2">
      <c r="A3933">
        <v>655015</v>
      </c>
      <c r="B3933" t="s">
        <v>12663</v>
      </c>
      <c r="C3933">
        <v>1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 t="s">
        <v>3284</v>
      </c>
      <c r="M3933" t="s">
        <v>3296</v>
      </c>
      <c r="N3933" t="s">
        <v>3343</v>
      </c>
      <c r="O3933" t="s">
        <v>3344</v>
      </c>
      <c r="P3933" t="s">
        <v>6791</v>
      </c>
      <c r="Q3933" t="s">
        <v>7770</v>
      </c>
      <c r="R3933" t="s">
        <v>12664</v>
      </c>
    </row>
    <row r="3934" spans="1:18" x14ac:dyDescent="0.2">
      <c r="A3934">
        <v>653954</v>
      </c>
      <c r="B3934" t="s">
        <v>12665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1</v>
      </c>
      <c r="J3934">
        <v>0</v>
      </c>
      <c r="K3934">
        <v>0</v>
      </c>
      <c r="L3934" t="s">
        <v>3284</v>
      </c>
      <c r="M3934" t="s">
        <v>3296</v>
      </c>
      <c r="N3934" t="s">
        <v>3343</v>
      </c>
      <c r="O3934" t="s">
        <v>3349</v>
      </c>
      <c r="P3934" t="s">
        <v>3350</v>
      </c>
      <c r="Q3934" t="s">
        <v>3580</v>
      </c>
      <c r="R3934" t="s">
        <v>12666</v>
      </c>
    </row>
    <row r="3935" spans="1:18" x14ac:dyDescent="0.2">
      <c r="A3935">
        <v>652876</v>
      </c>
      <c r="B3935" t="s">
        <v>12667</v>
      </c>
      <c r="C3935">
        <v>0</v>
      </c>
      <c r="D3935">
        <v>0</v>
      </c>
      <c r="E3935">
        <v>0</v>
      </c>
      <c r="F3935">
        <v>0</v>
      </c>
      <c r="G3935">
        <v>1</v>
      </c>
      <c r="H3935">
        <v>0</v>
      </c>
      <c r="I3935">
        <v>0</v>
      </c>
      <c r="J3935">
        <v>0</v>
      </c>
      <c r="K3935">
        <v>0</v>
      </c>
      <c r="L3935" t="s">
        <v>3284</v>
      </c>
      <c r="M3935" t="s">
        <v>3327</v>
      </c>
      <c r="N3935" t="s">
        <v>3376</v>
      </c>
      <c r="O3935" t="s">
        <v>3377</v>
      </c>
      <c r="P3935" t="s">
        <v>3604</v>
      </c>
      <c r="Q3935" t="s">
        <v>6110</v>
      </c>
      <c r="R3935" t="s">
        <v>12668</v>
      </c>
    </row>
    <row r="3936" spans="1:18" x14ac:dyDescent="0.2">
      <c r="A3936">
        <v>652788</v>
      </c>
      <c r="B3936" t="s">
        <v>12669</v>
      </c>
      <c r="C3936">
        <v>0</v>
      </c>
      <c r="D3936">
        <v>0</v>
      </c>
      <c r="E3936">
        <v>0</v>
      </c>
      <c r="F3936">
        <v>1</v>
      </c>
      <c r="G3936">
        <v>0</v>
      </c>
      <c r="H3936">
        <v>0</v>
      </c>
      <c r="I3936">
        <v>0</v>
      </c>
      <c r="J3936">
        <v>0</v>
      </c>
      <c r="K3936">
        <v>0</v>
      </c>
      <c r="L3936" t="s">
        <v>3284</v>
      </c>
      <c r="M3936" t="s">
        <v>3391</v>
      </c>
      <c r="N3936" t="s">
        <v>3392</v>
      </c>
      <c r="O3936" t="s">
        <v>3393</v>
      </c>
      <c r="P3936" t="s">
        <v>3394</v>
      </c>
      <c r="Q3936" t="s">
        <v>4082</v>
      </c>
      <c r="R3936" t="s">
        <v>12670</v>
      </c>
    </row>
    <row r="3937" spans="1:18" x14ac:dyDescent="0.2">
      <c r="A3937">
        <v>652787</v>
      </c>
      <c r="B3937" t="s">
        <v>12671</v>
      </c>
      <c r="C3937">
        <v>0</v>
      </c>
      <c r="D3937">
        <v>0</v>
      </c>
      <c r="E3937">
        <v>0</v>
      </c>
      <c r="F3937">
        <v>1</v>
      </c>
      <c r="G3937">
        <v>1</v>
      </c>
      <c r="H3937">
        <v>0</v>
      </c>
      <c r="I3937">
        <v>0</v>
      </c>
      <c r="J3937">
        <v>0</v>
      </c>
      <c r="K3937">
        <v>0</v>
      </c>
      <c r="L3937" t="s">
        <v>3284</v>
      </c>
      <c r="M3937" t="s">
        <v>3391</v>
      </c>
      <c r="N3937" t="s">
        <v>3392</v>
      </c>
      <c r="O3937" t="s">
        <v>3393</v>
      </c>
      <c r="P3937" t="s">
        <v>3394</v>
      </c>
      <c r="Q3937" t="s">
        <v>4082</v>
      </c>
      <c r="R3937" t="s">
        <v>12672</v>
      </c>
    </row>
    <row r="3938" spans="1:18" x14ac:dyDescent="0.2">
      <c r="A3938">
        <v>651869</v>
      </c>
      <c r="B3938" t="s">
        <v>12673</v>
      </c>
      <c r="C3938">
        <v>0</v>
      </c>
      <c r="D3938">
        <v>0</v>
      </c>
      <c r="E3938">
        <v>0</v>
      </c>
      <c r="F3938">
        <v>1</v>
      </c>
      <c r="G3938">
        <v>1</v>
      </c>
      <c r="H3938">
        <v>0</v>
      </c>
      <c r="I3938">
        <v>0</v>
      </c>
      <c r="J3938">
        <v>0</v>
      </c>
      <c r="K3938">
        <v>0</v>
      </c>
      <c r="L3938" t="s">
        <v>3284</v>
      </c>
      <c r="M3938" t="s">
        <v>3391</v>
      </c>
      <c r="N3938" t="s">
        <v>3392</v>
      </c>
      <c r="O3938" t="s">
        <v>3393</v>
      </c>
      <c r="P3938" t="s">
        <v>3394</v>
      </c>
      <c r="Q3938" t="s">
        <v>3395</v>
      </c>
      <c r="R3938" t="s">
        <v>12674</v>
      </c>
    </row>
    <row r="3939" spans="1:18" x14ac:dyDescent="0.2">
      <c r="A3939">
        <v>651561</v>
      </c>
      <c r="B3939" t="s">
        <v>12675</v>
      </c>
      <c r="C3939">
        <v>3</v>
      </c>
      <c r="D3939">
        <v>2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 t="s">
        <v>3284</v>
      </c>
      <c r="M3939" t="s">
        <v>3391</v>
      </c>
      <c r="N3939" t="s">
        <v>3411</v>
      </c>
      <c r="O3939" t="s">
        <v>3412</v>
      </c>
      <c r="P3939" t="s">
        <v>3564</v>
      </c>
      <c r="Q3939" t="s">
        <v>3803</v>
      </c>
      <c r="R3939" t="s">
        <v>12676</v>
      </c>
    </row>
    <row r="3940" spans="1:18" x14ac:dyDescent="0.2">
      <c r="A3940">
        <v>650104</v>
      </c>
      <c r="B3940" t="s">
        <v>12677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1</v>
      </c>
      <c r="K3940">
        <v>0</v>
      </c>
      <c r="L3940" t="s">
        <v>3284</v>
      </c>
      <c r="M3940" t="s">
        <v>3307</v>
      </c>
      <c r="N3940" t="s">
        <v>3308</v>
      </c>
      <c r="O3940" t="s">
        <v>3359</v>
      </c>
      <c r="P3940" t="s">
        <v>3965</v>
      </c>
      <c r="Q3940" t="s">
        <v>12678</v>
      </c>
      <c r="R3940" t="s">
        <v>12679</v>
      </c>
    </row>
    <row r="3941" spans="1:18" x14ac:dyDescent="0.2">
      <c r="A3941">
        <v>649756</v>
      </c>
      <c r="B3941" t="s">
        <v>12680</v>
      </c>
      <c r="C3941">
        <v>1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 t="s">
        <v>3284</v>
      </c>
      <c r="M3941" t="s">
        <v>3327</v>
      </c>
      <c r="N3941" t="s">
        <v>3328</v>
      </c>
      <c r="O3941" t="s">
        <v>4017</v>
      </c>
      <c r="P3941" t="s">
        <v>4018</v>
      </c>
      <c r="Q3941" t="s">
        <v>12681</v>
      </c>
      <c r="R3941" t="s">
        <v>12682</v>
      </c>
    </row>
    <row r="3942" spans="1:18" x14ac:dyDescent="0.2">
      <c r="A3942">
        <v>649104</v>
      </c>
      <c r="B3942" t="s">
        <v>12683</v>
      </c>
      <c r="C3942">
        <v>0</v>
      </c>
      <c r="D3942">
        <v>0</v>
      </c>
      <c r="E3942">
        <v>0</v>
      </c>
      <c r="F3942">
        <v>12</v>
      </c>
      <c r="G3942">
        <v>6</v>
      </c>
      <c r="H3942">
        <v>0</v>
      </c>
      <c r="I3942">
        <v>3</v>
      </c>
      <c r="J3942">
        <v>5</v>
      </c>
      <c r="K3942">
        <v>0</v>
      </c>
      <c r="L3942" t="s">
        <v>3284</v>
      </c>
      <c r="M3942" t="s">
        <v>3391</v>
      </c>
      <c r="N3942" t="s">
        <v>3392</v>
      </c>
      <c r="O3942" t="s">
        <v>3393</v>
      </c>
      <c r="P3942" t="s">
        <v>3394</v>
      </c>
      <c r="Q3942" t="s">
        <v>4082</v>
      </c>
      <c r="R3942" t="s">
        <v>12684</v>
      </c>
    </row>
    <row r="3943" spans="1:18" x14ac:dyDescent="0.2">
      <c r="A3943">
        <v>648995</v>
      </c>
      <c r="B3943" t="s">
        <v>12685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1</v>
      </c>
      <c r="L3943" t="s">
        <v>3284</v>
      </c>
      <c r="M3943" t="s">
        <v>3296</v>
      </c>
      <c r="N3943" t="s">
        <v>3343</v>
      </c>
      <c r="O3943" t="s">
        <v>3344</v>
      </c>
      <c r="P3943" t="s">
        <v>3355</v>
      </c>
      <c r="Q3943" t="s">
        <v>3546</v>
      </c>
      <c r="R3943" t="s">
        <v>12686</v>
      </c>
    </row>
    <row r="3944" spans="1:18" x14ac:dyDescent="0.2">
      <c r="A3944">
        <v>647910</v>
      </c>
      <c r="B3944" t="s">
        <v>12687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1</v>
      </c>
      <c r="J3944">
        <v>0</v>
      </c>
      <c r="K3944">
        <v>0</v>
      </c>
      <c r="L3944" t="s">
        <v>3284</v>
      </c>
      <c r="M3944" t="s">
        <v>3327</v>
      </c>
      <c r="N3944" t="s">
        <v>3376</v>
      </c>
      <c r="O3944" t="s">
        <v>3377</v>
      </c>
      <c r="P3944" t="s">
        <v>6333</v>
      </c>
      <c r="Q3944" t="s">
        <v>6334</v>
      </c>
      <c r="R3944" t="s">
        <v>12688</v>
      </c>
    </row>
    <row r="3945" spans="1:18" x14ac:dyDescent="0.2">
      <c r="A3945">
        <v>645887</v>
      </c>
      <c r="B3945" t="s">
        <v>12689</v>
      </c>
      <c r="C3945">
        <v>0</v>
      </c>
      <c r="D3945">
        <v>1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 t="s">
        <v>3284</v>
      </c>
      <c r="M3945" t="s">
        <v>3327</v>
      </c>
      <c r="N3945" t="s">
        <v>3328</v>
      </c>
      <c r="O3945" t="s">
        <v>3329</v>
      </c>
      <c r="P3945" t="s">
        <v>3339</v>
      </c>
      <c r="Q3945" t="s">
        <v>12690</v>
      </c>
      <c r="R3945" t="s">
        <v>12691</v>
      </c>
    </row>
    <row r="3946" spans="1:18" x14ac:dyDescent="0.2">
      <c r="A3946">
        <v>644556</v>
      </c>
      <c r="B3946" t="s">
        <v>12692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1</v>
      </c>
      <c r="J3946">
        <v>0</v>
      </c>
      <c r="K3946">
        <v>0</v>
      </c>
      <c r="L3946" t="s">
        <v>3284</v>
      </c>
      <c r="M3946" t="s">
        <v>3307</v>
      </c>
      <c r="N3946" t="s">
        <v>3308</v>
      </c>
      <c r="O3946" t="s">
        <v>3635</v>
      </c>
      <c r="P3946" t="s">
        <v>12693</v>
      </c>
      <c r="Q3946" t="s">
        <v>12694</v>
      </c>
      <c r="R3946" t="s">
        <v>12695</v>
      </c>
    </row>
    <row r="3947" spans="1:18" x14ac:dyDescent="0.2">
      <c r="A3947">
        <v>644215</v>
      </c>
      <c r="B3947" t="s">
        <v>12696</v>
      </c>
      <c r="C3947">
        <v>0</v>
      </c>
      <c r="D3947">
        <v>0</v>
      </c>
      <c r="E3947">
        <v>0</v>
      </c>
      <c r="F3947">
        <v>1</v>
      </c>
      <c r="G3947">
        <v>0</v>
      </c>
      <c r="H3947">
        <v>0</v>
      </c>
      <c r="I3947">
        <v>0</v>
      </c>
      <c r="J3947">
        <v>0</v>
      </c>
      <c r="K3947">
        <v>0</v>
      </c>
      <c r="L3947" t="s">
        <v>3284</v>
      </c>
      <c r="M3947" t="s">
        <v>3296</v>
      </c>
      <c r="N3947" t="s">
        <v>3343</v>
      </c>
      <c r="O3947" t="s">
        <v>3344</v>
      </c>
      <c r="P3947" t="s">
        <v>3937</v>
      </c>
      <c r="Q3947" t="s">
        <v>12697</v>
      </c>
      <c r="R3947" t="s">
        <v>12698</v>
      </c>
    </row>
    <row r="3948" spans="1:18" x14ac:dyDescent="0.2">
      <c r="A3948">
        <v>643673</v>
      </c>
      <c r="B3948" t="s">
        <v>12699</v>
      </c>
      <c r="C3948">
        <v>0</v>
      </c>
      <c r="D3948">
        <v>1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 t="s">
        <v>3284</v>
      </c>
      <c r="M3948" t="s">
        <v>3296</v>
      </c>
      <c r="N3948" t="s">
        <v>3343</v>
      </c>
      <c r="O3948" t="s">
        <v>3344</v>
      </c>
      <c r="P3948" t="s">
        <v>4076</v>
      </c>
      <c r="Q3948" t="s">
        <v>12700</v>
      </c>
      <c r="R3948" t="s">
        <v>12701</v>
      </c>
    </row>
    <row r="3949" spans="1:18" x14ac:dyDescent="0.2">
      <c r="A3949">
        <v>642762</v>
      </c>
      <c r="B3949" t="s">
        <v>12702</v>
      </c>
      <c r="C3949">
        <v>0</v>
      </c>
      <c r="D3949">
        <v>0</v>
      </c>
      <c r="E3949">
        <v>0</v>
      </c>
      <c r="F3949">
        <v>1</v>
      </c>
      <c r="G3949">
        <v>0</v>
      </c>
      <c r="H3949">
        <v>0</v>
      </c>
      <c r="I3949">
        <v>0</v>
      </c>
      <c r="J3949">
        <v>0</v>
      </c>
      <c r="K3949">
        <v>0</v>
      </c>
      <c r="L3949" t="s">
        <v>3284</v>
      </c>
      <c r="M3949" t="s">
        <v>3307</v>
      </c>
      <c r="N3949" t="s">
        <v>3308</v>
      </c>
      <c r="O3949" t="s">
        <v>3309</v>
      </c>
      <c r="P3949" t="s">
        <v>3310</v>
      </c>
      <c r="Q3949" t="s">
        <v>3311</v>
      </c>
      <c r="R3949" t="s">
        <v>12703</v>
      </c>
    </row>
    <row r="3950" spans="1:18" x14ac:dyDescent="0.2">
      <c r="A3950">
        <v>641107</v>
      </c>
      <c r="B3950" t="s">
        <v>12704</v>
      </c>
      <c r="C3950">
        <v>3</v>
      </c>
      <c r="D3950">
        <v>2</v>
      </c>
      <c r="E3950">
        <v>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 t="s">
        <v>3284</v>
      </c>
      <c r="M3950" t="s">
        <v>3327</v>
      </c>
      <c r="N3950" t="s">
        <v>3328</v>
      </c>
      <c r="O3950" t="s">
        <v>3329</v>
      </c>
      <c r="P3950" t="s">
        <v>3330</v>
      </c>
      <c r="Q3950" t="s">
        <v>3331</v>
      </c>
      <c r="R3950" t="s">
        <v>12705</v>
      </c>
    </row>
    <row r="3951" spans="1:18" x14ac:dyDescent="0.2">
      <c r="A3951">
        <v>640948</v>
      </c>
      <c r="B3951" t="s">
        <v>12706</v>
      </c>
      <c r="C3951">
        <v>0</v>
      </c>
      <c r="D3951">
        <v>0</v>
      </c>
      <c r="E3951">
        <v>2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 t="s">
        <v>3284</v>
      </c>
      <c r="M3951" t="s">
        <v>3327</v>
      </c>
      <c r="N3951" t="s">
        <v>3376</v>
      </c>
      <c r="O3951" t="s">
        <v>3377</v>
      </c>
      <c r="P3951" t="s">
        <v>3378</v>
      </c>
      <c r="Q3951" t="s">
        <v>4156</v>
      </c>
      <c r="R3951" t="s">
        <v>12707</v>
      </c>
    </row>
    <row r="3952" spans="1:18" x14ac:dyDescent="0.2">
      <c r="A3952">
        <v>640635</v>
      </c>
      <c r="B3952" t="s">
        <v>12708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1</v>
      </c>
      <c r="J3952">
        <v>0</v>
      </c>
      <c r="K3952">
        <v>0</v>
      </c>
      <c r="L3952" t="s">
        <v>3284</v>
      </c>
      <c r="M3952" t="s">
        <v>3307</v>
      </c>
      <c r="N3952" t="s">
        <v>3308</v>
      </c>
      <c r="O3952" t="s">
        <v>3359</v>
      </c>
      <c r="P3952" t="s">
        <v>3360</v>
      </c>
      <c r="Q3952" t="s">
        <v>7476</v>
      </c>
      <c r="R3952" t="s">
        <v>12709</v>
      </c>
    </row>
    <row r="3953" spans="1:18" x14ac:dyDescent="0.2">
      <c r="A3953">
        <v>640205</v>
      </c>
      <c r="B3953" t="s">
        <v>12710</v>
      </c>
      <c r="C3953">
        <v>1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 t="s">
        <v>3284</v>
      </c>
      <c r="M3953" t="s">
        <v>3296</v>
      </c>
      <c r="N3953" t="s">
        <v>3297</v>
      </c>
      <c r="O3953" t="s">
        <v>3434</v>
      </c>
      <c r="P3953" t="s">
        <v>3435</v>
      </c>
      <c r="Q3953" t="s">
        <v>3436</v>
      </c>
      <c r="R3953" t="s">
        <v>12711</v>
      </c>
    </row>
    <row r="3954" spans="1:18" x14ac:dyDescent="0.2">
      <c r="A3954">
        <v>640108</v>
      </c>
      <c r="B3954" t="s">
        <v>12712</v>
      </c>
      <c r="C3954">
        <v>0</v>
      </c>
      <c r="D3954">
        <v>0</v>
      </c>
      <c r="E3954">
        <v>0</v>
      </c>
      <c r="F3954">
        <v>1</v>
      </c>
      <c r="G3954">
        <v>0</v>
      </c>
      <c r="H3954">
        <v>0</v>
      </c>
      <c r="I3954">
        <v>0</v>
      </c>
      <c r="J3954">
        <v>0</v>
      </c>
      <c r="K3954">
        <v>0</v>
      </c>
      <c r="L3954" t="s">
        <v>3284</v>
      </c>
      <c r="M3954" t="s">
        <v>3296</v>
      </c>
      <c r="N3954" t="s">
        <v>3321</v>
      </c>
      <c r="O3954" t="s">
        <v>5469</v>
      </c>
      <c r="P3954" t="s">
        <v>6828</v>
      </c>
      <c r="Q3954" t="s">
        <v>6829</v>
      </c>
      <c r="R3954" t="s">
        <v>12713</v>
      </c>
    </row>
    <row r="3955" spans="1:18" x14ac:dyDescent="0.2">
      <c r="A3955">
        <v>638953</v>
      </c>
      <c r="B3955" t="s">
        <v>12714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2</v>
      </c>
      <c r="J3955">
        <v>0</v>
      </c>
      <c r="K3955">
        <v>0</v>
      </c>
      <c r="L3955" t="s">
        <v>3284</v>
      </c>
      <c r="M3955" t="s">
        <v>3307</v>
      </c>
      <c r="N3955" t="s">
        <v>3308</v>
      </c>
      <c r="O3955" t="s">
        <v>3359</v>
      </c>
      <c r="P3955" t="s">
        <v>9078</v>
      </c>
      <c r="Q3955" t="s">
        <v>9079</v>
      </c>
      <c r="R3955" t="s">
        <v>12715</v>
      </c>
    </row>
    <row r="3956" spans="1:18" x14ac:dyDescent="0.2">
      <c r="A3956">
        <v>637393</v>
      </c>
      <c r="B3956" t="s">
        <v>12716</v>
      </c>
      <c r="C3956">
        <v>0</v>
      </c>
      <c r="D3956">
        <v>0</v>
      </c>
      <c r="E3956">
        <v>0</v>
      </c>
      <c r="F3956">
        <v>0</v>
      </c>
      <c r="G3956">
        <v>5</v>
      </c>
      <c r="H3956">
        <v>1</v>
      </c>
      <c r="I3956">
        <v>0</v>
      </c>
      <c r="J3956">
        <v>0</v>
      </c>
      <c r="K3956">
        <v>0</v>
      </c>
      <c r="L3956" t="s">
        <v>3284</v>
      </c>
      <c r="M3956" t="s">
        <v>3307</v>
      </c>
      <c r="N3956" t="s">
        <v>3308</v>
      </c>
      <c r="O3956" t="s">
        <v>3359</v>
      </c>
      <c r="P3956" t="s">
        <v>3360</v>
      </c>
      <c r="Q3956" t="s">
        <v>3561</v>
      </c>
      <c r="R3956" t="s">
        <v>12717</v>
      </c>
    </row>
    <row r="3957" spans="1:18" x14ac:dyDescent="0.2">
      <c r="A3957">
        <v>634462</v>
      </c>
      <c r="B3957" t="s">
        <v>12718</v>
      </c>
      <c r="C3957">
        <v>0</v>
      </c>
      <c r="D3957">
        <v>0</v>
      </c>
      <c r="E3957">
        <v>0</v>
      </c>
      <c r="F3957">
        <v>1</v>
      </c>
      <c r="G3957">
        <v>0</v>
      </c>
      <c r="H3957">
        <v>0</v>
      </c>
      <c r="I3957">
        <v>0</v>
      </c>
      <c r="J3957">
        <v>0</v>
      </c>
      <c r="K3957">
        <v>0</v>
      </c>
      <c r="L3957" t="s">
        <v>3284</v>
      </c>
      <c r="M3957" t="s">
        <v>3307</v>
      </c>
      <c r="N3957" t="s">
        <v>3308</v>
      </c>
      <c r="O3957" t="s">
        <v>3309</v>
      </c>
      <c r="P3957" t="s">
        <v>3310</v>
      </c>
      <c r="Q3957" t="s">
        <v>3311</v>
      </c>
      <c r="R3957" t="s">
        <v>12719</v>
      </c>
    </row>
    <row r="3958" spans="1:18" x14ac:dyDescent="0.2">
      <c r="A3958">
        <v>633807</v>
      </c>
      <c r="B3958" t="s">
        <v>12720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1</v>
      </c>
      <c r="K3958">
        <v>0</v>
      </c>
      <c r="L3958" t="s">
        <v>3284</v>
      </c>
      <c r="M3958" t="s">
        <v>3327</v>
      </c>
      <c r="N3958" t="s">
        <v>3376</v>
      </c>
      <c r="O3958" t="s">
        <v>3718</v>
      </c>
      <c r="P3958" t="s">
        <v>6044</v>
      </c>
      <c r="Q3958" t="s">
        <v>12721</v>
      </c>
      <c r="R3958" t="s">
        <v>12722</v>
      </c>
    </row>
    <row r="3959" spans="1:18" x14ac:dyDescent="0.2">
      <c r="A3959">
        <v>633415</v>
      </c>
      <c r="B3959" t="s">
        <v>12723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1</v>
      </c>
      <c r="K3959">
        <v>1</v>
      </c>
      <c r="L3959" t="s">
        <v>3284</v>
      </c>
      <c r="M3959" t="s">
        <v>3296</v>
      </c>
      <c r="N3959" t="s">
        <v>3297</v>
      </c>
      <c r="O3959" t="s">
        <v>4112</v>
      </c>
      <c r="P3959" t="s">
        <v>4113</v>
      </c>
      <c r="Q3959" t="s">
        <v>4114</v>
      </c>
      <c r="R3959" t="s">
        <v>12724</v>
      </c>
    </row>
    <row r="3960" spans="1:18" x14ac:dyDescent="0.2">
      <c r="A3960">
        <v>633131</v>
      </c>
      <c r="B3960" t="s">
        <v>12725</v>
      </c>
      <c r="C3960">
        <v>1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 t="s">
        <v>3284</v>
      </c>
      <c r="M3960" t="s">
        <v>3296</v>
      </c>
      <c r="N3960" t="s">
        <v>3343</v>
      </c>
      <c r="O3960" t="s">
        <v>3371</v>
      </c>
      <c r="P3960" t="s">
        <v>3688</v>
      </c>
      <c r="Q3960" t="s">
        <v>12726</v>
      </c>
      <c r="R3960" t="s">
        <v>12727</v>
      </c>
    </row>
    <row r="3961" spans="1:18" x14ac:dyDescent="0.2">
      <c r="A3961">
        <v>632955</v>
      </c>
      <c r="B3961" t="s">
        <v>12728</v>
      </c>
      <c r="C3961">
        <v>0</v>
      </c>
      <c r="D3961">
        <v>1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 t="s">
        <v>3284</v>
      </c>
      <c r="M3961" t="s">
        <v>3296</v>
      </c>
      <c r="N3961" t="s">
        <v>3297</v>
      </c>
      <c r="O3961" t="s">
        <v>4037</v>
      </c>
      <c r="P3961" t="s">
        <v>4038</v>
      </c>
      <c r="Q3961" t="s">
        <v>5556</v>
      </c>
      <c r="R3961" t="s">
        <v>12729</v>
      </c>
    </row>
    <row r="3962" spans="1:18" x14ac:dyDescent="0.2">
      <c r="A3962">
        <v>627624</v>
      </c>
      <c r="B3962" t="s">
        <v>12730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1</v>
      </c>
      <c r="J3962">
        <v>0</v>
      </c>
      <c r="K3962">
        <v>0</v>
      </c>
      <c r="L3962" t="s">
        <v>3284</v>
      </c>
      <c r="M3962" t="s">
        <v>3307</v>
      </c>
      <c r="N3962" t="s">
        <v>3308</v>
      </c>
      <c r="O3962" t="s">
        <v>3309</v>
      </c>
      <c r="P3962" t="s">
        <v>3310</v>
      </c>
      <c r="Q3962" t="s">
        <v>3311</v>
      </c>
      <c r="R3962" t="s">
        <v>12731</v>
      </c>
    </row>
    <row r="3963" spans="1:18" x14ac:dyDescent="0.2">
      <c r="A3963">
        <v>624147</v>
      </c>
      <c r="B3963" t="s">
        <v>12732</v>
      </c>
      <c r="C3963">
        <v>0</v>
      </c>
      <c r="D3963">
        <v>1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 t="s">
        <v>3284</v>
      </c>
      <c r="M3963" t="s">
        <v>3327</v>
      </c>
      <c r="N3963" t="s">
        <v>3376</v>
      </c>
      <c r="O3963" t="s">
        <v>3377</v>
      </c>
      <c r="P3963" t="s">
        <v>3604</v>
      </c>
      <c r="Q3963" t="s">
        <v>3668</v>
      </c>
      <c r="R3963" t="s">
        <v>12733</v>
      </c>
    </row>
    <row r="3964" spans="1:18" x14ac:dyDescent="0.2">
      <c r="A3964">
        <v>620910</v>
      </c>
      <c r="B3964" t="s">
        <v>12734</v>
      </c>
      <c r="C3964">
        <v>0</v>
      </c>
      <c r="D3964">
        <v>0</v>
      </c>
      <c r="E3964">
        <v>0</v>
      </c>
      <c r="F3964">
        <v>1</v>
      </c>
      <c r="G3964">
        <v>0</v>
      </c>
      <c r="H3964">
        <v>0</v>
      </c>
      <c r="I3964">
        <v>0</v>
      </c>
      <c r="J3964">
        <v>0</v>
      </c>
      <c r="K3964">
        <v>0</v>
      </c>
      <c r="L3964" t="s">
        <v>3284</v>
      </c>
      <c r="M3964" t="s">
        <v>3307</v>
      </c>
      <c r="N3964" t="s">
        <v>3308</v>
      </c>
      <c r="O3964" t="s">
        <v>3359</v>
      </c>
      <c r="P3964" t="s">
        <v>3271</v>
      </c>
      <c r="Q3964" t="s">
        <v>12206</v>
      </c>
      <c r="R3964" t="s">
        <v>12735</v>
      </c>
    </row>
    <row r="3965" spans="1:18" x14ac:dyDescent="0.2">
      <c r="A3965">
        <v>614212</v>
      </c>
      <c r="B3965" t="s">
        <v>12736</v>
      </c>
      <c r="C3965">
        <v>0</v>
      </c>
      <c r="D3965">
        <v>0</v>
      </c>
      <c r="E3965">
        <v>0</v>
      </c>
      <c r="F3965">
        <v>1</v>
      </c>
      <c r="G3965">
        <v>0</v>
      </c>
      <c r="H3965">
        <v>0</v>
      </c>
      <c r="I3965">
        <v>0</v>
      </c>
      <c r="J3965">
        <v>0</v>
      </c>
      <c r="K3965">
        <v>0</v>
      </c>
      <c r="L3965" t="s">
        <v>3284</v>
      </c>
      <c r="M3965" t="s">
        <v>3296</v>
      </c>
      <c r="N3965" t="s">
        <v>3321</v>
      </c>
      <c r="O3965" t="s">
        <v>3322</v>
      </c>
      <c r="P3965" t="s">
        <v>3423</v>
      </c>
      <c r="Q3965" t="s">
        <v>4357</v>
      </c>
      <c r="R3965" t="s">
        <v>12737</v>
      </c>
    </row>
    <row r="3966" spans="1:18" x14ac:dyDescent="0.2">
      <c r="A3966">
        <v>600645</v>
      </c>
      <c r="B3966" t="s">
        <v>12738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1</v>
      </c>
      <c r="J3966">
        <v>0</v>
      </c>
      <c r="K3966">
        <v>0</v>
      </c>
      <c r="L3966" t="s">
        <v>3284</v>
      </c>
      <c r="M3966" t="s">
        <v>3296</v>
      </c>
      <c r="N3966" t="s">
        <v>3297</v>
      </c>
      <c r="O3966" t="s">
        <v>4112</v>
      </c>
      <c r="P3966" t="s">
        <v>4113</v>
      </c>
      <c r="Q3966" t="s">
        <v>4114</v>
      </c>
      <c r="R3966" t="s">
        <v>12739</v>
      </c>
    </row>
    <row r="3967" spans="1:18" x14ac:dyDescent="0.2">
      <c r="A3967">
        <v>600626</v>
      </c>
      <c r="B3967" t="s">
        <v>12740</v>
      </c>
      <c r="C3967">
        <v>3</v>
      </c>
      <c r="D3967">
        <v>5</v>
      </c>
      <c r="E3967">
        <v>0</v>
      </c>
      <c r="F3967">
        <v>0</v>
      </c>
      <c r="G3967">
        <v>1</v>
      </c>
      <c r="H3967">
        <v>0</v>
      </c>
      <c r="I3967">
        <v>7</v>
      </c>
      <c r="J3967">
        <v>2</v>
      </c>
      <c r="K3967">
        <v>1</v>
      </c>
      <c r="L3967" t="s">
        <v>3284</v>
      </c>
      <c r="M3967" t="s">
        <v>3391</v>
      </c>
      <c r="N3967" t="s">
        <v>3392</v>
      </c>
      <c r="O3967" t="s">
        <v>3393</v>
      </c>
      <c r="P3967" t="s">
        <v>3394</v>
      </c>
      <c r="Q3967" t="s">
        <v>3395</v>
      </c>
      <c r="R3967" t="s">
        <v>12741</v>
      </c>
    </row>
    <row r="3968" spans="1:18" x14ac:dyDescent="0.2">
      <c r="A3968">
        <v>598626</v>
      </c>
      <c r="B3968" t="s">
        <v>12742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1</v>
      </c>
      <c r="I3968">
        <v>0</v>
      </c>
      <c r="J3968">
        <v>0</v>
      </c>
      <c r="K3968">
        <v>0</v>
      </c>
      <c r="L3968" t="s">
        <v>3284</v>
      </c>
      <c r="M3968" t="s">
        <v>3307</v>
      </c>
      <c r="N3968" t="s">
        <v>3308</v>
      </c>
      <c r="O3968" t="s">
        <v>3359</v>
      </c>
      <c r="P3968" t="s">
        <v>3360</v>
      </c>
      <c r="Q3968" t="s">
        <v>8548</v>
      </c>
      <c r="R3968" t="s">
        <v>12743</v>
      </c>
    </row>
    <row r="3969" spans="1:18" x14ac:dyDescent="0.2">
      <c r="A3969">
        <v>595671</v>
      </c>
      <c r="B3969" t="s">
        <v>12744</v>
      </c>
      <c r="C3969">
        <v>1</v>
      </c>
      <c r="D3969">
        <v>0</v>
      </c>
      <c r="E3969">
        <v>0</v>
      </c>
      <c r="F3969">
        <v>25</v>
      </c>
      <c r="G3969">
        <v>11</v>
      </c>
      <c r="H3969">
        <v>3</v>
      </c>
      <c r="I3969">
        <v>1</v>
      </c>
      <c r="J3969">
        <v>0</v>
      </c>
      <c r="K3969">
        <v>0</v>
      </c>
      <c r="L3969" t="s">
        <v>3284</v>
      </c>
      <c r="M3969" t="s">
        <v>3307</v>
      </c>
      <c r="N3969" t="s">
        <v>3308</v>
      </c>
      <c r="O3969" t="s">
        <v>3359</v>
      </c>
      <c r="P3969" t="s">
        <v>3360</v>
      </c>
      <c r="Q3969" t="s">
        <v>4916</v>
      </c>
      <c r="R3969" t="s">
        <v>12745</v>
      </c>
    </row>
    <row r="3970" spans="1:18" x14ac:dyDescent="0.2">
      <c r="A3970">
        <v>592376</v>
      </c>
      <c r="B3970" t="s">
        <v>12746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6</v>
      </c>
      <c r="J3970">
        <v>3</v>
      </c>
      <c r="K3970">
        <v>1</v>
      </c>
      <c r="L3970" t="s">
        <v>3284</v>
      </c>
      <c r="M3970" t="s">
        <v>3307</v>
      </c>
      <c r="N3970" t="s">
        <v>3308</v>
      </c>
      <c r="O3970" t="s">
        <v>3359</v>
      </c>
      <c r="P3970" t="s">
        <v>3360</v>
      </c>
      <c r="Q3970" t="s">
        <v>3364</v>
      </c>
      <c r="R3970" t="s">
        <v>12747</v>
      </c>
    </row>
    <row r="3971" spans="1:18" x14ac:dyDescent="0.2">
      <c r="A3971">
        <v>592361</v>
      </c>
      <c r="B3971" t="s">
        <v>12748</v>
      </c>
      <c r="C3971">
        <v>1</v>
      </c>
      <c r="D3971">
        <v>1</v>
      </c>
      <c r="E3971">
        <v>1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 t="s">
        <v>3284</v>
      </c>
      <c r="M3971" t="s">
        <v>3296</v>
      </c>
      <c r="N3971" t="s">
        <v>3297</v>
      </c>
      <c r="O3971" t="s">
        <v>3434</v>
      </c>
      <c r="P3971" t="s">
        <v>3435</v>
      </c>
      <c r="Q3971" t="s">
        <v>3436</v>
      </c>
      <c r="R3971" t="s">
        <v>12749</v>
      </c>
    </row>
    <row r="3972" spans="1:18" x14ac:dyDescent="0.2">
      <c r="A3972">
        <v>592051</v>
      </c>
      <c r="B3972" t="s">
        <v>12750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1</v>
      </c>
      <c r="J3972">
        <v>1</v>
      </c>
      <c r="K3972">
        <v>0</v>
      </c>
      <c r="L3972" t="s">
        <v>3284</v>
      </c>
      <c r="M3972" t="s">
        <v>3296</v>
      </c>
      <c r="N3972" t="s">
        <v>3343</v>
      </c>
      <c r="O3972" t="s">
        <v>3349</v>
      </c>
      <c r="P3972" t="s">
        <v>3350</v>
      </c>
      <c r="Q3972" t="s">
        <v>5444</v>
      </c>
      <c r="R3972" t="s">
        <v>12751</v>
      </c>
    </row>
    <row r="3973" spans="1:18" x14ac:dyDescent="0.2">
      <c r="A3973">
        <v>592050</v>
      </c>
      <c r="B3973" t="s">
        <v>12752</v>
      </c>
      <c r="C3973">
        <v>1</v>
      </c>
      <c r="D3973">
        <v>1</v>
      </c>
      <c r="E3973">
        <v>2</v>
      </c>
      <c r="F3973">
        <v>74</v>
      </c>
      <c r="G3973">
        <v>48</v>
      </c>
      <c r="H3973">
        <v>23</v>
      </c>
      <c r="I3973">
        <v>3</v>
      </c>
      <c r="J3973">
        <v>0</v>
      </c>
      <c r="K3973">
        <v>1</v>
      </c>
      <c r="L3973" t="s">
        <v>3284</v>
      </c>
      <c r="M3973" t="s">
        <v>3296</v>
      </c>
      <c r="N3973" t="s">
        <v>3321</v>
      </c>
      <c r="O3973" t="s">
        <v>3322</v>
      </c>
      <c r="P3973" t="s">
        <v>3398</v>
      </c>
      <c r="Q3973" t="s">
        <v>3556</v>
      </c>
      <c r="R3973" t="s">
        <v>12753</v>
      </c>
    </row>
    <row r="3974" spans="1:18" x14ac:dyDescent="0.2">
      <c r="A3974">
        <v>591204</v>
      </c>
      <c r="B3974" t="s">
        <v>12754</v>
      </c>
      <c r="C3974">
        <v>7</v>
      </c>
      <c r="D3974">
        <v>6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 t="s">
        <v>3284</v>
      </c>
      <c r="M3974" t="s">
        <v>3391</v>
      </c>
      <c r="N3974" t="s">
        <v>3411</v>
      </c>
      <c r="O3974" t="s">
        <v>3412</v>
      </c>
      <c r="P3974" t="s">
        <v>3413</v>
      </c>
      <c r="Q3974" t="s">
        <v>3414</v>
      </c>
      <c r="R3974" t="s">
        <v>12755</v>
      </c>
    </row>
    <row r="3975" spans="1:18" x14ac:dyDescent="0.2">
      <c r="A3975">
        <v>591202</v>
      </c>
      <c r="B3975" t="s">
        <v>12756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1</v>
      </c>
      <c r="K3975">
        <v>0</v>
      </c>
      <c r="L3975" t="s">
        <v>3284</v>
      </c>
      <c r="M3975" t="s">
        <v>3391</v>
      </c>
      <c r="N3975" t="s">
        <v>3740</v>
      </c>
      <c r="O3975" t="s">
        <v>3741</v>
      </c>
      <c r="P3975" t="s">
        <v>5300</v>
      </c>
      <c r="Q3975" t="s">
        <v>5311</v>
      </c>
      <c r="R3975" t="s">
        <v>12757</v>
      </c>
    </row>
    <row r="3976" spans="1:18" x14ac:dyDescent="0.2">
      <c r="A3976">
        <v>588932</v>
      </c>
      <c r="B3976" t="s">
        <v>12758</v>
      </c>
      <c r="C3976">
        <v>3</v>
      </c>
      <c r="D3976">
        <v>1</v>
      </c>
      <c r="E3976">
        <v>0</v>
      </c>
      <c r="F3976">
        <v>10</v>
      </c>
      <c r="G3976">
        <v>4</v>
      </c>
      <c r="H3976">
        <v>2</v>
      </c>
      <c r="I3976">
        <v>0</v>
      </c>
      <c r="J3976">
        <v>0</v>
      </c>
      <c r="K3976">
        <v>0</v>
      </c>
      <c r="L3976" t="s">
        <v>3284</v>
      </c>
      <c r="M3976" t="s">
        <v>3296</v>
      </c>
      <c r="N3976" t="s">
        <v>3343</v>
      </c>
      <c r="O3976" t="s">
        <v>3402</v>
      </c>
      <c r="P3976" t="s">
        <v>3403</v>
      </c>
      <c r="Q3976" t="s">
        <v>3536</v>
      </c>
      <c r="R3976" t="s">
        <v>12759</v>
      </c>
    </row>
    <row r="3977" spans="1:18" x14ac:dyDescent="0.2">
      <c r="A3977">
        <v>588672</v>
      </c>
      <c r="B3977" t="s">
        <v>12760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1</v>
      </c>
      <c r="K3977">
        <v>0</v>
      </c>
      <c r="L3977" t="s">
        <v>3284</v>
      </c>
      <c r="M3977" t="s">
        <v>3307</v>
      </c>
      <c r="N3977" t="s">
        <v>3989</v>
      </c>
      <c r="O3977" t="s">
        <v>3990</v>
      </c>
      <c r="P3977" t="s">
        <v>3991</v>
      </c>
      <c r="Q3977" t="s">
        <v>3992</v>
      </c>
      <c r="R3977" t="s">
        <v>12761</v>
      </c>
    </row>
    <row r="3978" spans="1:18" x14ac:dyDescent="0.2">
      <c r="A3978">
        <v>587753</v>
      </c>
      <c r="B3978" t="s">
        <v>12762</v>
      </c>
      <c r="C3978">
        <v>0</v>
      </c>
      <c r="D3978">
        <v>0</v>
      </c>
      <c r="E3978">
        <v>0</v>
      </c>
      <c r="F3978">
        <v>1</v>
      </c>
      <c r="G3978">
        <v>0</v>
      </c>
      <c r="H3978">
        <v>0</v>
      </c>
      <c r="I3978">
        <v>0</v>
      </c>
      <c r="J3978">
        <v>0</v>
      </c>
      <c r="K3978">
        <v>0</v>
      </c>
      <c r="L3978" t="s">
        <v>3284</v>
      </c>
      <c r="M3978" t="s">
        <v>3296</v>
      </c>
      <c r="N3978" t="s">
        <v>3297</v>
      </c>
      <c r="O3978" t="s">
        <v>3434</v>
      </c>
      <c r="P3978" t="s">
        <v>3435</v>
      </c>
      <c r="Q3978" t="s">
        <v>3436</v>
      </c>
      <c r="R3978" t="s">
        <v>12763</v>
      </c>
    </row>
    <row r="3979" spans="1:18" x14ac:dyDescent="0.2">
      <c r="A3979">
        <v>582680</v>
      </c>
      <c r="B3979" t="s">
        <v>12764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1</v>
      </c>
      <c r="J3979">
        <v>1</v>
      </c>
      <c r="K3979">
        <v>0</v>
      </c>
      <c r="L3979" t="s">
        <v>3284</v>
      </c>
      <c r="M3979" t="s">
        <v>3307</v>
      </c>
      <c r="N3979" t="s">
        <v>3308</v>
      </c>
      <c r="O3979" t="s">
        <v>3359</v>
      </c>
      <c r="P3979" t="s">
        <v>3360</v>
      </c>
      <c r="Q3979" t="s">
        <v>3361</v>
      </c>
      <c r="R3979" t="s">
        <v>12765</v>
      </c>
    </row>
    <row r="3980" spans="1:18" x14ac:dyDescent="0.2">
      <c r="A3980">
        <v>582607</v>
      </c>
      <c r="B3980" t="s">
        <v>12766</v>
      </c>
      <c r="C3980">
        <v>4</v>
      </c>
      <c r="D3980">
        <v>4</v>
      </c>
      <c r="E3980">
        <v>1</v>
      </c>
      <c r="F3980">
        <v>0</v>
      </c>
      <c r="G3980">
        <v>0</v>
      </c>
      <c r="H3980">
        <v>0</v>
      </c>
      <c r="I3980">
        <v>1</v>
      </c>
      <c r="J3980">
        <v>1</v>
      </c>
      <c r="K3980">
        <v>0</v>
      </c>
      <c r="L3980" t="s">
        <v>3284</v>
      </c>
      <c r="M3980" t="s">
        <v>3296</v>
      </c>
      <c r="N3980" t="s">
        <v>3321</v>
      </c>
      <c r="O3980" t="s">
        <v>3322</v>
      </c>
      <c r="P3980" t="s">
        <v>3671</v>
      </c>
      <c r="Q3980" t="s">
        <v>3672</v>
      </c>
      <c r="R3980" t="s">
        <v>12767</v>
      </c>
    </row>
    <row r="3981" spans="1:18" x14ac:dyDescent="0.2">
      <c r="A3981">
        <v>580165</v>
      </c>
      <c r="B3981" t="s">
        <v>12768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1</v>
      </c>
      <c r="L3981" t="s">
        <v>3284</v>
      </c>
      <c r="M3981" t="s">
        <v>3327</v>
      </c>
      <c r="N3981" t="s">
        <v>3376</v>
      </c>
      <c r="O3981" t="s">
        <v>3377</v>
      </c>
      <c r="P3981" t="s">
        <v>3378</v>
      </c>
      <c r="Q3981" t="s">
        <v>3379</v>
      </c>
      <c r="R3981" t="s">
        <v>12769</v>
      </c>
    </row>
    <row r="3982" spans="1:18" x14ac:dyDescent="0.2">
      <c r="A3982">
        <v>578920</v>
      </c>
      <c r="B3982" t="s">
        <v>12770</v>
      </c>
      <c r="C3982">
        <v>0</v>
      </c>
      <c r="D3982">
        <v>0</v>
      </c>
      <c r="E3982">
        <v>0</v>
      </c>
      <c r="F3982">
        <v>1</v>
      </c>
      <c r="G3982">
        <v>0</v>
      </c>
      <c r="H3982">
        <v>0</v>
      </c>
      <c r="I3982">
        <v>1</v>
      </c>
      <c r="J3982">
        <v>0</v>
      </c>
      <c r="K3982">
        <v>0</v>
      </c>
      <c r="L3982" t="s">
        <v>3284</v>
      </c>
      <c r="M3982" t="s">
        <v>3296</v>
      </c>
      <c r="N3982" t="s">
        <v>3343</v>
      </c>
      <c r="O3982" t="s">
        <v>3344</v>
      </c>
      <c r="P3982" t="s">
        <v>3937</v>
      </c>
      <c r="Q3982" t="s">
        <v>3938</v>
      </c>
      <c r="R3982" t="s">
        <v>12771</v>
      </c>
    </row>
    <row r="3983" spans="1:18" x14ac:dyDescent="0.2">
      <c r="A3983">
        <v>576611</v>
      </c>
      <c r="B3983" t="s">
        <v>12772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3</v>
      </c>
      <c r="K3983">
        <v>0</v>
      </c>
      <c r="L3983" t="s">
        <v>3284</v>
      </c>
      <c r="M3983" t="s">
        <v>3296</v>
      </c>
      <c r="N3983" t="s">
        <v>3321</v>
      </c>
      <c r="O3983" t="s">
        <v>3322</v>
      </c>
      <c r="P3983" t="s">
        <v>3423</v>
      </c>
      <c r="Q3983" t="s">
        <v>4394</v>
      </c>
      <c r="R3983" t="s">
        <v>12773</v>
      </c>
    </row>
    <row r="3984" spans="1:18" x14ac:dyDescent="0.2">
      <c r="A3984">
        <v>575322</v>
      </c>
      <c r="B3984" t="s">
        <v>12774</v>
      </c>
      <c r="C3984">
        <v>0</v>
      </c>
      <c r="D3984">
        <v>0</v>
      </c>
      <c r="E3984">
        <v>0</v>
      </c>
      <c r="F3984">
        <v>2</v>
      </c>
      <c r="G3984">
        <v>0</v>
      </c>
      <c r="H3984">
        <v>0</v>
      </c>
      <c r="I3984">
        <v>0</v>
      </c>
      <c r="J3984">
        <v>0</v>
      </c>
      <c r="K3984">
        <v>0</v>
      </c>
      <c r="L3984" t="s">
        <v>3284</v>
      </c>
      <c r="M3984" t="s">
        <v>3296</v>
      </c>
      <c r="N3984" t="s">
        <v>3343</v>
      </c>
      <c r="O3984" t="s">
        <v>3349</v>
      </c>
      <c r="P3984" t="s">
        <v>3350</v>
      </c>
      <c r="Q3984" t="s">
        <v>3580</v>
      </c>
      <c r="R3984" t="s">
        <v>12775</v>
      </c>
    </row>
    <row r="3985" spans="1:18" x14ac:dyDescent="0.2">
      <c r="A3985">
        <v>574963</v>
      </c>
      <c r="B3985" t="s">
        <v>12776</v>
      </c>
      <c r="C3985">
        <v>0</v>
      </c>
      <c r="D3985">
        <v>0</v>
      </c>
      <c r="E3985">
        <v>0</v>
      </c>
      <c r="F3985">
        <v>5</v>
      </c>
      <c r="G3985">
        <v>2</v>
      </c>
      <c r="H3985">
        <v>0</v>
      </c>
      <c r="I3985">
        <v>0</v>
      </c>
      <c r="J3985">
        <v>0</v>
      </c>
      <c r="K3985">
        <v>0</v>
      </c>
      <c r="L3985" t="s">
        <v>3284</v>
      </c>
      <c r="M3985" t="s">
        <v>3391</v>
      </c>
      <c r="N3985" t="s">
        <v>3411</v>
      </c>
      <c r="O3985" t="s">
        <v>3412</v>
      </c>
      <c r="P3985" t="s">
        <v>7008</v>
      </c>
      <c r="Q3985" t="s">
        <v>12777</v>
      </c>
      <c r="R3985" t="s">
        <v>12778</v>
      </c>
    </row>
    <row r="3986" spans="1:18" x14ac:dyDescent="0.2">
      <c r="A3986">
        <v>574956</v>
      </c>
      <c r="B3986" t="s">
        <v>12779</v>
      </c>
      <c r="C3986">
        <v>0</v>
      </c>
      <c r="D3986">
        <v>0</v>
      </c>
      <c r="E3986">
        <v>0</v>
      </c>
      <c r="F3986">
        <v>5</v>
      </c>
      <c r="G3986">
        <v>1</v>
      </c>
      <c r="H3986">
        <v>0</v>
      </c>
      <c r="I3986">
        <v>0</v>
      </c>
      <c r="J3986">
        <v>0</v>
      </c>
      <c r="K3986">
        <v>0</v>
      </c>
      <c r="L3986" t="s">
        <v>3284</v>
      </c>
      <c r="M3986" t="s">
        <v>3296</v>
      </c>
      <c r="N3986" t="s">
        <v>3343</v>
      </c>
      <c r="O3986" t="s">
        <v>3349</v>
      </c>
      <c r="P3986" t="s">
        <v>3350</v>
      </c>
      <c r="Q3986" t="s">
        <v>3351</v>
      </c>
      <c r="R3986" t="s">
        <v>12780</v>
      </c>
    </row>
    <row r="3987" spans="1:18" x14ac:dyDescent="0.2">
      <c r="A3987">
        <v>574700</v>
      </c>
      <c r="B3987" t="s">
        <v>12781</v>
      </c>
      <c r="C3987">
        <v>0</v>
      </c>
      <c r="D3987">
        <v>0</v>
      </c>
      <c r="E3987">
        <v>0</v>
      </c>
      <c r="F3987">
        <v>0</v>
      </c>
      <c r="G3987">
        <v>1</v>
      </c>
      <c r="H3987">
        <v>0</v>
      </c>
      <c r="I3987">
        <v>1</v>
      </c>
      <c r="J3987">
        <v>3</v>
      </c>
      <c r="K3987">
        <v>0</v>
      </c>
      <c r="L3987" t="s">
        <v>3284</v>
      </c>
      <c r="M3987" t="s">
        <v>3307</v>
      </c>
      <c r="N3987" t="s">
        <v>3308</v>
      </c>
      <c r="O3987" t="s">
        <v>3309</v>
      </c>
      <c r="P3987" t="s">
        <v>3310</v>
      </c>
      <c r="Q3987" t="s">
        <v>3311</v>
      </c>
      <c r="R3987" t="s">
        <v>12782</v>
      </c>
    </row>
    <row r="3988" spans="1:18" x14ac:dyDescent="0.2">
      <c r="A3988">
        <v>574651</v>
      </c>
      <c r="B3988" t="s">
        <v>12783</v>
      </c>
      <c r="C3988">
        <v>0</v>
      </c>
      <c r="D3988">
        <v>0</v>
      </c>
      <c r="E3988">
        <v>0</v>
      </c>
      <c r="F3988">
        <v>2</v>
      </c>
      <c r="G3988">
        <v>0</v>
      </c>
      <c r="H3988">
        <v>0</v>
      </c>
      <c r="I3988">
        <v>0</v>
      </c>
      <c r="J3988">
        <v>0</v>
      </c>
      <c r="K3988">
        <v>0</v>
      </c>
      <c r="L3988" t="s">
        <v>3284</v>
      </c>
      <c r="M3988" t="s">
        <v>3307</v>
      </c>
      <c r="N3988" t="s">
        <v>3308</v>
      </c>
      <c r="O3988" t="s">
        <v>3309</v>
      </c>
      <c r="P3988" t="s">
        <v>3310</v>
      </c>
      <c r="Q3988" t="s">
        <v>3311</v>
      </c>
      <c r="R3988" t="s">
        <v>12784</v>
      </c>
    </row>
    <row r="3989" spans="1:18" x14ac:dyDescent="0.2">
      <c r="A3989">
        <v>574376</v>
      </c>
      <c r="B3989" t="s">
        <v>12785</v>
      </c>
      <c r="C3989">
        <v>0</v>
      </c>
      <c r="D3989">
        <v>2</v>
      </c>
      <c r="E3989">
        <v>1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 t="s">
        <v>3284</v>
      </c>
      <c r="M3989" t="s">
        <v>3327</v>
      </c>
      <c r="N3989" t="s">
        <v>3376</v>
      </c>
      <c r="O3989" t="s">
        <v>3377</v>
      </c>
      <c r="P3989" t="s">
        <v>3378</v>
      </c>
      <c r="Q3989" t="s">
        <v>3379</v>
      </c>
      <c r="R3989" t="s">
        <v>12786</v>
      </c>
    </row>
    <row r="3990" spans="1:18" x14ac:dyDescent="0.2">
      <c r="A3990">
        <v>574375</v>
      </c>
      <c r="B3990" t="s">
        <v>12787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2</v>
      </c>
      <c r="J3990">
        <v>0</v>
      </c>
      <c r="K3990">
        <v>0</v>
      </c>
      <c r="L3990" t="s">
        <v>3284</v>
      </c>
      <c r="M3990" t="s">
        <v>3327</v>
      </c>
      <c r="N3990" t="s">
        <v>3376</v>
      </c>
      <c r="O3990" t="s">
        <v>3377</v>
      </c>
      <c r="P3990" t="s">
        <v>3378</v>
      </c>
      <c r="Q3990" t="s">
        <v>3379</v>
      </c>
      <c r="R3990" t="s">
        <v>12788</v>
      </c>
    </row>
    <row r="3991" spans="1:18" x14ac:dyDescent="0.2">
      <c r="A3991">
        <v>573321</v>
      </c>
      <c r="B3991" t="s">
        <v>12789</v>
      </c>
      <c r="C3991">
        <v>1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 t="s">
        <v>3284</v>
      </c>
      <c r="M3991" t="s">
        <v>3391</v>
      </c>
      <c r="N3991" t="s">
        <v>4129</v>
      </c>
      <c r="O3991" t="s">
        <v>4130</v>
      </c>
      <c r="P3991" t="s">
        <v>4131</v>
      </c>
      <c r="Q3991" t="s">
        <v>4132</v>
      </c>
      <c r="R3991" t="s">
        <v>12790</v>
      </c>
    </row>
    <row r="3992" spans="1:18" x14ac:dyDescent="0.2">
      <c r="A3992">
        <v>573152</v>
      </c>
      <c r="B3992" t="s">
        <v>12791</v>
      </c>
      <c r="C3992">
        <v>0</v>
      </c>
      <c r="D3992">
        <v>1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 t="s">
        <v>3284</v>
      </c>
      <c r="M3992" t="s">
        <v>3296</v>
      </c>
      <c r="N3992" t="s">
        <v>3343</v>
      </c>
      <c r="O3992" t="s">
        <v>3371</v>
      </c>
      <c r="P3992" t="s">
        <v>3372</v>
      </c>
      <c r="Q3992" t="s">
        <v>12792</v>
      </c>
      <c r="R3992" t="s">
        <v>12793</v>
      </c>
    </row>
    <row r="3993" spans="1:18" x14ac:dyDescent="0.2">
      <c r="A3993">
        <v>573024</v>
      </c>
      <c r="B3993" t="s">
        <v>12794</v>
      </c>
      <c r="C3993">
        <v>0</v>
      </c>
      <c r="D3993">
        <v>0</v>
      </c>
      <c r="E3993">
        <v>0</v>
      </c>
      <c r="F3993">
        <v>0</v>
      </c>
      <c r="G3993">
        <v>1</v>
      </c>
      <c r="H3993">
        <v>0</v>
      </c>
      <c r="I3993">
        <v>0</v>
      </c>
      <c r="J3993">
        <v>0</v>
      </c>
      <c r="K3993">
        <v>0</v>
      </c>
      <c r="L3993" t="s">
        <v>3284</v>
      </c>
      <c r="M3993" t="s">
        <v>3296</v>
      </c>
      <c r="N3993" t="s">
        <v>3343</v>
      </c>
      <c r="O3993" t="s">
        <v>3371</v>
      </c>
      <c r="P3993" t="s">
        <v>3372</v>
      </c>
      <c r="Q3993" t="s">
        <v>3373</v>
      </c>
      <c r="R3993" t="s">
        <v>12795</v>
      </c>
    </row>
    <row r="3994" spans="1:18" x14ac:dyDescent="0.2">
      <c r="A3994">
        <v>571298</v>
      </c>
      <c r="B3994" t="s">
        <v>12796</v>
      </c>
      <c r="C3994">
        <v>1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 t="s">
        <v>3284</v>
      </c>
      <c r="M3994" t="s">
        <v>3296</v>
      </c>
      <c r="N3994" t="s">
        <v>3343</v>
      </c>
      <c r="O3994" t="s">
        <v>3371</v>
      </c>
      <c r="P3994" t="s">
        <v>3372</v>
      </c>
      <c r="Q3994" t="s">
        <v>12797</v>
      </c>
      <c r="R3994" t="s">
        <v>12798</v>
      </c>
    </row>
    <row r="3995" spans="1:18" x14ac:dyDescent="0.2">
      <c r="A3995">
        <v>571254</v>
      </c>
      <c r="B3995" t="s">
        <v>12799</v>
      </c>
      <c r="C3995">
        <v>0</v>
      </c>
      <c r="D3995">
        <v>1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 t="s">
        <v>3284</v>
      </c>
      <c r="M3995" t="s">
        <v>3296</v>
      </c>
      <c r="N3995" t="s">
        <v>3343</v>
      </c>
      <c r="O3995" t="s">
        <v>3344</v>
      </c>
      <c r="P3995" t="s">
        <v>4076</v>
      </c>
      <c r="Q3995" t="s">
        <v>4077</v>
      </c>
      <c r="R3995" t="s">
        <v>12800</v>
      </c>
    </row>
    <row r="3996" spans="1:18" x14ac:dyDescent="0.2">
      <c r="A3996">
        <v>568898</v>
      </c>
      <c r="B3996" t="s">
        <v>12801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1</v>
      </c>
      <c r="K3996">
        <v>0</v>
      </c>
      <c r="L3996" t="s">
        <v>3284</v>
      </c>
      <c r="M3996" t="s">
        <v>3296</v>
      </c>
      <c r="N3996" t="s">
        <v>3343</v>
      </c>
      <c r="O3996" t="s">
        <v>3429</v>
      </c>
      <c r="P3996" t="s">
        <v>4336</v>
      </c>
      <c r="Q3996" t="s">
        <v>8235</v>
      </c>
      <c r="R3996" t="s">
        <v>12802</v>
      </c>
    </row>
    <row r="3997" spans="1:18" x14ac:dyDescent="0.2">
      <c r="A3997">
        <v>568783</v>
      </c>
      <c r="B3997" t="s">
        <v>12803</v>
      </c>
      <c r="C3997">
        <v>0</v>
      </c>
      <c r="D3997">
        <v>1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 t="s">
        <v>3284</v>
      </c>
      <c r="M3997" t="s">
        <v>3296</v>
      </c>
      <c r="N3997" t="s">
        <v>3321</v>
      </c>
      <c r="O3997" t="s">
        <v>3322</v>
      </c>
      <c r="P3997" t="s">
        <v>3323</v>
      </c>
      <c r="Q3997" t="s">
        <v>3518</v>
      </c>
      <c r="R3997" t="s">
        <v>12804</v>
      </c>
    </row>
    <row r="3998" spans="1:18" x14ac:dyDescent="0.2">
      <c r="A3998">
        <v>568106</v>
      </c>
      <c r="B3998" t="s">
        <v>12805</v>
      </c>
      <c r="C3998">
        <v>0</v>
      </c>
      <c r="D3998">
        <v>1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 t="s">
        <v>3284</v>
      </c>
      <c r="M3998" t="s">
        <v>3296</v>
      </c>
      <c r="N3998" t="s">
        <v>3297</v>
      </c>
      <c r="O3998" t="s">
        <v>4500</v>
      </c>
      <c r="P3998" t="s">
        <v>5719</v>
      </c>
      <c r="Q3998" t="s">
        <v>5720</v>
      </c>
      <c r="R3998" t="s">
        <v>12806</v>
      </c>
    </row>
    <row r="3999" spans="1:18" x14ac:dyDescent="0.2">
      <c r="A3999">
        <v>566679</v>
      </c>
      <c r="B3999" t="s">
        <v>12807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3</v>
      </c>
      <c r="J3999">
        <v>0</v>
      </c>
      <c r="K3999">
        <v>0</v>
      </c>
      <c r="L3999" t="s">
        <v>3284</v>
      </c>
      <c r="M3999" t="s">
        <v>3296</v>
      </c>
      <c r="N3999" t="s">
        <v>3343</v>
      </c>
      <c r="O3999" t="s">
        <v>3344</v>
      </c>
      <c r="P3999" t="s">
        <v>3937</v>
      </c>
      <c r="Q3999" t="s">
        <v>3938</v>
      </c>
      <c r="R3999" t="s">
        <v>12808</v>
      </c>
    </row>
    <row r="4000" spans="1:18" x14ac:dyDescent="0.2">
      <c r="A4000">
        <v>564198</v>
      </c>
      <c r="B4000" t="s">
        <v>12809</v>
      </c>
      <c r="C4000">
        <v>0</v>
      </c>
      <c r="D4000">
        <v>0</v>
      </c>
      <c r="E4000">
        <v>0</v>
      </c>
      <c r="F4000">
        <v>1</v>
      </c>
      <c r="G4000">
        <v>0</v>
      </c>
      <c r="H4000">
        <v>0</v>
      </c>
      <c r="I4000">
        <v>0</v>
      </c>
      <c r="J4000">
        <v>0</v>
      </c>
      <c r="K4000">
        <v>0</v>
      </c>
      <c r="L4000" t="s">
        <v>3284</v>
      </c>
      <c r="M4000" t="s">
        <v>3307</v>
      </c>
      <c r="N4000" t="s">
        <v>3308</v>
      </c>
      <c r="O4000" t="s">
        <v>3635</v>
      </c>
      <c r="P4000" t="s">
        <v>4011</v>
      </c>
      <c r="Q4000" t="s">
        <v>4471</v>
      </c>
      <c r="R4000" t="s">
        <v>12810</v>
      </c>
    </row>
    <row r="4001" spans="1:18" x14ac:dyDescent="0.2">
      <c r="A4001">
        <v>563172</v>
      </c>
      <c r="B4001" t="s">
        <v>12811</v>
      </c>
      <c r="C4001">
        <v>0</v>
      </c>
      <c r="D4001">
        <v>0</v>
      </c>
      <c r="E4001">
        <v>0</v>
      </c>
      <c r="F4001">
        <v>0</v>
      </c>
      <c r="G4001">
        <v>1</v>
      </c>
      <c r="H4001">
        <v>0</v>
      </c>
      <c r="I4001">
        <v>0</v>
      </c>
      <c r="J4001">
        <v>0</v>
      </c>
      <c r="K4001">
        <v>0</v>
      </c>
      <c r="L4001" t="s">
        <v>3284</v>
      </c>
      <c r="M4001" t="s">
        <v>3391</v>
      </c>
      <c r="N4001" t="s">
        <v>4129</v>
      </c>
      <c r="O4001" t="s">
        <v>4130</v>
      </c>
      <c r="P4001" t="s">
        <v>4131</v>
      </c>
      <c r="Q4001" t="s">
        <v>6099</v>
      </c>
      <c r="R4001" t="s">
        <v>12812</v>
      </c>
    </row>
    <row r="4002" spans="1:18" x14ac:dyDescent="0.2">
      <c r="A4002">
        <v>560405</v>
      </c>
      <c r="B4002" t="s">
        <v>12813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1</v>
      </c>
      <c r="I4002">
        <v>0</v>
      </c>
      <c r="J4002">
        <v>0</v>
      </c>
      <c r="K4002">
        <v>0</v>
      </c>
      <c r="L4002" t="s">
        <v>3284</v>
      </c>
      <c r="M4002" t="s">
        <v>3296</v>
      </c>
      <c r="N4002" t="s">
        <v>3343</v>
      </c>
      <c r="O4002" t="s">
        <v>3344</v>
      </c>
      <c r="P4002" t="s">
        <v>6089</v>
      </c>
      <c r="Q4002" t="s">
        <v>7900</v>
      </c>
      <c r="R4002" t="s">
        <v>12814</v>
      </c>
    </row>
    <row r="4003" spans="1:18" x14ac:dyDescent="0.2">
      <c r="A4003">
        <v>558884</v>
      </c>
      <c r="B4003" t="s">
        <v>12815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1</v>
      </c>
      <c r="J4003">
        <v>0</v>
      </c>
      <c r="K4003">
        <v>0</v>
      </c>
      <c r="L4003" t="s">
        <v>3284</v>
      </c>
      <c r="M4003" t="s">
        <v>3296</v>
      </c>
      <c r="N4003" t="s">
        <v>3297</v>
      </c>
      <c r="O4003" t="s">
        <v>4112</v>
      </c>
      <c r="P4003" t="s">
        <v>4113</v>
      </c>
      <c r="Q4003" t="s">
        <v>4114</v>
      </c>
      <c r="R4003" t="s">
        <v>12816</v>
      </c>
    </row>
    <row r="4004" spans="1:18" x14ac:dyDescent="0.2">
      <c r="A4004">
        <v>558537</v>
      </c>
      <c r="B4004" t="s">
        <v>12817</v>
      </c>
      <c r="C4004">
        <v>0</v>
      </c>
      <c r="D4004">
        <v>0</v>
      </c>
      <c r="E4004">
        <v>0</v>
      </c>
      <c r="F4004">
        <v>4</v>
      </c>
      <c r="G4004">
        <v>2</v>
      </c>
      <c r="H4004">
        <v>3</v>
      </c>
      <c r="I4004">
        <v>14</v>
      </c>
      <c r="J4004">
        <v>10</v>
      </c>
      <c r="K4004">
        <v>11</v>
      </c>
      <c r="L4004" t="s">
        <v>3284</v>
      </c>
      <c r="M4004" t="s">
        <v>3296</v>
      </c>
      <c r="N4004" t="s">
        <v>3321</v>
      </c>
      <c r="O4004" t="s">
        <v>3322</v>
      </c>
      <c r="P4004" t="s">
        <v>3398</v>
      </c>
      <c r="Q4004" t="s">
        <v>3439</v>
      </c>
      <c r="R4004" t="s">
        <v>12818</v>
      </c>
    </row>
    <row r="4005" spans="1:18" x14ac:dyDescent="0.2">
      <c r="A4005">
        <v>558172</v>
      </c>
      <c r="B4005" t="s">
        <v>12819</v>
      </c>
      <c r="C4005">
        <v>0</v>
      </c>
      <c r="D4005">
        <v>2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 t="s">
        <v>3284</v>
      </c>
      <c r="M4005" t="s">
        <v>3296</v>
      </c>
      <c r="N4005" t="s">
        <v>3343</v>
      </c>
      <c r="O4005" t="s">
        <v>3344</v>
      </c>
      <c r="P4005" t="s">
        <v>4076</v>
      </c>
      <c r="Q4005" t="s">
        <v>6071</v>
      </c>
      <c r="R4005" t="s">
        <v>12820</v>
      </c>
    </row>
    <row r="4006" spans="1:18" x14ac:dyDescent="0.2">
      <c r="A4006">
        <v>556534</v>
      </c>
      <c r="B4006" t="s">
        <v>12821</v>
      </c>
      <c r="C4006">
        <v>0</v>
      </c>
      <c r="D4006">
        <v>0</v>
      </c>
      <c r="E4006">
        <v>0</v>
      </c>
      <c r="F4006">
        <v>1</v>
      </c>
      <c r="G4006">
        <v>0</v>
      </c>
      <c r="H4006">
        <v>0</v>
      </c>
      <c r="I4006">
        <v>0</v>
      </c>
      <c r="J4006">
        <v>0</v>
      </c>
      <c r="K4006">
        <v>0</v>
      </c>
      <c r="L4006" t="s">
        <v>3284</v>
      </c>
      <c r="M4006" t="s">
        <v>3296</v>
      </c>
      <c r="N4006" t="s">
        <v>3297</v>
      </c>
      <c r="O4006" t="s">
        <v>3434</v>
      </c>
      <c r="P4006" t="s">
        <v>3435</v>
      </c>
      <c r="Q4006" t="s">
        <v>3436</v>
      </c>
      <c r="R4006" t="s">
        <v>12822</v>
      </c>
    </row>
    <row r="4007" spans="1:18" x14ac:dyDescent="0.2">
      <c r="A4007">
        <v>556287</v>
      </c>
      <c r="B4007" t="s">
        <v>12823</v>
      </c>
      <c r="C4007">
        <v>0</v>
      </c>
      <c r="D4007">
        <v>0</v>
      </c>
      <c r="E4007">
        <v>0</v>
      </c>
      <c r="F4007">
        <v>2</v>
      </c>
      <c r="G4007">
        <v>1</v>
      </c>
      <c r="H4007">
        <v>1</v>
      </c>
      <c r="I4007">
        <v>3</v>
      </c>
      <c r="J4007">
        <v>1</v>
      </c>
      <c r="K4007">
        <v>1</v>
      </c>
      <c r="L4007" t="s">
        <v>3284</v>
      </c>
      <c r="M4007" t="s">
        <v>3296</v>
      </c>
      <c r="N4007" t="s">
        <v>3343</v>
      </c>
      <c r="O4007" t="s">
        <v>3344</v>
      </c>
      <c r="P4007" t="s">
        <v>3355</v>
      </c>
      <c r="Q4007" t="s">
        <v>12824</v>
      </c>
      <c r="R4007" t="s">
        <v>12825</v>
      </c>
    </row>
    <row r="4008" spans="1:18" x14ac:dyDescent="0.2">
      <c r="A4008">
        <v>556054</v>
      </c>
      <c r="B4008" t="s">
        <v>12826</v>
      </c>
      <c r="C4008">
        <v>1</v>
      </c>
      <c r="D4008">
        <v>1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 t="s">
        <v>3284</v>
      </c>
      <c r="M4008" t="s">
        <v>3296</v>
      </c>
      <c r="N4008" t="s">
        <v>3321</v>
      </c>
      <c r="O4008" t="s">
        <v>3322</v>
      </c>
      <c r="P4008" t="s">
        <v>3423</v>
      </c>
      <c r="Q4008" t="s">
        <v>4394</v>
      </c>
      <c r="R4008" t="s">
        <v>12827</v>
      </c>
    </row>
    <row r="4009" spans="1:18" x14ac:dyDescent="0.2">
      <c r="A4009">
        <v>555793</v>
      </c>
      <c r="B4009" t="s">
        <v>12828</v>
      </c>
      <c r="C4009">
        <v>0</v>
      </c>
      <c r="D4009">
        <v>0</v>
      </c>
      <c r="E4009">
        <v>0</v>
      </c>
      <c r="F4009">
        <v>8</v>
      </c>
      <c r="G4009">
        <v>7</v>
      </c>
      <c r="H4009">
        <v>1</v>
      </c>
      <c r="I4009">
        <v>0</v>
      </c>
      <c r="J4009">
        <v>0</v>
      </c>
      <c r="K4009">
        <v>0</v>
      </c>
      <c r="L4009" t="s">
        <v>3284</v>
      </c>
      <c r="M4009" t="s">
        <v>3296</v>
      </c>
      <c r="N4009" t="s">
        <v>3343</v>
      </c>
      <c r="O4009" t="s">
        <v>3349</v>
      </c>
      <c r="P4009" t="s">
        <v>3350</v>
      </c>
      <c r="Q4009" t="s">
        <v>3351</v>
      </c>
      <c r="R4009" t="s">
        <v>12829</v>
      </c>
    </row>
    <row r="4010" spans="1:18" x14ac:dyDescent="0.2">
      <c r="A4010">
        <v>555512</v>
      </c>
      <c r="B4010" t="s">
        <v>12830</v>
      </c>
      <c r="C4010">
        <v>1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 t="s">
        <v>3284</v>
      </c>
      <c r="M4010" t="s">
        <v>3296</v>
      </c>
      <c r="N4010" t="s">
        <v>3343</v>
      </c>
      <c r="O4010" t="s">
        <v>3371</v>
      </c>
      <c r="P4010" t="s">
        <v>3372</v>
      </c>
      <c r="Q4010" t="s">
        <v>12831</v>
      </c>
      <c r="R4010" t="s">
        <v>12832</v>
      </c>
    </row>
    <row r="4011" spans="1:18" x14ac:dyDescent="0.2">
      <c r="A4011">
        <v>555371</v>
      </c>
      <c r="B4011" t="s">
        <v>12833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1</v>
      </c>
      <c r="J4011">
        <v>1</v>
      </c>
      <c r="K4011">
        <v>0</v>
      </c>
      <c r="L4011" t="s">
        <v>3284</v>
      </c>
      <c r="M4011" t="s">
        <v>3307</v>
      </c>
      <c r="N4011" t="s">
        <v>3308</v>
      </c>
      <c r="O4011" t="s">
        <v>3359</v>
      </c>
      <c r="P4011" t="s">
        <v>3360</v>
      </c>
      <c r="Q4011" t="s">
        <v>3364</v>
      </c>
      <c r="R4011" t="s">
        <v>12834</v>
      </c>
    </row>
    <row r="4012" spans="1:18" x14ac:dyDescent="0.2">
      <c r="A4012">
        <v>554283</v>
      </c>
      <c r="B4012" t="s">
        <v>12835</v>
      </c>
      <c r="C4012">
        <v>0</v>
      </c>
      <c r="D4012">
        <v>0</v>
      </c>
      <c r="E4012">
        <v>0</v>
      </c>
      <c r="F4012">
        <v>1</v>
      </c>
      <c r="G4012">
        <v>1</v>
      </c>
      <c r="H4012">
        <v>0</v>
      </c>
      <c r="I4012">
        <v>0</v>
      </c>
      <c r="J4012">
        <v>0</v>
      </c>
      <c r="K4012">
        <v>0</v>
      </c>
      <c r="L4012" t="s">
        <v>3284</v>
      </c>
      <c r="M4012" t="s">
        <v>3391</v>
      </c>
      <c r="N4012" t="s">
        <v>3411</v>
      </c>
      <c r="O4012" t="s">
        <v>3412</v>
      </c>
      <c r="P4012" t="s">
        <v>3413</v>
      </c>
      <c r="Q4012" t="s">
        <v>3414</v>
      </c>
      <c r="R4012" t="s">
        <v>12836</v>
      </c>
    </row>
    <row r="4013" spans="1:18" x14ac:dyDescent="0.2">
      <c r="A4013">
        <v>554083</v>
      </c>
      <c r="B4013" t="s">
        <v>12837</v>
      </c>
      <c r="C4013">
        <v>0</v>
      </c>
      <c r="D4013">
        <v>1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 t="s">
        <v>3284</v>
      </c>
      <c r="M4013" t="s">
        <v>3307</v>
      </c>
      <c r="N4013" t="s">
        <v>3308</v>
      </c>
      <c r="O4013" t="s">
        <v>3359</v>
      </c>
      <c r="P4013" t="s">
        <v>3407</v>
      </c>
      <c r="Q4013" t="s">
        <v>12838</v>
      </c>
      <c r="R4013" t="s">
        <v>12839</v>
      </c>
    </row>
    <row r="4014" spans="1:18" x14ac:dyDescent="0.2">
      <c r="A4014">
        <v>553814</v>
      </c>
      <c r="B4014" t="s">
        <v>12840</v>
      </c>
      <c r="C4014">
        <v>2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1</v>
      </c>
      <c r="J4014">
        <v>0</v>
      </c>
      <c r="K4014">
        <v>0</v>
      </c>
      <c r="L4014" t="s">
        <v>3284</v>
      </c>
      <c r="M4014" t="s">
        <v>3296</v>
      </c>
      <c r="N4014" t="s">
        <v>3321</v>
      </c>
      <c r="O4014" t="s">
        <v>3322</v>
      </c>
      <c r="P4014" t="s">
        <v>3398</v>
      </c>
      <c r="Q4014" t="s">
        <v>3556</v>
      </c>
      <c r="R4014" t="s">
        <v>12841</v>
      </c>
    </row>
    <row r="4015" spans="1:18" x14ac:dyDescent="0.2">
      <c r="A4015">
        <v>553636</v>
      </c>
      <c r="B4015" t="s">
        <v>12842</v>
      </c>
      <c r="C4015">
        <v>1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 t="s">
        <v>3284</v>
      </c>
      <c r="M4015" t="s">
        <v>3296</v>
      </c>
      <c r="N4015" t="s">
        <v>3297</v>
      </c>
      <c r="O4015" t="s">
        <v>3469</v>
      </c>
      <c r="P4015" t="s">
        <v>3470</v>
      </c>
      <c r="Q4015" t="s">
        <v>4417</v>
      </c>
      <c r="R4015" t="s">
        <v>12843</v>
      </c>
    </row>
    <row r="4016" spans="1:18" x14ac:dyDescent="0.2">
      <c r="A4016">
        <v>553447</v>
      </c>
      <c r="B4016" t="s">
        <v>12844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1</v>
      </c>
      <c r="K4016">
        <v>0</v>
      </c>
      <c r="L4016" t="s">
        <v>3284</v>
      </c>
      <c r="M4016" t="s">
        <v>3296</v>
      </c>
      <c r="N4016" t="s">
        <v>3343</v>
      </c>
      <c r="O4016" t="s">
        <v>3344</v>
      </c>
      <c r="P4016" t="s">
        <v>6089</v>
      </c>
      <c r="Q4016" t="s">
        <v>7900</v>
      </c>
      <c r="R4016" t="s">
        <v>12845</v>
      </c>
    </row>
    <row r="4017" spans="1:18" x14ac:dyDescent="0.2">
      <c r="A4017">
        <v>553427</v>
      </c>
      <c r="B4017" t="s">
        <v>12846</v>
      </c>
      <c r="C4017">
        <v>1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 t="s">
        <v>3284</v>
      </c>
      <c r="M4017" t="s">
        <v>3327</v>
      </c>
      <c r="N4017" t="s">
        <v>3328</v>
      </c>
      <c r="O4017" t="s">
        <v>3329</v>
      </c>
      <c r="P4017" t="s">
        <v>12847</v>
      </c>
      <c r="Q4017" t="s">
        <v>12848</v>
      </c>
      <c r="R4017" t="s">
        <v>12849</v>
      </c>
    </row>
    <row r="4018" spans="1:18" x14ac:dyDescent="0.2">
      <c r="A4018">
        <v>553239</v>
      </c>
      <c r="B4018" t="s">
        <v>12850</v>
      </c>
      <c r="C4018">
        <v>1</v>
      </c>
      <c r="D4018">
        <v>1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 t="s">
        <v>3284</v>
      </c>
      <c r="M4018" t="s">
        <v>3296</v>
      </c>
      <c r="N4018" t="s">
        <v>3297</v>
      </c>
      <c r="O4018" t="s">
        <v>8851</v>
      </c>
      <c r="P4018" t="s">
        <v>8852</v>
      </c>
      <c r="Q4018" t="s">
        <v>10605</v>
      </c>
      <c r="R4018" t="s">
        <v>12851</v>
      </c>
    </row>
    <row r="4019" spans="1:18" x14ac:dyDescent="0.2">
      <c r="A4019">
        <v>551996</v>
      </c>
      <c r="B4019" t="s">
        <v>12852</v>
      </c>
      <c r="C4019">
        <v>0</v>
      </c>
      <c r="D4019">
        <v>0</v>
      </c>
      <c r="E4019">
        <v>0</v>
      </c>
      <c r="F4019">
        <v>1</v>
      </c>
      <c r="G4019">
        <v>0</v>
      </c>
      <c r="H4019">
        <v>0</v>
      </c>
      <c r="I4019">
        <v>0</v>
      </c>
      <c r="J4019">
        <v>0</v>
      </c>
      <c r="K4019">
        <v>0</v>
      </c>
      <c r="L4019" t="s">
        <v>3284</v>
      </c>
      <c r="M4019" t="s">
        <v>3391</v>
      </c>
      <c r="N4019" t="s">
        <v>3392</v>
      </c>
      <c r="O4019" t="s">
        <v>3393</v>
      </c>
      <c r="P4019" t="s">
        <v>3394</v>
      </c>
      <c r="Q4019" t="s">
        <v>4082</v>
      </c>
      <c r="R4019" t="s">
        <v>12853</v>
      </c>
    </row>
    <row r="4020" spans="1:18" x14ac:dyDescent="0.2">
      <c r="A4020">
        <v>551995</v>
      </c>
      <c r="B4020" t="s">
        <v>12854</v>
      </c>
      <c r="C4020">
        <v>0</v>
      </c>
      <c r="D4020">
        <v>0</v>
      </c>
      <c r="E4020">
        <v>0</v>
      </c>
      <c r="F4020">
        <v>2</v>
      </c>
      <c r="G4020">
        <v>0</v>
      </c>
      <c r="H4020">
        <v>0</v>
      </c>
      <c r="I4020">
        <v>0</v>
      </c>
      <c r="J4020">
        <v>0</v>
      </c>
      <c r="K4020">
        <v>0</v>
      </c>
      <c r="L4020" t="s">
        <v>3284</v>
      </c>
      <c r="M4020" t="s">
        <v>3391</v>
      </c>
      <c r="N4020" t="s">
        <v>3392</v>
      </c>
      <c r="O4020" t="s">
        <v>3393</v>
      </c>
      <c r="P4020" t="s">
        <v>3394</v>
      </c>
      <c r="Q4020" t="s">
        <v>4082</v>
      </c>
      <c r="R4020" t="s">
        <v>12855</v>
      </c>
    </row>
    <row r="4021" spans="1:18" x14ac:dyDescent="0.2">
      <c r="A4021">
        <v>549687</v>
      </c>
      <c r="B4021" t="s">
        <v>12856</v>
      </c>
      <c r="C4021">
        <v>2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 t="s">
        <v>3284</v>
      </c>
      <c r="M4021" t="s">
        <v>3327</v>
      </c>
      <c r="N4021" t="s">
        <v>3376</v>
      </c>
      <c r="O4021" t="s">
        <v>3377</v>
      </c>
      <c r="P4021" t="s">
        <v>3378</v>
      </c>
      <c r="Q4021" t="s">
        <v>3583</v>
      </c>
      <c r="R4021" t="s">
        <v>12857</v>
      </c>
    </row>
    <row r="4022" spans="1:18" x14ac:dyDescent="0.2">
      <c r="A4022">
        <v>546367</v>
      </c>
      <c r="B4022" t="s">
        <v>12858</v>
      </c>
      <c r="C4022">
        <v>1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 t="s">
        <v>3284</v>
      </c>
      <c r="M4022" t="s">
        <v>3296</v>
      </c>
      <c r="N4022" t="s">
        <v>3297</v>
      </c>
      <c r="O4022" t="s">
        <v>3298</v>
      </c>
      <c r="P4022" t="s">
        <v>11321</v>
      </c>
      <c r="Q4022" t="s">
        <v>12859</v>
      </c>
      <c r="R4022" t="s">
        <v>12860</v>
      </c>
    </row>
    <row r="4023" spans="1:18" x14ac:dyDescent="0.2">
      <c r="A4023">
        <v>545864</v>
      </c>
      <c r="B4023" t="s">
        <v>12861</v>
      </c>
      <c r="C4023">
        <v>11</v>
      </c>
      <c r="D4023">
        <v>5</v>
      </c>
      <c r="E4023">
        <v>2</v>
      </c>
      <c r="F4023">
        <v>2</v>
      </c>
      <c r="G4023">
        <v>2</v>
      </c>
      <c r="H4023">
        <v>0</v>
      </c>
      <c r="I4023">
        <v>1</v>
      </c>
      <c r="J4023">
        <v>0</v>
      </c>
      <c r="K4023">
        <v>0</v>
      </c>
      <c r="L4023" t="s">
        <v>3284</v>
      </c>
      <c r="M4023" t="s">
        <v>3296</v>
      </c>
      <c r="N4023" t="s">
        <v>3321</v>
      </c>
      <c r="O4023" t="s">
        <v>3322</v>
      </c>
      <c r="P4023" t="s">
        <v>3398</v>
      </c>
      <c r="Q4023" t="s">
        <v>9491</v>
      </c>
      <c r="R4023" t="s">
        <v>12862</v>
      </c>
    </row>
    <row r="4024" spans="1:18" x14ac:dyDescent="0.2">
      <c r="A4024">
        <v>545533</v>
      </c>
      <c r="B4024" t="s">
        <v>12863</v>
      </c>
      <c r="C4024">
        <v>1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 t="s">
        <v>3284</v>
      </c>
      <c r="M4024" t="s">
        <v>3296</v>
      </c>
      <c r="N4024" t="s">
        <v>3297</v>
      </c>
      <c r="O4024" t="s">
        <v>4556</v>
      </c>
      <c r="P4024" t="s">
        <v>4557</v>
      </c>
      <c r="Q4024" t="s">
        <v>12864</v>
      </c>
      <c r="R4024" t="s">
        <v>12865</v>
      </c>
    </row>
    <row r="4025" spans="1:18" x14ac:dyDescent="0.2">
      <c r="A4025">
        <v>544480</v>
      </c>
      <c r="B4025" t="s">
        <v>12866</v>
      </c>
      <c r="C4025">
        <v>0</v>
      </c>
      <c r="D4025">
        <v>0</v>
      </c>
      <c r="E4025">
        <v>0</v>
      </c>
      <c r="F4025">
        <v>3</v>
      </c>
      <c r="G4025">
        <v>2</v>
      </c>
      <c r="H4025">
        <v>1</v>
      </c>
      <c r="I4025">
        <v>0</v>
      </c>
      <c r="J4025">
        <v>0</v>
      </c>
      <c r="K4025">
        <v>0</v>
      </c>
      <c r="L4025" t="s">
        <v>3284</v>
      </c>
      <c r="M4025" t="s">
        <v>3296</v>
      </c>
      <c r="N4025" t="s">
        <v>3343</v>
      </c>
      <c r="O4025" t="s">
        <v>3344</v>
      </c>
      <c r="P4025" t="s">
        <v>3355</v>
      </c>
      <c r="Q4025" t="s">
        <v>3846</v>
      </c>
      <c r="R4025" t="s">
        <v>12867</v>
      </c>
    </row>
    <row r="4026" spans="1:18" x14ac:dyDescent="0.2">
      <c r="A4026">
        <v>543877</v>
      </c>
      <c r="B4026" t="s">
        <v>12868</v>
      </c>
      <c r="C4026">
        <v>0</v>
      </c>
      <c r="D4026">
        <v>1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 t="s">
        <v>3284</v>
      </c>
      <c r="M4026" t="s">
        <v>3296</v>
      </c>
      <c r="N4026" t="s">
        <v>3343</v>
      </c>
      <c r="O4026" t="s">
        <v>3349</v>
      </c>
      <c r="P4026" t="s">
        <v>4285</v>
      </c>
      <c r="Q4026" t="s">
        <v>12869</v>
      </c>
      <c r="R4026" t="s">
        <v>12870</v>
      </c>
    </row>
    <row r="4027" spans="1:18" x14ac:dyDescent="0.2">
      <c r="A4027">
        <v>543615</v>
      </c>
      <c r="B4027" t="s">
        <v>12871</v>
      </c>
      <c r="C4027">
        <v>0</v>
      </c>
      <c r="D4027">
        <v>0</v>
      </c>
      <c r="E4027">
        <v>0</v>
      </c>
      <c r="F4027">
        <v>1</v>
      </c>
      <c r="G4027">
        <v>0</v>
      </c>
      <c r="H4027">
        <v>0</v>
      </c>
      <c r="I4027">
        <v>0</v>
      </c>
      <c r="J4027">
        <v>0</v>
      </c>
      <c r="K4027">
        <v>0</v>
      </c>
      <c r="L4027" t="s">
        <v>3284</v>
      </c>
      <c r="M4027" t="s">
        <v>3391</v>
      </c>
      <c r="N4027" t="s">
        <v>3392</v>
      </c>
      <c r="O4027" t="s">
        <v>3393</v>
      </c>
      <c r="P4027" t="s">
        <v>3394</v>
      </c>
      <c r="Q4027" t="s">
        <v>5842</v>
      </c>
      <c r="R4027" t="s">
        <v>12872</v>
      </c>
    </row>
    <row r="4028" spans="1:18" x14ac:dyDescent="0.2">
      <c r="A4028">
        <v>543098</v>
      </c>
      <c r="B4028" t="s">
        <v>12873</v>
      </c>
      <c r="C4028">
        <v>0</v>
      </c>
      <c r="D4028">
        <v>0</v>
      </c>
      <c r="E4028">
        <v>0</v>
      </c>
      <c r="F4028">
        <v>2</v>
      </c>
      <c r="G4028">
        <v>0</v>
      </c>
      <c r="H4028">
        <v>1</v>
      </c>
      <c r="I4028">
        <v>7</v>
      </c>
      <c r="J4028">
        <v>2</v>
      </c>
      <c r="K4028">
        <v>1</v>
      </c>
      <c r="L4028" t="s">
        <v>3284</v>
      </c>
      <c r="M4028" t="s">
        <v>3296</v>
      </c>
      <c r="N4028" t="s">
        <v>3343</v>
      </c>
      <c r="O4028" t="s">
        <v>3344</v>
      </c>
      <c r="P4028" t="s">
        <v>3355</v>
      </c>
      <c r="Q4028" t="s">
        <v>3846</v>
      </c>
      <c r="R4028" t="s">
        <v>12874</v>
      </c>
    </row>
    <row r="4029" spans="1:18" x14ac:dyDescent="0.2">
      <c r="A4029">
        <v>543037</v>
      </c>
      <c r="B4029" t="s">
        <v>12875</v>
      </c>
      <c r="C4029">
        <v>0</v>
      </c>
      <c r="D4029">
        <v>0</v>
      </c>
      <c r="E4029">
        <v>0</v>
      </c>
      <c r="F4029">
        <v>1</v>
      </c>
      <c r="G4029">
        <v>0</v>
      </c>
      <c r="H4029">
        <v>0</v>
      </c>
      <c r="I4029">
        <v>1</v>
      </c>
      <c r="J4029">
        <v>1</v>
      </c>
      <c r="K4029">
        <v>1</v>
      </c>
      <c r="L4029" t="s">
        <v>3284</v>
      </c>
      <c r="M4029" t="s">
        <v>3296</v>
      </c>
      <c r="N4029" t="s">
        <v>3343</v>
      </c>
      <c r="O4029" t="s">
        <v>3344</v>
      </c>
      <c r="P4029" t="s">
        <v>5524</v>
      </c>
      <c r="Q4029" t="s">
        <v>5525</v>
      </c>
      <c r="R4029" t="s">
        <v>12876</v>
      </c>
    </row>
    <row r="4030" spans="1:18" x14ac:dyDescent="0.2">
      <c r="A4030">
        <v>540272</v>
      </c>
      <c r="B4030" t="s">
        <v>12877</v>
      </c>
      <c r="C4030">
        <v>0</v>
      </c>
      <c r="D4030">
        <v>1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 t="s">
        <v>3284</v>
      </c>
      <c r="M4030" t="s">
        <v>3296</v>
      </c>
      <c r="N4030" t="s">
        <v>3321</v>
      </c>
      <c r="O4030" t="s">
        <v>5306</v>
      </c>
      <c r="P4030" t="s">
        <v>5307</v>
      </c>
      <c r="Q4030" t="s">
        <v>10134</v>
      </c>
      <c r="R4030" t="s">
        <v>12878</v>
      </c>
    </row>
    <row r="4031" spans="1:18" x14ac:dyDescent="0.2">
      <c r="A4031">
        <v>540061</v>
      </c>
      <c r="B4031" t="s">
        <v>12879</v>
      </c>
      <c r="C4031">
        <v>2</v>
      </c>
      <c r="D4031">
        <v>1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 t="s">
        <v>3284</v>
      </c>
      <c r="M4031" t="s">
        <v>3296</v>
      </c>
      <c r="N4031" t="s">
        <v>3321</v>
      </c>
      <c r="O4031" t="s">
        <v>3322</v>
      </c>
      <c r="P4031" t="s">
        <v>3398</v>
      </c>
      <c r="Q4031" t="s">
        <v>4796</v>
      </c>
      <c r="R4031" t="s">
        <v>12880</v>
      </c>
    </row>
    <row r="4032" spans="1:18" x14ac:dyDescent="0.2">
      <c r="A4032">
        <v>540060</v>
      </c>
      <c r="B4032" t="s">
        <v>12881</v>
      </c>
      <c r="C4032">
        <v>1</v>
      </c>
      <c r="D4032">
        <v>1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 t="s">
        <v>3284</v>
      </c>
      <c r="M4032" t="s">
        <v>3296</v>
      </c>
      <c r="N4032" t="s">
        <v>3321</v>
      </c>
      <c r="O4032" t="s">
        <v>3322</v>
      </c>
      <c r="P4032" t="s">
        <v>3398</v>
      </c>
      <c r="Q4032" t="s">
        <v>4796</v>
      </c>
      <c r="R4032" t="s">
        <v>12882</v>
      </c>
    </row>
    <row r="4033" spans="1:18" x14ac:dyDescent="0.2">
      <c r="A4033">
        <v>539262</v>
      </c>
      <c r="B4033" t="s">
        <v>12883</v>
      </c>
      <c r="C4033">
        <v>0</v>
      </c>
      <c r="D4033">
        <v>1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 t="s">
        <v>3284</v>
      </c>
      <c r="M4033" t="s">
        <v>3327</v>
      </c>
      <c r="N4033" t="s">
        <v>3376</v>
      </c>
      <c r="O4033" t="s">
        <v>3377</v>
      </c>
      <c r="P4033" t="s">
        <v>3604</v>
      </c>
      <c r="Q4033" t="s">
        <v>3668</v>
      </c>
      <c r="R4033" t="s">
        <v>12884</v>
      </c>
    </row>
    <row r="4034" spans="1:18" x14ac:dyDescent="0.2">
      <c r="A4034">
        <v>539206</v>
      </c>
      <c r="B4034" t="s">
        <v>12885</v>
      </c>
      <c r="C4034">
        <v>1</v>
      </c>
      <c r="D4034">
        <v>0</v>
      </c>
      <c r="E4034">
        <v>0</v>
      </c>
      <c r="F4034">
        <v>0</v>
      </c>
      <c r="G4034">
        <v>1</v>
      </c>
      <c r="H4034">
        <v>0</v>
      </c>
      <c r="I4034">
        <v>0</v>
      </c>
      <c r="J4034">
        <v>0</v>
      </c>
      <c r="K4034">
        <v>0</v>
      </c>
      <c r="L4034" t="s">
        <v>3284</v>
      </c>
      <c r="M4034" t="s">
        <v>3391</v>
      </c>
      <c r="N4034" t="s">
        <v>3392</v>
      </c>
      <c r="O4034" t="s">
        <v>3393</v>
      </c>
      <c r="P4034" t="s">
        <v>3394</v>
      </c>
      <c r="Q4034" t="s">
        <v>6588</v>
      </c>
      <c r="R4034" t="s">
        <v>12886</v>
      </c>
    </row>
    <row r="4035" spans="1:18" x14ac:dyDescent="0.2">
      <c r="A4035">
        <v>538215</v>
      </c>
      <c r="B4035" t="s">
        <v>12887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1</v>
      </c>
      <c r="I4035">
        <v>0</v>
      </c>
      <c r="J4035">
        <v>0</v>
      </c>
      <c r="K4035">
        <v>0</v>
      </c>
      <c r="L4035" t="s">
        <v>3284</v>
      </c>
      <c r="M4035" t="s">
        <v>3296</v>
      </c>
      <c r="N4035" t="s">
        <v>3343</v>
      </c>
      <c r="O4035" t="s">
        <v>3861</v>
      </c>
      <c r="P4035" t="s">
        <v>9417</v>
      </c>
      <c r="Q4035" t="s">
        <v>10243</v>
      </c>
      <c r="R4035" t="s">
        <v>12888</v>
      </c>
    </row>
    <row r="4036" spans="1:18" x14ac:dyDescent="0.2">
      <c r="A4036">
        <v>538021</v>
      </c>
      <c r="B4036" t="s">
        <v>12889</v>
      </c>
      <c r="C4036">
        <v>0</v>
      </c>
      <c r="D4036">
        <v>0</v>
      </c>
      <c r="E4036">
        <v>0</v>
      </c>
      <c r="F4036">
        <v>2</v>
      </c>
      <c r="G4036">
        <v>3</v>
      </c>
      <c r="H4036">
        <v>0</v>
      </c>
      <c r="I4036">
        <v>0</v>
      </c>
      <c r="J4036">
        <v>0</v>
      </c>
      <c r="K4036">
        <v>0</v>
      </c>
      <c r="L4036" t="s">
        <v>3284</v>
      </c>
      <c r="M4036" t="s">
        <v>3391</v>
      </c>
      <c r="N4036" t="s">
        <v>3392</v>
      </c>
      <c r="O4036" t="s">
        <v>3393</v>
      </c>
      <c r="P4036" t="s">
        <v>3394</v>
      </c>
      <c r="Q4036" t="s">
        <v>4082</v>
      </c>
      <c r="R4036" t="s">
        <v>12890</v>
      </c>
    </row>
    <row r="4037" spans="1:18" x14ac:dyDescent="0.2">
      <c r="A4037">
        <v>537017</v>
      </c>
      <c r="B4037" t="s">
        <v>12891</v>
      </c>
      <c r="C4037">
        <v>0</v>
      </c>
      <c r="D4037">
        <v>0</v>
      </c>
      <c r="E4037">
        <v>0</v>
      </c>
      <c r="F4037">
        <v>3</v>
      </c>
      <c r="G4037">
        <v>3</v>
      </c>
      <c r="H4037">
        <v>0</v>
      </c>
      <c r="I4037">
        <v>1</v>
      </c>
      <c r="J4037">
        <v>1</v>
      </c>
      <c r="K4037">
        <v>1</v>
      </c>
      <c r="L4037" t="s">
        <v>3284</v>
      </c>
      <c r="M4037" t="s">
        <v>3296</v>
      </c>
      <c r="N4037" t="s">
        <v>3343</v>
      </c>
      <c r="O4037" t="s">
        <v>3344</v>
      </c>
      <c r="P4037" t="s">
        <v>3387</v>
      </c>
      <c r="Q4037" t="s">
        <v>3388</v>
      </c>
      <c r="R4037" t="s">
        <v>12892</v>
      </c>
    </row>
    <row r="4038" spans="1:18" x14ac:dyDescent="0.2">
      <c r="A4038">
        <v>535904</v>
      </c>
      <c r="B4038" t="s">
        <v>12893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2</v>
      </c>
      <c r="J4038">
        <v>1</v>
      </c>
      <c r="K4038">
        <v>0</v>
      </c>
      <c r="L4038" t="s">
        <v>3284</v>
      </c>
      <c r="M4038" t="s">
        <v>3296</v>
      </c>
      <c r="N4038" t="s">
        <v>3343</v>
      </c>
      <c r="O4038" t="s">
        <v>3429</v>
      </c>
      <c r="P4038" t="s">
        <v>4336</v>
      </c>
      <c r="Q4038" t="s">
        <v>6265</v>
      </c>
      <c r="R4038" t="s">
        <v>12894</v>
      </c>
    </row>
    <row r="4039" spans="1:18" x14ac:dyDescent="0.2">
      <c r="A4039">
        <v>535712</v>
      </c>
      <c r="B4039" t="s">
        <v>12895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2</v>
      </c>
      <c r="K4039">
        <v>0</v>
      </c>
      <c r="L4039" t="s">
        <v>3284</v>
      </c>
      <c r="M4039" t="s">
        <v>3307</v>
      </c>
      <c r="N4039" t="s">
        <v>3308</v>
      </c>
      <c r="O4039" t="s">
        <v>3359</v>
      </c>
      <c r="P4039" t="s">
        <v>3360</v>
      </c>
      <c r="Q4039" t="s">
        <v>9587</v>
      </c>
      <c r="R4039" t="s">
        <v>12896</v>
      </c>
    </row>
    <row r="4040" spans="1:18" x14ac:dyDescent="0.2">
      <c r="A4040">
        <v>529884</v>
      </c>
      <c r="B4040" t="s">
        <v>12897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1</v>
      </c>
      <c r="K4040">
        <v>0</v>
      </c>
      <c r="L4040" t="s">
        <v>3284</v>
      </c>
      <c r="M4040" t="s">
        <v>3307</v>
      </c>
      <c r="N4040" t="s">
        <v>3308</v>
      </c>
      <c r="O4040" t="s">
        <v>3359</v>
      </c>
      <c r="P4040" t="s">
        <v>3360</v>
      </c>
      <c r="Q4040" t="s">
        <v>9587</v>
      </c>
      <c r="R4040" t="s">
        <v>12898</v>
      </c>
    </row>
    <row r="4041" spans="1:18" x14ac:dyDescent="0.2">
      <c r="A4041">
        <v>529823</v>
      </c>
      <c r="B4041" t="s">
        <v>12899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1</v>
      </c>
      <c r="J4041">
        <v>0</v>
      </c>
      <c r="K4041">
        <v>0</v>
      </c>
      <c r="L4041" t="s">
        <v>3284</v>
      </c>
      <c r="M4041" t="s">
        <v>3296</v>
      </c>
      <c r="N4041" t="s">
        <v>3297</v>
      </c>
      <c r="O4041" t="s">
        <v>7551</v>
      </c>
      <c r="P4041" t="s">
        <v>7552</v>
      </c>
      <c r="Q4041" t="s">
        <v>9614</v>
      </c>
      <c r="R4041" t="s">
        <v>12900</v>
      </c>
    </row>
    <row r="4042" spans="1:18" x14ac:dyDescent="0.2">
      <c r="A4042">
        <v>528191</v>
      </c>
      <c r="B4042" t="s">
        <v>12901</v>
      </c>
      <c r="C4042">
        <v>0</v>
      </c>
      <c r="D4042">
        <v>0</v>
      </c>
      <c r="E4042">
        <v>0</v>
      </c>
      <c r="F4042">
        <v>0</v>
      </c>
      <c r="G4042">
        <v>1</v>
      </c>
      <c r="H4042">
        <v>0</v>
      </c>
      <c r="I4042">
        <v>0</v>
      </c>
      <c r="J4042">
        <v>0</v>
      </c>
      <c r="K4042">
        <v>0</v>
      </c>
      <c r="L4042" t="s">
        <v>3284</v>
      </c>
      <c r="M4042" t="s">
        <v>3327</v>
      </c>
      <c r="N4042" t="s">
        <v>3376</v>
      </c>
      <c r="O4042" t="s">
        <v>3377</v>
      </c>
      <c r="P4042" t="s">
        <v>3604</v>
      </c>
      <c r="Q4042" t="s">
        <v>3668</v>
      </c>
      <c r="R4042" t="s">
        <v>12902</v>
      </c>
    </row>
    <row r="4043" spans="1:18" x14ac:dyDescent="0.2">
      <c r="A4043">
        <v>528178</v>
      </c>
      <c r="B4043" t="s">
        <v>12903</v>
      </c>
      <c r="C4043">
        <v>0</v>
      </c>
      <c r="D4043">
        <v>0</v>
      </c>
      <c r="E4043">
        <v>0</v>
      </c>
      <c r="F4043">
        <v>10</v>
      </c>
      <c r="G4043">
        <v>7</v>
      </c>
      <c r="H4043">
        <v>2</v>
      </c>
      <c r="I4043">
        <v>1</v>
      </c>
      <c r="J4043">
        <v>0</v>
      </c>
      <c r="K4043">
        <v>0</v>
      </c>
      <c r="L4043" t="s">
        <v>3284</v>
      </c>
      <c r="M4043" t="s">
        <v>3296</v>
      </c>
      <c r="N4043" t="s">
        <v>3343</v>
      </c>
      <c r="O4043" t="s">
        <v>3344</v>
      </c>
      <c r="P4043" t="s">
        <v>3355</v>
      </c>
      <c r="Q4043" t="s">
        <v>4238</v>
      </c>
      <c r="R4043" t="s">
        <v>12904</v>
      </c>
    </row>
    <row r="4044" spans="1:18" x14ac:dyDescent="0.2">
      <c r="A4044">
        <v>525917</v>
      </c>
      <c r="B4044" t="s">
        <v>12905</v>
      </c>
      <c r="C4044">
        <v>1</v>
      </c>
      <c r="D4044">
        <v>0</v>
      </c>
      <c r="E4044">
        <v>0</v>
      </c>
      <c r="F4044">
        <v>1</v>
      </c>
      <c r="G4044">
        <v>0</v>
      </c>
      <c r="H4044">
        <v>0</v>
      </c>
      <c r="I4044">
        <v>0</v>
      </c>
      <c r="J4044">
        <v>0</v>
      </c>
      <c r="K4044">
        <v>0</v>
      </c>
      <c r="L4044" t="s">
        <v>3284</v>
      </c>
      <c r="M4044" t="s">
        <v>3296</v>
      </c>
      <c r="N4044" t="s">
        <v>3297</v>
      </c>
      <c r="O4044" t="s">
        <v>8743</v>
      </c>
      <c r="P4044" t="s">
        <v>12906</v>
      </c>
      <c r="Q4044" t="s">
        <v>12907</v>
      </c>
      <c r="R4044" t="s">
        <v>12908</v>
      </c>
    </row>
    <row r="4045" spans="1:18" x14ac:dyDescent="0.2">
      <c r="A4045">
        <v>520953</v>
      </c>
      <c r="B4045" t="s">
        <v>12909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1</v>
      </c>
      <c r="K4045">
        <v>0</v>
      </c>
      <c r="L4045" t="s">
        <v>3284</v>
      </c>
      <c r="M4045" t="s">
        <v>3296</v>
      </c>
      <c r="N4045" t="s">
        <v>3343</v>
      </c>
      <c r="O4045" t="s">
        <v>3344</v>
      </c>
      <c r="P4045" t="s">
        <v>3898</v>
      </c>
      <c r="Q4045" t="s">
        <v>8204</v>
      </c>
      <c r="R4045" t="s">
        <v>12910</v>
      </c>
    </row>
    <row r="4046" spans="1:18" x14ac:dyDescent="0.2">
      <c r="A4046">
        <v>519977</v>
      </c>
      <c r="B4046" t="s">
        <v>12911</v>
      </c>
      <c r="C4046">
        <v>0</v>
      </c>
      <c r="D4046">
        <v>1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 t="s">
        <v>3284</v>
      </c>
      <c r="M4046" t="s">
        <v>3327</v>
      </c>
      <c r="N4046" t="s">
        <v>3376</v>
      </c>
      <c r="O4046" t="s">
        <v>3377</v>
      </c>
      <c r="P4046" t="s">
        <v>3378</v>
      </c>
      <c r="Q4046" t="s">
        <v>4423</v>
      </c>
      <c r="R4046" t="s">
        <v>12912</v>
      </c>
    </row>
    <row r="4047" spans="1:18" x14ac:dyDescent="0.2">
      <c r="A4047">
        <v>517011</v>
      </c>
      <c r="B4047" t="s">
        <v>12913</v>
      </c>
      <c r="C4047">
        <v>0</v>
      </c>
      <c r="D4047">
        <v>0</v>
      </c>
      <c r="E4047">
        <v>0</v>
      </c>
      <c r="F4047">
        <v>2</v>
      </c>
      <c r="G4047">
        <v>1</v>
      </c>
      <c r="H4047">
        <v>1</v>
      </c>
      <c r="I4047">
        <v>2</v>
      </c>
      <c r="J4047">
        <v>0</v>
      </c>
      <c r="K4047">
        <v>0</v>
      </c>
      <c r="L4047" t="s">
        <v>3284</v>
      </c>
      <c r="M4047" t="s">
        <v>3296</v>
      </c>
      <c r="N4047" t="s">
        <v>3297</v>
      </c>
      <c r="O4047" t="s">
        <v>3469</v>
      </c>
      <c r="P4047" t="s">
        <v>3470</v>
      </c>
      <c r="Q4047" t="s">
        <v>3471</v>
      </c>
      <c r="R4047" t="s">
        <v>12914</v>
      </c>
    </row>
    <row r="4048" spans="1:18" x14ac:dyDescent="0.2">
      <c r="A4048">
        <v>516703</v>
      </c>
      <c r="B4048" t="s">
        <v>12915</v>
      </c>
      <c r="C4048">
        <v>0</v>
      </c>
      <c r="D4048">
        <v>1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 t="s">
        <v>3284</v>
      </c>
      <c r="M4048" t="s">
        <v>3327</v>
      </c>
      <c r="N4048" t="s">
        <v>3376</v>
      </c>
      <c r="O4048" t="s">
        <v>3377</v>
      </c>
      <c r="P4048" t="s">
        <v>3378</v>
      </c>
      <c r="Q4048" t="s">
        <v>12916</v>
      </c>
      <c r="R4048" t="s">
        <v>12917</v>
      </c>
    </row>
    <row r="4049" spans="1:18" x14ac:dyDescent="0.2">
      <c r="A4049">
        <v>516702</v>
      </c>
      <c r="B4049" t="s">
        <v>12918</v>
      </c>
      <c r="C4049">
        <v>1</v>
      </c>
      <c r="D4049">
        <v>0</v>
      </c>
      <c r="E4049">
        <v>0</v>
      </c>
      <c r="F4049">
        <v>82</v>
      </c>
      <c r="G4049">
        <v>63</v>
      </c>
      <c r="H4049">
        <v>7</v>
      </c>
      <c r="I4049">
        <v>61</v>
      </c>
      <c r="J4049">
        <v>30</v>
      </c>
      <c r="K4049">
        <v>2</v>
      </c>
      <c r="L4049" t="s">
        <v>3284</v>
      </c>
      <c r="M4049" t="s">
        <v>3296</v>
      </c>
      <c r="N4049" t="s">
        <v>3321</v>
      </c>
      <c r="O4049" t="s">
        <v>3322</v>
      </c>
      <c r="P4049" t="s">
        <v>4143</v>
      </c>
      <c r="Q4049" t="s">
        <v>8587</v>
      </c>
      <c r="R4049" t="s">
        <v>12919</v>
      </c>
    </row>
    <row r="4050" spans="1:18" x14ac:dyDescent="0.2">
      <c r="A4050">
        <v>516123</v>
      </c>
      <c r="B4050" t="s">
        <v>12920</v>
      </c>
      <c r="C4050">
        <v>4</v>
      </c>
      <c r="D4050">
        <v>2</v>
      </c>
      <c r="E4050">
        <v>1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 t="s">
        <v>3284</v>
      </c>
      <c r="M4050" t="s">
        <v>3327</v>
      </c>
      <c r="N4050" t="s">
        <v>4384</v>
      </c>
      <c r="O4050" t="s">
        <v>4605</v>
      </c>
      <c r="P4050" t="s">
        <v>11671</v>
      </c>
      <c r="Q4050" t="s">
        <v>12921</v>
      </c>
      <c r="R4050" t="s">
        <v>12922</v>
      </c>
    </row>
    <row r="4051" spans="1:18" x14ac:dyDescent="0.2">
      <c r="A4051">
        <v>515361</v>
      </c>
      <c r="B4051" t="s">
        <v>12923</v>
      </c>
      <c r="C4051">
        <v>0</v>
      </c>
      <c r="D4051">
        <v>0</v>
      </c>
      <c r="E4051">
        <v>0</v>
      </c>
      <c r="F4051">
        <v>1</v>
      </c>
      <c r="G4051">
        <v>1</v>
      </c>
      <c r="H4051">
        <v>0</v>
      </c>
      <c r="I4051">
        <v>2</v>
      </c>
      <c r="J4051">
        <v>0</v>
      </c>
      <c r="K4051">
        <v>0</v>
      </c>
      <c r="L4051" t="s">
        <v>3284</v>
      </c>
      <c r="M4051" t="s">
        <v>3296</v>
      </c>
      <c r="N4051" t="s">
        <v>3343</v>
      </c>
      <c r="O4051" t="s">
        <v>3344</v>
      </c>
      <c r="P4051" t="s">
        <v>3355</v>
      </c>
      <c r="Q4051" t="s">
        <v>4238</v>
      </c>
      <c r="R4051" t="s">
        <v>12924</v>
      </c>
    </row>
    <row r="4052" spans="1:18" x14ac:dyDescent="0.2">
      <c r="A4052">
        <v>513160</v>
      </c>
      <c r="B4052" t="s">
        <v>12925</v>
      </c>
      <c r="C4052">
        <v>0</v>
      </c>
      <c r="D4052">
        <v>1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 t="s">
        <v>3284</v>
      </c>
      <c r="M4052" t="s">
        <v>3296</v>
      </c>
      <c r="N4052" t="s">
        <v>3321</v>
      </c>
      <c r="O4052" t="s">
        <v>3322</v>
      </c>
      <c r="P4052" t="s">
        <v>3671</v>
      </c>
      <c r="Q4052" t="s">
        <v>4354</v>
      </c>
      <c r="R4052" t="s">
        <v>12926</v>
      </c>
    </row>
    <row r="4053" spans="1:18" x14ac:dyDescent="0.2">
      <c r="A4053">
        <v>510515</v>
      </c>
      <c r="B4053" t="s">
        <v>12927</v>
      </c>
      <c r="C4053">
        <v>2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 t="s">
        <v>3284</v>
      </c>
      <c r="M4053" t="s">
        <v>3296</v>
      </c>
      <c r="N4053" t="s">
        <v>3321</v>
      </c>
      <c r="O4053" t="s">
        <v>3322</v>
      </c>
      <c r="P4053" t="s">
        <v>3398</v>
      </c>
      <c r="Q4053" t="s">
        <v>3806</v>
      </c>
      <c r="R4053" t="s">
        <v>12928</v>
      </c>
    </row>
    <row r="4054" spans="1:18" x14ac:dyDescent="0.2">
      <c r="A4054">
        <v>506668</v>
      </c>
      <c r="B4054" t="s">
        <v>12929</v>
      </c>
      <c r="C4054">
        <v>0</v>
      </c>
      <c r="D4054">
        <v>0</v>
      </c>
      <c r="E4054">
        <v>0</v>
      </c>
      <c r="F4054">
        <v>0</v>
      </c>
      <c r="G4054">
        <v>1</v>
      </c>
      <c r="H4054">
        <v>0</v>
      </c>
      <c r="I4054">
        <v>0</v>
      </c>
      <c r="J4054">
        <v>0</v>
      </c>
      <c r="K4054">
        <v>0</v>
      </c>
      <c r="L4054" t="s">
        <v>3284</v>
      </c>
      <c r="M4054" t="s">
        <v>3296</v>
      </c>
      <c r="N4054" t="s">
        <v>3343</v>
      </c>
      <c r="O4054" t="s">
        <v>3344</v>
      </c>
      <c r="P4054" t="s">
        <v>3367</v>
      </c>
      <c r="Q4054" t="s">
        <v>3368</v>
      </c>
      <c r="R4054" t="s">
        <v>12930</v>
      </c>
    </row>
    <row r="4055" spans="1:18" x14ac:dyDescent="0.2">
      <c r="A4055">
        <v>505248</v>
      </c>
      <c r="B4055" t="s">
        <v>12931</v>
      </c>
      <c r="C4055">
        <v>0</v>
      </c>
      <c r="D4055">
        <v>0</v>
      </c>
      <c r="E4055">
        <v>0</v>
      </c>
      <c r="F4055">
        <v>1</v>
      </c>
      <c r="G4055">
        <v>0</v>
      </c>
      <c r="H4055">
        <v>0</v>
      </c>
      <c r="I4055">
        <v>0</v>
      </c>
      <c r="J4055">
        <v>0</v>
      </c>
      <c r="K4055">
        <v>0</v>
      </c>
      <c r="L4055" t="s">
        <v>3284</v>
      </c>
      <c r="M4055" t="s">
        <v>3296</v>
      </c>
      <c r="N4055" t="s">
        <v>3343</v>
      </c>
      <c r="O4055" t="s">
        <v>3349</v>
      </c>
      <c r="P4055" t="s">
        <v>3350</v>
      </c>
      <c r="Q4055" t="s">
        <v>3351</v>
      </c>
      <c r="R4055" t="s">
        <v>12932</v>
      </c>
    </row>
    <row r="4056" spans="1:18" x14ac:dyDescent="0.2">
      <c r="A4056">
        <v>504800</v>
      </c>
      <c r="B4056" t="s">
        <v>12933</v>
      </c>
      <c r="C4056">
        <v>0</v>
      </c>
      <c r="D4056">
        <v>1</v>
      </c>
      <c r="E4056">
        <v>0</v>
      </c>
      <c r="F4056">
        <v>0</v>
      </c>
      <c r="G4056">
        <v>1</v>
      </c>
      <c r="H4056">
        <v>0</v>
      </c>
      <c r="I4056">
        <v>0</v>
      </c>
      <c r="J4056">
        <v>0</v>
      </c>
      <c r="K4056">
        <v>0</v>
      </c>
      <c r="L4056" t="s">
        <v>3284</v>
      </c>
      <c r="M4056" t="s">
        <v>3307</v>
      </c>
      <c r="N4056" t="s">
        <v>3308</v>
      </c>
      <c r="O4056" t="s">
        <v>8932</v>
      </c>
      <c r="P4056" t="s">
        <v>8933</v>
      </c>
      <c r="Q4056" t="s">
        <v>12934</v>
      </c>
      <c r="R4056" t="s">
        <v>12935</v>
      </c>
    </row>
    <row r="4057" spans="1:18" x14ac:dyDescent="0.2">
      <c r="A4057">
        <v>504468</v>
      </c>
      <c r="B4057" t="s">
        <v>12936</v>
      </c>
      <c r="C4057">
        <v>0</v>
      </c>
      <c r="D4057">
        <v>1</v>
      </c>
      <c r="E4057">
        <v>0</v>
      </c>
      <c r="F4057">
        <v>0</v>
      </c>
      <c r="G4057">
        <v>0</v>
      </c>
      <c r="H4057">
        <v>0</v>
      </c>
      <c r="I4057">
        <v>1</v>
      </c>
      <c r="J4057">
        <v>0</v>
      </c>
      <c r="K4057">
        <v>0</v>
      </c>
      <c r="L4057" t="s">
        <v>3284</v>
      </c>
      <c r="M4057" t="s">
        <v>3296</v>
      </c>
      <c r="N4057" t="s">
        <v>3343</v>
      </c>
      <c r="O4057" t="s">
        <v>3429</v>
      </c>
      <c r="P4057" t="s">
        <v>4336</v>
      </c>
      <c r="Q4057" t="s">
        <v>12937</v>
      </c>
      <c r="R4057" t="s">
        <v>12938</v>
      </c>
    </row>
    <row r="4058" spans="1:18" x14ac:dyDescent="0.2">
      <c r="A4058">
        <v>503170</v>
      </c>
      <c r="B4058" t="s">
        <v>12939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1</v>
      </c>
      <c r="K4058">
        <v>0</v>
      </c>
      <c r="L4058" t="s">
        <v>3284</v>
      </c>
      <c r="M4058" t="s">
        <v>8219</v>
      </c>
      <c r="N4058" t="s">
        <v>8220</v>
      </c>
      <c r="O4058" t="s">
        <v>8221</v>
      </c>
      <c r="P4058" t="s">
        <v>12940</v>
      </c>
      <c r="Q4058" t="s">
        <v>12941</v>
      </c>
      <c r="R4058" t="s">
        <v>12942</v>
      </c>
    </row>
    <row r="4059" spans="1:18" x14ac:dyDescent="0.2">
      <c r="A4059">
        <v>502909</v>
      </c>
      <c r="B4059" t="s">
        <v>12943</v>
      </c>
      <c r="C4059">
        <v>1</v>
      </c>
      <c r="D4059">
        <v>1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 t="s">
        <v>3284</v>
      </c>
      <c r="M4059" t="s">
        <v>3391</v>
      </c>
      <c r="N4059" t="s">
        <v>3740</v>
      </c>
      <c r="O4059" t="s">
        <v>3741</v>
      </c>
      <c r="P4059" t="s">
        <v>5300</v>
      </c>
      <c r="Q4059" t="s">
        <v>5311</v>
      </c>
      <c r="R4059" t="s">
        <v>12944</v>
      </c>
    </row>
    <row r="4060" spans="1:18" x14ac:dyDescent="0.2">
      <c r="A4060">
        <v>502487</v>
      </c>
      <c r="B4060" t="s">
        <v>12945</v>
      </c>
      <c r="C4060">
        <v>0</v>
      </c>
      <c r="D4060">
        <v>0</v>
      </c>
      <c r="E4060">
        <v>0</v>
      </c>
      <c r="F4060">
        <v>0</v>
      </c>
      <c r="G4060">
        <v>1</v>
      </c>
      <c r="H4060">
        <v>0</v>
      </c>
      <c r="I4060">
        <v>0</v>
      </c>
      <c r="J4060">
        <v>0</v>
      </c>
      <c r="K4060">
        <v>0</v>
      </c>
      <c r="L4060" t="s">
        <v>3284</v>
      </c>
      <c r="M4060" t="s">
        <v>4022</v>
      </c>
      <c r="N4060" t="s">
        <v>4023</v>
      </c>
      <c r="O4060" t="s">
        <v>4289</v>
      </c>
      <c r="P4060" t="s">
        <v>4563</v>
      </c>
      <c r="Q4060" t="s">
        <v>4564</v>
      </c>
      <c r="R4060" t="s">
        <v>12946</v>
      </c>
    </row>
    <row r="4061" spans="1:18" x14ac:dyDescent="0.2">
      <c r="A4061">
        <v>502333</v>
      </c>
      <c r="B4061" t="s">
        <v>12947</v>
      </c>
      <c r="C4061">
        <v>0</v>
      </c>
      <c r="D4061">
        <v>0</v>
      </c>
      <c r="E4061">
        <v>0</v>
      </c>
      <c r="F4061">
        <v>1</v>
      </c>
      <c r="G4061">
        <v>0</v>
      </c>
      <c r="H4061">
        <v>0</v>
      </c>
      <c r="I4061">
        <v>0</v>
      </c>
      <c r="J4061">
        <v>0</v>
      </c>
      <c r="K4061">
        <v>0</v>
      </c>
      <c r="L4061" t="s">
        <v>3284</v>
      </c>
      <c r="M4061" t="s">
        <v>3296</v>
      </c>
      <c r="N4061" t="s">
        <v>3321</v>
      </c>
      <c r="O4061" t="s">
        <v>3322</v>
      </c>
      <c r="P4061" t="s">
        <v>3398</v>
      </c>
      <c r="Q4061" t="s">
        <v>3696</v>
      </c>
      <c r="R4061" t="s">
        <v>12948</v>
      </c>
    </row>
    <row r="4062" spans="1:18" x14ac:dyDescent="0.2">
      <c r="A4062">
        <v>502331</v>
      </c>
      <c r="B4062" t="s">
        <v>12949</v>
      </c>
      <c r="C4062">
        <v>0</v>
      </c>
      <c r="D4062">
        <v>0</v>
      </c>
      <c r="E4062">
        <v>0</v>
      </c>
      <c r="F4062">
        <v>1</v>
      </c>
      <c r="G4062">
        <v>1</v>
      </c>
      <c r="H4062">
        <v>0</v>
      </c>
      <c r="I4062">
        <v>0</v>
      </c>
      <c r="J4062">
        <v>0</v>
      </c>
      <c r="K4062">
        <v>0</v>
      </c>
      <c r="L4062" t="s">
        <v>3284</v>
      </c>
      <c r="M4062" t="s">
        <v>3391</v>
      </c>
      <c r="N4062" t="s">
        <v>3392</v>
      </c>
      <c r="O4062" t="s">
        <v>3393</v>
      </c>
      <c r="P4062" t="s">
        <v>3394</v>
      </c>
      <c r="Q4062" t="s">
        <v>4082</v>
      </c>
      <c r="R4062" t="s">
        <v>12950</v>
      </c>
    </row>
    <row r="4063" spans="1:18" x14ac:dyDescent="0.2">
      <c r="A4063">
        <v>502259</v>
      </c>
      <c r="B4063" t="s">
        <v>12951</v>
      </c>
      <c r="C4063">
        <v>1</v>
      </c>
      <c r="D4063">
        <v>1</v>
      </c>
      <c r="E4063">
        <v>0</v>
      </c>
      <c r="F4063">
        <v>0</v>
      </c>
      <c r="G4063">
        <v>0</v>
      </c>
      <c r="H4063">
        <v>0</v>
      </c>
      <c r="I4063">
        <v>4</v>
      </c>
      <c r="J4063">
        <v>0</v>
      </c>
      <c r="K4063">
        <v>0</v>
      </c>
      <c r="L4063" t="s">
        <v>3284</v>
      </c>
      <c r="M4063" t="s">
        <v>3391</v>
      </c>
      <c r="N4063" t="s">
        <v>3740</v>
      </c>
      <c r="O4063" t="s">
        <v>3741</v>
      </c>
      <c r="P4063" t="s">
        <v>5300</v>
      </c>
      <c r="Q4063" t="s">
        <v>5301</v>
      </c>
      <c r="R4063" t="s">
        <v>12952</v>
      </c>
    </row>
    <row r="4064" spans="1:18" x14ac:dyDescent="0.2">
      <c r="A4064">
        <v>501923</v>
      </c>
      <c r="B4064" t="s">
        <v>12953</v>
      </c>
      <c r="C4064">
        <v>0</v>
      </c>
      <c r="D4064">
        <v>0</v>
      </c>
      <c r="E4064">
        <v>0</v>
      </c>
      <c r="F4064">
        <v>2</v>
      </c>
      <c r="G4064">
        <v>0</v>
      </c>
      <c r="H4064">
        <v>0</v>
      </c>
      <c r="I4064">
        <v>0</v>
      </c>
      <c r="J4064">
        <v>0</v>
      </c>
      <c r="K4064">
        <v>0</v>
      </c>
      <c r="L4064" t="s">
        <v>3284</v>
      </c>
      <c r="M4064" t="s">
        <v>3391</v>
      </c>
      <c r="N4064" t="s">
        <v>3411</v>
      </c>
      <c r="O4064" t="s">
        <v>3412</v>
      </c>
      <c r="P4064" t="s">
        <v>7008</v>
      </c>
      <c r="Q4064" t="s">
        <v>9057</v>
      </c>
      <c r="R4064" t="s">
        <v>12954</v>
      </c>
    </row>
    <row r="4065" spans="1:18" x14ac:dyDescent="0.2">
      <c r="A4065">
        <v>500162</v>
      </c>
      <c r="B4065" t="s">
        <v>12955</v>
      </c>
      <c r="C4065">
        <v>0</v>
      </c>
      <c r="D4065">
        <v>0</v>
      </c>
      <c r="E4065">
        <v>0</v>
      </c>
      <c r="F4065">
        <v>2</v>
      </c>
      <c r="G4065">
        <v>0</v>
      </c>
      <c r="H4065">
        <v>0</v>
      </c>
      <c r="I4065">
        <v>0</v>
      </c>
      <c r="J4065">
        <v>0</v>
      </c>
      <c r="K4065">
        <v>0</v>
      </c>
      <c r="L4065" t="s">
        <v>3284</v>
      </c>
      <c r="M4065" t="s">
        <v>3296</v>
      </c>
      <c r="N4065" t="s">
        <v>3297</v>
      </c>
      <c r="O4065" t="s">
        <v>4500</v>
      </c>
      <c r="P4065" t="s">
        <v>5719</v>
      </c>
      <c r="Q4065" t="s">
        <v>5720</v>
      </c>
      <c r="R4065" t="s">
        <v>12956</v>
      </c>
    </row>
    <row r="4066" spans="1:18" x14ac:dyDescent="0.2">
      <c r="A4066">
        <v>498301</v>
      </c>
      <c r="B4066" t="s">
        <v>12957</v>
      </c>
      <c r="C4066">
        <v>0</v>
      </c>
      <c r="D4066">
        <v>0</v>
      </c>
      <c r="E4066">
        <v>0</v>
      </c>
      <c r="F4066">
        <v>0</v>
      </c>
      <c r="G4066">
        <v>1</v>
      </c>
      <c r="H4066">
        <v>0</v>
      </c>
      <c r="I4066">
        <v>0</v>
      </c>
      <c r="J4066">
        <v>0</v>
      </c>
      <c r="K4066">
        <v>0</v>
      </c>
      <c r="L4066" t="s">
        <v>3284</v>
      </c>
      <c r="M4066" t="s">
        <v>3391</v>
      </c>
      <c r="N4066" t="s">
        <v>3411</v>
      </c>
      <c r="O4066" t="s">
        <v>3412</v>
      </c>
      <c r="P4066" t="s">
        <v>3413</v>
      </c>
      <c r="Q4066" t="s">
        <v>3414</v>
      </c>
      <c r="R4066" t="s">
        <v>12958</v>
      </c>
    </row>
    <row r="4067" spans="1:18" x14ac:dyDescent="0.2">
      <c r="A4067">
        <v>493780</v>
      </c>
      <c r="B4067" t="s">
        <v>12959</v>
      </c>
      <c r="C4067">
        <v>0</v>
      </c>
      <c r="D4067">
        <v>0</v>
      </c>
      <c r="E4067">
        <v>3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 t="s">
        <v>3284</v>
      </c>
      <c r="M4067" t="s">
        <v>3391</v>
      </c>
      <c r="N4067" t="s">
        <v>3392</v>
      </c>
      <c r="O4067" t="s">
        <v>3393</v>
      </c>
      <c r="P4067" t="s">
        <v>3394</v>
      </c>
      <c r="Q4067" t="s">
        <v>4351</v>
      </c>
      <c r="R4067" t="s">
        <v>12960</v>
      </c>
    </row>
    <row r="4068" spans="1:18" x14ac:dyDescent="0.2">
      <c r="A4068">
        <v>492736</v>
      </c>
      <c r="B4068" t="s">
        <v>12961</v>
      </c>
      <c r="C4068">
        <v>0</v>
      </c>
      <c r="D4068">
        <v>0</v>
      </c>
      <c r="E4068">
        <v>0</v>
      </c>
      <c r="F4068">
        <v>2</v>
      </c>
      <c r="G4068">
        <v>0</v>
      </c>
      <c r="H4068">
        <v>0</v>
      </c>
      <c r="I4068">
        <v>0</v>
      </c>
      <c r="J4068">
        <v>0</v>
      </c>
      <c r="K4068">
        <v>0</v>
      </c>
      <c r="L4068" t="s">
        <v>3284</v>
      </c>
      <c r="M4068" t="s">
        <v>3391</v>
      </c>
      <c r="N4068" t="s">
        <v>3740</v>
      </c>
      <c r="O4068" t="s">
        <v>3741</v>
      </c>
      <c r="P4068" t="s">
        <v>3742</v>
      </c>
      <c r="Q4068" t="s">
        <v>4598</v>
      </c>
      <c r="R4068" t="s">
        <v>12962</v>
      </c>
    </row>
    <row r="4069" spans="1:18" x14ac:dyDescent="0.2">
      <c r="A4069">
        <v>492670</v>
      </c>
      <c r="B4069" t="s">
        <v>12963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1</v>
      </c>
      <c r="I4069">
        <v>1</v>
      </c>
      <c r="J4069">
        <v>0</v>
      </c>
      <c r="K4069">
        <v>0</v>
      </c>
      <c r="L4069" t="s">
        <v>3284</v>
      </c>
      <c r="M4069" t="s">
        <v>3327</v>
      </c>
      <c r="N4069" t="s">
        <v>3376</v>
      </c>
      <c r="O4069" t="s">
        <v>3377</v>
      </c>
      <c r="P4069" t="s">
        <v>3378</v>
      </c>
      <c r="Q4069" t="s">
        <v>3379</v>
      </c>
      <c r="R4069" t="s">
        <v>12964</v>
      </c>
    </row>
    <row r="4070" spans="1:18" x14ac:dyDescent="0.2">
      <c r="A4070">
        <v>492660</v>
      </c>
      <c r="B4070" t="s">
        <v>12965</v>
      </c>
      <c r="C4070">
        <v>0</v>
      </c>
      <c r="D4070">
        <v>0</v>
      </c>
      <c r="E4070">
        <v>0</v>
      </c>
      <c r="F4070">
        <v>2</v>
      </c>
      <c r="G4070">
        <v>0</v>
      </c>
      <c r="H4070">
        <v>0</v>
      </c>
      <c r="I4070">
        <v>0</v>
      </c>
      <c r="J4070">
        <v>0</v>
      </c>
      <c r="K4070">
        <v>0</v>
      </c>
      <c r="L4070" t="s">
        <v>3284</v>
      </c>
      <c r="M4070" t="s">
        <v>3296</v>
      </c>
      <c r="N4070" t="s">
        <v>3321</v>
      </c>
      <c r="O4070" t="s">
        <v>5469</v>
      </c>
      <c r="P4070" t="s">
        <v>6828</v>
      </c>
      <c r="Q4070" t="s">
        <v>6829</v>
      </c>
      <c r="R4070" t="s">
        <v>12966</v>
      </c>
    </row>
    <row r="4071" spans="1:18" x14ac:dyDescent="0.2">
      <c r="A4071">
        <v>490188</v>
      </c>
      <c r="B4071" t="s">
        <v>12967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1</v>
      </c>
      <c r="J4071">
        <v>0</v>
      </c>
      <c r="K4071">
        <v>0</v>
      </c>
      <c r="L4071" t="s">
        <v>3284</v>
      </c>
      <c r="M4071" t="s">
        <v>3296</v>
      </c>
      <c r="N4071" t="s">
        <v>3297</v>
      </c>
      <c r="O4071" t="s">
        <v>9339</v>
      </c>
      <c r="P4071" t="s">
        <v>9340</v>
      </c>
      <c r="Q4071" t="s">
        <v>9341</v>
      </c>
      <c r="R4071" t="s">
        <v>12968</v>
      </c>
    </row>
    <row r="4072" spans="1:18" x14ac:dyDescent="0.2">
      <c r="A4072">
        <v>490185</v>
      </c>
      <c r="B4072" t="s">
        <v>12969</v>
      </c>
      <c r="C4072">
        <v>4</v>
      </c>
      <c r="D4072">
        <v>3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 t="s">
        <v>3284</v>
      </c>
      <c r="M4072" t="s">
        <v>3296</v>
      </c>
      <c r="N4072" t="s">
        <v>3343</v>
      </c>
      <c r="O4072" t="s">
        <v>3371</v>
      </c>
      <c r="P4072" t="s">
        <v>3688</v>
      </c>
      <c r="Q4072" t="s">
        <v>4278</v>
      </c>
      <c r="R4072" t="s">
        <v>12970</v>
      </c>
    </row>
    <row r="4073" spans="1:18" x14ac:dyDescent="0.2">
      <c r="A4073">
        <v>489973</v>
      </c>
      <c r="B4073" t="s">
        <v>12971</v>
      </c>
      <c r="C4073">
        <v>1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 t="s">
        <v>3284</v>
      </c>
      <c r="M4073" t="s">
        <v>3327</v>
      </c>
      <c r="N4073" t="s">
        <v>3328</v>
      </c>
      <c r="O4073" t="s">
        <v>3329</v>
      </c>
      <c r="P4073" t="s">
        <v>3330</v>
      </c>
      <c r="Q4073" t="s">
        <v>12972</v>
      </c>
      <c r="R4073" t="s">
        <v>12973</v>
      </c>
    </row>
    <row r="4074" spans="1:18" x14ac:dyDescent="0.2">
      <c r="A4074">
        <v>489722</v>
      </c>
      <c r="B4074" t="s">
        <v>12974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1</v>
      </c>
      <c r="J4074">
        <v>0</v>
      </c>
      <c r="K4074">
        <v>0</v>
      </c>
      <c r="L4074" t="s">
        <v>3284</v>
      </c>
      <c r="M4074" t="s">
        <v>3296</v>
      </c>
      <c r="N4074" t="s">
        <v>3343</v>
      </c>
      <c r="O4074" t="s">
        <v>3344</v>
      </c>
      <c r="P4074" t="s">
        <v>3898</v>
      </c>
      <c r="Q4074" t="s">
        <v>3899</v>
      </c>
      <c r="R4074" t="s">
        <v>12975</v>
      </c>
    </row>
    <row r="4075" spans="1:18" x14ac:dyDescent="0.2">
      <c r="A4075">
        <v>488732</v>
      </c>
      <c r="B4075" t="s">
        <v>12976</v>
      </c>
      <c r="C4075">
        <v>0</v>
      </c>
      <c r="D4075">
        <v>0</v>
      </c>
      <c r="E4075">
        <v>0</v>
      </c>
      <c r="F4075">
        <v>1</v>
      </c>
      <c r="G4075">
        <v>0</v>
      </c>
      <c r="H4075">
        <v>0</v>
      </c>
      <c r="I4075">
        <v>0</v>
      </c>
      <c r="J4075">
        <v>0</v>
      </c>
      <c r="K4075">
        <v>0</v>
      </c>
      <c r="L4075" t="s">
        <v>3284</v>
      </c>
      <c r="M4075" t="s">
        <v>3296</v>
      </c>
      <c r="N4075" t="s">
        <v>3321</v>
      </c>
      <c r="O4075" t="s">
        <v>3322</v>
      </c>
      <c r="P4075" t="s">
        <v>3423</v>
      </c>
      <c r="Q4075" t="s">
        <v>4170</v>
      </c>
      <c r="R4075" t="s">
        <v>12977</v>
      </c>
    </row>
    <row r="4076" spans="1:18" x14ac:dyDescent="0.2">
      <c r="A4076">
        <v>488454</v>
      </c>
      <c r="B4076" t="s">
        <v>12978</v>
      </c>
      <c r="C4076">
        <v>1</v>
      </c>
      <c r="D4076">
        <v>1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 t="s">
        <v>3284</v>
      </c>
      <c r="M4076" t="s">
        <v>3296</v>
      </c>
      <c r="N4076" t="s">
        <v>3343</v>
      </c>
      <c r="O4076" t="s">
        <v>3371</v>
      </c>
      <c r="P4076" t="s">
        <v>3688</v>
      </c>
      <c r="Q4076" t="s">
        <v>4278</v>
      </c>
      <c r="R4076" t="s">
        <v>12979</v>
      </c>
    </row>
    <row r="4077" spans="1:18" x14ac:dyDescent="0.2">
      <c r="A4077">
        <v>488446</v>
      </c>
      <c r="B4077" t="s">
        <v>12980</v>
      </c>
      <c r="C4077">
        <v>0</v>
      </c>
      <c r="D4077">
        <v>1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1</v>
      </c>
      <c r="L4077" t="s">
        <v>3284</v>
      </c>
      <c r="M4077" t="s">
        <v>3296</v>
      </c>
      <c r="N4077" t="s">
        <v>3321</v>
      </c>
      <c r="O4077" t="s">
        <v>3322</v>
      </c>
      <c r="P4077" t="s">
        <v>3423</v>
      </c>
      <c r="Q4077" t="s">
        <v>4170</v>
      </c>
      <c r="R4077" t="s">
        <v>12981</v>
      </c>
    </row>
    <row r="4078" spans="1:18" x14ac:dyDescent="0.2">
      <c r="A4078">
        <v>487514</v>
      </c>
      <c r="B4078" t="s">
        <v>12982</v>
      </c>
      <c r="C4078">
        <v>0</v>
      </c>
      <c r="D4078">
        <v>0</v>
      </c>
      <c r="E4078">
        <v>0</v>
      </c>
      <c r="F4078">
        <v>1</v>
      </c>
      <c r="G4078">
        <v>0</v>
      </c>
      <c r="H4078">
        <v>0</v>
      </c>
      <c r="I4078">
        <v>0</v>
      </c>
      <c r="J4078">
        <v>0</v>
      </c>
      <c r="K4078">
        <v>0</v>
      </c>
      <c r="L4078" t="s">
        <v>3284</v>
      </c>
      <c r="M4078" t="s">
        <v>3307</v>
      </c>
      <c r="N4078" t="s">
        <v>3308</v>
      </c>
      <c r="O4078" t="s">
        <v>3635</v>
      </c>
      <c r="P4078" t="s">
        <v>4011</v>
      </c>
      <c r="Q4078" t="s">
        <v>4012</v>
      </c>
      <c r="R4078" t="s">
        <v>12983</v>
      </c>
    </row>
    <row r="4079" spans="1:18" x14ac:dyDescent="0.2">
      <c r="A4079">
        <v>485907</v>
      </c>
      <c r="B4079" t="s">
        <v>12984</v>
      </c>
      <c r="C4079">
        <v>0</v>
      </c>
      <c r="D4079">
        <v>1</v>
      </c>
      <c r="E4079">
        <v>0</v>
      </c>
      <c r="F4079">
        <v>0</v>
      </c>
      <c r="G4079">
        <v>0</v>
      </c>
      <c r="H4079">
        <v>0</v>
      </c>
      <c r="I4079">
        <v>1</v>
      </c>
      <c r="J4079">
        <v>0</v>
      </c>
      <c r="K4079">
        <v>0</v>
      </c>
      <c r="L4079" t="s">
        <v>3284</v>
      </c>
      <c r="M4079" t="s">
        <v>3296</v>
      </c>
      <c r="N4079" t="s">
        <v>3343</v>
      </c>
      <c r="O4079" t="s">
        <v>3344</v>
      </c>
      <c r="P4079" t="s">
        <v>3355</v>
      </c>
      <c r="Q4079" t="s">
        <v>10314</v>
      </c>
      <c r="R4079" t="s">
        <v>12985</v>
      </c>
    </row>
    <row r="4080" spans="1:18" x14ac:dyDescent="0.2">
      <c r="A4080">
        <v>484882</v>
      </c>
      <c r="B4080" t="s">
        <v>12986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4</v>
      </c>
      <c r="J4080">
        <v>4</v>
      </c>
      <c r="K4080">
        <v>2</v>
      </c>
      <c r="L4080" t="s">
        <v>3284</v>
      </c>
      <c r="M4080" t="s">
        <v>3296</v>
      </c>
      <c r="N4080" t="s">
        <v>3343</v>
      </c>
      <c r="O4080" t="s">
        <v>3429</v>
      </c>
      <c r="P4080" t="s">
        <v>3430</v>
      </c>
      <c r="Q4080" t="s">
        <v>5837</v>
      </c>
      <c r="R4080" t="s">
        <v>12987</v>
      </c>
    </row>
    <row r="4081" spans="1:18" x14ac:dyDescent="0.2">
      <c r="A4081">
        <v>484770</v>
      </c>
      <c r="B4081" t="s">
        <v>12988</v>
      </c>
      <c r="C4081">
        <v>1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3</v>
      </c>
      <c r="J4081">
        <v>0</v>
      </c>
      <c r="K4081">
        <v>0</v>
      </c>
      <c r="L4081" t="s">
        <v>3284</v>
      </c>
      <c r="M4081" t="s">
        <v>3327</v>
      </c>
      <c r="N4081" t="s">
        <v>3753</v>
      </c>
      <c r="O4081" t="s">
        <v>3754</v>
      </c>
      <c r="P4081" t="s">
        <v>3755</v>
      </c>
      <c r="Q4081" t="s">
        <v>3756</v>
      </c>
      <c r="R4081" t="s">
        <v>12989</v>
      </c>
    </row>
    <row r="4082" spans="1:18" x14ac:dyDescent="0.2">
      <c r="A4082">
        <v>484088</v>
      </c>
      <c r="B4082" t="s">
        <v>12990</v>
      </c>
      <c r="C4082">
        <v>0</v>
      </c>
      <c r="D4082">
        <v>0</v>
      </c>
      <c r="E4082">
        <v>0</v>
      </c>
      <c r="F4082">
        <v>2</v>
      </c>
      <c r="G4082">
        <v>2</v>
      </c>
      <c r="H4082">
        <v>1</v>
      </c>
      <c r="I4082">
        <v>0</v>
      </c>
      <c r="J4082">
        <v>0</v>
      </c>
      <c r="K4082">
        <v>0</v>
      </c>
      <c r="L4082" t="s">
        <v>3284</v>
      </c>
      <c r="M4082" t="s">
        <v>3296</v>
      </c>
      <c r="N4082" t="s">
        <v>3343</v>
      </c>
      <c r="O4082" t="s">
        <v>3344</v>
      </c>
      <c r="P4082" t="s">
        <v>3355</v>
      </c>
      <c r="Q4082" t="s">
        <v>3356</v>
      </c>
      <c r="R4082" t="s">
        <v>12991</v>
      </c>
    </row>
    <row r="4083" spans="1:18" x14ac:dyDescent="0.2">
      <c r="A4083">
        <v>483968</v>
      </c>
      <c r="B4083" t="s">
        <v>12992</v>
      </c>
      <c r="C4083">
        <v>0</v>
      </c>
      <c r="D4083">
        <v>0</v>
      </c>
      <c r="E4083">
        <v>0</v>
      </c>
      <c r="F4083">
        <v>1</v>
      </c>
      <c r="G4083">
        <v>0</v>
      </c>
      <c r="H4083">
        <v>0</v>
      </c>
      <c r="I4083">
        <v>0</v>
      </c>
      <c r="J4083">
        <v>0</v>
      </c>
      <c r="K4083">
        <v>0</v>
      </c>
      <c r="L4083" t="s">
        <v>3284</v>
      </c>
      <c r="M4083" t="s">
        <v>3296</v>
      </c>
      <c r="N4083" t="s">
        <v>3297</v>
      </c>
      <c r="O4083" t="s">
        <v>3434</v>
      </c>
      <c r="P4083" t="s">
        <v>3435</v>
      </c>
      <c r="Q4083" t="s">
        <v>3436</v>
      </c>
      <c r="R4083" t="s">
        <v>12993</v>
      </c>
    </row>
    <row r="4084" spans="1:18" x14ac:dyDescent="0.2">
      <c r="A4084">
        <v>483206</v>
      </c>
      <c r="B4084" t="s">
        <v>12994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1</v>
      </c>
      <c r="J4084">
        <v>0</v>
      </c>
      <c r="K4084">
        <v>0</v>
      </c>
      <c r="L4084" t="s">
        <v>3284</v>
      </c>
      <c r="M4084" t="s">
        <v>3296</v>
      </c>
      <c r="N4084" t="s">
        <v>3343</v>
      </c>
      <c r="O4084" t="s">
        <v>3344</v>
      </c>
      <c r="P4084" t="s">
        <v>3898</v>
      </c>
      <c r="Q4084" t="s">
        <v>3899</v>
      </c>
      <c r="R4084" t="s">
        <v>12995</v>
      </c>
    </row>
    <row r="4085" spans="1:18" x14ac:dyDescent="0.2">
      <c r="A4085">
        <v>483014</v>
      </c>
      <c r="B4085" t="s">
        <v>12996</v>
      </c>
      <c r="C4085">
        <v>1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1</v>
      </c>
      <c r="J4085">
        <v>0</v>
      </c>
      <c r="K4085">
        <v>0</v>
      </c>
      <c r="L4085" t="s">
        <v>3284</v>
      </c>
      <c r="M4085" t="s">
        <v>3307</v>
      </c>
      <c r="N4085" t="s">
        <v>3308</v>
      </c>
      <c r="O4085" t="s">
        <v>3359</v>
      </c>
      <c r="P4085" t="s">
        <v>3360</v>
      </c>
      <c r="Q4085" t="s">
        <v>3361</v>
      </c>
      <c r="R4085" t="s">
        <v>12997</v>
      </c>
    </row>
    <row r="4086" spans="1:18" x14ac:dyDescent="0.2">
      <c r="A4086">
        <v>482957</v>
      </c>
      <c r="B4086" t="s">
        <v>12998</v>
      </c>
      <c r="C4086">
        <v>1</v>
      </c>
      <c r="D4086">
        <v>1</v>
      </c>
      <c r="E4086">
        <v>0</v>
      </c>
      <c r="F4086">
        <v>1</v>
      </c>
      <c r="G4086">
        <v>0</v>
      </c>
      <c r="H4086">
        <v>0</v>
      </c>
      <c r="I4086">
        <v>0</v>
      </c>
      <c r="J4086">
        <v>0</v>
      </c>
      <c r="K4086">
        <v>0</v>
      </c>
      <c r="L4086" t="s">
        <v>3284</v>
      </c>
      <c r="M4086" t="s">
        <v>3296</v>
      </c>
      <c r="N4086" t="s">
        <v>3321</v>
      </c>
      <c r="O4086" t="s">
        <v>3322</v>
      </c>
      <c r="P4086" t="s">
        <v>3423</v>
      </c>
      <c r="Q4086" t="s">
        <v>4170</v>
      </c>
      <c r="R4086" t="s">
        <v>12999</v>
      </c>
    </row>
    <row r="4087" spans="1:18" x14ac:dyDescent="0.2">
      <c r="A4087">
        <v>482630</v>
      </c>
      <c r="B4087" t="s">
        <v>13000</v>
      </c>
      <c r="C4087">
        <v>0</v>
      </c>
      <c r="D4087">
        <v>0</v>
      </c>
      <c r="E4087">
        <v>0</v>
      </c>
      <c r="F4087">
        <v>1</v>
      </c>
      <c r="G4087">
        <v>0</v>
      </c>
      <c r="H4087">
        <v>0</v>
      </c>
      <c r="I4087">
        <v>0</v>
      </c>
      <c r="J4087">
        <v>0</v>
      </c>
      <c r="K4087">
        <v>0</v>
      </c>
      <c r="L4087" t="s">
        <v>3284</v>
      </c>
      <c r="M4087" t="s">
        <v>4022</v>
      </c>
      <c r="N4087" t="s">
        <v>4023</v>
      </c>
      <c r="O4087" t="s">
        <v>4289</v>
      </c>
      <c r="P4087" t="s">
        <v>11832</v>
      </c>
      <c r="Q4087" t="s">
        <v>13001</v>
      </c>
      <c r="R4087" t="s">
        <v>13002</v>
      </c>
    </row>
    <row r="4088" spans="1:18" x14ac:dyDescent="0.2">
      <c r="A4088">
        <v>482564</v>
      </c>
      <c r="B4088" t="s">
        <v>13003</v>
      </c>
      <c r="C4088">
        <v>1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 t="s">
        <v>3284</v>
      </c>
      <c r="M4088" t="s">
        <v>4022</v>
      </c>
      <c r="N4088" t="s">
        <v>4023</v>
      </c>
      <c r="O4088" t="s">
        <v>6292</v>
      </c>
      <c r="P4088" t="s">
        <v>7541</v>
      </c>
      <c r="Q4088" t="s">
        <v>7542</v>
      </c>
      <c r="R4088" t="s">
        <v>13004</v>
      </c>
    </row>
    <row r="4089" spans="1:18" x14ac:dyDescent="0.2">
      <c r="A4089">
        <v>481743</v>
      </c>
      <c r="B4089" t="s">
        <v>13005</v>
      </c>
      <c r="C4089">
        <v>1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 t="s">
        <v>3284</v>
      </c>
      <c r="M4089" t="s">
        <v>3327</v>
      </c>
      <c r="N4089" t="s">
        <v>3376</v>
      </c>
      <c r="O4089" t="s">
        <v>3377</v>
      </c>
      <c r="P4089" t="s">
        <v>3604</v>
      </c>
      <c r="Q4089" t="s">
        <v>3668</v>
      </c>
      <c r="R4089" t="s">
        <v>13006</v>
      </c>
    </row>
    <row r="4090" spans="1:18" x14ac:dyDescent="0.2">
      <c r="A4090">
        <v>481183</v>
      </c>
      <c r="B4090" t="s">
        <v>13007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1</v>
      </c>
      <c r="K4090">
        <v>0</v>
      </c>
      <c r="L4090" t="s">
        <v>3284</v>
      </c>
      <c r="M4090" t="s">
        <v>3391</v>
      </c>
      <c r="N4090" t="s">
        <v>3411</v>
      </c>
      <c r="O4090" t="s">
        <v>3412</v>
      </c>
      <c r="P4090" t="s">
        <v>3413</v>
      </c>
      <c r="Q4090" t="s">
        <v>13008</v>
      </c>
      <c r="R4090" t="s">
        <v>13009</v>
      </c>
    </row>
    <row r="4091" spans="1:18" x14ac:dyDescent="0.2">
      <c r="A4091">
        <v>481181</v>
      </c>
      <c r="B4091" t="s">
        <v>13010</v>
      </c>
      <c r="C4091">
        <v>1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 t="s">
        <v>3284</v>
      </c>
      <c r="M4091" t="s">
        <v>3296</v>
      </c>
      <c r="N4091" t="s">
        <v>3343</v>
      </c>
      <c r="O4091" t="s">
        <v>3371</v>
      </c>
      <c r="P4091" t="s">
        <v>3372</v>
      </c>
      <c r="Q4091" t="s">
        <v>13011</v>
      </c>
      <c r="R4091" t="s">
        <v>13012</v>
      </c>
    </row>
    <row r="4092" spans="1:18" x14ac:dyDescent="0.2">
      <c r="A4092">
        <v>480070</v>
      </c>
      <c r="B4092" t="s">
        <v>13013</v>
      </c>
      <c r="C4092">
        <v>0</v>
      </c>
      <c r="D4092">
        <v>0</v>
      </c>
      <c r="E4092">
        <v>0</v>
      </c>
      <c r="F4092">
        <v>1</v>
      </c>
      <c r="G4092">
        <v>0</v>
      </c>
      <c r="H4092">
        <v>0</v>
      </c>
      <c r="I4092">
        <v>0</v>
      </c>
      <c r="J4092">
        <v>0</v>
      </c>
      <c r="K4092">
        <v>0</v>
      </c>
      <c r="L4092" t="s">
        <v>3284</v>
      </c>
      <c r="M4092" t="s">
        <v>3296</v>
      </c>
      <c r="N4092" t="s">
        <v>3343</v>
      </c>
      <c r="O4092" t="s">
        <v>13014</v>
      </c>
      <c r="P4092" t="s">
        <v>13015</v>
      </c>
      <c r="Q4092" t="s">
        <v>13016</v>
      </c>
      <c r="R4092" t="s">
        <v>13017</v>
      </c>
    </row>
    <row r="4093" spans="1:18" x14ac:dyDescent="0.2">
      <c r="A4093">
        <v>477690</v>
      </c>
      <c r="B4093" t="s">
        <v>13018</v>
      </c>
      <c r="C4093">
        <v>0</v>
      </c>
      <c r="D4093">
        <v>0</v>
      </c>
      <c r="E4093">
        <v>0</v>
      </c>
      <c r="F4093">
        <v>0</v>
      </c>
      <c r="G4093">
        <v>1</v>
      </c>
      <c r="H4093">
        <v>0</v>
      </c>
      <c r="I4093">
        <v>0</v>
      </c>
      <c r="J4093">
        <v>0</v>
      </c>
      <c r="K4093">
        <v>0</v>
      </c>
      <c r="L4093" t="s">
        <v>3284</v>
      </c>
      <c r="M4093" t="s">
        <v>3391</v>
      </c>
      <c r="N4093" t="s">
        <v>3411</v>
      </c>
      <c r="O4093" t="s">
        <v>3412</v>
      </c>
      <c r="P4093" t="s">
        <v>7008</v>
      </c>
      <c r="Q4093" t="s">
        <v>8429</v>
      </c>
      <c r="R4093" t="s">
        <v>13019</v>
      </c>
    </row>
    <row r="4094" spans="1:18" x14ac:dyDescent="0.2">
      <c r="A4094">
        <v>477235</v>
      </c>
      <c r="B4094" t="s">
        <v>13020</v>
      </c>
      <c r="C4094">
        <v>0</v>
      </c>
      <c r="D4094">
        <v>0</v>
      </c>
      <c r="E4094">
        <v>0</v>
      </c>
      <c r="F4094">
        <v>1</v>
      </c>
      <c r="G4094">
        <v>0</v>
      </c>
      <c r="H4094">
        <v>0</v>
      </c>
      <c r="I4094">
        <v>0</v>
      </c>
      <c r="J4094">
        <v>0</v>
      </c>
      <c r="K4094">
        <v>0</v>
      </c>
      <c r="L4094" t="s">
        <v>3284</v>
      </c>
      <c r="M4094" t="s">
        <v>3296</v>
      </c>
      <c r="N4094" t="s">
        <v>3297</v>
      </c>
      <c r="O4094" t="s">
        <v>3469</v>
      </c>
      <c r="P4094" t="s">
        <v>3470</v>
      </c>
      <c r="Q4094" t="s">
        <v>3471</v>
      </c>
      <c r="R4094" t="s">
        <v>13021</v>
      </c>
    </row>
    <row r="4095" spans="1:18" x14ac:dyDescent="0.2">
      <c r="A4095">
        <v>475957</v>
      </c>
      <c r="B4095" t="s">
        <v>13022</v>
      </c>
      <c r="C4095">
        <v>0</v>
      </c>
      <c r="D4095">
        <v>0</v>
      </c>
      <c r="E4095">
        <v>0</v>
      </c>
      <c r="F4095">
        <v>1</v>
      </c>
      <c r="G4095">
        <v>0</v>
      </c>
      <c r="H4095">
        <v>0</v>
      </c>
      <c r="I4095">
        <v>0</v>
      </c>
      <c r="J4095">
        <v>0</v>
      </c>
      <c r="K4095">
        <v>0</v>
      </c>
      <c r="L4095" t="s">
        <v>3284</v>
      </c>
      <c r="M4095" t="s">
        <v>3307</v>
      </c>
      <c r="N4095" t="s">
        <v>3308</v>
      </c>
      <c r="O4095" t="s">
        <v>3359</v>
      </c>
      <c r="P4095" t="s">
        <v>3360</v>
      </c>
      <c r="Q4095" t="s">
        <v>3515</v>
      </c>
      <c r="R4095" t="s">
        <v>13023</v>
      </c>
    </row>
    <row r="4096" spans="1:18" x14ac:dyDescent="0.2">
      <c r="A4096">
        <v>475937</v>
      </c>
      <c r="B4096" t="s">
        <v>13024</v>
      </c>
      <c r="C4096">
        <v>0</v>
      </c>
      <c r="D4096">
        <v>0</v>
      </c>
      <c r="E4096">
        <v>0</v>
      </c>
      <c r="F4096">
        <v>9</v>
      </c>
      <c r="G4096">
        <v>4</v>
      </c>
      <c r="H4096">
        <v>1</v>
      </c>
      <c r="I4096">
        <v>0</v>
      </c>
      <c r="J4096">
        <v>0</v>
      </c>
      <c r="K4096">
        <v>0</v>
      </c>
      <c r="L4096" t="s">
        <v>3284</v>
      </c>
      <c r="M4096" t="s">
        <v>3296</v>
      </c>
      <c r="N4096" t="s">
        <v>3343</v>
      </c>
      <c r="O4096" t="s">
        <v>3344</v>
      </c>
      <c r="P4096" t="s">
        <v>3937</v>
      </c>
      <c r="Q4096" t="s">
        <v>12697</v>
      </c>
      <c r="R4096" t="s">
        <v>13025</v>
      </c>
    </row>
    <row r="4097" spans="1:18" x14ac:dyDescent="0.2">
      <c r="A4097">
        <v>475255</v>
      </c>
      <c r="B4097" t="s">
        <v>13026</v>
      </c>
      <c r="C4097">
        <v>0</v>
      </c>
      <c r="D4097">
        <v>1</v>
      </c>
      <c r="E4097">
        <v>0</v>
      </c>
      <c r="F4097">
        <v>0</v>
      </c>
      <c r="G4097">
        <v>3</v>
      </c>
      <c r="H4097">
        <v>0</v>
      </c>
      <c r="I4097">
        <v>2</v>
      </c>
      <c r="J4097">
        <v>0</v>
      </c>
      <c r="K4097">
        <v>0</v>
      </c>
      <c r="L4097" t="s">
        <v>3284</v>
      </c>
      <c r="M4097" t="s">
        <v>3391</v>
      </c>
      <c r="N4097" t="s">
        <v>3392</v>
      </c>
      <c r="O4097" t="s">
        <v>3393</v>
      </c>
      <c r="P4097" t="s">
        <v>3394</v>
      </c>
      <c r="Q4097" t="s">
        <v>3395</v>
      </c>
      <c r="R4097" t="s">
        <v>13027</v>
      </c>
    </row>
    <row r="4098" spans="1:18" x14ac:dyDescent="0.2">
      <c r="A4098">
        <v>475254</v>
      </c>
      <c r="B4098" t="s">
        <v>13028</v>
      </c>
      <c r="C4098">
        <v>0</v>
      </c>
      <c r="D4098">
        <v>0</v>
      </c>
      <c r="E4098">
        <v>0</v>
      </c>
      <c r="F4098">
        <v>1</v>
      </c>
      <c r="G4098">
        <v>2</v>
      </c>
      <c r="H4098">
        <v>0</v>
      </c>
      <c r="I4098">
        <v>0</v>
      </c>
      <c r="J4098">
        <v>0</v>
      </c>
      <c r="K4098">
        <v>0</v>
      </c>
      <c r="L4098" t="s">
        <v>3284</v>
      </c>
      <c r="M4098" t="s">
        <v>3391</v>
      </c>
      <c r="N4098" t="s">
        <v>3392</v>
      </c>
      <c r="O4098" t="s">
        <v>3393</v>
      </c>
      <c r="P4098" t="s">
        <v>3394</v>
      </c>
      <c r="Q4098" t="s">
        <v>3395</v>
      </c>
      <c r="R4098" t="s">
        <v>13029</v>
      </c>
    </row>
    <row r="4099" spans="1:18" x14ac:dyDescent="0.2">
      <c r="A4099">
        <v>475253</v>
      </c>
      <c r="B4099" t="s">
        <v>13030</v>
      </c>
      <c r="C4099">
        <v>0</v>
      </c>
      <c r="D4099">
        <v>0</v>
      </c>
      <c r="E4099">
        <v>0</v>
      </c>
      <c r="F4099">
        <v>1</v>
      </c>
      <c r="G4099">
        <v>0</v>
      </c>
      <c r="H4099">
        <v>0</v>
      </c>
      <c r="I4099">
        <v>0</v>
      </c>
      <c r="J4099">
        <v>0</v>
      </c>
      <c r="K4099">
        <v>0</v>
      </c>
      <c r="L4099" t="s">
        <v>3284</v>
      </c>
      <c r="M4099" t="s">
        <v>3391</v>
      </c>
      <c r="N4099" t="s">
        <v>3392</v>
      </c>
      <c r="O4099" t="s">
        <v>3393</v>
      </c>
      <c r="P4099" t="s">
        <v>3394</v>
      </c>
      <c r="Q4099" t="s">
        <v>3395</v>
      </c>
      <c r="R4099" t="s">
        <v>13031</v>
      </c>
    </row>
    <row r="4100" spans="1:18" x14ac:dyDescent="0.2">
      <c r="A4100">
        <v>475069</v>
      </c>
      <c r="B4100" t="s">
        <v>13032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1</v>
      </c>
      <c r="J4100">
        <v>0</v>
      </c>
      <c r="K4100">
        <v>0</v>
      </c>
      <c r="L4100" t="s">
        <v>3284</v>
      </c>
      <c r="M4100" t="s">
        <v>3296</v>
      </c>
      <c r="N4100" t="s">
        <v>3343</v>
      </c>
      <c r="O4100" t="s">
        <v>3344</v>
      </c>
      <c r="P4100" t="s">
        <v>3898</v>
      </c>
      <c r="Q4100" t="s">
        <v>3899</v>
      </c>
      <c r="R4100" t="s">
        <v>13033</v>
      </c>
    </row>
    <row r="4101" spans="1:18" x14ac:dyDescent="0.2">
      <c r="A4101">
        <v>474984</v>
      </c>
      <c r="B4101" t="s">
        <v>13034</v>
      </c>
      <c r="C4101">
        <v>0</v>
      </c>
      <c r="D4101">
        <v>0</v>
      </c>
      <c r="E4101">
        <v>0</v>
      </c>
      <c r="F4101">
        <v>1</v>
      </c>
      <c r="G4101">
        <v>0</v>
      </c>
      <c r="H4101">
        <v>0</v>
      </c>
      <c r="I4101">
        <v>0</v>
      </c>
      <c r="J4101">
        <v>0</v>
      </c>
      <c r="K4101">
        <v>0</v>
      </c>
      <c r="L4101" t="s">
        <v>3284</v>
      </c>
      <c r="M4101" t="s">
        <v>3296</v>
      </c>
      <c r="N4101" t="s">
        <v>3321</v>
      </c>
      <c r="O4101" t="s">
        <v>3322</v>
      </c>
      <c r="P4101" t="s">
        <v>3671</v>
      </c>
      <c r="Q4101" t="s">
        <v>5824</v>
      </c>
      <c r="R4101" t="s">
        <v>13035</v>
      </c>
    </row>
    <row r="4102" spans="1:18" x14ac:dyDescent="0.2">
      <c r="A4102">
        <v>474957</v>
      </c>
      <c r="B4102" t="s">
        <v>13036</v>
      </c>
      <c r="C4102">
        <v>1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 t="s">
        <v>3284</v>
      </c>
      <c r="M4102" t="s">
        <v>3327</v>
      </c>
      <c r="N4102" t="s">
        <v>3376</v>
      </c>
      <c r="O4102" t="s">
        <v>3377</v>
      </c>
      <c r="P4102" t="s">
        <v>3604</v>
      </c>
      <c r="Q4102" t="s">
        <v>3668</v>
      </c>
      <c r="R4102" t="s">
        <v>13037</v>
      </c>
    </row>
    <row r="4103" spans="1:18" x14ac:dyDescent="0.2">
      <c r="A4103">
        <v>471825</v>
      </c>
      <c r="B4103" t="s">
        <v>13038</v>
      </c>
      <c r="C4103">
        <v>0</v>
      </c>
      <c r="D4103">
        <v>0</v>
      </c>
      <c r="E4103">
        <v>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 t="s">
        <v>3284</v>
      </c>
      <c r="M4103" t="s">
        <v>13039</v>
      </c>
      <c r="N4103" t="s">
        <v>13040</v>
      </c>
      <c r="O4103" t="s">
        <v>13041</v>
      </c>
      <c r="P4103" t="s">
        <v>13042</v>
      </c>
      <c r="Q4103" t="s">
        <v>13043</v>
      </c>
      <c r="R4103" t="s">
        <v>13044</v>
      </c>
    </row>
    <row r="4104" spans="1:18" x14ac:dyDescent="0.2">
      <c r="A4104">
        <v>470934</v>
      </c>
      <c r="B4104" t="s">
        <v>13045</v>
      </c>
      <c r="C4104">
        <v>0</v>
      </c>
      <c r="D4104">
        <v>3</v>
      </c>
      <c r="E4104">
        <v>3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 t="s">
        <v>3284</v>
      </c>
      <c r="M4104" t="s">
        <v>3296</v>
      </c>
      <c r="N4104" t="s">
        <v>3297</v>
      </c>
      <c r="O4104" t="s">
        <v>3298</v>
      </c>
      <c r="P4104" t="s">
        <v>3873</v>
      </c>
      <c r="Q4104" t="s">
        <v>5063</v>
      </c>
      <c r="R4104" t="s">
        <v>13046</v>
      </c>
    </row>
    <row r="4105" spans="1:18" x14ac:dyDescent="0.2">
      <c r="A4105">
        <v>469553</v>
      </c>
      <c r="B4105" t="s">
        <v>13047</v>
      </c>
      <c r="C4105">
        <v>0</v>
      </c>
      <c r="D4105">
        <v>0</v>
      </c>
      <c r="E4105">
        <v>0</v>
      </c>
      <c r="F4105">
        <v>4</v>
      </c>
      <c r="G4105">
        <v>4</v>
      </c>
      <c r="H4105">
        <v>4</v>
      </c>
      <c r="I4105">
        <v>21</v>
      </c>
      <c r="J4105">
        <v>11</v>
      </c>
      <c r="K4105">
        <v>27</v>
      </c>
      <c r="L4105" t="s">
        <v>3284</v>
      </c>
      <c r="M4105" t="s">
        <v>3296</v>
      </c>
      <c r="N4105" t="s">
        <v>3321</v>
      </c>
      <c r="O4105" t="s">
        <v>3322</v>
      </c>
      <c r="P4105" t="s">
        <v>3398</v>
      </c>
      <c r="Q4105" t="s">
        <v>3439</v>
      </c>
      <c r="R4105" t="s">
        <v>13048</v>
      </c>
    </row>
    <row r="4106" spans="1:18" x14ac:dyDescent="0.2">
      <c r="A4106">
        <v>469547</v>
      </c>
      <c r="B4106" t="s">
        <v>13049</v>
      </c>
      <c r="C4106">
        <v>0</v>
      </c>
      <c r="D4106">
        <v>0</v>
      </c>
      <c r="E4106">
        <v>0</v>
      </c>
      <c r="F4106">
        <v>1</v>
      </c>
      <c r="G4106">
        <v>0</v>
      </c>
      <c r="H4106">
        <v>0</v>
      </c>
      <c r="I4106">
        <v>0</v>
      </c>
      <c r="J4106">
        <v>0</v>
      </c>
      <c r="K4106">
        <v>0</v>
      </c>
      <c r="L4106" t="s">
        <v>3284</v>
      </c>
      <c r="M4106" t="s">
        <v>3296</v>
      </c>
      <c r="N4106" t="s">
        <v>3343</v>
      </c>
      <c r="O4106" t="s">
        <v>3344</v>
      </c>
      <c r="P4106" t="s">
        <v>3898</v>
      </c>
      <c r="Q4106" t="s">
        <v>10458</v>
      </c>
      <c r="R4106" t="s">
        <v>13050</v>
      </c>
    </row>
    <row r="4107" spans="1:18" x14ac:dyDescent="0.2">
      <c r="A4107">
        <v>468058</v>
      </c>
      <c r="B4107" t="s">
        <v>13051</v>
      </c>
      <c r="C4107">
        <v>0</v>
      </c>
      <c r="D4107">
        <v>0</v>
      </c>
      <c r="E4107">
        <v>0</v>
      </c>
      <c r="F4107">
        <v>3</v>
      </c>
      <c r="G4107">
        <v>0</v>
      </c>
      <c r="H4107">
        <v>0</v>
      </c>
      <c r="I4107">
        <v>0</v>
      </c>
      <c r="J4107">
        <v>0</v>
      </c>
      <c r="K4107">
        <v>0</v>
      </c>
      <c r="L4107" t="s">
        <v>3284</v>
      </c>
      <c r="M4107" t="s">
        <v>3391</v>
      </c>
      <c r="N4107" t="s">
        <v>3392</v>
      </c>
      <c r="O4107" t="s">
        <v>3393</v>
      </c>
      <c r="P4107" t="s">
        <v>3394</v>
      </c>
      <c r="Q4107" t="s">
        <v>4082</v>
      </c>
      <c r="R4107" t="s">
        <v>13052</v>
      </c>
    </row>
    <row r="4108" spans="1:18" x14ac:dyDescent="0.2">
      <c r="A4108">
        <v>467976</v>
      </c>
      <c r="B4108" t="s">
        <v>13053</v>
      </c>
      <c r="C4108">
        <v>0</v>
      </c>
      <c r="D4108">
        <v>1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 t="s">
        <v>3284</v>
      </c>
      <c r="M4108" t="s">
        <v>3307</v>
      </c>
      <c r="N4108" t="s">
        <v>5924</v>
      </c>
      <c r="O4108" t="s">
        <v>5925</v>
      </c>
      <c r="P4108" t="s">
        <v>5926</v>
      </c>
      <c r="Q4108" t="s">
        <v>7345</v>
      </c>
      <c r="R4108" t="s">
        <v>13054</v>
      </c>
    </row>
    <row r="4109" spans="1:18" x14ac:dyDescent="0.2">
      <c r="A4109">
        <v>463303</v>
      </c>
      <c r="B4109" t="s">
        <v>13055</v>
      </c>
      <c r="C4109">
        <v>0</v>
      </c>
      <c r="D4109">
        <v>0</v>
      </c>
      <c r="E4109">
        <v>0</v>
      </c>
      <c r="F4109">
        <v>2</v>
      </c>
      <c r="G4109">
        <v>0</v>
      </c>
      <c r="H4109">
        <v>0</v>
      </c>
      <c r="I4109">
        <v>0</v>
      </c>
      <c r="J4109">
        <v>0</v>
      </c>
      <c r="K4109">
        <v>0</v>
      </c>
      <c r="L4109" t="s">
        <v>3284</v>
      </c>
      <c r="M4109" t="s">
        <v>3391</v>
      </c>
      <c r="N4109" t="s">
        <v>3411</v>
      </c>
      <c r="O4109" t="s">
        <v>3412</v>
      </c>
      <c r="P4109" t="s">
        <v>7008</v>
      </c>
      <c r="Q4109" t="s">
        <v>7940</v>
      </c>
      <c r="R4109" t="s">
        <v>13056</v>
      </c>
    </row>
    <row r="4110" spans="1:18" x14ac:dyDescent="0.2">
      <c r="A4110">
        <v>463200</v>
      </c>
      <c r="B4110" t="s">
        <v>13057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10</v>
      </c>
      <c r="J4110">
        <v>3</v>
      </c>
      <c r="K4110">
        <v>5</v>
      </c>
      <c r="L4110" t="s">
        <v>3284</v>
      </c>
      <c r="M4110" t="s">
        <v>3296</v>
      </c>
      <c r="N4110" t="s">
        <v>3343</v>
      </c>
      <c r="O4110" t="s">
        <v>3349</v>
      </c>
      <c r="P4110" t="s">
        <v>3350</v>
      </c>
      <c r="Q4110" t="s">
        <v>13058</v>
      </c>
      <c r="R4110" t="s">
        <v>13059</v>
      </c>
    </row>
    <row r="4111" spans="1:18" x14ac:dyDescent="0.2">
      <c r="A4111">
        <v>463044</v>
      </c>
      <c r="B4111" t="s">
        <v>13060</v>
      </c>
      <c r="C4111">
        <v>0</v>
      </c>
      <c r="D4111">
        <v>0</v>
      </c>
      <c r="E4111">
        <v>0</v>
      </c>
      <c r="F4111">
        <v>2</v>
      </c>
      <c r="G4111">
        <v>0</v>
      </c>
      <c r="H4111">
        <v>0</v>
      </c>
      <c r="I4111">
        <v>0</v>
      </c>
      <c r="J4111">
        <v>0</v>
      </c>
      <c r="K4111">
        <v>0</v>
      </c>
      <c r="L4111" t="s">
        <v>3284</v>
      </c>
      <c r="M4111" t="s">
        <v>3296</v>
      </c>
      <c r="N4111" t="s">
        <v>3321</v>
      </c>
      <c r="O4111" t="s">
        <v>3322</v>
      </c>
      <c r="P4111" t="s">
        <v>4143</v>
      </c>
      <c r="Q4111" t="s">
        <v>6285</v>
      </c>
      <c r="R4111" t="s">
        <v>13061</v>
      </c>
    </row>
    <row r="4112" spans="1:18" x14ac:dyDescent="0.2">
      <c r="A4112">
        <v>463040</v>
      </c>
      <c r="B4112" t="s">
        <v>13062</v>
      </c>
      <c r="C4112">
        <v>0</v>
      </c>
      <c r="D4112">
        <v>0</v>
      </c>
      <c r="E4112">
        <v>0</v>
      </c>
      <c r="F4112">
        <v>1</v>
      </c>
      <c r="G4112">
        <v>2</v>
      </c>
      <c r="H4112">
        <v>0</v>
      </c>
      <c r="I4112">
        <v>0</v>
      </c>
      <c r="J4112">
        <v>0</v>
      </c>
      <c r="K4112">
        <v>0</v>
      </c>
      <c r="L4112" t="s">
        <v>3284</v>
      </c>
      <c r="M4112" t="s">
        <v>3296</v>
      </c>
      <c r="N4112" t="s">
        <v>3321</v>
      </c>
      <c r="O4112" t="s">
        <v>3322</v>
      </c>
      <c r="P4112" t="s">
        <v>4143</v>
      </c>
      <c r="Q4112" t="s">
        <v>6285</v>
      </c>
      <c r="R4112" t="s">
        <v>13063</v>
      </c>
    </row>
    <row r="4113" spans="1:18" x14ac:dyDescent="0.2">
      <c r="A4113">
        <v>463035</v>
      </c>
      <c r="B4113" t="s">
        <v>13064</v>
      </c>
      <c r="C4113">
        <v>0</v>
      </c>
      <c r="D4113">
        <v>0</v>
      </c>
      <c r="E4113">
        <v>0</v>
      </c>
      <c r="F4113">
        <v>0</v>
      </c>
      <c r="G4113">
        <v>1</v>
      </c>
      <c r="H4113">
        <v>0</v>
      </c>
      <c r="I4113">
        <v>0</v>
      </c>
      <c r="J4113">
        <v>0</v>
      </c>
      <c r="K4113">
        <v>0</v>
      </c>
      <c r="L4113" t="s">
        <v>3284</v>
      </c>
      <c r="M4113" t="s">
        <v>3296</v>
      </c>
      <c r="N4113" t="s">
        <v>3321</v>
      </c>
      <c r="O4113" t="s">
        <v>3322</v>
      </c>
      <c r="P4113" t="s">
        <v>4143</v>
      </c>
      <c r="Q4113" t="s">
        <v>6285</v>
      </c>
      <c r="R4113" t="s">
        <v>13065</v>
      </c>
    </row>
    <row r="4114" spans="1:18" x14ac:dyDescent="0.2">
      <c r="A4114">
        <v>462991</v>
      </c>
      <c r="B4114" t="s">
        <v>13066</v>
      </c>
      <c r="C4114">
        <v>1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 t="s">
        <v>3284</v>
      </c>
      <c r="M4114" t="s">
        <v>3296</v>
      </c>
      <c r="N4114" t="s">
        <v>3297</v>
      </c>
      <c r="O4114" t="s">
        <v>8851</v>
      </c>
      <c r="P4114" t="s">
        <v>8852</v>
      </c>
      <c r="Q4114" t="s">
        <v>10605</v>
      </c>
      <c r="R4114" t="s">
        <v>13067</v>
      </c>
    </row>
    <row r="4115" spans="1:18" x14ac:dyDescent="0.2">
      <c r="A4115">
        <v>462949</v>
      </c>
      <c r="B4115" t="s">
        <v>13068</v>
      </c>
      <c r="C4115">
        <v>0</v>
      </c>
      <c r="D4115">
        <v>0</v>
      </c>
      <c r="E4115">
        <v>0</v>
      </c>
      <c r="F4115">
        <v>1</v>
      </c>
      <c r="G4115">
        <v>0</v>
      </c>
      <c r="H4115">
        <v>0</v>
      </c>
      <c r="I4115">
        <v>0</v>
      </c>
      <c r="J4115">
        <v>0</v>
      </c>
      <c r="K4115">
        <v>0</v>
      </c>
      <c r="L4115" t="s">
        <v>3284</v>
      </c>
      <c r="M4115" t="s">
        <v>3296</v>
      </c>
      <c r="N4115" t="s">
        <v>3343</v>
      </c>
      <c r="O4115" t="s">
        <v>3349</v>
      </c>
      <c r="P4115" t="s">
        <v>3350</v>
      </c>
      <c r="Q4115" t="s">
        <v>3351</v>
      </c>
      <c r="R4115" t="s">
        <v>13069</v>
      </c>
    </row>
    <row r="4116" spans="1:18" x14ac:dyDescent="0.2">
      <c r="A4116">
        <v>462910</v>
      </c>
      <c r="B4116" t="s">
        <v>13070</v>
      </c>
      <c r="C4116">
        <v>1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 t="s">
        <v>3284</v>
      </c>
      <c r="M4116" t="s">
        <v>3327</v>
      </c>
      <c r="N4116" t="s">
        <v>3376</v>
      </c>
      <c r="O4116" t="s">
        <v>3377</v>
      </c>
      <c r="P4116" t="s">
        <v>3378</v>
      </c>
      <c r="Q4116" t="s">
        <v>12916</v>
      </c>
      <c r="R4116" t="s">
        <v>13071</v>
      </c>
    </row>
    <row r="4117" spans="1:18" x14ac:dyDescent="0.2">
      <c r="A4117">
        <v>462710</v>
      </c>
      <c r="B4117" t="s">
        <v>13072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1</v>
      </c>
      <c r="J4117">
        <v>0</v>
      </c>
      <c r="K4117">
        <v>0</v>
      </c>
      <c r="L4117" t="s">
        <v>3284</v>
      </c>
      <c r="M4117" t="s">
        <v>3307</v>
      </c>
      <c r="N4117" t="s">
        <v>3308</v>
      </c>
      <c r="O4117" t="s">
        <v>3359</v>
      </c>
      <c r="P4117" t="s">
        <v>3360</v>
      </c>
      <c r="Q4117" t="s">
        <v>3361</v>
      </c>
      <c r="R4117" t="s">
        <v>13073</v>
      </c>
    </row>
    <row r="4118" spans="1:18" x14ac:dyDescent="0.2">
      <c r="A4118">
        <v>461876</v>
      </c>
      <c r="B4118" t="s">
        <v>13074</v>
      </c>
      <c r="C4118">
        <v>6</v>
      </c>
      <c r="D4118">
        <v>0</v>
      </c>
      <c r="E4118">
        <v>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 t="s">
        <v>3284</v>
      </c>
      <c r="M4118" t="s">
        <v>3327</v>
      </c>
      <c r="N4118" t="s">
        <v>3328</v>
      </c>
      <c r="O4118" t="s">
        <v>4184</v>
      </c>
      <c r="P4118" t="s">
        <v>6312</v>
      </c>
      <c r="Q4118" t="s">
        <v>6313</v>
      </c>
      <c r="R4118" t="s">
        <v>13075</v>
      </c>
    </row>
    <row r="4119" spans="1:18" x14ac:dyDescent="0.2">
      <c r="A4119">
        <v>461393</v>
      </c>
      <c r="B4119" t="s">
        <v>13076</v>
      </c>
      <c r="C4119">
        <v>0</v>
      </c>
      <c r="D4119">
        <v>1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 t="s">
        <v>3284</v>
      </c>
      <c r="M4119" t="s">
        <v>3307</v>
      </c>
      <c r="N4119" t="s">
        <v>3308</v>
      </c>
      <c r="O4119" t="s">
        <v>13077</v>
      </c>
      <c r="P4119" t="s">
        <v>13078</v>
      </c>
      <c r="Q4119" t="s">
        <v>13079</v>
      </c>
      <c r="R4119" t="s">
        <v>13080</v>
      </c>
    </row>
    <row r="4120" spans="1:18" x14ac:dyDescent="0.2">
      <c r="A4120">
        <v>459529</v>
      </c>
      <c r="B4120" t="s">
        <v>13081</v>
      </c>
      <c r="C4120">
        <v>0</v>
      </c>
      <c r="D4120">
        <v>0</v>
      </c>
      <c r="E4120">
        <v>0</v>
      </c>
      <c r="F4120">
        <v>1</v>
      </c>
      <c r="G4120">
        <v>0</v>
      </c>
      <c r="H4120">
        <v>0</v>
      </c>
      <c r="I4120">
        <v>0</v>
      </c>
      <c r="J4120">
        <v>0</v>
      </c>
      <c r="K4120">
        <v>0</v>
      </c>
      <c r="L4120" t="s">
        <v>3284</v>
      </c>
      <c r="M4120" t="s">
        <v>3391</v>
      </c>
      <c r="N4120" t="s">
        <v>3392</v>
      </c>
      <c r="O4120" t="s">
        <v>3393</v>
      </c>
      <c r="P4120" t="s">
        <v>3394</v>
      </c>
      <c r="Q4120" t="s">
        <v>4351</v>
      </c>
      <c r="R4120" t="s">
        <v>13082</v>
      </c>
    </row>
    <row r="4121" spans="1:18" x14ac:dyDescent="0.2">
      <c r="A4121">
        <v>459526</v>
      </c>
      <c r="B4121" t="s">
        <v>13083</v>
      </c>
      <c r="C4121">
        <v>0</v>
      </c>
      <c r="D4121">
        <v>2</v>
      </c>
      <c r="E4121">
        <v>0</v>
      </c>
      <c r="F4121">
        <v>2</v>
      </c>
      <c r="G4121">
        <v>1</v>
      </c>
      <c r="H4121">
        <v>0</v>
      </c>
      <c r="I4121">
        <v>0</v>
      </c>
      <c r="J4121">
        <v>0</v>
      </c>
      <c r="K4121">
        <v>0</v>
      </c>
      <c r="L4121" t="s">
        <v>3284</v>
      </c>
      <c r="M4121" t="s">
        <v>3391</v>
      </c>
      <c r="N4121" t="s">
        <v>3411</v>
      </c>
      <c r="O4121" t="s">
        <v>3412</v>
      </c>
      <c r="P4121" t="s">
        <v>3413</v>
      </c>
      <c r="Q4121" t="s">
        <v>3414</v>
      </c>
      <c r="R4121" t="s">
        <v>13084</v>
      </c>
    </row>
    <row r="4122" spans="1:18" x14ac:dyDescent="0.2">
      <c r="A4122">
        <v>459274</v>
      </c>
      <c r="B4122" t="s">
        <v>13085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4</v>
      </c>
      <c r="J4122">
        <v>0</v>
      </c>
      <c r="K4122">
        <v>0</v>
      </c>
      <c r="L4122" t="s">
        <v>3284</v>
      </c>
      <c r="M4122" t="s">
        <v>3307</v>
      </c>
      <c r="N4122" t="s">
        <v>3308</v>
      </c>
      <c r="O4122" t="s">
        <v>3359</v>
      </c>
      <c r="P4122" t="s">
        <v>3360</v>
      </c>
      <c r="Q4122" t="s">
        <v>4121</v>
      </c>
      <c r="R4122" t="s">
        <v>13086</v>
      </c>
    </row>
    <row r="4123" spans="1:18" x14ac:dyDescent="0.2">
      <c r="A4123">
        <v>458836</v>
      </c>
      <c r="B4123" t="s">
        <v>13087</v>
      </c>
      <c r="C4123">
        <v>0</v>
      </c>
      <c r="D4123">
        <v>0</v>
      </c>
      <c r="E4123">
        <v>0</v>
      </c>
      <c r="F4123">
        <v>1</v>
      </c>
      <c r="G4123">
        <v>0</v>
      </c>
      <c r="H4123">
        <v>0</v>
      </c>
      <c r="I4123">
        <v>0</v>
      </c>
      <c r="J4123">
        <v>0</v>
      </c>
      <c r="K4123">
        <v>0</v>
      </c>
      <c r="L4123" t="s">
        <v>3284</v>
      </c>
      <c r="M4123" t="s">
        <v>3296</v>
      </c>
      <c r="N4123" t="s">
        <v>3321</v>
      </c>
      <c r="O4123" t="s">
        <v>3322</v>
      </c>
      <c r="P4123" t="s">
        <v>3423</v>
      </c>
      <c r="Q4123" t="s">
        <v>4357</v>
      </c>
      <c r="R4123" t="s">
        <v>13088</v>
      </c>
    </row>
    <row r="4124" spans="1:18" x14ac:dyDescent="0.2">
      <c r="A4124">
        <v>457502</v>
      </c>
      <c r="B4124" t="s">
        <v>13089</v>
      </c>
      <c r="C4124">
        <v>1</v>
      </c>
      <c r="D4124">
        <v>0</v>
      </c>
      <c r="E4124">
        <v>0</v>
      </c>
      <c r="F4124">
        <v>1</v>
      </c>
      <c r="G4124">
        <v>1</v>
      </c>
      <c r="H4124">
        <v>0</v>
      </c>
      <c r="I4124">
        <v>0</v>
      </c>
      <c r="J4124">
        <v>0</v>
      </c>
      <c r="K4124">
        <v>0</v>
      </c>
      <c r="L4124" t="s">
        <v>3284</v>
      </c>
      <c r="M4124" t="s">
        <v>3296</v>
      </c>
      <c r="N4124" t="s">
        <v>3321</v>
      </c>
      <c r="O4124" t="s">
        <v>3322</v>
      </c>
      <c r="P4124" t="s">
        <v>3398</v>
      </c>
      <c r="Q4124" t="s">
        <v>4593</v>
      </c>
      <c r="R4124" t="s">
        <v>13090</v>
      </c>
    </row>
    <row r="4125" spans="1:18" x14ac:dyDescent="0.2">
      <c r="A4125">
        <v>456827</v>
      </c>
      <c r="B4125" t="s">
        <v>13091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1</v>
      </c>
      <c r="K4125">
        <v>0</v>
      </c>
      <c r="L4125" t="s">
        <v>3284</v>
      </c>
      <c r="M4125" t="s">
        <v>13092</v>
      </c>
      <c r="N4125" t="s">
        <v>13093</v>
      </c>
      <c r="O4125" t="s">
        <v>13094</v>
      </c>
      <c r="P4125" t="s">
        <v>13095</v>
      </c>
      <c r="Q4125" t="s">
        <v>13096</v>
      </c>
      <c r="R4125" t="s">
        <v>13097</v>
      </c>
    </row>
    <row r="4126" spans="1:18" x14ac:dyDescent="0.2">
      <c r="A4126">
        <v>456327</v>
      </c>
      <c r="B4126" t="s">
        <v>13098</v>
      </c>
      <c r="C4126">
        <v>0</v>
      </c>
      <c r="D4126">
        <v>0</v>
      </c>
      <c r="E4126">
        <v>0</v>
      </c>
      <c r="F4126">
        <v>1</v>
      </c>
      <c r="G4126">
        <v>0</v>
      </c>
      <c r="H4126">
        <v>0</v>
      </c>
      <c r="I4126">
        <v>0</v>
      </c>
      <c r="J4126">
        <v>0</v>
      </c>
      <c r="K4126">
        <v>0</v>
      </c>
      <c r="L4126" t="s">
        <v>3284</v>
      </c>
      <c r="M4126" t="s">
        <v>3296</v>
      </c>
      <c r="N4126" t="s">
        <v>3297</v>
      </c>
      <c r="O4126" t="s">
        <v>3469</v>
      </c>
      <c r="P4126" t="s">
        <v>3470</v>
      </c>
      <c r="Q4126" t="s">
        <v>5246</v>
      </c>
      <c r="R4126" t="s">
        <v>13099</v>
      </c>
    </row>
    <row r="4127" spans="1:18" x14ac:dyDescent="0.2">
      <c r="A4127">
        <v>455651</v>
      </c>
      <c r="B4127" t="s">
        <v>13100</v>
      </c>
      <c r="C4127">
        <v>1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1</v>
      </c>
      <c r="J4127">
        <v>0</v>
      </c>
      <c r="K4127">
        <v>0</v>
      </c>
      <c r="L4127" t="s">
        <v>3284</v>
      </c>
      <c r="M4127" t="s">
        <v>3296</v>
      </c>
      <c r="N4127" t="s">
        <v>3343</v>
      </c>
      <c r="O4127" t="s">
        <v>3371</v>
      </c>
      <c r="P4127" t="s">
        <v>3372</v>
      </c>
      <c r="Q4127" t="s">
        <v>13101</v>
      </c>
      <c r="R4127" t="s">
        <v>13102</v>
      </c>
    </row>
    <row r="4128" spans="1:18" x14ac:dyDescent="0.2">
      <c r="A4128">
        <v>455361</v>
      </c>
      <c r="B4128" t="s">
        <v>13103</v>
      </c>
      <c r="C4128">
        <v>0</v>
      </c>
      <c r="D4128">
        <v>1</v>
      </c>
      <c r="E4128">
        <v>0</v>
      </c>
      <c r="F4128">
        <v>0</v>
      </c>
      <c r="G4128">
        <v>0</v>
      </c>
      <c r="H4128">
        <v>0</v>
      </c>
      <c r="I4128">
        <v>4</v>
      </c>
      <c r="J4128">
        <v>1</v>
      </c>
      <c r="K4128">
        <v>1</v>
      </c>
      <c r="L4128" t="s">
        <v>3284</v>
      </c>
      <c r="M4128" t="s">
        <v>3296</v>
      </c>
      <c r="N4128" t="s">
        <v>3343</v>
      </c>
      <c r="O4128" t="s">
        <v>3429</v>
      </c>
      <c r="P4128" t="s">
        <v>3430</v>
      </c>
      <c r="Q4128" t="s">
        <v>3431</v>
      </c>
      <c r="R4128" t="s">
        <v>13104</v>
      </c>
    </row>
    <row r="4129" spans="1:18" x14ac:dyDescent="0.2">
      <c r="A4129">
        <v>454586</v>
      </c>
      <c r="B4129" t="s">
        <v>13105</v>
      </c>
      <c r="C4129">
        <v>0</v>
      </c>
      <c r="D4129">
        <v>0</v>
      </c>
      <c r="E4129">
        <v>0</v>
      </c>
      <c r="F4129">
        <v>99</v>
      </c>
      <c r="G4129">
        <v>66</v>
      </c>
      <c r="H4129">
        <v>1</v>
      </c>
      <c r="I4129">
        <v>0</v>
      </c>
      <c r="J4129">
        <v>0</v>
      </c>
      <c r="K4129">
        <v>0</v>
      </c>
      <c r="L4129" t="s">
        <v>3284</v>
      </c>
      <c r="M4129" t="s">
        <v>3391</v>
      </c>
      <c r="N4129" t="s">
        <v>3392</v>
      </c>
      <c r="O4129" t="s">
        <v>3393</v>
      </c>
      <c r="P4129" t="s">
        <v>3394</v>
      </c>
      <c r="Q4129" t="s">
        <v>3395</v>
      </c>
      <c r="R4129" t="s">
        <v>13106</v>
      </c>
    </row>
    <row r="4130" spans="1:18" x14ac:dyDescent="0.2">
      <c r="A4130">
        <v>454153</v>
      </c>
      <c r="B4130" t="s">
        <v>13107</v>
      </c>
      <c r="C4130">
        <v>0</v>
      </c>
      <c r="D4130">
        <v>1</v>
      </c>
      <c r="E4130">
        <v>0</v>
      </c>
      <c r="F4130">
        <v>1</v>
      </c>
      <c r="G4130">
        <v>0</v>
      </c>
      <c r="H4130">
        <v>0</v>
      </c>
      <c r="I4130">
        <v>0</v>
      </c>
      <c r="J4130">
        <v>0</v>
      </c>
      <c r="K4130">
        <v>0</v>
      </c>
      <c r="L4130" t="s">
        <v>3284</v>
      </c>
      <c r="M4130" t="s">
        <v>3816</v>
      </c>
      <c r="N4130" t="s">
        <v>3817</v>
      </c>
      <c r="O4130" t="s">
        <v>3818</v>
      </c>
      <c r="P4130" t="s">
        <v>3819</v>
      </c>
      <c r="Q4130" t="s">
        <v>3820</v>
      </c>
      <c r="R4130" t="s">
        <v>13108</v>
      </c>
    </row>
    <row r="4131" spans="1:18" x14ac:dyDescent="0.2">
      <c r="A4131">
        <v>454148</v>
      </c>
      <c r="B4131" t="s">
        <v>13109</v>
      </c>
      <c r="C4131">
        <v>0</v>
      </c>
      <c r="D4131">
        <v>1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 t="s">
        <v>3284</v>
      </c>
      <c r="M4131" t="s">
        <v>3816</v>
      </c>
      <c r="N4131" t="s">
        <v>3817</v>
      </c>
      <c r="O4131" t="s">
        <v>3818</v>
      </c>
      <c r="P4131" t="s">
        <v>3819</v>
      </c>
      <c r="Q4131" t="s">
        <v>13110</v>
      </c>
      <c r="R4131" t="s">
        <v>13111</v>
      </c>
    </row>
    <row r="4132" spans="1:18" x14ac:dyDescent="0.2">
      <c r="A4132">
        <v>454006</v>
      </c>
      <c r="B4132" t="s">
        <v>13112</v>
      </c>
      <c r="C4132">
        <v>0</v>
      </c>
      <c r="D4132">
        <v>0</v>
      </c>
      <c r="E4132">
        <v>0</v>
      </c>
      <c r="F4132">
        <v>4</v>
      </c>
      <c r="G4132">
        <v>2</v>
      </c>
      <c r="H4132">
        <v>0</v>
      </c>
      <c r="I4132">
        <v>0</v>
      </c>
      <c r="J4132">
        <v>0</v>
      </c>
      <c r="K4132">
        <v>0</v>
      </c>
      <c r="L4132" t="s">
        <v>3284</v>
      </c>
      <c r="M4132" t="s">
        <v>3391</v>
      </c>
      <c r="N4132" t="s">
        <v>3411</v>
      </c>
      <c r="O4132" t="s">
        <v>3412</v>
      </c>
      <c r="P4132" t="s">
        <v>3564</v>
      </c>
      <c r="Q4132" t="s">
        <v>3565</v>
      </c>
      <c r="R4132" t="s">
        <v>13113</v>
      </c>
    </row>
    <row r="4133" spans="1:18" x14ac:dyDescent="0.2">
      <c r="A4133">
        <v>453837</v>
      </c>
      <c r="B4133" t="s">
        <v>13114</v>
      </c>
      <c r="C4133">
        <v>1</v>
      </c>
      <c r="D4133">
        <v>0</v>
      </c>
      <c r="E4133">
        <v>0</v>
      </c>
      <c r="F4133">
        <v>0</v>
      </c>
      <c r="G4133">
        <v>1</v>
      </c>
      <c r="H4133">
        <v>0</v>
      </c>
      <c r="I4133">
        <v>0</v>
      </c>
      <c r="J4133">
        <v>0</v>
      </c>
      <c r="K4133">
        <v>0</v>
      </c>
      <c r="L4133" t="s">
        <v>3284</v>
      </c>
      <c r="M4133" t="s">
        <v>3296</v>
      </c>
      <c r="N4133" t="s">
        <v>3297</v>
      </c>
      <c r="O4133" t="s">
        <v>3469</v>
      </c>
      <c r="P4133" t="s">
        <v>3470</v>
      </c>
      <c r="Q4133" t="s">
        <v>5633</v>
      </c>
      <c r="R4133" t="s">
        <v>13115</v>
      </c>
    </row>
    <row r="4134" spans="1:18" x14ac:dyDescent="0.2">
      <c r="A4134">
        <v>453816</v>
      </c>
      <c r="B4134" t="s">
        <v>13116</v>
      </c>
      <c r="C4134">
        <v>0</v>
      </c>
      <c r="D4134">
        <v>0</v>
      </c>
      <c r="E4134">
        <v>0</v>
      </c>
      <c r="F4134">
        <v>0</v>
      </c>
      <c r="G4134">
        <v>1</v>
      </c>
      <c r="H4134">
        <v>0</v>
      </c>
      <c r="I4134">
        <v>5</v>
      </c>
      <c r="J4134">
        <v>1</v>
      </c>
      <c r="K4134">
        <v>1</v>
      </c>
      <c r="L4134" t="s">
        <v>3284</v>
      </c>
      <c r="M4134" t="s">
        <v>3285</v>
      </c>
      <c r="N4134" t="s">
        <v>3286</v>
      </c>
      <c r="O4134" t="s">
        <v>3287</v>
      </c>
      <c r="P4134" t="s">
        <v>3288</v>
      </c>
      <c r="Q4134" t="s">
        <v>3304</v>
      </c>
      <c r="R4134" t="s">
        <v>13117</v>
      </c>
    </row>
    <row r="4135" spans="1:18" x14ac:dyDescent="0.2">
      <c r="A4135">
        <v>453579</v>
      </c>
      <c r="B4135" t="s">
        <v>13118</v>
      </c>
      <c r="C4135">
        <v>2</v>
      </c>
      <c r="D4135">
        <v>1</v>
      </c>
      <c r="E4135">
        <v>1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 t="s">
        <v>3284</v>
      </c>
      <c r="M4135" t="s">
        <v>3296</v>
      </c>
      <c r="N4135" t="s">
        <v>3321</v>
      </c>
      <c r="O4135" t="s">
        <v>3322</v>
      </c>
      <c r="P4135" t="s">
        <v>3271</v>
      </c>
      <c r="Q4135" t="s">
        <v>8019</v>
      </c>
      <c r="R4135" t="s">
        <v>13119</v>
      </c>
    </row>
    <row r="4136" spans="1:18" x14ac:dyDescent="0.2">
      <c r="A4136">
        <v>453575</v>
      </c>
      <c r="B4136" t="s">
        <v>13120</v>
      </c>
      <c r="C4136">
        <v>0</v>
      </c>
      <c r="D4136">
        <v>0</v>
      </c>
      <c r="E4136">
        <v>0</v>
      </c>
      <c r="F4136">
        <v>1</v>
      </c>
      <c r="G4136">
        <v>0</v>
      </c>
      <c r="H4136">
        <v>0</v>
      </c>
      <c r="I4136">
        <v>0</v>
      </c>
      <c r="J4136">
        <v>0</v>
      </c>
      <c r="K4136">
        <v>0</v>
      </c>
      <c r="L4136" t="s">
        <v>3284</v>
      </c>
      <c r="M4136" t="s">
        <v>3296</v>
      </c>
      <c r="N4136" t="s">
        <v>3321</v>
      </c>
      <c r="O4136" t="s">
        <v>3322</v>
      </c>
      <c r="P4136" t="s">
        <v>4143</v>
      </c>
      <c r="Q4136" t="s">
        <v>13121</v>
      </c>
      <c r="R4136" t="s">
        <v>13122</v>
      </c>
    </row>
    <row r="4137" spans="1:18" x14ac:dyDescent="0.2">
      <c r="A4137">
        <v>453247</v>
      </c>
      <c r="B4137" t="s">
        <v>13123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1</v>
      </c>
      <c r="L4137" t="s">
        <v>3284</v>
      </c>
      <c r="M4137" t="s">
        <v>3296</v>
      </c>
      <c r="N4137" t="s">
        <v>3343</v>
      </c>
      <c r="O4137" t="s">
        <v>3349</v>
      </c>
      <c r="P4137" t="s">
        <v>3350</v>
      </c>
      <c r="Q4137" t="s">
        <v>3580</v>
      </c>
      <c r="R4137" t="s">
        <v>13124</v>
      </c>
    </row>
    <row r="4138" spans="1:18" x14ac:dyDescent="0.2">
      <c r="A4138">
        <v>452440</v>
      </c>
      <c r="B4138" t="s">
        <v>13125</v>
      </c>
      <c r="C4138">
        <v>1</v>
      </c>
      <c r="D4138">
        <v>0</v>
      </c>
      <c r="E4138">
        <v>0</v>
      </c>
      <c r="F4138">
        <v>2</v>
      </c>
      <c r="G4138">
        <v>0</v>
      </c>
      <c r="H4138">
        <v>0</v>
      </c>
      <c r="I4138">
        <v>0</v>
      </c>
      <c r="J4138">
        <v>0</v>
      </c>
      <c r="K4138">
        <v>0</v>
      </c>
      <c r="L4138" t="s">
        <v>3284</v>
      </c>
      <c r="M4138" t="s">
        <v>3296</v>
      </c>
      <c r="N4138" t="s">
        <v>3321</v>
      </c>
      <c r="O4138" t="s">
        <v>3322</v>
      </c>
      <c r="P4138" t="s">
        <v>3671</v>
      </c>
      <c r="Q4138" t="s">
        <v>3672</v>
      </c>
      <c r="R4138" t="s">
        <v>13126</v>
      </c>
    </row>
    <row r="4139" spans="1:18" x14ac:dyDescent="0.2">
      <c r="A4139">
        <v>452084</v>
      </c>
      <c r="B4139" t="s">
        <v>13127</v>
      </c>
      <c r="C4139">
        <v>1</v>
      </c>
      <c r="D4139">
        <v>1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 t="s">
        <v>3284</v>
      </c>
      <c r="M4139" t="s">
        <v>3391</v>
      </c>
      <c r="N4139" t="s">
        <v>3411</v>
      </c>
      <c r="O4139" t="s">
        <v>3412</v>
      </c>
      <c r="P4139" t="s">
        <v>3564</v>
      </c>
      <c r="Q4139" t="s">
        <v>3803</v>
      </c>
      <c r="R4139" t="s">
        <v>13128</v>
      </c>
    </row>
    <row r="4140" spans="1:18" x14ac:dyDescent="0.2">
      <c r="A4140">
        <v>451876</v>
      </c>
      <c r="B4140" t="s">
        <v>13129</v>
      </c>
      <c r="C4140">
        <v>3</v>
      </c>
      <c r="D4140">
        <v>2</v>
      </c>
      <c r="E4140">
        <v>0</v>
      </c>
      <c r="F4140">
        <v>0</v>
      </c>
      <c r="G4140">
        <v>0</v>
      </c>
      <c r="H4140">
        <v>0</v>
      </c>
      <c r="I4140">
        <v>1</v>
      </c>
      <c r="J4140">
        <v>0</v>
      </c>
      <c r="K4140">
        <v>0</v>
      </c>
      <c r="L4140" t="s">
        <v>3284</v>
      </c>
      <c r="M4140" t="s">
        <v>3296</v>
      </c>
      <c r="N4140" t="s">
        <v>3343</v>
      </c>
      <c r="O4140" t="s">
        <v>3344</v>
      </c>
      <c r="P4140" t="s">
        <v>3355</v>
      </c>
      <c r="Q4140" t="s">
        <v>3356</v>
      </c>
      <c r="R4140" t="s">
        <v>13130</v>
      </c>
    </row>
    <row r="4141" spans="1:18" x14ac:dyDescent="0.2">
      <c r="A4141">
        <v>450378</v>
      </c>
      <c r="B4141" t="s">
        <v>13131</v>
      </c>
      <c r="C4141">
        <v>0</v>
      </c>
      <c r="D4141">
        <v>0</v>
      </c>
      <c r="E4141">
        <v>0</v>
      </c>
      <c r="F4141">
        <v>0</v>
      </c>
      <c r="G4141">
        <v>1</v>
      </c>
      <c r="H4141">
        <v>0</v>
      </c>
      <c r="I4141">
        <v>1</v>
      </c>
      <c r="J4141">
        <v>0</v>
      </c>
      <c r="K4141">
        <v>0</v>
      </c>
      <c r="L4141" t="s">
        <v>3284</v>
      </c>
      <c r="M4141" t="s">
        <v>3296</v>
      </c>
      <c r="N4141" t="s">
        <v>3343</v>
      </c>
      <c r="O4141" t="s">
        <v>3349</v>
      </c>
      <c r="P4141" t="s">
        <v>4285</v>
      </c>
      <c r="Q4141" t="s">
        <v>13132</v>
      </c>
      <c r="R4141" t="s">
        <v>13133</v>
      </c>
    </row>
    <row r="4142" spans="1:18" x14ac:dyDescent="0.2">
      <c r="A4142">
        <v>450365</v>
      </c>
      <c r="B4142" t="s">
        <v>13134</v>
      </c>
      <c r="C4142">
        <v>1</v>
      </c>
      <c r="D4142">
        <v>1</v>
      </c>
      <c r="E4142">
        <v>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 t="s">
        <v>3284</v>
      </c>
      <c r="M4142" t="s">
        <v>3296</v>
      </c>
      <c r="N4142" t="s">
        <v>3321</v>
      </c>
      <c r="O4142" t="s">
        <v>3322</v>
      </c>
      <c r="P4142" t="s">
        <v>3271</v>
      </c>
      <c r="Q4142" t="s">
        <v>4214</v>
      </c>
      <c r="R4142" t="s">
        <v>13135</v>
      </c>
    </row>
    <row r="4143" spans="1:18" x14ac:dyDescent="0.2">
      <c r="A4143">
        <v>450362</v>
      </c>
      <c r="B4143" t="s">
        <v>13136</v>
      </c>
      <c r="C4143">
        <v>1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 t="s">
        <v>3284</v>
      </c>
      <c r="M4143" t="s">
        <v>3327</v>
      </c>
      <c r="N4143" t="s">
        <v>3376</v>
      </c>
      <c r="O4143" t="s">
        <v>3377</v>
      </c>
      <c r="P4143" t="s">
        <v>3604</v>
      </c>
      <c r="Q4143" t="s">
        <v>3668</v>
      </c>
      <c r="R4143" t="s">
        <v>13137</v>
      </c>
    </row>
    <row r="4144" spans="1:18" x14ac:dyDescent="0.2">
      <c r="A4144">
        <v>449461</v>
      </c>
      <c r="B4144" t="s">
        <v>13138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1</v>
      </c>
      <c r="J4144">
        <v>0</v>
      </c>
      <c r="K4144">
        <v>0</v>
      </c>
      <c r="L4144" t="s">
        <v>3284</v>
      </c>
      <c r="M4144" t="s">
        <v>3307</v>
      </c>
      <c r="N4144" t="s">
        <v>3308</v>
      </c>
      <c r="O4144" t="s">
        <v>3309</v>
      </c>
      <c r="P4144" t="s">
        <v>3310</v>
      </c>
      <c r="Q4144" t="s">
        <v>3311</v>
      </c>
      <c r="R4144" t="s">
        <v>13139</v>
      </c>
    </row>
    <row r="4145" spans="1:18" x14ac:dyDescent="0.2">
      <c r="A4145">
        <v>446820</v>
      </c>
      <c r="B4145" t="s">
        <v>13140</v>
      </c>
      <c r="C4145">
        <v>0</v>
      </c>
      <c r="D4145">
        <v>0</v>
      </c>
      <c r="E4145">
        <v>0</v>
      </c>
      <c r="F4145">
        <v>1</v>
      </c>
      <c r="G4145">
        <v>0</v>
      </c>
      <c r="H4145">
        <v>0</v>
      </c>
      <c r="I4145">
        <v>0</v>
      </c>
      <c r="J4145">
        <v>0</v>
      </c>
      <c r="K4145">
        <v>0</v>
      </c>
      <c r="L4145" t="s">
        <v>3284</v>
      </c>
      <c r="M4145" t="s">
        <v>3327</v>
      </c>
      <c r="N4145" t="s">
        <v>3376</v>
      </c>
      <c r="O4145" t="s">
        <v>3377</v>
      </c>
      <c r="P4145" t="s">
        <v>3378</v>
      </c>
      <c r="Q4145" t="s">
        <v>4156</v>
      </c>
      <c r="R4145" t="s">
        <v>13141</v>
      </c>
    </row>
    <row r="4146" spans="1:18" x14ac:dyDescent="0.2">
      <c r="A4146">
        <v>446786</v>
      </c>
      <c r="B4146" t="s">
        <v>13142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1</v>
      </c>
      <c r="K4146">
        <v>0</v>
      </c>
      <c r="L4146" t="s">
        <v>3284</v>
      </c>
      <c r="M4146" t="s">
        <v>3307</v>
      </c>
      <c r="N4146" t="s">
        <v>3308</v>
      </c>
      <c r="O4146" t="s">
        <v>3309</v>
      </c>
      <c r="P4146" t="s">
        <v>6036</v>
      </c>
      <c r="Q4146" t="s">
        <v>7956</v>
      </c>
      <c r="R4146" t="s">
        <v>13143</v>
      </c>
    </row>
    <row r="4147" spans="1:18" x14ac:dyDescent="0.2">
      <c r="A4147">
        <v>446684</v>
      </c>
      <c r="B4147" t="s">
        <v>13144</v>
      </c>
      <c r="C4147">
        <v>0</v>
      </c>
      <c r="D4147">
        <v>0</v>
      </c>
      <c r="E4147">
        <v>0</v>
      </c>
      <c r="F4147">
        <v>1</v>
      </c>
      <c r="G4147">
        <v>1</v>
      </c>
      <c r="H4147">
        <v>0</v>
      </c>
      <c r="I4147">
        <v>68</v>
      </c>
      <c r="J4147">
        <v>28</v>
      </c>
      <c r="K4147">
        <v>28</v>
      </c>
      <c r="L4147" t="s">
        <v>3284</v>
      </c>
      <c r="M4147" t="s">
        <v>3296</v>
      </c>
      <c r="N4147" t="s">
        <v>3343</v>
      </c>
      <c r="O4147" t="s">
        <v>3344</v>
      </c>
      <c r="P4147" t="s">
        <v>3387</v>
      </c>
      <c r="Q4147" t="s">
        <v>3388</v>
      </c>
      <c r="R4147" t="s">
        <v>13145</v>
      </c>
    </row>
    <row r="4148" spans="1:18" x14ac:dyDescent="0.2">
      <c r="A4148">
        <v>446075</v>
      </c>
      <c r="B4148" t="s">
        <v>13146</v>
      </c>
      <c r="C4148">
        <v>0</v>
      </c>
      <c r="D4148">
        <v>1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 t="s">
        <v>3284</v>
      </c>
      <c r="M4148" t="s">
        <v>3307</v>
      </c>
      <c r="N4148" t="s">
        <v>3308</v>
      </c>
      <c r="O4148" t="s">
        <v>3359</v>
      </c>
      <c r="P4148" t="s">
        <v>3360</v>
      </c>
      <c r="Q4148" t="s">
        <v>3361</v>
      </c>
      <c r="R4148" t="s">
        <v>13147</v>
      </c>
    </row>
    <row r="4149" spans="1:18" x14ac:dyDescent="0.2">
      <c r="A4149">
        <v>445961</v>
      </c>
      <c r="B4149" t="s">
        <v>13148</v>
      </c>
      <c r="C4149">
        <v>0</v>
      </c>
      <c r="D4149">
        <v>0</v>
      </c>
      <c r="E4149">
        <v>0</v>
      </c>
      <c r="F4149">
        <v>0</v>
      </c>
      <c r="G4149">
        <v>1</v>
      </c>
      <c r="H4149">
        <v>0</v>
      </c>
      <c r="I4149">
        <v>0</v>
      </c>
      <c r="J4149">
        <v>0</v>
      </c>
      <c r="K4149">
        <v>0</v>
      </c>
      <c r="L4149" t="s">
        <v>3284</v>
      </c>
      <c r="M4149" t="s">
        <v>3391</v>
      </c>
      <c r="N4149" t="s">
        <v>3411</v>
      </c>
      <c r="O4149" t="s">
        <v>3412</v>
      </c>
      <c r="P4149" t="s">
        <v>3564</v>
      </c>
      <c r="Q4149" t="s">
        <v>3803</v>
      </c>
      <c r="R4149" t="s">
        <v>13149</v>
      </c>
    </row>
    <row r="4150" spans="1:18" x14ac:dyDescent="0.2">
      <c r="A4150">
        <v>445960</v>
      </c>
      <c r="B4150" t="s">
        <v>13150</v>
      </c>
      <c r="C4150">
        <v>20</v>
      </c>
      <c r="D4150">
        <v>14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 t="s">
        <v>3284</v>
      </c>
      <c r="M4150" t="s">
        <v>3391</v>
      </c>
      <c r="N4150" t="s">
        <v>3411</v>
      </c>
      <c r="O4150" t="s">
        <v>3412</v>
      </c>
      <c r="P4150" t="s">
        <v>3564</v>
      </c>
      <c r="Q4150" t="s">
        <v>3803</v>
      </c>
      <c r="R4150" t="s">
        <v>13151</v>
      </c>
    </row>
    <row r="4151" spans="1:18" x14ac:dyDescent="0.2">
      <c r="A4151">
        <v>445220</v>
      </c>
      <c r="B4151" t="s">
        <v>13152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2</v>
      </c>
      <c r="J4151">
        <v>5</v>
      </c>
      <c r="K4151">
        <v>0</v>
      </c>
      <c r="L4151" t="s">
        <v>3284</v>
      </c>
      <c r="M4151" t="s">
        <v>3296</v>
      </c>
      <c r="N4151" t="s">
        <v>3343</v>
      </c>
      <c r="O4151" t="s">
        <v>3344</v>
      </c>
      <c r="P4151" t="s">
        <v>6259</v>
      </c>
      <c r="Q4151" t="s">
        <v>6260</v>
      </c>
      <c r="R4151" t="s">
        <v>13153</v>
      </c>
    </row>
    <row r="4152" spans="1:18" x14ac:dyDescent="0.2">
      <c r="A4152">
        <v>444608</v>
      </c>
      <c r="B4152" t="s">
        <v>13154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2</v>
      </c>
      <c r="J4152">
        <v>0</v>
      </c>
      <c r="K4152">
        <v>0</v>
      </c>
      <c r="L4152" t="s">
        <v>3284</v>
      </c>
      <c r="M4152" t="s">
        <v>3307</v>
      </c>
      <c r="N4152" t="s">
        <v>3308</v>
      </c>
      <c r="O4152" t="s">
        <v>3359</v>
      </c>
      <c r="P4152" t="s">
        <v>3360</v>
      </c>
      <c r="Q4152" t="s">
        <v>8598</v>
      </c>
      <c r="R4152" t="s">
        <v>13155</v>
      </c>
    </row>
    <row r="4153" spans="1:18" x14ac:dyDescent="0.2">
      <c r="A4153">
        <v>444463</v>
      </c>
      <c r="B4153" t="s">
        <v>13156</v>
      </c>
      <c r="C4153">
        <v>1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 t="s">
        <v>3284</v>
      </c>
      <c r="M4153" t="s">
        <v>3327</v>
      </c>
      <c r="N4153" t="s">
        <v>3376</v>
      </c>
      <c r="O4153" t="s">
        <v>3377</v>
      </c>
      <c r="P4153" t="s">
        <v>9845</v>
      </c>
      <c r="Q4153" t="s">
        <v>9846</v>
      </c>
      <c r="R4153" t="s">
        <v>13157</v>
      </c>
    </row>
    <row r="4154" spans="1:18" x14ac:dyDescent="0.2">
      <c r="A4154">
        <v>443616</v>
      </c>
      <c r="B4154" t="s">
        <v>13158</v>
      </c>
      <c r="C4154">
        <v>0</v>
      </c>
      <c r="D4154">
        <v>1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 t="s">
        <v>3284</v>
      </c>
      <c r="M4154" t="s">
        <v>3296</v>
      </c>
      <c r="N4154" t="s">
        <v>3297</v>
      </c>
      <c r="O4154" t="s">
        <v>4124</v>
      </c>
      <c r="P4154" t="s">
        <v>4125</v>
      </c>
      <c r="Q4154" t="s">
        <v>5083</v>
      </c>
      <c r="R4154" t="s">
        <v>13159</v>
      </c>
    </row>
    <row r="4155" spans="1:18" x14ac:dyDescent="0.2">
      <c r="A4155">
        <v>443612</v>
      </c>
      <c r="B4155" t="s">
        <v>13160</v>
      </c>
      <c r="C4155">
        <v>0</v>
      </c>
      <c r="D4155">
        <v>0</v>
      </c>
      <c r="E4155">
        <v>0</v>
      </c>
      <c r="F4155">
        <v>1</v>
      </c>
      <c r="G4155">
        <v>1</v>
      </c>
      <c r="H4155">
        <v>0</v>
      </c>
      <c r="I4155">
        <v>0</v>
      </c>
      <c r="J4155">
        <v>0</v>
      </c>
      <c r="K4155">
        <v>0</v>
      </c>
      <c r="L4155" t="s">
        <v>3284</v>
      </c>
      <c r="M4155" t="s">
        <v>3391</v>
      </c>
      <c r="N4155" t="s">
        <v>3411</v>
      </c>
      <c r="O4155" t="s">
        <v>3412</v>
      </c>
      <c r="P4155" t="s">
        <v>3413</v>
      </c>
      <c r="Q4155" t="s">
        <v>3414</v>
      </c>
      <c r="R4155" t="s">
        <v>13161</v>
      </c>
    </row>
    <row r="4156" spans="1:18" x14ac:dyDescent="0.2">
      <c r="A4156">
        <v>443157</v>
      </c>
      <c r="B4156" t="s">
        <v>13162</v>
      </c>
      <c r="C4156">
        <v>0</v>
      </c>
      <c r="D4156">
        <v>0</v>
      </c>
      <c r="E4156">
        <v>0</v>
      </c>
      <c r="F4156">
        <v>0</v>
      </c>
      <c r="G4156">
        <v>1</v>
      </c>
      <c r="H4156">
        <v>0</v>
      </c>
      <c r="I4156">
        <v>0</v>
      </c>
      <c r="J4156">
        <v>0</v>
      </c>
      <c r="K4156">
        <v>0</v>
      </c>
      <c r="L4156" t="s">
        <v>3284</v>
      </c>
      <c r="M4156" t="s">
        <v>3307</v>
      </c>
      <c r="N4156" t="s">
        <v>3308</v>
      </c>
      <c r="O4156" t="s">
        <v>3309</v>
      </c>
      <c r="P4156" t="s">
        <v>3310</v>
      </c>
      <c r="Q4156" t="s">
        <v>3311</v>
      </c>
      <c r="R4156" t="s">
        <v>13163</v>
      </c>
    </row>
    <row r="4157" spans="1:18" x14ac:dyDescent="0.2">
      <c r="A4157">
        <v>442870</v>
      </c>
      <c r="B4157" t="s">
        <v>13164</v>
      </c>
      <c r="C4157">
        <v>0</v>
      </c>
      <c r="D4157">
        <v>0</v>
      </c>
      <c r="E4157">
        <v>0</v>
      </c>
      <c r="F4157">
        <v>1</v>
      </c>
      <c r="G4157">
        <v>0</v>
      </c>
      <c r="H4157">
        <v>0</v>
      </c>
      <c r="I4157">
        <v>0</v>
      </c>
      <c r="J4157">
        <v>0</v>
      </c>
      <c r="K4157">
        <v>0</v>
      </c>
      <c r="L4157" t="s">
        <v>3284</v>
      </c>
      <c r="M4157" t="s">
        <v>4628</v>
      </c>
      <c r="N4157" t="s">
        <v>4629</v>
      </c>
      <c r="O4157" t="s">
        <v>6472</v>
      </c>
      <c r="P4157" t="s">
        <v>6473</v>
      </c>
      <c r="Q4157" t="s">
        <v>13165</v>
      </c>
      <c r="R4157" t="s">
        <v>13166</v>
      </c>
    </row>
    <row r="4158" spans="1:18" x14ac:dyDescent="0.2">
      <c r="A4158">
        <v>442694</v>
      </c>
      <c r="B4158" t="s">
        <v>13167</v>
      </c>
      <c r="C4158">
        <v>1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 t="s">
        <v>3284</v>
      </c>
      <c r="M4158" t="s">
        <v>3296</v>
      </c>
      <c r="N4158" t="s">
        <v>3297</v>
      </c>
      <c r="O4158" t="s">
        <v>3469</v>
      </c>
      <c r="P4158" t="s">
        <v>3470</v>
      </c>
      <c r="Q4158" t="s">
        <v>5246</v>
      </c>
      <c r="R4158" t="s">
        <v>13168</v>
      </c>
    </row>
    <row r="4159" spans="1:18" x14ac:dyDescent="0.2">
      <c r="A4159">
        <v>442121</v>
      </c>
      <c r="B4159" t="s">
        <v>13169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1</v>
      </c>
      <c r="J4159">
        <v>2</v>
      </c>
      <c r="K4159">
        <v>0</v>
      </c>
      <c r="L4159" t="s">
        <v>3284</v>
      </c>
      <c r="M4159" t="s">
        <v>3296</v>
      </c>
      <c r="N4159" t="s">
        <v>3343</v>
      </c>
      <c r="O4159" t="s">
        <v>3344</v>
      </c>
      <c r="P4159" t="s">
        <v>7012</v>
      </c>
      <c r="Q4159" t="s">
        <v>11982</v>
      </c>
      <c r="R4159" t="s">
        <v>13170</v>
      </c>
    </row>
    <row r="4160" spans="1:18" x14ac:dyDescent="0.2">
      <c r="A4160">
        <v>441950</v>
      </c>
      <c r="B4160" t="s">
        <v>13171</v>
      </c>
      <c r="C4160">
        <v>0</v>
      </c>
      <c r="D4160">
        <v>0</v>
      </c>
      <c r="E4160">
        <v>0</v>
      </c>
      <c r="F4160">
        <v>0</v>
      </c>
      <c r="G4160">
        <v>2</v>
      </c>
      <c r="H4160">
        <v>0</v>
      </c>
      <c r="I4160">
        <v>0</v>
      </c>
      <c r="J4160">
        <v>0</v>
      </c>
      <c r="K4160">
        <v>0</v>
      </c>
      <c r="L4160" t="s">
        <v>3284</v>
      </c>
      <c r="M4160" t="s">
        <v>3296</v>
      </c>
      <c r="N4160" t="s">
        <v>3343</v>
      </c>
      <c r="O4160" t="s">
        <v>3344</v>
      </c>
      <c r="P4160" t="s">
        <v>3937</v>
      </c>
      <c r="Q4160" t="s">
        <v>3938</v>
      </c>
      <c r="R4160" t="s">
        <v>13172</v>
      </c>
    </row>
    <row r="4161" spans="1:18" x14ac:dyDescent="0.2">
      <c r="A4161">
        <v>440515</v>
      </c>
      <c r="B4161" t="s">
        <v>13173</v>
      </c>
      <c r="C4161">
        <v>0</v>
      </c>
      <c r="D4161">
        <v>2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 t="s">
        <v>3284</v>
      </c>
      <c r="M4161" t="s">
        <v>3391</v>
      </c>
      <c r="N4161" t="s">
        <v>3411</v>
      </c>
      <c r="O4161" t="s">
        <v>3412</v>
      </c>
      <c r="P4161" t="s">
        <v>3413</v>
      </c>
      <c r="Q4161" t="s">
        <v>13174</v>
      </c>
      <c r="R4161" t="s">
        <v>13175</v>
      </c>
    </row>
    <row r="4162" spans="1:18" x14ac:dyDescent="0.2">
      <c r="A4162">
        <v>440079</v>
      </c>
      <c r="B4162" t="s">
        <v>13176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1</v>
      </c>
      <c r="J4162">
        <v>0</v>
      </c>
      <c r="K4162">
        <v>0</v>
      </c>
      <c r="L4162" t="s">
        <v>3284</v>
      </c>
      <c r="M4162" t="s">
        <v>3296</v>
      </c>
      <c r="N4162" t="s">
        <v>3297</v>
      </c>
      <c r="O4162" t="s">
        <v>4112</v>
      </c>
      <c r="P4162" t="s">
        <v>4113</v>
      </c>
      <c r="Q4162" t="s">
        <v>4114</v>
      </c>
      <c r="R4162" t="s">
        <v>13177</v>
      </c>
    </row>
    <row r="4163" spans="1:18" x14ac:dyDescent="0.2">
      <c r="A4163">
        <v>439611</v>
      </c>
      <c r="B4163" t="s">
        <v>13178</v>
      </c>
      <c r="C4163">
        <v>7</v>
      </c>
      <c r="D4163">
        <v>7</v>
      </c>
      <c r="E4163">
        <v>4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 t="s">
        <v>3284</v>
      </c>
      <c r="M4163" t="s">
        <v>3296</v>
      </c>
      <c r="N4163" t="s">
        <v>3321</v>
      </c>
      <c r="O4163" t="s">
        <v>3322</v>
      </c>
      <c r="P4163" t="s">
        <v>3398</v>
      </c>
      <c r="Q4163" t="s">
        <v>3841</v>
      </c>
      <c r="R4163" t="s">
        <v>13179</v>
      </c>
    </row>
    <row r="4164" spans="1:18" x14ac:dyDescent="0.2">
      <c r="A4164">
        <v>439529</v>
      </c>
      <c r="B4164" t="s">
        <v>13180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1</v>
      </c>
      <c r="J4164">
        <v>0</v>
      </c>
      <c r="K4164">
        <v>1</v>
      </c>
      <c r="L4164" t="s">
        <v>3284</v>
      </c>
      <c r="M4164" t="s">
        <v>3296</v>
      </c>
      <c r="N4164" t="s">
        <v>3343</v>
      </c>
      <c r="O4164" t="s">
        <v>3371</v>
      </c>
      <c r="P4164" t="s">
        <v>3688</v>
      </c>
      <c r="Q4164" t="s">
        <v>13181</v>
      </c>
      <c r="R4164" t="s">
        <v>13182</v>
      </c>
    </row>
    <row r="4165" spans="1:18" x14ac:dyDescent="0.2">
      <c r="A4165">
        <v>439228</v>
      </c>
      <c r="B4165" t="s">
        <v>13183</v>
      </c>
      <c r="C4165">
        <v>0</v>
      </c>
      <c r="D4165">
        <v>0</v>
      </c>
      <c r="E4165">
        <v>0</v>
      </c>
      <c r="F4165">
        <v>11</v>
      </c>
      <c r="G4165">
        <v>1</v>
      </c>
      <c r="H4165">
        <v>1</v>
      </c>
      <c r="I4165">
        <v>0</v>
      </c>
      <c r="J4165">
        <v>0</v>
      </c>
      <c r="K4165">
        <v>0</v>
      </c>
      <c r="L4165" t="s">
        <v>3284</v>
      </c>
      <c r="M4165" t="s">
        <v>3296</v>
      </c>
      <c r="N4165" t="s">
        <v>3343</v>
      </c>
      <c r="O4165" t="s">
        <v>3349</v>
      </c>
      <c r="P4165" t="s">
        <v>3350</v>
      </c>
      <c r="Q4165" t="s">
        <v>7439</v>
      </c>
      <c r="R4165" t="s">
        <v>13184</v>
      </c>
    </row>
    <row r="4166" spans="1:18" x14ac:dyDescent="0.2">
      <c r="A4166">
        <v>437898</v>
      </c>
      <c r="B4166" t="s">
        <v>13185</v>
      </c>
      <c r="C4166">
        <v>0</v>
      </c>
      <c r="D4166">
        <v>0</v>
      </c>
      <c r="E4166">
        <v>0</v>
      </c>
      <c r="F4166">
        <v>1</v>
      </c>
      <c r="G4166">
        <v>0</v>
      </c>
      <c r="H4166">
        <v>0</v>
      </c>
      <c r="I4166">
        <v>0</v>
      </c>
      <c r="J4166">
        <v>0</v>
      </c>
      <c r="K4166">
        <v>0</v>
      </c>
      <c r="L4166" t="s">
        <v>3284</v>
      </c>
      <c r="M4166" t="s">
        <v>3296</v>
      </c>
      <c r="N4166" t="s">
        <v>3321</v>
      </c>
      <c r="O4166" t="s">
        <v>3322</v>
      </c>
      <c r="P4166" t="s">
        <v>13186</v>
      </c>
      <c r="Q4166" t="s">
        <v>13187</v>
      </c>
      <c r="R4166" t="s">
        <v>13188</v>
      </c>
    </row>
    <row r="4167" spans="1:18" x14ac:dyDescent="0.2">
      <c r="A4167">
        <v>436515</v>
      </c>
      <c r="B4167" t="s">
        <v>13189</v>
      </c>
      <c r="C4167">
        <v>0</v>
      </c>
      <c r="D4167">
        <v>2</v>
      </c>
      <c r="E4167">
        <v>1</v>
      </c>
      <c r="F4167">
        <v>24</v>
      </c>
      <c r="G4167">
        <v>17</v>
      </c>
      <c r="H4167">
        <v>3</v>
      </c>
      <c r="I4167">
        <v>1</v>
      </c>
      <c r="J4167">
        <v>0</v>
      </c>
      <c r="K4167">
        <v>0</v>
      </c>
      <c r="L4167" t="s">
        <v>3284</v>
      </c>
      <c r="M4167" t="s">
        <v>3296</v>
      </c>
      <c r="N4167" t="s">
        <v>3321</v>
      </c>
      <c r="O4167" t="s">
        <v>3322</v>
      </c>
      <c r="P4167" t="s">
        <v>3398</v>
      </c>
      <c r="Q4167" t="s">
        <v>3399</v>
      </c>
      <c r="R4167" t="s">
        <v>13190</v>
      </c>
    </row>
    <row r="4168" spans="1:18" x14ac:dyDescent="0.2">
      <c r="A4168">
        <v>435897</v>
      </c>
      <c r="B4168" t="s">
        <v>13191</v>
      </c>
      <c r="C4168">
        <v>0</v>
      </c>
      <c r="D4168">
        <v>0</v>
      </c>
      <c r="E4168">
        <v>0</v>
      </c>
      <c r="F4168">
        <v>1</v>
      </c>
      <c r="G4168">
        <v>0</v>
      </c>
      <c r="H4168">
        <v>0</v>
      </c>
      <c r="I4168">
        <v>0</v>
      </c>
      <c r="J4168">
        <v>0</v>
      </c>
      <c r="K4168">
        <v>0</v>
      </c>
      <c r="L4168" t="s">
        <v>3284</v>
      </c>
      <c r="M4168" t="s">
        <v>3296</v>
      </c>
      <c r="N4168" t="s">
        <v>3297</v>
      </c>
      <c r="O4168" t="s">
        <v>3469</v>
      </c>
      <c r="P4168" t="s">
        <v>3470</v>
      </c>
      <c r="Q4168" t="s">
        <v>4417</v>
      </c>
      <c r="R4168" t="s">
        <v>13192</v>
      </c>
    </row>
    <row r="4169" spans="1:18" x14ac:dyDescent="0.2">
      <c r="A4169">
        <v>434014</v>
      </c>
      <c r="B4169" t="s">
        <v>13193</v>
      </c>
      <c r="C4169">
        <v>0</v>
      </c>
      <c r="D4169">
        <v>0</v>
      </c>
      <c r="E4169">
        <v>0</v>
      </c>
      <c r="F4169">
        <v>2</v>
      </c>
      <c r="G4169">
        <v>3</v>
      </c>
      <c r="H4169">
        <v>0</v>
      </c>
      <c r="I4169">
        <v>0</v>
      </c>
      <c r="J4169">
        <v>0</v>
      </c>
      <c r="K4169">
        <v>0</v>
      </c>
      <c r="L4169" t="s">
        <v>3284</v>
      </c>
      <c r="M4169" t="s">
        <v>3296</v>
      </c>
      <c r="N4169" t="s">
        <v>3321</v>
      </c>
      <c r="O4169" t="s">
        <v>3322</v>
      </c>
      <c r="P4169" t="s">
        <v>3398</v>
      </c>
      <c r="Q4169" t="s">
        <v>3399</v>
      </c>
      <c r="R4169" t="s">
        <v>13194</v>
      </c>
    </row>
    <row r="4170" spans="1:18" x14ac:dyDescent="0.2">
      <c r="A4170">
        <v>434010</v>
      </c>
      <c r="B4170" t="s">
        <v>13195</v>
      </c>
      <c r="C4170">
        <v>1</v>
      </c>
      <c r="D4170">
        <v>1</v>
      </c>
      <c r="E4170">
        <v>1</v>
      </c>
      <c r="F4170">
        <v>1</v>
      </c>
      <c r="G4170">
        <v>1</v>
      </c>
      <c r="H4170">
        <v>0</v>
      </c>
      <c r="I4170">
        <v>0</v>
      </c>
      <c r="J4170">
        <v>0</v>
      </c>
      <c r="K4170">
        <v>0</v>
      </c>
      <c r="L4170" t="s">
        <v>3284</v>
      </c>
      <c r="M4170" t="s">
        <v>3296</v>
      </c>
      <c r="N4170" t="s">
        <v>3321</v>
      </c>
      <c r="O4170" t="s">
        <v>3322</v>
      </c>
      <c r="P4170" t="s">
        <v>3398</v>
      </c>
      <c r="Q4170" t="s">
        <v>3841</v>
      </c>
      <c r="R4170" t="s">
        <v>13196</v>
      </c>
    </row>
    <row r="4171" spans="1:18" x14ac:dyDescent="0.2">
      <c r="A4171">
        <v>434009</v>
      </c>
      <c r="B4171" t="s">
        <v>13197</v>
      </c>
      <c r="C4171">
        <v>0</v>
      </c>
      <c r="D4171">
        <v>0</v>
      </c>
      <c r="E4171">
        <v>0</v>
      </c>
      <c r="F4171">
        <v>2</v>
      </c>
      <c r="G4171">
        <v>0</v>
      </c>
      <c r="H4171">
        <v>0</v>
      </c>
      <c r="I4171">
        <v>1</v>
      </c>
      <c r="J4171">
        <v>0</v>
      </c>
      <c r="K4171">
        <v>0</v>
      </c>
      <c r="L4171" t="s">
        <v>3284</v>
      </c>
      <c r="M4171" t="s">
        <v>3296</v>
      </c>
      <c r="N4171" t="s">
        <v>3321</v>
      </c>
      <c r="O4171" t="s">
        <v>3322</v>
      </c>
      <c r="P4171" t="s">
        <v>3398</v>
      </c>
      <c r="Q4171" t="s">
        <v>3399</v>
      </c>
      <c r="R4171" t="s">
        <v>13198</v>
      </c>
    </row>
    <row r="4172" spans="1:18" x14ac:dyDescent="0.2">
      <c r="A4172">
        <v>434008</v>
      </c>
      <c r="B4172" t="s">
        <v>13199</v>
      </c>
      <c r="C4172">
        <v>0</v>
      </c>
      <c r="D4172">
        <v>0</v>
      </c>
      <c r="E4172">
        <v>0</v>
      </c>
      <c r="F4172">
        <v>2</v>
      </c>
      <c r="G4172">
        <v>2</v>
      </c>
      <c r="H4172">
        <v>0</v>
      </c>
      <c r="I4172">
        <v>1</v>
      </c>
      <c r="J4172">
        <v>0</v>
      </c>
      <c r="K4172">
        <v>0</v>
      </c>
      <c r="L4172" t="s">
        <v>3284</v>
      </c>
      <c r="M4172" t="s">
        <v>3296</v>
      </c>
      <c r="N4172" t="s">
        <v>3321</v>
      </c>
      <c r="O4172" t="s">
        <v>3322</v>
      </c>
      <c r="P4172" t="s">
        <v>3398</v>
      </c>
      <c r="Q4172" t="s">
        <v>3399</v>
      </c>
      <c r="R4172" t="s">
        <v>13200</v>
      </c>
    </row>
    <row r="4173" spans="1:18" x14ac:dyDescent="0.2">
      <c r="A4173">
        <v>433924</v>
      </c>
      <c r="B4173" t="s">
        <v>13201</v>
      </c>
      <c r="C4173">
        <v>0</v>
      </c>
      <c r="D4173">
        <v>1</v>
      </c>
      <c r="E4173">
        <v>0</v>
      </c>
      <c r="F4173">
        <v>10</v>
      </c>
      <c r="G4173">
        <v>2</v>
      </c>
      <c r="H4173">
        <v>0</v>
      </c>
      <c r="I4173">
        <v>1</v>
      </c>
      <c r="J4173">
        <v>1</v>
      </c>
      <c r="K4173">
        <v>0</v>
      </c>
      <c r="L4173" t="s">
        <v>3284</v>
      </c>
      <c r="M4173" t="s">
        <v>3296</v>
      </c>
      <c r="N4173" t="s">
        <v>3321</v>
      </c>
      <c r="O4173" t="s">
        <v>3322</v>
      </c>
      <c r="P4173" t="s">
        <v>3398</v>
      </c>
      <c r="Q4173" t="s">
        <v>3918</v>
      </c>
      <c r="R4173" t="s">
        <v>13202</v>
      </c>
    </row>
    <row r="4174" spans="1:18" x14ac:dyDescent="0.2">
      <c r="A4174">
        <v>433840</v>
      </c>
      <c r="B4174" t="s">
        <v>13203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2</v>
      </c>
      <c r="J4174">
        <v>1</v>
      </c>
      <c r="K4174">
        <v>0</v>
      </c>
      <c r="L4174" t="s">
        <v>3284</v>
      </c>
      <c r="M4174" t="s">
        <v>3296</v>
      </c>
      <c r="N4174" t="s">
        <v>3343</v>
      </c>
      <c r="O4174" t="s">
        <v>3344</v>
      </c>
      <c r="P4174" t="s">
        <v>4532</v>
      </c>
      <c r="Q4174" t="s">
        <v>4533</v>
      </c>
      <c r="R4174" t="s">
        <v>13204</v>
      </c>
    </row>
    <row r="4175" spans="1:18" x14ac:dyDescent="0.2">
      <c r="A4175">
        <v>433660</v>
      </c>
      <c r="B4175" t="s">
        <v>13205</v>
      </c>
      <c r="C4175">
        <v>0</v>
      </c>
      <c r="D4175">
        <v>0</v>
      </c>
      <c r="E4175">
        <v>0</v>
      </c>
      <c r="F4175">
        <v>1</v>
      </c>
      <c r="G4175">
        <v>0</v>
      </c>
      <c r="H4175">
        <v>0</v>
      </c>
      <c r="I4175">
        <v>0</v>
      </c>
      <c r="J4175">
        <v>0</v>
      </c>
      <c r="K4175">
        <v>0</v>
      </c>
      <c r="L4175" t="s">
        <v>3284</v>
      </c>
      <c r="M4175" t="s">
        <v>3307</v>
      </c>
      <c r="N4175" t="s">
        <v>3308</v>
      </c>
      <c r="O4175" t="s">
        <v>3309</v>
      </c>
      <c r="P4175" t="s">
        <v>3310</v>
      </c>
      <c r="Q4175" t="s">
        <v>3311</v>
      </c>
      <c r="R4175" t="s">
        <v>13206</v>
      </c>
    </row>
    <row r="4176" spans="1:18" x14ac:dyDescent="0.2">
      <c r="A4176">
        <v>433651</v>
      </c>
      <c r="B4176" t="s">
        <v>13207</v>
      </c>
      <c r="C4176">
        <v>0</v>
      </c>
      <c r="D4176">
        <v>0</v>
      </c>
      <c r="E4176">
        <v>0</v>
      </c>
      <c r="F4176">
        <v>1</v>
      </c>
      <c r="G4176">
        <v>0</v>
      </c>
      <c r="H4176">
        <v>0</v>
      </c>
      <c r="I4176">
        <v>1</v>
      </c>
      <c r="J4176">
        <v>0</v>
      </c>
      <c r="K4176">
        <v>0</v>
      </c>
      <c r="L4176" t="s">
        <v>3284</v>
      </c>
      <c r="M4176" t="s">
        <v>3307</v>
      </c>
      <c r="N4176" t="s">
        <v>3308</v>
      </c>
      <c r="O4176" t="s">
        <v>3309</v>
      </c>
      <c r="P4176" t="s">
        <v>3310</v>
      </c>
      <c r="Q4176" t="s">
        <v>3311</v>
      </c>
      <c r="R4176" t="s">
        <v>13208</v>
      </c>
    </row>
    <row r="4177" spans="1:18" x14ac:dyDescent="0.2">
      <c r="A4177">
        <v>433647</v>
      </c>
      <c r="B4177" t="s">
        <v>13209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1</v>
      </c>
      <c r="J4177">
        <v>1</v>
      </c>
      <c r="K4177">
        <v>0</v>
      </c>
      <c r="L4177" t="s">
        <v>3284</v>
      </c>
      <c r="M4177" t="s">
        <v>3307</v>
      </c>
      <c r="N4177" t="s">
        <v>3308</v>
      </c>
      <c r="O4177" t="s">
        <v>3359</v>
      </c>
      <c r="P4177" t="s">
        <v>3360</v>
      </c>
      <c r="Q4177" t="s">
        <v>5911</v>
      </c>
      <c r="R4177" t="s">
        <v>13210</v>
      </c>
    </row>
    <row r="4178" spans="1:18" x14ac:dyDescent="0.2">
      <c r="A4178">
        <v>433643</v>
      </c>
      <c r="B4178" t="s">
        <v>13211</v>
      </c>
      <c r="C4178">
        <v>0</v>
      </c>
      <c r="D4178">
        <v>0</v>
      </c>
      <c r="E4178">
        <v>0</v>
      </c>
      <c r="F4178">
        <v>2</v>
      </c>
      <c r="G4178">
        <v>0</v>
      </c>
      <c r="H4178">
        <v>0</v>
      </c>
      <c r="I4178">
        <v>2</v>
      </c>
      <c r="J4178">
        <v>0</v>
      </c>
      <c r="K4178">
        <v>0</v>
      </c>
      <c r="L4178" t="s">
        <v>3284</v>
      </c>
      <c r="M4178" t="s">
        <v>3307</v>
      </c>
      <c r="N4178" t="s">
        <v>3308</v>
      </c>
      <c r="O4178" t="s">
        <v>3359</v>
      </c>
      <c r="P4178" t="s">
        <v>3360</v>
      </c>
      <c r="Q4178" t="s">
        <v>3515</v>
      </c>
      <c r="R4178" t="s">
        <v>13212</v>
      </c>
    </row>
    <row r="4179" spans="1:18" x14ac:dyDescent="0.2">
      <c r="A4179">
        <v>433641</v>
      </c>
      <c r="B4179" t="s">
        <v>13213</v>
      </c>
      <c r="C4179">
        <v>0</v>
      </c>
      <c r="D4179">
        <v>1</v>
      </c>
      <c r="E4179">
        <v>0</v>
      </c>
      <c r="F4179">
        <v>0</v>
      </c>
      <c r="G4179">
        <v>2</v>
      </c>
      <c r="H4179">
        <v>0</v>
      </c>
      <c r="I4179">
        <v>2</v>
      </c>
      <c r="J4179">
        <v>1</v>
      </c>
      <c r="K4179">
        <v>0</v>
      </c>
      <c r="L4179" t="s">
        <v>3284</v>
      </c>
      <c r="M4179" t="s">
        <v>3307</v>
      </c>
      <c r="N4179" t="s">
        <v>3308</v>
      </c>
      <c r="O4179" t="s">
        <v>3359</v>
      </c>
      <c r="P4179" t="s">
        <v>3360</v>
      </c>
      <c r="Q4179" t="s">
        <v>7469</v>
      </c>
      <c r="R4179" t="s">
        <v>13214</v>
      </c>
    </row>
    <row r="4180" spans="1:18" x14ac:dyDescent="0.2">
      <c r="A4180">
        <v>432308</v>
      </c>
      <c r="B4180" t="s">
        <v>13215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1</v>
      </c>
      <c r="L4180" t="s">
        <v>3284</v>
      </c>
      <c r="M4180" t="s">
        <v>3296</v>
      </c>
      <c r="N4180" t="s">
        <v>3343</v>
      </c>
      <c r="O4180" t="s">
        <v>3349</v>
      </c>
      <c r="P4180" t="s">
        <v>3350</v>
      </c>
      <c r="Q4180" t="s">
        <v>4175</v>
      </c>
      <c r="R4180" t="s">
        <v>13216</v>
      </c>
    </row>
    <row r="4181" spans="1:18" x14ac:dyDescent="0.2">
      <c r="A4181">
        <v>431596</v>
      </c>
      <c r="B4181" t="s">
        <v>13217</v>
      </c>
      <c r="C4181">
        <v>1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 t="s">
        <v>3284</v>
      </c>
      <c r="M4181" t="s">
        <v>3327</v>
      </c>
      <c r="N4181" t="s">
        <v>3376</v>
      </c>
      <c r="O4181" t="s">
        <v>3377</v>
      </c>
      <c r="P4181" t="s">
        <v>3604</v>
      </c>
      <c r="Q4181" t="s">
        <v>3668</v>
      </c>
      <c r="R4181" t="s">
        <v>13218</v>
      </c>
    </row>
    <row r="4182" spans="1:18" x14ac:dyDescent="0.2">
      <c r="A4182">
        <v>431041</v>
      </c>
      <c r="B4182" t="s">
        <v>13219</v>
      </c>
      <c r="C4182">
        <v>1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 t="s">
        <v>3284</v>
      </c>
      <c r="M4182" t="s">
        <v>4022</v>
      </c>
      <c r="N4182" t="s">
        <v>4023</v>
      </c>
      <c r="O4182" t="s">
        <v>4050</v>
      </c>
      <c r="P4182" t="s">
        <v>13220</v>
      </c>
      <c r="Q4182" t="s">
        <v>13221</v>
      </c>
      <c r="R4182" t="s">
        <v>13222</v>
      </c>
    </row>
    <row r="4183" spans="1:18" x14ac:dyDescent="0.2">
      <c r="A4183">
        <v>430797</v>
      </c>
      <c r="B4183" t="s">
        <v>13223</v>
      </c>
      <c r="C4183">
        <v>1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 t="s">
        <v>3284</v>
      </c>
      <c r="M4183" t="s">
        <v>3816</v>
      </c>
      <c r="N4183" t="s">
        <v>3817</v>
      </c>
      <c r="O4183" t="s">
        <v>3818</v>
      </c>
      <c r="P4183" t="s">
        <v>13224</v>
      </c>
      <c r="Q4183" t="s">
        <v>13225</v>
      </c>
      <c r="R4183" t="s">
        <v>13226</v>
      </c>
    </row>
    <row r="4184" spans="1:18" x14ac:dyDescent="0.2">
      <c r="A4184">
        <v>430522</v>
      </c>
      <c r="B4184" t="s">
        <v>13227</v>
      </c>
      <c r="C4184">
        <v>0</v>
      </c>
      <c r="D4184">
        <v>0</v>
      </c>
      <c r="E4184">
        <v>0</v>
      </c>
      <c r="F4184">
        <v>1</v>
      </c>
      <c r="G4184">
        <v>1</v>
      </c>
      <c r="H4184">
        <v>0</v>
      </c>
      <c r="I4184">
        <v>0</v>
      </c>
      <c r="J4184">
        <v>0</v>
      </c>
      <c r="K4184">
        <v>0</v>
      </c>
      <c r="L4184" t="s">
        <v>3284</v>
      </c>
      <c r="M4184" t="s">
        <v>3391</v>
      </c>
      <c r="N4184" t="s">
        <v>3392</v>
      </c>
      <c r="O4184" t="s">
        <v>3393</v>
      </c>
      <c r="P4184" t="s">
        <v>3394</v>
      </c>
      <c r="Q4184" t="s">
        <v>3395</v>
      </c>
      <c r="R4184" t="s">
        <v>13228</v>
      </c>
    </row>
    <row r="4185" spans="1:18" x14ac:dyDescent="0.2">
      <c r="A4185">
        <v>430521</v>
      </c>
      <c r="B4185" t="s">
        <v>13229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5</v>
      </c>
      <c r="J4185">
        <v>4</v>
      </c>
      <c r="K4185">
        <v>0</v>
      </c>
      <c r="L4185" t="s">
        <v>3284</v>
      </c>
      <c r="M4185" t="s">
        <v>3296</v>
      </c>
      <c r="N4185" t="s">
        <v>3343</v>
      </c>
      <c r="O4185" t="s">
        <v>3429</v>
      </c>
      <c r="P4185" t="s">
        <v>3430</v>
      </c>
      <c r="Q4185" t="s">
        <v>5837</v>
      </c>
      <c r="R4185" t="s">
        <v>13230</v>
      </c>
    </row>
    <row r="4186" spans="1:18" x14ac:dyDescent="0.2">
      <c r="A4186">
        <v>429726</v>
      </c>
      <c r="B4186" t="s">
        <v>13231</v>
      </c>
      <c r="C4186">
        <v>0</v>
      </c>
      <c r="D4186">
        <v>0</v>
      </c>
      <c r="E4186">
        <v>0</v>
      </c>
      <c r="F4186">
        <v>1</v>
      </c>
      <c r="G4186">
        <v>0</v>
      </c>
      <c r="H4186">
        <v>0</v>
      </c>
      <c r="I4186">
        <v>0</v>
      </c>
      <c r="J4186">
        <v>0</v>
      </c>
      <c r="K4186">
        <v>0</v>
      </c>
      <c r="L4186" t="s">
        <v>3284</v>
      </c>
      <c r="M4186" t="s">
        <v>3296</v>
      </c>
      <c r="N4186" t="s">
        <v>3343</v>
      </c>
      <c r="O4186" t="s">
        <v>3344</v>
      </c>
      <c r="P4186" t="s">
        <v>3345</v>
      </c>
      <c r="Q4186" t="s">
        <v>3346</v>
      </c>
      <c r="R4186" t="s">
        <v>13232</v>
      </c>
    </row>
    <row r="4187" spans="1:18" x14ac:dyDescent="0.2">
      <c r="A4187">
        <v>428991</v>
      </c>
      <c r="B4187" t="s">
        <v>13233</v>
      </c>
      <c r="C4187">
        <v>0</v>
      </c>
      <c r="D4187">
        <v>0</v>
      </c>
      <c r="E4187">
        <v>0</v>
      </c>
      <c r="F4187">
        <v>1</v>
      </c>
      <c r="G4187">
        <v>1</v>
      </c>
      <c r="H4187">
        <v>0</v>
      </c>
      <c r="I4187">
        <v>0</v>
      </c>
      <c r="J4187">
        <v>0</v>
      </c>
      <c r="K4187">
        <v>0</v>
      </c>
      <c r="L4187" t="s">
        <v>3284</v>
      </c>
      <c r="M4187" t="s">
        <v>3296</v>
      </c>
      <c r="N4187" t="s">
        <v>3343</v>
      </c>
      <c r="O4187" t="s">
        <v>3349</v>
      </c>
      <c r="P4187" t="s">
        <v>3350</v>
      </c>
      <c r="Q4187" t="s">
        <v>3351</v>
      </c>
      <c r="R4187" t="s">
        <v>13234</v>
      </c>
    </row>
    <row r="4188" spans="1:18" x14ac:dyDescent="0.2">
      <c r="A4188">
        <v>427926</v>
      </c>
      <c r="B4188" t="s">
        <v>13235</v>
      </c>
      <c r="C4188">
        <v>1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 t="s">
        <v>3284</v>
      </c>
      <c r="M4188" t="s">
        <v>3327</v>
      </c>
      <c r="N4188" t="s">
        <v>13236</v>
      </c>
      <c r="O4188" t="s">
        <v>13237</v>
      </c>
      <c r="P4188" t="s">
        <v>13238</v>
      </c>
      <c r="Q4188" t="s">
        <v>13239</v>
      </c>
      <c r="R4188" t="s">
        <v>13240</v>
      </c>
    </row>
    <row r="4189" spans="1:18" x14ac:dyDescent="0.2">
      <c r="A4189">
        <v>426737</v>
      </c>
      <c r="B4189" t="s">
        <v>13241</v>
      </c>
      <c r="C4189">
        <v>0</v>
      </c>
      <c r="D4189">
        <v>1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 t="s">
        <v>3284</v>
      </c>
      <c r="M4189" t="s">
        <v>3296</v>
      </c>
      <c r="N4189" t="s">
        <v>3321</v>
      </c>
      <c r="O4189" t="s">
        <v>4147</v>
      </c>
      <c r="P4189" t="s">
        <v>4164</v>
      </c>
      <c r="Q4189" t="s">
        <v>8834</v>
      </c>
      <c r="R4189" t="s">
        <v>13242</v>
      </c>
    </row>
    <row r="4190" spans="1:18" x14ac:dyDescent="0.2">
      <c r="A4190">
        <v>426226</v>
      </c>
      <c r="B4190" t="s">
        <v>13243</v>
      </c>
      <c r="C4190">
        <v>0</v>
      </c>
      <c r="D4190">
        <v>0</v>
      </c>
      <c r="E4190">
        <v>0</v>
      </c>
      <c r="F4190">
        <v>1</v>
      </c>
      <c r="G4190">
        <v>0</v>
      </c>
      <c r="H4190">
        <v>0</v>
      </c>
      <c r="I4190">
        <v>0</v>
      </c>
      <c r="J4190">
        <v>0</v>
      </c>
      <c r="K4190">
        <v>0</v>
      </c>
      <c r="L4190" t="s">
        <v>3284</v>
      </c>
      <c r="M4190" t="s">
        <v>3391</v>
      </c>
      <c r="N4190" t="s">
        <v>3411</v>
      </c>
      <c r="O4190" t="s">
        <v>3412</v>
      </c>
      <c r="P4190" t="s">
        <v>3413</v>
      </c>
      <c r="Q4190" t="s">
        <v>3414</v>
      </c>
      <c r="R4190" t="s">
        <v>13244</v>
      </c>
    </row>
    <row r="4191" spans="1:18" x14ac:dyDescent="0.2">
      <c r="A4191">
        <v>426129</v>
      </c>
      <c r="B4191" t="s">
        <v>13245</v>
      </c>
      <c r="C4191">
        <v>0</v>
      </c>
      <c r="D4191">
        <v>1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 t="s">
        <v>3284</v>
      </c>
      <c r="M4191" t="s">
        <v>3327</v>
      </c>
      <c r="N4191" t="s">
        <v>3328</v>
      </c>
      <c r="O4191" t="s">
        <v>4184</v>
      </c>
      <c r="P4191" t="s">
        <v>6312</v>
      </c>
      <c r="Q4191" t="s">
        <v>6313</v>
      </c>
      <c r="R4191" t="s">
        <v>13246</v>
      </c>
    </row>
    <row r="4192" spans="1:18" x14ac:dyDescent="0.2">
      <c r="A4192">
        <v>426128</v>
      </c>
      <c r="B4192" t="s">
        <v>13247</v>
      </c>
      <c r="C4192">
        <v>4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 t="s">
        <v>3284</v>
      </c>
      <c r="M4192" t="s">
        <v>3327</v>
      </c>
      <c r="N4192" t="s">
        <v>3328</v>
      </c>
      <c r="O4192" t="s">
        <v>4184</v>
      </c>
      <c r="P4192" t="s">
        <v>6312</v>
      </c>
      <c r="Q4192" t="s">
        <v>13248</v>
      </c>
      <c r="R4192" t="s">
        <v>13249</v>
      </c>
    </row>
    <row r="4193" spans="1:18" x14ac:dyDescent="0.2">
      <c r="A4193">
        <v>426114</v>
      </c>
      <c r="B4193" t="s">
        <v>13250</v>
      </c>
      <c r="C4193">
        <v>0</v>
      </c>
      <c r="D4193">
        <v>0</v>
      </c>
      <c r="E4193">
        <v>0</v>
      </c>
      <c r="F4193">
        <v>0</v>
      </c>
      <c r="G4193">
        <v>1</v>
      </c>
      <c r="H4193">
        <v>0</v>
      </c>
      <c r="I4193">
        <v>0</v>
      </c>
      <c r="J4193">
        <v>0</v>
      </c>
      <c r="K4193">
        <v>0</v>
      </c>
      <c r="L4193" t="s">
        <v>3284</v>
      </c>
      <c r="M4193" t="s">
        <v>3296</v>
      </c>
      <c r="N4193" t="s">
        <v>3321</v>
      </c>
      <c r="O4193" t="s">
        <v>3322</v>
      </c>
      <c r="P4193" t="s">
        <v>3271</v>
      </c>
      <c r="Q4193" t="s">
        <v>12002</v>
      </c>
      <c r="R4193" t="s">
        <v>13251</v>
      </c>
    </row>
    <row r="4194" spans="1:18" x14ac:dyDescent="0.2">
      <c r="A4194">
        <v>425677</v>
      </c>
      <c r="B4194" t="s">
        <v>13252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8</v>
      </c>
      <c r="J4194">
        <v>4</v>
      </c>
      <c r="K4194">
        <v>3</v>
      </c>
      <c r="L4194" t="s">
        <v>3284</v>
      </c>
      <c r="M4194" t="s">
        <v>3296</v>
      </c>
      <c r="N4194" t="s">
        <v>3343</v>
      </c>
      <c r="O4194" t="s">
        <v>3344</v>
      </c>
      <c r="P4194" t="s">
        <v>3661</v>
      </c>
      <c r="Q4194" t="s">
        <v>13253</v>
      </c>
      <c r="R4194" t="s">
        <v>13254</v>
      </c>
    </row>
    <row r="4195" spans="1:18" x14ac:dyDescent="0.2">
      <c r="A4195">
        <v>425514</v>
      </c>
      <c r="B4195" t="s">
        <v>13255</v>
      </c>
      <c r="C4195">
        <v>0</v>
      </c>
      <c r="D4195">
        <v>0</v>
      </c>
      <c r="E4195">
        <v>0</v>
      </c>
      <c r="F4195">
        <v>1</v>
      </c>
      <c r="G4195">
        <v>0</v>
      </c>
      <c r="H4195">
        <v>0</v>
      </c>
      <c r="I4195">
        <v>1</v>
      </c>
      <c r="J4195">
        <v>0</v>
      </c>
      <c r="K4195">
        <v>0</v>
      </c>
      <c r="L4195" t="s">
        <v>3284</v>
      </c>
      <c r="M4195" t="s">
        <v>3391</v>
      </c>
      <c r="N4195" t="s">
        <v>3392</v>
      </c>
      <c r="O4195" t="s">
        <v>3393</v>
      </c>
      <c r="P4195" t="s">
        <v>3394</v>
      </c>
      <c r="Q4195" t="s">
        <v>3395</v>
      </c>
      <c r="R4195" t="s">
        <v>13256</v>
      </c>
    </row>
    <row r="4196" spans="1:18" x14ac:dyDescent="0.2">
      <c r="A4196">
        <v>425513</v>
      </c>
      <c r="B4196" t="s">
        <v>13257</v>
      </c>
      <c r="C4196">
        <v>1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1</v>
      </c>
      <c r="J4196">
        <v>0</v>
      </c>
      <c r="K4196">
        <v>0</v>
      </c>
      <c r="L4196" t="s">
        <v>3284</v>
      </c>
      <c r="M4196" t="s">
        <v>3391</v>
      </c>
      <c r="N4196" t="s">
        <v>3392</v>
      </c>
      <c r="O4196" t="s">
        <v>3393</v>
      </c>
      <c r="P4196" t="s">
        <v>3394</v>
      </c>
      <c r="Q4196" t="s">
        <v>3395</v>
      </c>
      <c r="R4196" t="s">
        <v>13258</v>
      </c>
    </row>
    <row r="4197" spans="1:18" x14ac:dyDescent="0.2">
      <c r="A4197">
        <v>425512</v>
      </c>
      <c r="B4197" t="s">
        <v>13259</v>
      </c>
      <c r="C4197">
        <v>0</v>
      </c>
      <c r="D4197">
        <v>0</v>
      </c>
      <c r="E4197">
        <v>0</v>
      </c>
      <c r="F4197">
        <v>2</v>
      </c>
      <c r="G4197">
        <v>0</v>
      </c>
      <c r="H4197">
        <v>0</v>
      </c>
      <c r="I4197">
        <v>0</v>
      </c>
      <c r="J4197">
        <v>0</v>
      </c>
      <c r="K4197">
        <v>0</v>
      </c>
      <c r="L4197" t="s">
        <v>3284</v>
      </c>
      <c r="M4197" t="s">
        <v>3391</v>
      </c>
      <c r="N4197" t="s">
        <v>3392</v>
      </c>
      <c r="O4197" t="s">
        <v>3393</v>
      </c>
      <c r="P4197" t="s">
        <v>3394</v>
      </c>
      <c r="Q4197" t="s">
        <v>3395</v>
      </c>
      <c r="R4197" t="s">
        <v>13260</v>
      </c>
    </row>
    <row r="4198" spans="1:18" x14ac:dyDescent="0.2">
      <c r="A4198">
        <v>425511</v>
      </c>
      <c r="B4198" t="s">
        <v>13261</v>
      </c>
      <c r="C4198">
        <v>0</v>
      </c>
      <c r="D4198">
        <v>0</v>
      </c>
      <c r="E4198">
        <v>0</v>
      </c>
      <c r="F4198">
        <v>3</v>
      </c>
      <c r="G4198">
        <v>2</v>
      </c>
      <c r="H4198">
        <v>0</v>
      </c>
      <c r="I4198">
        <v>0</v>
      </c>
      <c r="J4198">
        <v>0</v>
      </c>
      <c r="K4198">
        <v>0</v>
      </c>
      <c r="L4198" t="s">
        <v>3284</v>
      </c>
      <c r="M4198" t="s">
        <v>3391</v>
      </c>
      <c r="N4198" t="s">
        <v>3392</v>
      </c>
      <c r="O4198" t="s">
        <v>3393</v>
      </c>
      <c r="P4198" t="s">
        <v>3394</v>
      </c>
      <c r="Q4198" t="s">
        <v>3395</v>
      </c>
      <c r="R4198" t="s">
        <v>13262</v>
      </c>
    </row>
    <row r="4199" spans="1:18" x14ac:dyDescent="0.2">
      <c r="A4199">
        <v>425254</v>
      </c>
      <c r="B4199" t="s">
        <v>13263</v>
      </c>
      <c r="C4199">
        <v>0</v>
      </c>
      <c r="D4199">
        <v>1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 t="s">
        <v>3284</v>
      </c>
      <c r="M4199" t="s">
        <v>3327</v>
      </c>
      <c r="N4199" t="s">
        <v>3328</v>
      </c>
      <c r="O4199" t="s">
        <v>4017</v>
      </c>
      <c r="P4199" t="s">
        <v>10021</v>
      </c>
      <c r="Q4199" t="s">
        <v>10022</v>
      </c>
      <c r="R4199" t="s">
        <v>13264</v>
      </c>
    </row>
    <row r="4200" spans="1:18" x14ac:dyDescent="0.2">
      <c r="A4200">
        <v>425005</v>
      </c>
      <c r="B4200" t="s">
        <v>13265</v>
      </c>
      <c r="C4200">
        <v>0</v>
      </c>
      <c r="D4200">
        <v>1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 t="s">
        <v>3284</v>
      </c>
      <c r="M4200" t="s">
        <v>3327</v>
      </c>
      <c r="N4200" t="s">
        <v>3376</v>
      </c>
      <c r="O4200" t="s">
        <v>3377</v>
      </c>
      <c r="P4200" t="s">
        <v>3604</v>
      </c>
      <c r="Q4200" t="s">
        <v>6110</v>
      </c>
      <c r="R4200" t="s">
        <v>13266</v>
      </c>
    </row>
    <row r="4201" spans="1:18" x14ac:dyDescent="0.2">
      <c r="A4201">
        <v>424799</v>
      </c>
      <c r="B4201" t="s">
        <v>13267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2</v>
      </c>
      <c r="K4201">
        <v>0</v>
      </c>
      <c r="L4201" t="s">
        <v>3284</v>
      </c>
      <c r="M4201" t="s">
        <v>3296</v>
      </c>
      <c r="N4201" t="s">
        <v>3343</v>
      </c>
      <c r="O4201" t="s">
        <v>3429</v>
      </c>
      <c r="P4201" t="s">
        <v>4336</v>
      </c>
      <c r="Q4201" t="s">
        <v>6265</v>
      </c>
      <c r="R4201" t="s">
        <v>13268</v>
      </c>
    </row>
    <row r="4202" spans="1:18" x14ac:dyDescent="0.2">
      <c r="A4202">
        <v>424796</v>
      </c>
      <c r="B4202" t="s">
        <v>13269</v>
      </c>
      <c r="C4202">
        <v>0</v>
      </c>
      <c r="D4202">
        <v>0</v>
      </c>
      <c r="E4202">
        <v>0</v>
      </c>
      <c r="F4202">
        <v>2</v>
      </c>
      <c r="G4202">
        <v>1</v>
      </c>
      <c r="H4202">
        <v>1</v>
      </c>
      <c r="I4202">
        <v>0</v>
      </c>
      <c r="J4202">
        <v>0</v>
      </c>
      <c r="K4202">
        <v>0</v>
      </c>
      <c r="L4202" t="s">
        <v>3284</v>
      </c>
      <c r="M4202" t="s">
        <v>3296</v>
      </c>
      <c r="N4202" t="s">
        <v>3343</v>
      </c>
      <c r="O4202" t="s">
        <v>3402</v>
      </c>
      <c r="P4202" t="s">
        <v>3403</v>
      </c>
      <c r="Q4202" t="s">
        <v>3536</v>
      </c>
      <c r="R4202" t="s">
        <v>13270</v>
      </c>
    </row>
    <row r="4203" spans="1:18" x14ac:dyDescent="0.2">
      <c r="A4203">
        <v>424758</v>
      </c>
      <c r="B4203" t="s">
        <v>13271</v>
      </c>
      <c r="C4203">
        <v>1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 t="s">
        <v>3284</v>
      </c>
      <c r="M4203" t="s">
        <v>3307</v>
      </c>
      <c r="N4203" t="s">
        <v>3308</v>
      </c>
      <c r="O4203" t="s">
        <v>3359</v>
      </c>
      <c r="P4203" t="s">
        <v>3360</v>
      </c>
      <c r="Q4203" t="s">
        <v>5474</v>
      </c>
      <c r="R4203" t="s">
        <v>13272</v>
      </c>
    </row>
    <row r="4204" spans="1:18" x14ac:dyDescent="0.2">
      <c r="A4204">
        <v>424704</v>
      </c>
      <c r="B4204" t="s">
        <v>13273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3</v>
      </c>
      <c r="J4204">
        <v>1</v>
      </c>
      <c r="K4204">
        <v>0</v>
      </c>
      <c r="L4204" t="s">
        <v>3284</v>
      </c>
      <c r="M4204" t="s">
        <v>3296</v>
      </c>
      <c r="N4204" t="s">
        <v>3343</v>
      </c>
      <c r="O4204" t="s">
        <v>3429</v>
      </c>
      <c r="P4204" t="s">
        <v>3430</v>
      </c>
      <c r="Q4204" t="s">
        <v>3651</v>
      </c>
      <c r="R4204" t="s">
        <v>13274</v>
      </c>
    </row>
    <row r="4205" spans="1:18" x14ac:dyDescent="0.2">
      <c r="A4205">
        <v>423351</v>
      </c>
      <c r="B4205" t="s">
        <v>13275</v>
      </c>
      <c r="C4205">
        <v>0</v>
      </c>
      <c r="D4205">
        <v>0</v>
      </c>
      <c r="E4205">
        <v>0</v>
      </c>
      <c r="F4205">
        <v>2</v>
      </c>
      <c r="G4205">
        <v>4</v>
      </c>
      <c r="H4205">
        <v>0</v>
      </c>
      <c r="I4205">
        <v>0</v>
      </c>
      <c r="J4205">
        <v>0</v>
      </c>
      <c r="K4205">
        <v>0</v>
      </c>
      <c r="L4205" t="s">
        <v>3284</v>
      </c>
      <c r="M4205" t="s">
        <v>3391</v>
      </c>
      <c r="N4205" t="s">
        <v>3392</v>
      </c>
      <c r="O4205" t="s">
        <v>3393</v>
      </c>
      <c r="P4205" t="s">
        <v>3394</v>
      </c>
      <c r="Q4205" t="s">
        <v>4082</v>
      </c>
      <c r="R4205" t="s">
        <v>13276</v>
      </c>
    </row>
    <row r="4206" spans="1:18" x14ac:dyDescent="0.2">
      <c r="A4206">
        <v>423350</v>
      </c>
      <c r="B4206" t="s">
        <v>13277</v>
      </c>
      <c r="C4206">
        <v>0</v>
      </c>
      <c r="D4206">
        <v>0</v>
      </c>
      <c r="E4206">
        <v>0</v>
      </c>
      <c r="F4206">
        <v>11</v>
      </c>
      <c r="G4206">
        <v>4</v>
      </c>
      <c r="H4206">
        <v>0</v>
      </c>
      <c r="I4206">
        <v>0</v>
      </c>
      <c r="J4206">
        <v>0</v>
      </c>
      <c r="K4206">
        <v>0</v>
      </c>
      <c r="L4206" t="s">
        <v>3284</v>
      </c>
      <c r="M4206" t="s">
        <v>3391</v>
      </c>
      <c r="N4206" t="s">
        <v>3392</v>
      </c>
      <c r="O4206" t="s">
        <v>3393</v>
      </c>
      <c r="P4206" t="s">
        <v>3394</v>
      </c>
      <c r="Q4206" t="s">
        <v>4082</v>
      </c>
      <c r="R4206" t="s">
        <v>13278</v>
      </c>
    </row>
    <row r="4207" spans="1:18" x14ac:dyDescent="0.2">
      <c r="A4207">
        <v>421072</v>
      </c>
      <c r="B4207" t="s">
        <v>13279</v>
      </c>
      <c r="C4207">
        <v>0</v>
      </c>
      <c r="D4207">
        <v>0</v>
      </c>
      <c r="E4207">
        <v>0</v>
      </c>
      <c r="F4207">
        <v>0</v>
      </c>
      <c r="G4207">
        <v>1</v>
      </c>
      <c r="H4207">
        <v>0</v>
      </c>
      <c r="I4207">
        <v>0</v>
      </c>
      <c r="J4207">
        <v>0</v>
      </c>
      <c r="K4207">
        <v>0</v>
      </c>
      <c r="L4207" t="s">
        <v>3284</v>
      </c>
      <c r="M4207" t="s">
        <v>3391</v>
      </c>
      <c r="N4207" t="s">
        <v>3411</v>
      </c>
      <c r="O4207" t="s">
        <v>3412</v>
      </c>
      <c r="P4207" t="s">
        <v>3564</v>
      </c>
      <c r="Q4207" t="s">
        <v>3565</v>
      </c>
      <c r="R4207" t="s">
        <v>13280</v>
      </c>
    </row>
    <row r="4208" spans="1:18" x14ac:dyDescent="0.2">
      <c r="A4208">
        <v>421058</v>
      </c>
      <c r="B4208" t="s">
        <v>13281</v>
      </c>
      <c r="C4208">
        <v>1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 t="s">
        <v>3284</v>
      </c>
      <c r="M4208" t="s">
        <v>3391</v>
      </c>
      <c r="N4208" t="s">
        <v>3411</v>
      </c>
      <c r="O4208" t="s">
        <v>3412</v>
      </c>
      <c r="P4208" t="s">
        <v>3564</v>
      </c>
      <c r="Q4208" t="s">
        <v>3803</v>
      </c>
      <c r="R4208" t="s">
        <v>13282</v>
      </c>
    </row>
    <row r="4209" spans="1:18" x14ac:dyDescent="0.2">
      <c r="A4209">
        <v>420955</v>
      </c>
      <c r="B4209" t="s">
        <v>13283</v>
      </c>
      <c r="C4209">
        <v>0</v>
      </c>
      <c r="D4209">
        <v>1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 t="s">
        <v>3284</v>
      </c>
      <c r="M4209" t="s">
        <v>3296</v>
      </c>
      <c r="N4209" t="s">
        <v>3343</v>
      </c>
      <c r="O4209" t="s">
        <v>3349</v>
      </c>
      <c r="P4209" t="s">
        <v>3350</v>
      </c>
      <c r="Q4209" t="s">
        <v>4175</v>
      </c>
      <c r="R4209" t="s">
        <v>13284</v>
      </c>
    </row>
    <row r="4210" spans="1:18" x14ac:dyDescent="0.2">
      <c r="A4210">
        <v>420953</v>
      </c>
      <c r="B4210" t="s">
        <v>13285</v>
      </c>
      <c r="C4210">
        <v>0</v>
      </c>
      <c r="D4210">
        <v>0</v>
      </c>
      <c r="E4210">
        <v>0</v>
      </c>
      <c r="F4210">
        <v>1</v>
      </c>
      <c r="G4210">
        <v>0</v>
      </c>
      <c r="H4210">
        <v>0</v>
      </c>
      <c r="I4210">
        <v>0</v>
      </c>
      <c r="J4210">
        <v>0</v>
      </c>
      <c r="K4210">
        <v>0</v>
      </c>
      <c r="L4210" t="s">
        <v>3284</v>
      </c>
      <c r="M4210" t="s">
        <v>3296</v>
      </c>
      <c r="N4210" t="s">
        <v>3321</v>
      </c>
      <c r="O4210" t="s">
        <v>3322</v>
      </c>
      <c r="P4210" t="s">
        <v>3423</v>
      </c>
      <c r="Q4210" t="s">
        <v>4357</v>
      </c>
      <c r="R4210" t="s">
        <v>13286</v>
      </c>
    </row>
    <row r="4211" spans="1:18" x14ac:dyDescent="0.2">
      <c r="A4211">
        <v>420412</v>
      </c>
      <c r="B4211" t="s">
        <v>13287</v>
      </c>
      <c r="C4211">
        <v>2</v>
      </c>
      <c r="D4211">
        <v>1</v>
      </c>
      <c r="E4211">
        <v>3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 t="s">
        <v>3284</v>
      </c>
      <c r="M4211" t="s">
        <v>3327</v>
      </c>
      <c r="N4211" t="s">
        <v>3328</v>
      </c>
      <c r="O4211" t="s">
        <v>3329</v>
      </c>
      <c r="P4211" t="s">
        <v>3330</v>
      </c>
      <c r="Q4211" t="s">
        <v>3331</v>
      </c>
      <c r="R4211" t="s">
        <v>13288</v>
      </c>
    </row>
    <row r="4212" spans="1:18" x14ac:dyDescent="0.2">
      <c r="A4212">
        <v>420404</v>
      </c>
      <c r="B4212" t="s">
        <v>13289</v>
      </c>
      <c r="C4212">
        <v>0</v>
      </c>
      <c r="D4212">
        <v>1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 t="s">
        <v>3284</v>
      </c>
      <c r="M4212" t="s">
        <v>3391</v>
      </c>
      <c r="N4212" t="s">
        <v>3411</v>
      </c>
      <c r="O4212" t="s">
        <v>3412</v>
      </c>
      <c r="P4212" t="s">
        <v>3564</v>
      </c>
      <c r="Q4212" t="s">
        <v>3565</v>
      </c>
      <c r="R4212" t="s">
        <v>13290</v>
      </c>
    </row>
    <row r="4213" spans="1:18" x14ac:dyDescent="0.2">
      <c r="A4213">
        <v>419475</v>
      </c>
      <c r="B4213" t="s">
        <v>13291</v>
      </c>
      <c r="C4213">
        <v>1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 t="s">
        <v>3284</v>
      </c>
      <c r="M4213" t="s">
        <v>3296</v>
      </c>
      <c r="N4213" t="s">
        <v>3343</v>
      </c>
      <c r="O4213" t="s">
        <v>3344</v>
      </c>
      <c r="P4213" t="s">
        <v>4076</v>
      </c>
      <c r="Q4213" t="s">
        <v>4077</v>
      </c>
      <c r="R4213" t="s">
        <v>13292</v>
      </c>
    </row>
    <row r="4214" spans="1:18" x14ac:dyDescent="0.2">
      <c r="A4214">
        <v>418856</v>
      </c>
      <c r="B4214" t="s">
        <v>13293</v>
      </c>
      <c r="C4214">
        <v>0</v>
      </c>
      <c r="D4214">
        <v>0</v>
      </c>
      <c r="E4214">
        <v>0</v>
      </c>
      <c r="F4214">
        <v>1</v>
      </c>
      <c r="G4214">
        <v>1</v>
      </c>
      <c r="H4214">
        <v>0</v>
      </c>
      <c r="I4214">
        <v>0</v>
      </c>
      <c r="J4214">
        <v>0</v>
      </c>
      <c r="K4214">
        <v>0</v>
      </c>
      <c r="L4214" t="s">
        <v>3284</v>
      </c>
      <c r="M4214" t="s">
        <v>3296</v>
      </c>
      <c r="N4214" t="s">
        <v>3297</v>
      </c>
      <c r="O4214" t="s">
        <v>9339</v>
      </c>
      <c r="P4214" t="s">
        <v>9340</v>
      </c>
      <c r="Q4214" t="s">
        <v>13294</v>
      </c>
      <c r="R4214" t="s">
        <v>13295</v>
      </c>
    </row>
    <row r="4215" spans="1:18" x14ac:dyDescent="0.2">
      <c r="A4215">
        <v>418702</v>
      </c>
      <c r="B4215" t="s">
        <v>13296</v>
      </c>
      <c r="C4215">
        <v>0</v>
      </c>
      <c r="D4215">
        <v>0</v>
      </c>
      <c r="E4215">
        <v>0</v>
      </c>
      <c r="F4215">
        <v>1</v>
      </c>
      <c r="G4215">
        <v>0</v>
      </c>
      <c r="H4215">
        <v>0</v>
      </c>
      <c r="I4215">
        <v>0</v>
      </c>
      <c r="J4215">
        <v>0</v>
      </c>
      <c r="K4215">
        <v>0</v>
      </c>
      <c r="L4215" t="s">
        <v>3284</v>
      </c>
      <c r="M4215" t="s">
        <v>3296</v>
      </c>
      <c r="N4215" t="s">
        <v>3321</v>
      </c>
      <c r="O4215" t="s">
        <v>4147</v>
      </c>
      <c r="P4215" t="s">
        <v>7177</v>
      </c>
      <c r="Q4215" t="s">
        <v>7178</v>
      </c>
      <c r="R4215" t="s">
        <v>13297</v>
      </c>
    </row>
    <row r="4216" spans="1:18" x14ac:dyDescent="0.2">
      <c r="A4216">
        <v>418240</v>
      </c>
      <c r="B4216" t="s">
        <v>13298</v>
      </c>
      <c r="C4216">
        <v>0</v>
      </c>
      <c r="D4216">
        <v>2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 t="s">
        <v>3284</v>
      </c>
      <c r="M4216" t="s">
        <v>3327</v>
      </c>
      <c r="N4216" t="s">
        <v>3328</v>
      </c>
      <c r="O4216" t="s">
        <v>4017</v>
      </c>
      <c r="P4216" t="s">
        <v>4018</v>
      </c>
      <c r="Q4216" t="s">
        <v>10687</v>
      </c>
      <c r="R4216" t="s">
        <v>13299</v>
      </c>
    </row>
    <row r="4217" spans="1:18" x14ac:dyDescent="0.2">
      <c r="A4217">
        <v>417745</v>
      </c>
      <c r="B4217" t="s">
        <v>13300</v>
      </c>
      <c r="C4217">
        <v>0</v>
      </c>
      <c r="D4217">
        <v>0</v>
      </c>
      <c r="E4217">
        <v>0</v>
      </c>
      <c r="F4217">
        <v>2</v>
      </c>
      <c r="G4217">
        <v>2</v>
      </c>
      <c r="H4217">
        <v>2</v>
      </c>
      <c r="I4217">
        <v>2</v>
      </c>
      <c r="J4217">
        <v>1</v>
      </c>
      <c r="K4217">
        <v>0</v>
      </c>
      <c r="L4217" t="s">
        <v>3284</v>
      </c>
      <c r="M4217" t="s">
        <v>3296</v>
      </c>
      <c r="N4217" t="s">
        <v>3343</v>
      </c>
      <c r="O4217" t="s">
        <v>3344</v>
      </c>
      <c r="P4217" t="s">
        <v>3355</v>
      </c>
      <c r="Q4217" t="s">
        <v>3846</v>
      </c>
      <c r="R4217" t="s">
        <v>13301</v>
      </c>
    </row>
    <row r="4218" spans="1:18" x14ac:dyDescent="0.2">
      <c r="A4218">
        <v>416955</v>
      </c>
      <c r="B4218" t="s">
        <v>13302</v>
      </c>
      <c r="C4218">
        <v>0</v>
      </c>
      <c r="D4218">
        <v>0</v>
      </c>
      <c r="E4218">
        <v>1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 t="s">
        <v>3284</v>
      </c>
      <c r="M4218" t="s">
        <v>3391</v>
      </c>
      <c r="N4218" t="s">
        <v>3392</v>
      </c>
      <c r="O4218" t="s">
        <v>3393</v>
      </c>
      <c r="P4218" t="s">
        <v>3394</v>
      </c>
      <c r="Q4218" t="s">
        <v>11353</v>
      </c>
      <c r="R4218" t="s">
        <v>13303</v>
      </c>
    </row>
    <row r="4219" spans="1:18" x14ac:dyDescent="0.2">
      <c r="A4219">
        <v>416586</v>
      </c>
      <c r="B4219" t="s">
        <v>13304</v>
      </c>
      <c r="C4219">
        <v>0</v>
      </c>
      <c r="D4219">
        <v>1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 t="s">
        <v>3284</v>
      </c>
      <c r="M4219" t="s">
        <v>3327</v>
      </c>
      <c r="N4219" t="s">
        <v>3753</v>
      </c>
      <c r="O4219" t="s">
        <v>3754</v>
      </c>
      <c r="P4219" t="s">
        <v>10142</v>
      </c>
      <c r="Q4219" t="s">
        <v>13305</v>
      </c>
      <c r="R4219" t="s">
        <v>13306</v>
      </c>
    </row>
    <row r="4220" spans="1:18" x14ac:dyDescent="0.2">
      <c r="A4220">
        <v>415996</v>
      </c>
      <c r="B4220" t="s">
        <v>13307</v>
      </c>
      <c r="C4220">
        <v>0</v>
      </c>
      <c r="D4220">
        <v>0</v>
      </c>
      <c r="E4220">
        <v>0</v>
      </c>
      <c r="F4220">
        <v>1</v>
      </c>
      <c r="G4220">
        <v>0</v>
      </c>
      <c r="H4220">
        <v>0</v>
      </c>
      <c r="I4220">
        <v>0</v>
      </c>
      <c r="J4220">
        <v>0</v>
      </c>
      <c r="K4220">
        <v>0</v>
      </c>
      <c r="L4220" t="s">
        <v>3284</v>
      </c>
      <c r="M4220" t="s">
        <v>3296</v>
      </c>
      <c r="N4220" t="s">
        <v>3343</v>
      </c>
      <c r="O4220" t="s">
        <v>3344</v>
      </c>
      <c r="P4220" t="s">
        <v>3355</v>
      </c>
      <c r="Q4220" t="s">
        <v>3846</v>
      </c>
      <c r="R4220" t="s">
        <v>13308</v>
      </c>
    </row>
    <row r="4221" spans="1:18" x14ac:dyDescent="0.2">
      <c r="A4221">
        <v>415849</v>
      </c>
      <c r="B4221" t="s">
        <v>13309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1</v>
      </c>
      <c r="K4221">
        <v>0</v>
      </c>
      <c r="L4221" t="s">
        <v>3284</v>
      </c>
      <c r="M4221" t="s">
        <v>3296</v>
      </c>
      <c r="N4221" t="s">
        <v>3297</v>
      </c>
      <c r="O4221" t="s">
        <v>9339</v>
      </c>
      <c r="P4221" t="s">
        <v>9340</v>
      </c>
      <c r="Q4221" t="s">
        <v>13310</v>
      </c>
      <c r="R4221" t="s">
        <v>13311</v>
      </c>
    </row>
    <row r="4222" spans="1:18" x14ac:dyDescent="0.2">
      <c r="A4222">
        <v>415221</v>
      </c>
      <c r="B4222" t="s">
        <v>13312</v>
      </c>
      <c r="C4222">
        <v>0</v>
      </c>
      <c r="D4222">
        <v>0</v>
      </c>
      <c r="E4222">
        <v>0</v>
      </c>
      <c r="F4222">
        <v>0</v>
      </c>
      <c r="G4222">
        <v>1</v>
      </c>
      <c r="H4222">
        <v>0</v>
      </c>
      <c r="I4222">
        <v>0</v>
      </c>
      <c r="J4222">
        <v>0</v>
      </c>
      <c r="K4222">
        <v>0</v>
      </c>
      <c r="L4222" t="s">
        <v>3284</v>
      </c>
      <c r="M4222" t="s">
        <v>3816</v>
      </c>
      <c r="N4222" t="s">
        <v>4987</v>
      </c>
      <c r="O4222" t="s">
        <v>6149</v>
      </c>
      <c r="P4222" t="s">
        <v>6906</v>
      </c>
      <c r="Q4222" t="s">
        <v>6907</v>
      </c>
      <c r="R4222" t="s">
        <v>13313</v>
      </c>
    </row>
    <row r="4223" spans="1:18" x14ac:dyDescent="0.2">
      <c r="A4223">
        <v>415217</v>
      </c>
      <c r="B4223" t="s">
        <v>13314</v>
      </c>
      <c r="C4223">
        <v>13</v>
      </c>
      <c r="D4223">
        <v>12</v>
      </c>
      <c r="E4223">
        <v>2</v>
      </c>
      <c r="F4223">
        <v>0</v>
      </c>
      <c r="G4223">
        <v>0</v>
      </c>
      <c r="H4223">
        <v>0</v>
      </c>
      <c r="I4223">
        <v>31</v>
      </c>
      <c r="J4223">
        <v>14</v>
      </c>
      <c r="K4223">
        <v>7</v>
      </c>
      <c r="L4223" t="s">
        <v>3284</v>
      </c>
      <c r="M4223" t="s">
        <v>3307</v>
      </c>
      <c r="N4223" t="s">
        <v>3308</v>
      </c>
      <c r="O4223" t="s">
        <v>3359</v>
      </c>
      <c r="P4223" t="s">
        <v>3360</v>
      </c>
      <c r="Q4223" t="s">
        <v>3361</v>
      </c>
      <c r="R4223" t="s">
        <v>13315</v>
      </c>
    </row>
    <row r="4224" spans="1:18" x14ac:dyDescent="0.2">
      <c r="A4224">
        <v>415216</v>
      </c>
      <c r="B4224" t="s">
        <v>13316</v>
      </c>
      <c r="C4224">
        <v>0</v>
      </c>
      <c r="D4224">
        <v>0</v>
      </c>
      <c r="E4224">
        <v>0</v>
      </c>
      <c r="F4224">
        <v>1</v>
      </c>
      <c r="G4224">
        <v>0</v>
      </c>
      <c r="H4224">
        <v>0</v>
      </c>
      <c r="I4224">
        <v>0</v>
      </c>
      <c r="J4224">
        <v>0</v>
      </c>
      <c r="K4224">
        <v>0</v>
      </c>
      <c r="L4224" t="s">
        <v>3284</v>
      </c>
      <c r="M4224" t="s">
        <v>3307</v>
      </c>
      <c r="N4224" t="s">
        <v>3308</v>
      </c>
      <c r="O4224" t="s">
        <v>3359</v>
      </c>
      <c r="P4224" t="s">
        <v>3360</v>
      </c>
      <c r="Q4224" t="s">
        <v>3361</v>
      </c>
      <c r="R4224" t="s">
        <v>13317</v>
      </c>
    </row>
    <row r="4225" spans="1:18" x14ac:dyDescent="0.2">
      <c r="A4225">
        <v>415215</v>
      </c>
      <c r="B4225" t="s">
        <v>13318</v>
      </c>
      <c r="C4225">
        <v>0</v>
      </c>
      <c r="D4225">
        <v>0</v>
      </c>
      <c r="E4225">
        <v>0</v>
      </c>
      <c r="F4225">
        <v>0</v>
      </c>
      <c r="G4225">
        <v>2</v>
      </c>
      <c r="H4225">
        <v>0</v>
      </c>
      <c r="I4225">
        <v>0</v>
      </c>
      <c r="J4225">
        <v>1</v>
      </c>
      <c r="K4225">
        <v>0</v>
      </c>
      <c r="L4225" t="s">
        <v>3284</v>
      </c>
      <c r="M4225" t="s">
        <v>3307</v>
      </c>
      <c r="N4225" t="s">
        <v>3308</v>
      </c>
      <c r="O4225" t="s">
        <v>3359</v>
      </c>
      <c r="P4225" t="s">
        <v>3360</v>
      </c>
      <c r="Q4225" t="s">
        <v>3361</v>
      </c>
      <c r="R4225" t="s">
        <v>13319</v>
      </c>
    </row>
    <row r="4226" spans="1:18" x14ac:dyDescent="0.2">
      <c r="A4226">
        <v>415214</v>
      </c>
      <c r="B4226" t="s">
        <v>13320</v>
      </c>
      <c r="C4226">
        <v>1</v>
      </c>
      <c r="D4226">
        <v>1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 t="s">
        <v>3284</v>
      </c>
      <c r="M4226" t="s">
        <v>3307</v>
      </c>
      <c r="N4226" t="s">
        <v>3308</v>
      </c>
      <c r="O4226" t="s">
        <v>3359</v>
      </c>
      <c r="P4226" t="s">
        <v>3360</v>
      </c>
      <c r="Q4226" t="s">
        <v>3361</v>
      </c>
      <c r="R4226" t="s">
        <v>13321</v>
      </c>
    </row>
    <row r="4227" spans="1:18" x14ac:dyDescent="0.2">
      <c r="A4227">
        <v>414048</v>
      </c>
      <c r="B4227" t="s">
        <v>13322</v>
      </c>
      <c r="C4227">
        <v>0</v>
      </c>
      <c r="D4227">
        <v>0</v>
      </c>
      <c r="E4227">
        <v>1</v>
      </c>
      <c r="F4227">
        <v>1</v>
      </c>
      <c r="G4227">
        <v>0</v>
      </c>
      <c r="H4227">
        <v>0</v>
      </c>
      <c r="I4227">
        <v>1</v>
      </c>
      <c r="J4227">
        <v>1</v>
      </c>
      <c r="K4227">
        <v>1</v>
      </c>
      <c r="L4227" t="s">
        <v>3284</v>
      </c>
      <c r="M4227" t="s">
        <v>3391</v>
      </c>
      <c r="N4227" t="s">
        <v>3392</v>
      </c>
      <c r="O4227" t="s">
        <v>3393</v>
      </c>
      <c r="P4227" t="s">
        <v>3394</v>
      </c>
      <c r="Q4227" t="s">
        <v>3395</v>
      </c>
      <c r="R4227" t="s">
        <v>13323</v>
      </c>
    </row>
    <row r="4228" spans="1:18" x14ac:dyDescent="0.2">
      <c r="A4228">
        <v>412690</v>
      </c>
      <c r="B4228" t="s">
        <v>13324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1</v>
      </c>
      <c r="K4228">
        <v>0</v>
      </c>
      <c r="L4228" t="s">
        <v>3284</v>
      </c>
      <c r="M4228" t="s">
        <v>3307</v>
      </c>
      <c r="N4228" t="s">
        <v>3308</v>
      </c>
      <c r="O4228" t="s">
        <v>3359</v>
      </c>
      <c r="P4228" t="s">
        <v>3360</v>
      </c>
      <c r="Q4228" t="s">
        <v>13325</v>
      </c>
      <c r="R4228" t="s">
        <v>13326</v>
      </c>
    </row>
    <row r="4229" spans="1:18" x14ac:dyDescent="0.2">
      <c r="A4229">
        <v>412689</v>
      </c>
      <c r="B4229" t="s">
        <v>13327</v>
      </c>
      <c r="C4229">
        <v>0</v>
      </c>
      <c r="D4229">
        <v>0</v>
      </c>
      <c r="E4229">
        <v>0</v>
      </c>
      <c r="F4229">
        <v>1</v>
      </c>
      <c r="G4229">
        <v>0</v>
      </c>
      <c r="H4229">
        <v>0</v>
      </c>
      <c r="I4229">
        <v>0</v>
      </c>
      <c r="J4229">
        <v>0</v>
      </c>
      <c r="K4229">
        <v>0</v>
      </c>
      <c r="L4229" t="s">
        <v>3284</v>
      </c>
      <c r="M4229" t="s">
        <v>3307</v>
      </c>
      <c r="N4229" t="s">
        <v>3308</v>
      </c>
      <c r="O4229" t="s">
        <v>3359</v>
      </c>
      <c r="P4229" t="s">
        <v>3965</v>
      </c>
      <c r="Q4229" t="s">
        <v>10226</v>
      </c>
      <c r="R4229" t="s">
        <v>13328</v>
      </c>
    </row>
    <row r="4230" spans="1:18" x14ac:dyDescent="0.2">
      <c r="A4230">
        <v>410841</v>
      </c>
      <c r="B4230" t="s">
        <v>13329</v>
      </c>
      <c r="C4230">
        <v>0</v>
      </c>
      <c r="D4230">
        <v>1</v>
      </c>
      <c r="E4230">
        <v>0</v>
      </c>
      <c r="F4230">
        <v>48</v>
      </c>
      <c r="G4230">
        <v>36</v>
      </c>
      <c r="H4230">
        <v>8</v>
      </c>
      <c r="I4230">
        <v>0</v>
      </c>
      <c r="J4230">
        <v>2</v>
      </c>
      <c r="K4230">
        <v>0</v>
      </c>
      <c r="L4230" t="s">
        <v>3284</v>
      </c>
      <c r="M4230" t="s">
        <v>3296</v>
      </c>
      <c r="N4230" t="s">
        <v>3343</v>
      </c>
      <c r="O4230" t="s">
        <v>3344</v>
      </c>
      <c r="P4230" t="s">
        <v>3387</v>
      </c>
      <c r="Q4230" t="s">
        <v>3388</v>
      </c>
      <c r="R4230" t="s">
        <v>13330</v>
      </c>
    </row>
    <row r="4231" spans="1:18" x14ac:dyDescent="0.2">
      <c r="A4231">
        <v>410840</v>
      </c>
      <c r="B4231" t="s">
        <v>13331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18</v>
      </c>
      <c r="J4231">
        <v>12</v>
      </c>
      <c r="K4231">
        <v>8</v>
      </c>
      <c r="L4231" t="s">
        <v>3284</v>
      </c>
      <c r="M4231" t="s">
        <v>3296</v>
      </c>
      <c r="N4231" t="s">
        <v>3343</v>
      </c>
      <c r="O4231" t="s">
        <v>3344</v>
      </c>
      <c r="P4231" t="s">
        <v>3387</v>
      </c>
      <c r="Q4231" t="s">
        <v>3388</v>
      </c>
      <c r="R4231" t="s">
        <v>13332</v>
      </c>
    </row>
    <row r="4232" spans="1:18" x14ac:dyDescent="0.2">
      <c r="A4232">
        <v>410839</v>
      </c>
      <c r="B4232" t="s">
        <v>13333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24</v>
      </c>
      <c r="J4232">
        <v>13</v>
      </c>
      <c r="K4232">
        <v>4</v>
      </c>
      <c r="L4232" t="s">
        <v>3284</v>
      </c>
      <c r="M4232" t="s">
        <v>3296</v>
      </c>
      <c r="N4232" t="s">
        <v>3343</v>
      </c>
      <c r="O4232" t="s">
        <v>3344</v>
      </c>
      <c r="P4232" t="s">
        <v>3387</v>
      </c>
      <c r="Q4232" t="s">
        <v>3388</v>
      </c>
      <c r="R4232" t="s">
        <v>13334</v>
      </c>
    </row>
    <row r="4233" spans="1:18" x14ac:dyDescent="0.2">
      <c r="A4233">
        <v>408753</v>
      </c>
      <c r="B4233" t="s">
        <v>13335</v>
      </c>
      <c r="C4233">
        <v>1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 t="s">
        <v>3284</v>
      </c>
      <c r="M4233" t="s">
        <v>3327</v>
      </c>
      <c r="N4233" t="s">
        <v>4384</v>
      </c>
      <c r="O4233" t="s">
        <v>4605</v>
      </c>
      <c r="P4233" t="s">
        <v>11671</v>
      </c>
      <c r="Q4233" t="s">
        <v>13336</v>
      </c>
      <c r="R4233" t="s">
        <v>13337</v>
      </c>
    </row>
    <row r="4234" spans="1:18" x14ac:dyDescent="0.2">
      <c r="A4234">
        <v>408657</v>
      </c>
      <c r="B4234" t="s">
        <v>13338</v>
      </c>
      <c r="C4234">
        <v>0</v>
      </c>
      <c r="D4234">
        <v>0</v>
      </c>
      <c r="E4234">
        <v>0</v>
      </c>
      <c r="F4234">
        <v>2</v>
      </c>
      <c r="G4234">
        <v>3</v>
      </c>
      <c r="H4234">
        <v>0</v>
      </c>
      <c r="I4234">
        <v>0</v>
      </c>
      <c r="J4234">
        <v>0</v>
      </c>
      <c r="K4234">
        <v>0</v>
      </c>
      <c r="L4234" t="s">
        <v>3284</v>
      </c>
      <c r="M4234" t="s">
        <v>3391</v>
      </c>
      <c r="N4234" t="s">
        <v>3740</v>
      </c>
      <c r="O4234" t="s">
        <v>3741</v>
      </c>
      <c r="P4234" t="s">
        <v>3742</v>
      </c>
      <c r="Q4234" t="s">
        <v>4598</v>
      </c>
      <c r="R4234" t="s">
        <v>13339</v>
      </c>
    </row>
    <row r="4235" spans="1:18" x14ac:dyDescent="0.2">
      <c r="A4235">
        <v>408558</v>
      </c>
      <c r="B4235" t="s">
        <v>13340</v>
      </c>
      <c r="C4235">
        <v>2</v>
      </c>
      <c r="D4235">
        <v>0</v>
      </c>
      <c r="E4235">
        <v>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 t="s">
        <v>3284</v>
      </c>
      <c r="M4235" t="s">
        <v>3296</v>
      </c>
      <c r="N4235" t="s">
        <v>3321</v>
      </c>
      <c r="O4235" t="s">
        <v>3322</v>
      </c>
      <c r="P4235" t="s">
        <v>3398</v>
      </c>
      <c r="Q4235" t="s">
        <v>3806</v>
      </c>
      <c r="R4235" t="s">
        <v>13341</v>
      </c>
    </row>
    <row r="4236" spans="1:18" x14ac:dyDescent="0.2">
      <c r="A4236">
        <v>408174</v>
      </c>
      <c r="B4236" t="s">
        <v>13342</v>
      </c>
      <c r="C4236">
        <v>0</v>
      </c>
      <c r="D4236">
        <v>0</v>
      </c>
      <c r="E4236">
        <v>0</v>
      </c>
      <c r="F4236">
        <v>1</v>
      </c>
      <c r="G4236">
        <v>0</v>
      </c>
      <c r="H4236">
        <v>0</v>
      </c>
      <c r="I4236">
        <v>0</v>
      </c>
      <c r="J4236">
        <v>0</v>
      </c>
      <c r="K4236">
        <v>0</v>
      </c>
      <c r="L4236" t="s">
        <v>3284</v>
      </c>
      <c r="M4236" t="s">
        <v>3296</v>
      </c>
      <c r="N4236" t="s">
        <v>3343</v>
      </c>
      <c r="O4236" t="s">
        <v>3344</v>
      </c>
      <c r="P4236" t="s">
        <v>3345</v>
      </c>
      <c r="Q4236" t="s">
        <v>3346</v>
      </c>
      <c r="R4236" t="s">
        <v>13343</v>
      </c>
    </row>
    <row r="4237" spans="1:18" x14ac:dyDescent="0.2">
      <c r="A4237">
        <v>407234</v>
      </c>
      <c r="B4237" t="s">
        <v>13344</v>
      </c>
      <c r="C4237">
        <v>1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 t="s">
        <v>3284</v>
      </c>
      <c r="M4237" t="s">
        <v>3296</v>
      </c>
      <c r="N4237" t="s">
        <v>3343</v>
      </c>
      <c r="O4237" t="s">
        <v>3371</v>
      </c>
      <c r="P4237" t="s">
        <v>3688</v>
      </c>
      <c r="Q4237" t="s">
        <v>5678</v>
      </c>
      <c r="R4237" t="s">
        <v>13345</v>
      </c>
    </row>
    <row r="4238" spans="1:18" x14ac:dyDescent="0.2">
      <c r="A4238">
        <v>407164</v>
      </c>
      <c r="B4238" t="s">
        <v>13346</v>
      </c>
      <c r="C4238">
        <v>1</v>
      </c>
      <c r="D4238">
        <v>1</v>
      </c>
      <c r="E4238">
        <v>3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 t="s">
        <v>3284</v>
      </c>
      <c r="M4238" t="s">
        <v>3296</v>
      </c>
      <c r="N4238" t="s">
        <v>3297</v>
      </c>
      <c r="O4238" t="s">
        <v>7551</v>
      </c>
      <c r="P4238" t="s">
        <v>12278</v>
      </c>
      <c r="Q4238" t="s">
        <v>12279</v>
      </c>
      <c r="R4238" t="s">
        <v>13347</v>
      </c>
    </row>
    <row r="4239" spans="1:18" x14ac:dyDescent="0.2">
      <c r="A4239">
        <v>407036</v>
      </c>
      <c r="B4239" t="s">
        <v>13348</v>
      </c>
      <c r="C4239">
        <v>0</v>
      </c>
      <c r="D4239">
        <v>0</v>
      </c>
      <c r="E4239">
        <v>0</v>
      </c>
      <c r="F4239">
        <v>0</v>
      </c>
      <c r="G4239">
        <v>1</v>
      </c>
      <c r="H4239">
        <v>0</v>
      </c>
      <c r="I4239">
        <v>0</v>
      </c>
      <c r="J4239">
        <v>0</v>
      </c>
      <c r="K4239">
        <v>0</v>
      </c>
      <c r="L4239" t="s">
        <v>3284</v>
      </c>
      <c r="M4239" t="s">
        <v>3327</v>
      </c>
      <c r="N4239" t="s">
        <v>3376</v>
      </c>
      <c r="O4239" t="s">
        <v>3377</v>
      </c>
      <c r="P4239" t="s">
        <v>3378</v>
      </c>
      <c r="Q4239" t="s">
        <v>13349</v>
      </c>
      <c r="R4239" t="s">
        <v>13350</v>
      </c>
    </row>
    <row r="4240" spans="1:18" x14ac:dyDescent="0.2">
      <c r="A4240">
        <v>407022</v>
      </c>
      <c r="B4240" t="s">
        <v>13351</v>
      </c>
      <c r="C4240">
        <v>0</v>
      </c>
      <c r="D4240">
        <v>0</v>
      </c>
      <c r="E4240">
        <v>0</v>
      </c>
      <c r="F4240">
        <v>1</v>
      </c>
      <c r="G4240">
        <v>0</v>
      </c>
      <c r="H4240">
        <v>0</v>
      </c>
      <c r="I4240">
        <v>0</v>
      </c>
      <c r="J4240">
        <v>0</v>
      </c>
      <c r="K4240">
        <v>0</v>
      </c>
      <c r="L4240" t="s">
        <v>3284</v>
      </c>
      <c r="M4240" t="s">
        <v>3391</v>
      </c>
      <c r="N4240" t="s">
        <v>3392</v>
      </c>
      <c r="O4240" t="s">
        <v>3393</v>
      </c>
      <c r="P4240" t="s">
        <v>3394</v>
      </c>
      <c r="Q4240" t="s">
        <v>4524</v>
      </c>
      <c r="R4240" t="s">
        <v>13352</v>
      </c>
    </row>
    <row r="4241" spans="1:18" x14ac:dyDescent="0.2">
      <c r="A4241">
        <v>406341</v>
      </c>
      <c r="B4241" t="s">
        <v>13353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1</v>
      </c>
      <c r="J4241">
        <v>0</v>
      </c>
      <c r="K4241">
        <v>0</v>
      </c>
      <c r="L4241" t="s">
        <v>3284</v>
      </c>
      <c r="M4241" t="s">
        <v>3296</v>
      </c>
      <c r="N4241" t="s">
        <v>3343</v>
      </c>
      <c r="O4241" t="s">
        <v>3344</v>
      </c>
      <c r="P4241" t="s">
        <v>3367</v>
      </c>
      <c r="Q4241" t="s">
        <v>3368</v>
      </c>
      <c r="R4241" t="s">
        <v>13354</v>
      </c>
    </row>
    <row r="4242" spans="1:18" x14ac:dyDescent="0.2">
      <c r="A4242">
        <v>405671</v>
      </c>
      <c r="B4242" t="s">
        <v>13355</v>
      </c>
      <c r="C4242">
        <v>1</v>
      </c>
      <c r="D4242">
        <v>0</v>
      </c>
      <c r="E4242">
        <v>0</v>
      </c>
      <c r="F4242">
        <v>4</v>
      </c>
      <c r="G4242">
        <v>1</v>
      </c>
      <c r="H4242">
        <v>0</v>
      </c>
      <c r="I4242">
        <v>0</v>
      </c>
      <c r="J4242">
        <v>0</v>
      </c>
      <c r="K4242">
        <v>0</v>
      </c>
      <c r="L4242" t="s">
        <v>3284</v>
      </c>
      <c r="M4242" t="s">
        <v>3391</v>
      </c>
      <c r="N4242" t="s">
        <v>3392</v>
      </c>
      <c r="O4242" t="s">
        <v>3393</v>
      </c>
      <c r="P4242" t="s">
        <v>3394</v>
      </c>
      <c r="Q4242" t="s">
        <v>3395</v>
      </c>
      <c r="R4242" t="s">
        <v>13356</v>
      </c>
    </row>
    <row r="4243" spans="1:18" x14ac:dyDescent="0.2">
      <c r="A4243">
        <v>404407</v>
      </c>
      <c r="B4243" t="s">
        <v>13357</v>
      </c>
      <c r="C4243">
        <v>0</v>
      </c>
      <c r="D4243">
        <v>0</v>
      </c>
      <c r="E4243">
        <v>0</v>
      </c>
      <c r="F4243">
        <v>1</v>
      </c>
      <c r="G4243">
        <v>0</v>
      </c>
      <c r="H4243">
        <v>0</v>
      </c>
      <c r="I4243">
        <v>0</v>
      </c>
      <c r="J4243">
        <v>0</v>
      </c>
      <c r="K4243">
        <v>0</v>
      </c>
      <c r="L4243" t="s">
        <v>3284</v>
      </c>
      <c r="M4243" t="s">
        <v>3296</v>
      </c>
      <c r="N4243" t="s">
        <v>3297</v>
      </c>
      <c r="O4243" t="s">
        <v>3434</v>
      </c>
      <c r="P4243" t="s">
        <v>3435</v>
      </c>
      <c r="Q4243" t="s">
        <v>3436</v>
      </c>
      <c r="R4243" t="s">
        <v>13358</v>
      </c>
    </row>
    <row r="4244" spans="1:18" x14ac:dyDescent="0.2">
      <c r="A4244">
        <v>404366</v>
      </c>
      <c r="B4244" t="s">
        <v>13359</v>
      </c>
      <c r="C4244">
        <v>0</v>
      </c>
      <c r="D4244">
        <v>0</v>
      </c>
      <c r="E4244">
        <v>0</v>
      </c>
      <c r="F4244">
        <v>2</v>
      </c>
      <c r="G4244">
        <v>0</v>
      </c>
      <c r="H4244">
        <v>0</v>
      </c>
      <c r="I4244">
        <v>0</v>
      </c>
      <c r="J4244">
        <v>0</v>
      </c>
      <c r="K4244">
        <v>0</v>
      </c>
      <c r="L4244" t="s">
        <v>3284</v>
      </c>
      <c r="M4244" t="s">
        <v>3307</v>
      </c>
      <c r="N4244" t="s">
        <v>3308</v>
      </c>
      <c r="O4244" t="s">
        <v>3359</v>
      </c>
      <c r="P4244" t="s">
        <v>3360</v>
      </c>
      <c r="Q4244" t="s">
        <v>3361</v>
      </c>
      <c r="R4244" t="s">
        <v>13360</v>
      </c>
    </row>
    <row r="4245" spans="1:18" x14ac:dyDescent="0.2">
      <c r="A4245">
        <v>401472</v>
      </c>
      <c r="B4245" t="s">
        <v>13361</v>
      </c>
      <c r="C4245">
        <v>0</v>
      </c>
      <c r="D4245">
        <v>0</v>
      </c>
      <c r="E4245">
        <v>0</v>
      </c>
      <c r="F4245">
        <v>0</v>
      </c>
      <c r="G4245">
        <v>1</v>
      </c>
      <c r="H4245">
        <v>0</v>
      </c>
      <c r="I4245">
        <v>0</v>
      </c>
      <c r="J4245">
        <v>0</v>
      </c>
      <c r="K4245">
        <v>0</v>
      </c>
      <c r="L4245" t="s">
        <v>3284</v>
      </c>
      <c r="M4245" t="s">
        <v>3307</v>
      </c>
      <c r="N4245" t="s">
        <v>3308</v>
      </c>
      <c r="O4245" t="s">
        <v>3635</v>
      </c>
      <c r="P4245" t="s">
        <v>13362</v>
      </c>
      <c r="Q4245" t="s">
        <v>13363</v>
      </c>
      <c r="R4245" t="s">
        <v>13364</v>
      </c>
    </row>
    <row r="4246" spans="1:18" x14ac:dyDescent="0.2">
      <c r="A4246">
        <v>400775</v>
      </c>
      <c r="B4246" t="s">
        <v>13365</v>
      </c>
      <c r="C4246">
        <v>0</v>
      </c>
      <c r="D4246">
        <v>2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 t="s">
        <v>3284</v>
      </c>
      <c r="M4246" t="s">
        <v>3296</v>
      </c>
      <c r="N4246" t="s">
        <v>3343</v>
      </c>
      <c r="O4246" t="s">
        <v>3402</v>
      </c>
      <c r="P4246" t="s">
        <v>3403</v>
      </c>
      <c r="Q4246" t="s">
        <v>3404</v>
      </c>
      <c r="R4246" t="s">
        <v>13366</v>
      </c>
    </row>
    <row r="4247" spans="1:18" x14ac:dyDescent="0.2">
      <c r="A4247">
        <v>400774</v>
      </c>
      <c r="B4247" t="s">
        <v>13367</v>
      </c>
      <c r="C4247">
        <v>0</v>
      </c>
      <c r="D4247">
        <v>0</v>
      </c>
      <c r="E4247">
        <v>0</v>
      </c>
      <c r="F4247">
        <v>2</v>
      </c>
      <c r="G4247">
        <v>3</v>
      </c>
      <c r="H4247">
        <v>0</v>
      </c>
      <c r="I4247">
        <v>0</v>
      </c>
      <c r="J4247">
        <v>0</v>
      </c>
      <c r="K4247">
        <v>0</v>
      </c>
      <c r="L4247" t="s">
        <v>3284</v>
      </c>
      <c r="M4247" t="s">
        <v>3307</v>
      </c>
      <c r="N4247" t="s">
        <v>3308</v>
      </c>
      <c r="O4247" t="s">
        <v>3309</v>
      </c>
      <c r="P4247" t="s">
        <v>3310</v>
      </c>
      <c r="Q4247" t="s">
        <v>3311</v>
      </c>
      <c r="R4247" t="s">
        <v>13368</v>
      </c>
    </row>
    <row r="4248" spans="1:18" x14ac:dyDescent="0.2">
      <c r="A4248">
        <v>400770</v>
      </c>
      <c r="B4248" t="s">
        <v>13369</v>
      </c>
      <c r="C4248">
        <v>0</v>
      </c>
      <c r="D4248">
        <v>0</v>
      </c>
      <c r="E4248">
        <v>0</v>
      </c>
      <c r="F4248">
        <v>1</v>
      </c>
      <c r="G4248">
        <v>0</v>
      </c>
      <c r="H4248">
        <v>0</v>
      </c>
      <c r="I4248">
        <v>0</v>
      </c>
      <c r="J4248">
        <v>0</v>
      </c>
      <c r="K4248">
        <v>0</v>
      </c>
      <c r="L4248" t="s">
        <v>3284</v>
      </c>
      <c r="M4248" t="s">
        <v>3296</v>
      </c>
      <c r="N4248" t="s">
        <v>3343</v>
      </c>
      <c r="O4248" t="s">
        <v>3344</v>
      </c>
      <c r="P4248" t="s">
        <v>3345</v>
      </c>
      <c r="Q4248" t="s">
        <v>3346</v>
      </c>
      <c r="R4248" t="s">
        <v>13370</v>
      </c>
    </row>
    <row r="4249" spans="1:18" x14ac:dyDescent="0.2">
      <c r="A4249">
        <v>399497</v>
      </c>
      <c r="B4249" t="s">
        <v>13371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1</v>
      </c>
      <c r="J4249">
        <v>0</v>
      </c>
      <c r="K4249">
        <v>0</v>
      </c>
      <c r="L4249" t="s">
        <v>3284</v>
      </c>
      <c r="M4249" t="s">
        <v>3307</v>
      </c>
      <c r="N4249" t="s">
        <v>3308</v>
      </c>
      <c r="O4249" t="s">
        <v>3309</v>
      </c>
      <c r="P4249" t="s">
        <v>6036</v>
      </c>
      <c r="Q4249" t="s">
        <v>6037</v>
      </c>
      <c r="R4249" t="s">
        <v>13372</v>
      </c>
    </row>
    <row r="4250" spans="1:18" x14ac:dyDescent="0.2">
      <c r="A4250">
        <v>398199</v>
      </c>
      <c r="B4250" t="s">
        <v>13373</v>
      </c>
      <c r="C4250">
        <v>1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 t="s">
        <v>3284</v>
      </c>
      <c r="M4250" t="s">
        <v>3327</v>
      </c>
      <c r="N4250" t="s">
        <v>3328</v>
      </c>
      <c r="O4250" t="s">
        <v>3329</v>
      </c>
      <c r="P4250" t="s">
        <v>3330</v>
      </c>
      <c r="Q4250" t="s">
        <v>4946</v>
      </c>
      <c r="R4250" t="s">
        <v>13374</v>
      </c>
    </row>
    <row r="4251" spans="1:18" x14ac:dyDescent="0.2">
      <c r="A4251">
        <v>398050</v>
      </c>
      <c r="B4251" t="s">
        <v>13375</v>
      </c>
      <c r="C4251">
        <v>0</v>
      </c>
      <c r="D4251">
        <v>0</v>
      </c>
      <c r="E4251">
        <v>0</v>
      </c>
      <c r="F4251">
        <v>3</v>
      </c>
      <c r="G4251">
        <v>0</v>
      </c>
      <c r="H4251">
        <v>0</v>
      </c>
      <c r="I4251">
        <v>0</v>
      </c>
      <c r="J4251">
        <v>0</v>
      </c>
      <c r="K4251">
        <v>0</v>
      </c>
      <c r="L4251" t="s">
        <v>3284</v>
      </c>
      <c r="M4251" t="s">
        <v>3391</v>
      </c>
      <c r="N4251" t="s">
        <v>3392</v>
      </c>
      <c r="O4251" t="s">
        <v>3393</v>
      </c>
      <c r="P4251" t="s">
        <v>3394</v>
      </c>
      <c r="Q4251" t="s">
        <v>4082</v>
      </c>
      <c r="R4251" t="s">
        <v>13376</v>
      </c>
    </row>
    <row r="4252" spans="1:18" x14ac:dyDescent="0.2">
      <c r="A4252">
        <v>398049</v>
      </c>
      <c r="B4252" t="s">
        <v>13377</v>
      </c>
      <c r="C4252">
        <v>0</v>
      </c>
      <c r="D4252">
        <v>0</v>
      </c>
      <c r="E4252">
        <v>0</v>
      </c>
      <c r="F4252">
        <v>1</v>
      </c>
      <c r="G4252">
        <v>1</v>
      </c>
      <c r="H4252">
        <v>0</v>
      </c>
      <c r="I4252">
        <v>0</v>
      </c>
      <c r="J4252">
        <v>0</v>
      </c>
      <c r="K4252">
        <v>0</v>
      </c>
      <c r="L4252" t="s">
        <v>3284</v>
      </c>
      <c r="M4252" t="s">
        <v>3391</v>
      </c>
      <c r="N4252" t="s">
        <v>3392</v>
      </c>
      <c r="O4252" t="s">
        <v>3393</v>
      </c>
      <c r="P4252" t="s">
        <v>3394</v>
      </c>
      <c r="Q4252" t="s">
        <v>4082</v>
      </c>
      <c r="R4252" t="s">
        <v>13378</v>
      </c>
    </row>
    <row r="4253" spans="1:18" x14ac:dyDescent="0.2">
      <c r="A4253">
        <v>397260</v>
      </c>
      <c r="B4253" t="s">
        <v>13379</v>
      </c>
      <c r="C4253">
        <v>0</v>
      </c>
      <c r="D4253">
        <v>0</v>
      </c>
      <c r="E4253">
        <v>0</v>
      </c>
      <c r="F4253">
        <v>0</v>
      </c>
      <c r="G4253">
        <v>2</v>
      </c>
      <c r="H4253">
        <v>0</v>
      </c>
      <c r="I4253">
        <v>0</v>
      </c>
      <c r="J4253">
        <v>0</v>
      </c>
      <c r="K4253">
        <v>0</v>
      </c>
      <c r="L4253" t="s">
        <v>3284</v>
      </c>
      <c r="M4253" t="s">
        <v>3296</v>
      </c>
      <c r="N4253" t="s">
        <v>3343</v>
      </c>
      <c r="O4253" t="s">
        <v>3349</v>
      </c>
      <c r="P4253" t="s">
        <v>3350</v>
      </c>
      <c r="Q4253" t="s">
        <v>3580</v>
      </c>
      <c r="R4253" t="s">
        <v>13380</v>
      </c>
    </row>
    <row r="4254" spans="1:18" x14ac:dyDescent="0.2">
      <c r="A4254">
        <v>396808</v>
      </c>
      <c r="B4254" t="s">
        <v>13381</v>
      </c>
      <c r="C4254">
        <v>0</v>
      </c>
      <c r="D4254">
        <v>0</v>
      </c>
      <c r="E4254">
        <v>0</v>
      </c>
      <c r="F4254">
        <v>0</v>
      </c>
      <c r="G4254">
        <v>1</v>
      </c>
      <c r="H4254">
        <v>0</v>
      </c>
      <c r="I4254">
        <v>0</v>
      </c>
      <c r="J4254">
        <v>0</v>
      </c>
      <c r="K4254">
        <v>0</v>
      </c>
      <c r="L4254" t="s">
        <v>3284</v>
      </c>
      <c r="M4254" t="s">
        <v>3296</v>
      </c>
      <c r="N4254" t="s">
        <v>3321</v>
      </c>
      <c r="O4254" t="s">
        <v>5306</v>
      </c>
      <c r="P4254" t="s">
        <v>5385</v>
      </c>
      <c r="Q4254" t="s">
        <v>8432</v>
      </c>
      <c r="R4254" t="s">
        <v>13382</v>
      </c>
    </row>
    <row r="4255" spans="1:18" x14ac:dyDescent="0.2">
      <c r="A4255">
        <v>395933</v>
      </c>
      <c r="B4255" t="s">
        <v>13383</v>
      </c>
      <c r="C4255">
        <v>1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 t="s">
        <v>3284</v>
      </c>
      <c r="M4255" t="s">
        <v>3391</v>
      </c>
      <c r="N4255" t="s">
        <v>3411</v>
      </c>
      <c r="O4255" t="s">
        <v>3412</v>
      </c>
      <c r="P4255" t="s">
        <v>3564</v>
      </c>
      <c r="Q4255" t="s">
        <v>3803</v>
      </c>
      <c r="R4255" t="s">
        <v>13384</v>
      </c>
    </row>
    <row r="4256" spans="1:18" x14ac:dyDescent="0.2">
      <c r="A4256">
        <v>395631</v>
      </c>
      <c r="B4256" t="s">
        <v>13385</v>
      </c>
      <c r="C4256">
        <v>0</v>
      </c>
      <c r="D4256">
        <v>0</v>
      </c>
      <c r="E4256">
        <v>0</v>
      </c>
      <c r="F4256">
        <v>2</v>
      </c>
      <c r="G4256">
        <v>2</v>
      </c>
      <c r="H4256">
        <v>0</v>
      </c>
      <c r="I4256">
        <v>0</v>
      </c>
      <c r="J4256">
        <v>0</v>
      </c>
      <c r="K4256">
        <v>0</v>
      </c>
      <c r="L4256" t="s">
        <v>3284</v>
      </c>
      <c r="M4256" t="s">
        <v>3296</v>
      </c>
      <c r="N4256" t="s">
        <v>3297</v>
      </c>
      <c r="O4256" t="s">
        <v>3298</v>
      </c>
      <c r="P4256" t="s">
        <v>3826</v>
      </c>
      <c r="Q4256" t="s">
        <v>3827</v>
      </c>
      <c r="R4256" t="s">
        <v>13386</v>
      </c>
    </row>
    <row r="4257" spans="1:18" x14ac:dyDescent="0.2">
      <c r="A4257">
        <v>395087</v>
      </c>
      <c r="B4257" t="s">
        <v>13387</v>
      </c>
      <c r="C4257">
        <v>1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 t="s">
        <v>3284</v>
      </c>
      <c r="M4257" t="s">
        <v>3391</v>
      </c>
      <c r="N4257" t="s">
        <v>3411</v>
      </c>
      <c r="O4257" t="s">
        <v>3412</v>
      </c>
      <c r="P4257" t="s">
        <v>3413</v>
      </c>
      <c r="Q4257" t="s">
        <v>13388</v>
      </c>
      <c r="R4257" t="s">
        <v>13389</v>
      </c>
    </row>
    <row r="4258" spans="1:18" x14ac:dyDescent="0.2">
      <c r="A4258">
        <v>394958</v>
      </c>
      <c r="B4258" t="s">
        <v>13390</v>
      </c>
      <c r="C4258">
        <v>4</v>
      </c>
      <c r="D4258">
        <v>2</v>
      </c>
      <c r="E4258">
        <v>1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 t="s">
        <v>3284</v>
      </c>
      <c r="M4258" t="s">
        <v>3327</v>
      </c>
      <c r="N4258" t="s">
        <v>3328</v>
      </c>
      <c r="O4258" t="s">
        <v>3329</v>
      </c>
      <c r="P4258" t="s">
        <v>3330</v>
      </c>
      <c r="Q4258" t="s">
        <v>3331</v>
      </c>
      <c r="R4258" t="s">
        <v>13391</v>
      </c>
    </row>
    <row r="4259" spans="1:18" x14ac:dyDescent="0.2">
      <c r="A4259">
        <v>394751</v>
      </c>
      <c r="B4259" t="s">
        <v>13392</v>
      </c>
      <c r="C4259">
        <v>0</v>
      </c>
      <c r="D4259">
        <v>1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1</v>
      </c>
      <c r="L4259" t="s">
        <v>3284</v>
      </c>
      <c r="M4259" t="s">
        <v>3296</v>
      </c>
      <c r="N4259" t="s">
        <v>3297</v>
      </c>
      <c r="O4259" t="s">
        <v>4556</v>
      </c>
      <c r="P4259" t="s">
        <v>11249</v>
      </c>
      <c r="Q4259" t="s">
        <v>11250</v>
      </c>
      <c r="R4259" t="s">
        <v>13393</v>
      </c>
    </row>
    <row r="4260" spans="1:18" x14ac:dyDescent="0.2">
      <c r="A4260">
        <v>394734</v>
      </c>
      <c r="B4260" t="s">
        <v>13394</v>
      </c>
      <c r="C4260">
        <v>0</v>
      </c>
      <c r="D4260">
        <v>0</v>
      </c>
      <c r="E4260">
        <v>0</v>
      </c>
      <c r="F4260">
        <v>1</v>
      </c>
      <c r="G4260">
        <v>1</v>
      </c>
      <c r="H4260">
        <v>0</v>
      </c>
      <c r="I4260">
        <v>0</v>
      </c>
      <c r="J4260">
        <v>0</v>
      </c>
      <c r="K4260">
        <v>0</v>
      </c>
      <c r="L4260" t="s">
        <v>3284</v>
      </c>
      <c r="M4260" t="s">
        <v>3307</v>
      </c>
      <c r="N4260" t="s">
        <v>3308</v>
      </c>
      <c r="O4260" t="s">
        <v>3309</v>
      </c>
      <c r="P4260" t="s">
        <v>3310</v>
      </c>
      <c r="Q4260" t="s">
        <v>3311</v>
      </c>
      <c r="R4260" t="s">
        <v>13395</v>
      </c>
    </row>
    <row r="4261" spans="1:18" x14ac:dyDescent="0.2">
      <c r="A4261">
        <v>394732</v>
      </c>
      <c r="B4261" t="s">
        <v>13396</v>
      </c>
      <c r="C4261">
        <v>0</v>
      </c>
      <c r="D4261">
        <v>0</v>
      </c>
      <c r="E4261">
        <v>0</v>
      </c>
      <c r="F4261">
        <v>0</v>
      </c>
      <c r="G4261">
        <v>1</v>
      </c>
      <c r="H4261">
        <v>0</v>
      </c>
      <c r="I4261">
        <v>0</v>
      </c>
      <c r="J4261">
        <v>0</v>
      </c>
      <c r="K4261">
        <v>0</v>
      </c>
      <c r="L4261" t="s">
        <v>3284</v>
      </c>
      <c r="M4261" t="s">
        <v>3296</v>
      </c>
      <c r="N4261" t="s">
        <v>3343</v>
      </c>
      <c r="O4261" t="s">
        <v>3349</v>
      </c>
      <c r="P4261" t="s">
        <v>3350</v>
      </c>
      <c r="Q4261" t="s">
        <v>7455</v>
      </c>
      <c r="R4261" t="s">
        <v>13397</v>
      </c>
    </row>
    <row r="4262" spans="1:18" x14ac:dyDescent="0.2">
      <c r="A4262">
        <v>394559</v>
      </c>
      <c r="B4262" t="s">
        <v>13398</v>
      </c>
      <c r="C4262">
        <v>0</v>
      </c>
      <c r="D4262">
        <v>0</v>
      </c>
      <c r="E4262">
        <v>0</v>
      </c>
      <c r="F4262">
        <v>1</v>
      </c>
      <c r="G4262">
        <v>2</v>
      </c>
      <c r="H4262">
        <v>0</v>
      </c>
      <c r="I4262">
        <v>0</v>
      </c>
      <c r="J4262">
        <v>0</v>
      </c>
      <c r="K4262">
        <v>0</v>
      </c>
      <c r="L4262" t="s">
        <v>3284</v>
      </c>
      <c r="M4262" t="s">
        <v>3391</v>
      </c>
      <c r="N4262" t="s">
        <v>3411</v>
      </c>
      <c r="O4262" t="s">
        <v>3412</v>
      </c>
      <c r="P4262" t="s">
        <v>3413</v>
      </c>
      <c r="Q4262" t="s">
        <v>3414</v>
      </c>
      <c r="R4262" t="s">
        <v>13399</v>
      </c>
    </row>
    <row r="4263" spans="1:18" x14ac:dyDescent="0.2">
      <c r="A4263">
        <v>393921</v>
      </c>
      <c r="B4263" t="s">
        <v>13400</v>
      </c>
      <c r="C4263">
        <v>0</v>
      </c>
      <c r="D4263">
        <v>0</v>
      </c>
      <c r="E4263">
        <v>1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 t="s">
        <v>3284</v>
      </c>
      <c r="M4263" t="s">
        <v>3391</v>
      </c>
      <c r="N4263" t="s">
        <v>3765</v>
      </c>
      <c r="O4263" t="s">
        <v>3766</v>
      </c>
      <c r="P4263" t="s">
        <v>13401</v>
      </c>
      <c r="Q4263" t="s">
        <v>13402</v>
      </c>
      <c r="R4263" t="s">
        <v>13403</v>
      </c>
    </row>
    <row r="4264" spans="1:18" x14ac:dyDescent="0.2">
      <c r="A4264">
        <v>393907</v>
      </c>
      <c r="B4264" t="s">
        <v>13404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1</v>
      </c>
      <c r="L4264" t="s">
        <v>3284</v>
      </c>
      <c r="M4264" t="s">
        <v>3296</v>
      </c>
      <c r="N4264" t="s">
        <v>3297</v>
      </c>
      <c r="O4264" t="s">
        <v>7551</v>
      </c>
      <c r="P4264" t="s">
        <v>12278</v>
      </c>
      <c r="Q4264" t="s">
        <v>12279</v>
      </c>
      <c r="R4264" t="s">
        <v>13405</v>
      </c>
    </row>
    <row r="4265" spans="1:18" x14ac:dyDescent="0.2">
      <c r="A4265">
        <v>393762</v>
      </c>
      <c r="B4265" t="s">
        <v>13406</v>
      </c>
      <c r="C4265">
        <v>1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 t="s">
        <v>3284</v>
      </c>
      <c r="M4265" t="s">
        <v>3327</v>
      </c>
      <c r="N4265" t="s">
        <v>3328</v>
      </c>
      <c r="O4265" t="s">
        <v>4184</v>
      </c>
      <c r="P4265" t="s">
        <v>6312</v>
      </c>
      <c r="Q4265" t="s">
        <v>13248</v>
      </c>
      <c r="R4265" t="s">
        <v>13407</v>
      </c>
    </row>
    <row r="4266" spans="1:18" x14ac:dyDescent="0.2">
      <c r="A4266">
        <v>393481</v>
      </c>
      <c r="B4266" t="s">
        <v>13408</v>
      </c>
      <c r="C4266">
        <v>1</v>
      </c>
      <c r="D4266">
        <v>1</v>
      </c>
      <c r="E4266">
        <v>1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 t="s">
        <v>3284</v>
      </c>
      <c r="M4266" t="s">
        <v>3296</v>
      </c>
      <c r="N4266" t="s">
        <v>3343</v>
      </c>
      <c r="O4266" t="s">
        <v>3371</v>
      </c>
      <c r="P4266" t="s">
        <v>3688</v>
      </c>
      <c r="Q4266" t="s">
        <v>13409</v>
      </c>
      <c r="R4266" t="s">
        <v>13410</v>
      </c>
    </row>
    <row r="4267" spans="1:18" x14ac:dyDescent="0.2">
      <c r="A4267">
        <v>393267</v>
      </c>
      <c r="B4267" t="s">
        <v>13411</v>
      </c>
      <c r="C4267">
        <v>0</v>
      </c>
      <c r="D4267">
        <v>0</v>
      </c>
      <c r="E4267">
        <v>0</v>
      </c>
      <c r="F4267">
        <v>0</v>
      </c>
      <c r="G4267">
        <v>1</v>
      </c>
      <c r="H4267">
        <v>0</v>
      </c>
      <c r="I4267">
        <v>1</v>
      </c>
      <c r="J4267">
        <v>0</v>
      </c>
      <c r="K4267">
        <v>0</v>
      </c>
      <c r="L4267" t="s">
        <v>3284</v>
      </c>
      <c r="M4267" t="s">
        <v>3307</v>
      </c>
      <c r="N4267" t="s">
        <v>3308</v>
      </c>
      <c r="O4267" t="s">
        <v>3359</v>
      </c>
      <c r="P4267" t="s">
        <v>3360</v>
      </c>
      <c r="Q4267" t="s">
        <v>13325</v>
      </c>
      <c r="R4267" t="s">
        <v>13412</v>
      </c>
    </row>
    <row r="4268" spans="1:18" x14ac:dyDescent="0.2">
      <c r="A4268">
        <v>393250</v>
      </c>
      <c r="B4268" t="s">
        <v>13413</v>
      </c>
      <c r="C4268">
        <v>1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 t="s">
        <v>3284</v>
      </c>
      <c r="M4268" t="s">
        <v>3327</v>
      </c>
      <c r="N4268" t="s">
        <v>3376</v>
      </c>
      <c r="O4268" t="s">
        <v>3377</v>
      </c>
      <c r="P4268" t="s">
        <v>3604</v>
      </c>
      <c r="Q4268" t="s">
        <v>3668</v>
      </c>
      <c r="R4268" t="s">
        <v>13414</v>
      </c>
    </row>
    <row r="4269" spans="1:18" x14ac:dyDescent="0.2">
      <c r="A4269">
        <v>393003</v>
      </c>
      <c r="B4269" t="s">
        <v>13415</v>
      </c>
      <c r="C4269">
        <v>0</v>
      </c>
      <c r="D4269">
        <v>0</v>
      </c>
      <c r="E4269">
        <v>0</v>
      </c>
      <c r="F4269">
        <v>0</v>
      </c>
      <c r="G4269">
        <v>1</v>
      </c>
      <c r="H4269">
        <v>0</v>
      </c>
      <c r="I4269">
        <v>0</v>
      </c>
      <c r="J4269">
        <v>0</v>
      </c>
      <c r="K4269">
        <v>0</v>
      </c>
      <c r="L4269" t="s">
        <v>3284</v>
      </c>
      <c r="M4269" t="s">
        <v>3391</v>
      </c>
      <c r="N4269" t="s">
        <v>4129</v>
      </c>
      <c r="O4269" t="s">
        <v>4130</v>
      </c>
      <c r="P4269" t="s">
        <v>4131</v>
      </c>
      <c r="Q4269" t="s">
        <v>4132</v>
      </c>
      <c r="R4269" t="s">
        <v>13416</v>
      </c>
    </row>
    <row r="4270" spans="1:18" x14ac:dyDescent="0.2">
      <c r="A4270">
        <v>392589</v>
      </c>
      <c r="B4270" t="s">
        <v>13417</v>
      </c>
      <c r="C4270">
        <v>0</v>
      </c>
      <c r="D4270">
        <v>0</v>
      </c>
      <c r="E4270">
        <v>0</v>
      </c>
      <c r="F4270">
        <v>0</v>
      </c>
      <c r="G4270">
        <v>1</v>
      </c>
      <c r="H4270">
        <v>0</v>
      </c>
      <c r="I4270">
        <v>0</v>
      </c>
      <c r="J4270">
        <v>0</v>
      </c>
      <c r="K4270">
        <v>0</v>
      </c>
      <c r="L4270" t="s">
        <v>3284</v>
      </c>
      <c r="M4270" t="s">
        <v>3296</v>
      </c>
      <c r="N4270" t="s">
        <v>3297</v>
      </c>
      <c r="O4270" t="s">
        <v>3434</v>
      </c>
      <c r="P4270" t="s">
        <v>10290</v>
      </c>
      <c r="Q4270" t="s">
        <v>10291</v>
      </c>
      <c r="R4270" t="s">
        <v>13418</v>
      </c>
    </row>
    <row r="4271" spans="1:18" x14ac:dyDescent="0.2">
      <c r="A4271">
        <v>391953</v>
      </c>
      <c r="B4271" t="s">
        <v>13419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1</v>
      </c>
      <c r="J4271">
        <v>0</v>
      </c>
      <c r="K4271">
        <v>0</v>
      </c>
      <c r="L4271" t="s">
        <v>3284</v>
      </c>
      <c r="M4271" t="s">
        <v>3296</v>
      </c>
      <c r="N4271" t="s">
        <v>3321</v>
      </c>
      <c r="O4271" t="s">
        <v>3322</v>
      </c>
      <c r="P4271" t="s">
        <v>3671</v>
      </c>
      <c r="Q4271" t="s">
        <v>12394</v>
      </c>
      <c r="R4271" t="s">
        <v>13420</v>
      </c>
    </row>
    <row r="4272" spans="1:18" x14ac:dyDescent="0.2">
      <c r="A4272">
        <v>391905</v>
      </c>
      <c r="B4272" t="s">
        <v>13421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1</v>
      </c>
      <c r="I4272">
        <v>0</v>
      </c>
      <c r="J4272">
        <v>0</v>
      </c>
      <c r="K4272">
        <v>0</v>
      </c>
      <c r="L4272" t="s">
        <v>3284</v>
      </c>
      <c r="M4272" t="s">
        <v>3296</v>
      </c>
      <c r="N4272" t="s">
        <v>3343</v>
      </c>
      <c r="O4272" t="s">
        <v>3344</v>
      </c>
      <c r="P4272" t="s">
        <v>6791</v>
      </c>
      <c r="Q4272" t="s">
        <v>7770</v>
      </c>
      <c r="R4272" t="s">
        <v>13422</v>
      </c>
    </row>
    <row r="4273" spans="1:18" x14ac:dyDescent="0.2">
      <c r="A4273">
        <v>391600</v>
      </c>
      <c r="B4273" t="s">
        <v>13423</v>
      </c>
      <c r="C4273">
        <v>0</v>
      </c>
      <c r="D4273">
        <v>0</v>
      </c>
      <c r="E4273">
        <v>0</v>
      </c>
      <c r="F4273">
        <v>2</v>
      </c>
      <c r="G4273">
        <v>0</v>
      </c>
      <c r="H4273">
        <v>0</v>
      </c>
      <c r="I4273">
        <v>0</v>
      </c>
      <c r="J4273">
        <v>0</v>
      </c>
      <c r="K4273">
        <v>0</v>
      </c>
      <c r="L4273" t="s">
        <v>3284</v>
      </c>
      <c r="M4273" t="s">
        <v>3296</v>
      </c>
      <c r="N4273" t="s">
        <v>3343</v>
      </c>
      <c r="O4273" t="s">
        <v>3402</v>
      </c>
      <c r="P4273" t="s">
        <v>3403</v>
      </c>
      <c r="Q4273" t="s">
        <v>3536</v>
      </c>
      <c r="R4273" t="s">
        <v>13424</v>
      </c>
    </row>
    <row r="4274" spans="1:18" x14ac:dyDescent="0.2">
      <c r="A4274">
        <v>391597</v>
      </c>
      <c r="B4274" t="s">
        <v>13425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2</v>
      </c>
      <c r="J4274">
        <v>0</v>
      </c>
      <c r="K4274">
        <v>0</v>
      </c>
      <c r="L4274" t="s">
        <v>3284</v>
      </c>
      <c r="M4274" t="s">
        <v>3296</v>
      </c>
      <c r="N4274" t="s">
        <v>3321</v>
      </c>
      <c r="O4274" t="s">
        <v>3322</v>
      </c>
      <c r="P4274" t="s">
        <v>3423</v>
      </c>
      <c r="Q4274" t="s">
        <v>9486</v>
      </c>
      <c r="R4274" t="s">
        <v>13426</v>
      </c>
    </row>
    <row r="4275" spans="1:18" x14ac:dyDescent="0.2">
      <c r="A4275">
        <v>391596</v>
      </c>
      <c r="B4275" t="s">
        <v>13427</v>
      </c>
      <c r="C4275">
        <v>0</v>
      </c>
      <c r="D4275">
        <v>0</v>
      </c>
      <c r="E4275">
        <v>0</v>
      </c>
      <c r="F4275">
        <v>0</v>
      </c>
      <c r="G4275">
        <v>1</v>
      </c>
      <c r="H4275">
        <v>0</v>
      </c>
      <c r="I4275">
        <v>0</v>
      </c>
      <c r="J4275">
        <v>0</v>
      </c>
      <c r="K4275">
        <v>0</v>
      </c>
      <c r="L4275" t="s">
        <v>3284</v>
      </c>
      <c r="M4275" t="s">
        <v>3391</v>
      </c>
      <c r="N4275" t="s">
        <v>3392</v>
      </c>
      <c r="O4275" t="s">
        <v>3393</v>
      </c>
      <c r="P4275" t="s">
        <v>3394</v>
      </c>
      <c r="Q4275" t="s">
        <v>3395</v>
      </c>
      <c r="R4275" t="s">
        <v>13428</v>
      </c>
    </row>
    <row r="4276" spans="1:18" x14ac:dyDescent="0.2">
      <c r="A4276">
        <v>390806</v>
      </c>
      <c r="B4276" t="s">
        <v>13429</v>
      </c>
      <c r="C4276">
        <v>1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 t="s">
        <v>3284</v>
      </c>
      <c r="M4276" t="s">
        <v>3327</v>
      </c>
      <c r="N4276" t="s">
        <v>3328</v>
      </c>
      <c r="O4276" t="s">
        <v>4184</v>
      </c>
      <c r="P4276" t="s">
        <v>9429</v>
      </c>
      <c r="Q4276" t="s">
        <v>11461</v>
      </c>
      <c r="R4276" t="s">
        <v>13430</v>
      </c>
    </row>
    <row r="4277" spans="1:18" x14ac:dyDescent="0.2">
      <c r="A4277">
        <v>390242</v>
      </c>
      <c r="B4277" t="s">
        <v>13431</v>
      </c>
      <c r="C4277">
        <v>0</v>
      </c>
      <c r="D4277">
        <v>0</v>
      </c>
      <c r="E4277">
        <v>0</v>
      </c>
      <c r="F4277">
        <v>3</v>
      </c>
      <c r="G4277">
        <v>3</v>
      </c>
      <c r="H4277">
        <v>0</v>
      </c>
      <c r="I4277">
        <v>0</v>
      </c>
      <c r="J4277">
        <v>0</v>
      </c>
      <c r="K4277">
        <v>0</v>
      </c>
      <c r="L4277" t="s">
        <v>3284</v>
      </c>
      <c r="M4277" t="s">
        <v>3391</v>
      </c>
      <c r="N4277" t="s">
        <v>3392</v>
      </c>
      <c r="O4277" t="s">
        <v>3393</v>
      </c>
      <c r="P4277" t="s">
        <v>3394</v>
      </c>
      <c r="Q4277" t="s">
        <v>3395</v>
      </c>
      <c r="R4277" t="s">
        <v>13432</v>
      </c>
    </row>
    <row r="4278" spans="1:18" x14ac:dyDescent="0.2">
      <c r="A4278">
        <v>390241</v>
      </c>
      <c r="B4278" t="s">
        <v>13433</v>
      </c>
      <c r="C4278">
        <v>0</v>
      </c>
      <c r="D4278">
        <v>0</v>
      </c>
      <c r="E4278">
        <v>0</v>
      </c>
      <c r="F4278">
        <v>58</v>
      </c>
      <c r="G4278">
        <v>38</v>
      </c>
      <c r="H4278">
        <v>1</v>
      </c>
      <c r="I4278">
        <v>0</v>
      </c>
      <c r="J4278">
        <v>0</v>
      </c>
      <c r="K4278">
        <v>0</v>
      </c>
      <c r="L4278" t="s">
        <v>3284</v>
      </c>
      <c r="M4278" t="s">
        <v>3391</v>
      </c>
      <c r="N4278" t="s">
        <v>3392</v>
      </c>
      <c r="O4278" t="s">
        <v>3393</v>
      </c>
      <c r="P4278" t="s">
        <v>3394</v>
      </c>
      <c r="Q4278" t="s">
        <v>3395</v>
      </c>
      <c r="R4278" t="s">
        <v>13434</v>
      </c>
    </row>
    <row r="4279" spans="1:18" x14ac:dyDescent="0.2">
      <c r="A4279">
        <v>386892</v>
      </c>
      <c r="B4279" t="s">
        <v>13435</v>
      </c>
      <c r="C4279">
        <v>0</v>
      </c>
      <c r="D4279">
        <v>0</v>
      </c>
      <c r="E4279">
        <v>0</v>
      </c>
      <c r="F4279">
        <v>0</v>
      </c>
      <c r="G4279">
        <v>1</v>
      </c>
      <c r="H4279">
        <v>1</v>
      </c>
      <c r="I4279">
        <v>0</v>
      </c>
      <c r="J4279">
        <v>0</v>
      </c>
      <c r="K4279">
        <v>0</v>
      </c>
      <c r="L4279" t="s">
        <v>3284</v>
      </c>
      <c r="M4279" t="s">
        <v>3307</v>
      </c>
      <c r="N4279" t="s">
        <v>3308</v>
      </c>
      <c r="O4279" t="s">
        <v>3359</v>
      </c>
      <c r="P4279" t="s">
        <v>3360</v>
      </c>
      <c r="Q4279" t="s">
        <v>8548</v>
      </c>
      <c r="R4279" t="s">
        <v>13436</v>
      </c>
    </row>
    <row r="4280" spans="1:18" x14ac:dyDescent="0.2">
      <c r="A4280">
        <v>386305</v>
      </c>
      <c r="B4280" t="s">
        <v>13437</v>
      </c>
      <c r="C4280">
        <v>0</v>
      </c>
      <c r="D4280">
        <v>0</v>
      </c>
      <c r="E4280">
        <v>0</v>
      </c>
      <c r="F4280">
        <v>1</v>
      </c>
      <c r="G4280">
        <v>0</v>
      </c>
      <c r="H4280">
        <v>0</v>
      </c>
      <c r="I4280">
        <v>0</v>
      </c>
      <c r="J4280">
        <v>0</v>
      </c>
      <c r="K4280">
        <v>0</v>
      </c>
      <c r="L4280" t="s">
        <v>3284</v>
      </c>
      <c r="M4280" t="s">
        <v>3296</v>
      </c>
      <c r="N4280" t="s">
        <v>3343</v>
      </c>
      <c r="O4280" t="s">
        <v>3344</v>
      </c>
      <c r="P4280" t="s">
        <v>4076</v>
      </c>
      <c r="Q4280" t="s">
        <v>6071</v>
      </c>
      <c r="R4280" t="s">
        <v>13438</v>
      </c>
    </row>
    <row r="4281" spans="1:18" x14ac:dyDescent="0.2">
      <c r="A4281">
        <v>386302</v>
      </c>
      <c r="B4281" t="s">
        <v>13439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7</v>
      </c>
      <c r="J4281">
        <v>4</v>
      </c>
      <c r="K4281">
        <v>1</v>
      </c>
      <c r="L4281" t="s">
        <v>3284</v>
      </c>
      <c r="M4281" t="s">
        <v>3307</v>
      </c>
      <c r="N4281" t="s">
        <v>3308</v>
      </c>
      <c r="O4281" t="s">
        <v>3359</v>
      </c>
      <c r="P4281" t="s">
        <v>3360</v>
      </c>
      <c r="Q4281" t="s">
        <v>4121</v>
      </c>
      <c r="R4281" t="s">
        <v>13440</v>
      </c>
    </row>
    <row r="4282" spans="1:18" x14ac:dyDescent="0.2">
      <c r="A4282">
        <v>384636</v>
      </c>
      <c r="B4282" t="s">
        <v>13441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1</v>
      </c>
      <c r="J4282">
        <v>0</v>
      </c>
      <c r="K4282">
        <v>0</v>
      </c>
      <c r="L4282" t="s">
        <v>3284</v>
      </c>
      <c r="M4282" t="s">
        <v>3327</v>
      </c>
      <c r="N4282" t="s">
        <v>3328</v>
      </c>
      <c r="O4282" t="s">
        <v>4017</v>
      </c>
      <c r="P4282" t="s">
        <v>4018</v>
      </c>
      <c r="Q4282" t="s">
        <v>4019</v>
      </c>
      <c r="R4282" t="s">
        <v>13442</v>
      </c>
    </row>
    <row r="4283" spans="1:18" x14ac:dyDescent="0.2">
      <c r="A4283">
        <v>382454</v>
      </c>
      <c r="B4283" t="s">
        <v>13443</v>
      </c>
      <c r="C4283">
        <v>1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 t="s">
        <v>3284</v>
      </c>
      <c r="M4283" t="s">
        <v>3296</v>
      </c>
      <c r="N4283" t="s">
        <v>3297</v>
      </c>
      <c r="O4283" t="s">
        <v>9339</v>
      </c>
      <c r="P4283" t="s">
        <v>13444</v>
      </c>
      <c r="Q4283" t="s">
        <v>13445</v>
      </c>
      <c r="R4283" t="s">
        <v>13446</v>
      </c>
    </row>
    <row r="4284" spans="1:18" x14ac:dyDescent="0.2">
      <c r="A4284">
        <v>381665</v>
      </c>
      <c r="B4284" t="s">
        <v>13447</v>
      </c>
      <c r="C4284">
        <v>0</v>
      </c>
      <c r="D4284">
        <v>0</v>
      </c>
      <c r="E4284">
        <v>0</v>
      </c>
      <c r="F4284">
        <v>6</v>
      </c>
      <c r="G4284">
        <v>2</v>
      </c>
      <c r="H4284">
        <v>0</v>
      </c>
      <c r="I4284">
        <v>1</v>
      </c>
      <c r="J4284">
        <v>0</v>
      </c>
      <c r="K4284">
        <v>0</v>
      </c>
      <c r="L4284" t="s">
        <v>3284</v>
      </c>
      <c r="M4284" t="s">
        <v>3307</v>
      </c>
      <c r="N4284" t="s">
        <v>3308</v>
      </c>
      <c r="O4284" t="s">
        <v>3359</v>
      </c>
      <c r="P4284" t="s">
        <v>3360</v>
      </c>
      <c r="Q4284" t="s">
        <v>3561</v>
      </c>
      <c r="R4284" t="s">
        <v>13448</v>
      </c>
    </row>
    <row r="4285" spans="1:18" x14ac:dyDescent="0.2">
      <c r="A4285">
        <v>381431</v>
      </c>
      <c r="B4285" t="s">
        <v>13449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1</v>
      </c>
      <c r="K4285">
        <v>0</v>
      </c>
      <c r="L4285" t="s">
        <v>3284</v>
      </c>
      <c r="M4285" t="s">
        <v>3296</v>
      </c>
      <c r="N4285" t="s">
        <v>3297</v>
      </c>
      <c r="O4285" t="s">
        <v>9339</v>
      </c>
      <c r="P4285" t="s">
        <v>9340</v>
      </c>
      <c r="Q4285" t="s">
        <v>13450</v>
      </c>
      <c r="R4285" t="s">
        <v>13451</v>
      </c>
    </row>
    <row r="4286" spans="1:18" x14ac:dyDescent="0.2">
      <c r="A4286">
        <v>381093</v>
      </c>
      <c r="B4286" t="s">
        <v>13452</v>
      </c>
      <c r="C4286">
        <v>0</v>
      </c>
      <c r="D4286">
        <v>1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 t="s">
        <v>3284</v>
      </c>
      <c r="M4286" t="s">
        <v>3296</v>
      </c>
      <c r="N4286" t="s">
        <v>3321</v>
      </c>
      <c r="O4286" t="s">
        <v>3322</v>
      </c>
      <c r="P4286" t="s">
        <v>3671</v>
      </c>
      <c r="Q4286" t="s">
        <v>8149</v>
      </c>
      <c r="R4286" t="s">
        <v>13453</v>
      </c>
    </row>
    <row r="4287" spans="1:18" x14ac:dyDescent="0.2">
      <c r="A4287">
        <v>380084</v>
      </c>
      <c r="B4287" t="s">
        <v>13454</v>
      </c>
      <c r="C4287">
        <v>1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 t="s">
        <v>3284</v>
      </c>
      <c r="M4287" t="s">
        <v>3327</v>
      </c>
      <c r="N4287" t="s">
        <v>3753</v>
      </c>
      <c r="O4287" t="s">
        <v>3754</v>
      </c>
      <c r="P4287" t="s">
        <v>3755</v>
      </c>
      <c r="Q4287" t="s">
        <v>3756</v>
      </c>
      <c r="R4287" t="s">
        <v>13455</v>
      </c>
    </row>
    <row r="4288" spans="1:18" x14ac:dyDescent="0.2">
      <c r="A4288">
        <v>380021</v>
      </c>
      <c r="B4288" t="s">
        <v>13456</v>
      </c>
      <c r="C4288">
        <v>0</v>
      </c>
      <c r="D4288">
        <v>0</v>
      </c>
      <c r="E4288">
        <v>0</v>
      </c>
      <c r="F4288">
        <v>1</v>
      </c>
      <c r="G4288">
        <v>0</v>
      </c>
      <c r="H4288">
        <v>0</v>
      </c>
      <c r="I4288">
        <v>0</v>
      </c>
      <c r="J4288">
        <v>0</v>
      </c>
      <c r="K4288">
        <v>0</v>
      </c>
      <c r="L4288" t="s">
        <v>3284</v>
      </c>
      <c r="M4288" t="s">
        <v>3296</v>
      </c>
      <c r="N4288" t="s">
        <v>3297</v>
      </c>
      <c r="O4288" t="s">
        <v>3434</v>
      </c>
      <c r="P4288" t="s">
        <v>3435</v>
      </c>
      <c r="Q4288" t="s">
        <v>3436</v>
      </c>
      <c r="R4288" t="s">
        <v>13457</v>
      </c>
    </row>
    <row r="4289" spans="1:18" x14ac:dyDescent="0.2">
      <c r="A4289">
        <v>379900</v>
      </c>
      <c r="B4289" t="s">
        <v>13458</v>
      </c>
      <c r="C4289">
        <v>0</v>
      </c>
      <c r="D4289">
        <v>0</v>
      </c>
      <c r="E4289">
        <v>0</v>
      </c>
      <c r="F4289">
        <v>2</v>
      </c>
      <c r="G4289">
        <v>0</v>
      </c>
      <c r="H4289">
        <v>0</v>
      </c>
      <c r="I4289">
        <v>0</v>
      </c>
      <c r="J4289">
        <v>1</v>
      </c>
      <c r="K4289">
        <v>0</v>
      </c>
      <c r="L4289" t="s">
        <v>3284</v>
      </c>
      <c r="M4289" t="s">
        <v>3391</v>
      </c>
      <c r="N4289" t="s">
        <v>4129</v>
      </c>
      <c r="O4289" t="s">
        <v>4130</v>
      </c>
      <c r="P4289" t="s">
        <v>4131</v>
      </c>
      <c r="Q4289" t="s">
        <v>6011</v>
      </c>
      <c r="R4289" t="s">
        <v>13459</v>
      </c>
    </row>
    <row r="4290" spans="1:18" x14ac:dyDescent="0.2">
      <c r="A4290">
        <v>379895</v>
      </c>
      <c r="B4290" t="s">
        <v>13460</v>
      </c>
      <c r="C4290">
        <v>1</v>
      </c>
      <c r="D4290">
        <v>0</v>
      </c>
      <c r="E4290">
        <v>2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 t="s">
        <v>3284</v>
      </c>
      <c r="M4290" t="s">
        <v>3296</v>
      </c>
      <c r="N4290" t="s">
        <v>3321</v>
      </c>
      <c r="O4290" t="s">
        <v>3322</v>
      </c>
      <c r="P4290" t="s">
        <v>3398</v>
      </c>
      <c r="Q4290" t="s">
        <v>3806</v>
      </c>
      <c r="R4290" t="s">
        <v>13461</v>
      </c>
    </row>
    <row r="4291" spans="1:18" x14ac:dyDescent="0.2">
      <c r="A4291">
        <v>379684</v>
      </c>
      <c r="B4291" t="s">
        <v>13462</v>
      </c>
      <c r="C4291">
        <v>0</v>
      </c>
      <c r="D4291">
        <v>0</v>
      </c>
      <c r="E4291">
        <v>1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 t="s">
        <v>3284</v>
      </c>
      <c r="M4291" t="s">
        <v>3296</v>
      </c>
      <c r="N4291" t="s">
        <v>3343</v>
      </c>
      <c r="O4291" t="s">
        <v>3344</v>
      </c>
      <c r="P4291" t="s">
        <v>3355</v>
      </c>
      <c r="Q4291" t="s">
        <v>10314</v>
      </c>
      <c r="R4291" t="s">
        <v>13463</v>
      </c>
    </row>
    <row r="4292" spans="1:18" x14ac:dyDescent="0.2">
      <c r="A4292">
        <v>378548</v>
      </c>
      <c r="B4292" t="s">
        <v>13464</v>
      </c>
      <c r="C4292">
        <v>0</v>
      </c>
      <c r="D4292">
        <v>0</v>
      </c>
      <c r="E4292">
        <v>0</v>
      </c>
      <c r="F4292">
        <v>0</v>
      </c>
      <c r="G4292">
        <v>1</v>
      </c>
      <c r="H4292">
        <v>0</v>
      </c>
      <c r="I4292">
        <v>0</v>
      </c>
      <c r="J4292">
        <v>0</v>
      </c>
      <c r="K4292">
        <v>0</v>
      </c>
      <c r="L4292" t="s">
        <v>3284</v>
      </c>
      <c r="M4292" t="s">
        <v>3296</v>
      </c>
      <c r="N4292" t="s">
        <v>3343</v>
      </c>
      <c r="O4292" t="s">
        <v>3349</v>
      </c>
      <c r="P4292" t="s">
        <v>3350</v>
      </c>
      <c r="Q4292" t="s">
        <v>3351</v>
      </c>
      <c r="R4292" t="s">
        <v>13465</v>
      </c>
    </row>
    <row r="4293" spans="1:18" x14ac:dyDescent="0.2">
      <c r="A4293">
        <v>378543</v>
      </c>
      <c r="B4293" t="s">
        <v>13466</v>
      </c>
      <c r="C4293">
        <v>0</v>
      </c>
      <c r="D4293">
        <v>1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 t="s">
        <v>3284</v>
      </c>
      <c r="M4293" t="s">
        <v>3327</v>
      </c>
      <c r="N4293" t="s">
        <v>3376</v>
      </c>
      <c r="O4293" t="s">
        <v>3377</v>
      </c>
      <c r="P4293" t="s">
        <v>5934</v>
      </c>
      <c r="Q4293" t="s">
        <v>11758</v>
      </c>
      <c r="R4293" t="s">
        <v>13467</v>
      </c>
    </row>
    <row r="4294" spans="1:18" x14ac:dyDescent="0.2">
      <c r="A4294">
        <v>378404</v>
      </c>
      <c r="B4294" t="s">
        <v>13468</v>
      </c>
      <c r="C4294">
        <v>0</v>
      </c>
      <c r="D4294">
        <v>0</v>
      </c>
      <c r="E4294">
        <v>0</v>
      </c>
      <c r="F4294">
        <v>2</v>
      </c>
      <c r="G4294">
        <v>0</v>
      </c>
      <c r="H4294">
        <v>0</v>
      </c>
      <c r="I4294">
        <v>0</v>
      </c>
      <c r="J4294">
        <v>0</v>
      </c>
      <c r="K4294">
        <v>0</v>
      </c>
      <c r="L4294" t="s">
        <v>3284</v>
      </c>
      <c r="M4294" t="s">
        <v>3296</v>
      </c>
      <c r="N4294" t="s">
        <v>3343</v>
      </c>
      <c r="O4294" t="s">
        <v>3344</v>
      </c>
      <c r="P4294" t="s">
        <v>3367</v>
      </c>
      <c r="Q4294" t="s">
        <v>3368</v>
      </c>
      <c r="R4294" t="s">
        <v>13469</v>
      </c>
    </row>
    <row r="4295" spans="1:18" x14ac:dyDescent="0.2">
      <c r="A4295">
        <v>376815</v>
      </c>
      <c r="B4295" t="s">
        <v>13470</v>
      </c>
      <c r="C4295">
        <v>0</v>
      </c>
      <c r="D4295">
        <v>0</v>
      </c>
      <c r="E4295">
        <v>0</v>
      </c>
      <c r="F4295">
        <v>7</v>
      </c>
      <c r="G4295">
        <v>3</v>
      </c>
      <c r="H4295">
        <v>1</v>
      </c>
      <c r="I4295">
        <v>0</v>
      </c>
      <c r="J4295">
        <v>0</v>
      </c>
      <c r="K4295">
        <v>0</v>
      </c>
      <c r="L4295" t="s">
        <v>3284</v>
      </c>
      <c r="M4295" t="s">
        <v>3296</v>
      </c>
      <c r="N4295" t="s">
        <v>3321</v>
      </c>
      <c r="O4295" t="s">
        <v>3322</v>
      </c>
      <c r="P4295" t="s">
        <v>3398</v>
      </c>
      <c r="Q4295" t="s">
        <v>3399</v>
      </c>
      <c r="R4295" t="s">
        <v>13471</v>
      </c>
    </row>
    <row r="4296" spans="1:18" x14ac:dyDescent="0.2">
      <c r="A4296">
        <v>376620</v>
      </c>
      <c r="B4296" t="s">
        <v>13472</v>
      </c>
      <c r="C4296">
        <v>0</v>
      </c>
      <c r="D4296">
        <v>1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 t="s">
        <v>3284</v>
      </c>
      <c r="M4296" t="s">
        <v>3296</v>
      </c>
      <c r="N4296" t="s">
        <v>3343</v>
      </c>
      <c r="O4296" t="s">
        <v>3429</v>
      </c>
      <c r="P4296" t="s">
        <v>4336</v>
      </c>
      <c r="Q4296" t="s">
        <v>13473</v>
      </c>
      <c r="R4296" t="s">
        <v>13474</v>
      </c>
    </row>
    <row r="4297" spans="1:18" x14ac:dyDescent="0.2">
      <c r="A4297">
        <v>376470</v>
      </c>
      <c r="B4297" t="s">
        <v>13475</v>
      </c>
      <c r="C4297">
        <v>0</v>
      </c>
      <c r="D4297">
        <v>0</v>
      </c>
      <c r="E4297">
        <v>0</v>
      </c>
      <c r="F4297">
        <v>2</v>
      </c>
      <c r="G4297">
        <v>0</v>
      </c>
      <c r="H4297">
        <v>0</v>
      </c>
      <c r="I4297">
        <v>0</v>
      </c>
      <c r="J4297">
        <v>0</v>
      </c>
      <c r="K4297">
        <v>0</v>
      </c>
      <c r="L4297" t="s">
        <v>3284</v>
      </c>
      <c r="M4297" t="s">
        <v>3391</v>
      </c>
      <c r="N4297" t="s">
        <v>3392</v>
      </c>
      <c r="O4297" t="s">
        <v>3393</v>
      </c>
      <c r="P4297" t="s">
        <v>3394</v>
      </c>
      <c r="Q4297" t="s">
        <v>4524</v>
      </c>
      <c r="R4297" t="s">
        <v>13476</v>
      </c>
    </row>
    <row r="4298" spans="1:18" x14ac:dyDescent="0.2">
      <c r="A4298">
        <v>376175</v>
      </c>
      <c r="B4298" t="s">
        <v>13477</v>
      </c>
      <c r="C4298">
        <v>1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 t="s">
        <v>3284</v>
      </c>
      <c r="M4298" t="s">
        <v>3296</v>
      </c>
      <c r="N4298" t="s">
        <v>3321</v>
      </c>
      <c r="O4298" t="s">
        <v>3322</v>
      </c>
      <c r="P4298" t="s">
        <v>3671</v>
      </c>
      <c r="Q4298" t="s">
        <v>5595</v>
      </c>
      <c r="R4298" t="s">
        <v>13478</v>
      </c>
    </row>
    <row r="4299" spans="1:18" x14ac:dyDescent="0.2">
      <c r="A4299">
        <v>374655</v>
      </c>
      <c r="B4299" t="s">
        <v>13479</v>
      </c>
      <c r="C4299">
        <v>0</v>
      </c>
      <c r="D4299">
        <v>0</v>
      </c>
      <c r="E4299">
        <v>0</v>
      </c>
      <c r="F4299">
        <v>1</v>
      </c>
      <c r="G4299">
        <v>0</v>
      </c>
      <c r="H4299">
        <v>0</v>
      </c>
      <c r="I4299">
        <v>0</v>
      </c>
      <c r="J4299">
        <v>0</v>
      </c>
      <c r="K4299">
        <v>0</v>
      </c>
      <c r="L4299" t="s">
        <v>3284</v>
      </c>
      <c r="M4299" t="s">
        <v>3296</v>
      </c>
      <c r="N4299" t="s">
        <v>3343</v>
      </c>
      <c r="O4299" t="s">
        <v>3344</v>
      </c>
      <c r="P4299" t="s">
        <v>8284</v>
      </c>
      <c r="Q4299" t="s">
        <v>8285</v>
      </c>
      <c r="R4299" t="s">
        <v>13480</v>
      </c>
    </row>
    <row r="4300" spans="1:18" x14ac:dyDescent="0.2">
      <c r="A4300">
        <v>373672</v>
      </c>
      <c r="B4300" t="s">
        <v>13481</v>
      </c>
      <c r="C4300">
        <v>0</v>
      </c>
      <c r="D4300">
        <v>1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 t="s">
        <v>3284</v>
      </c>
      <c r="M4300" t="s">
        <v>3391</v>
      </c>
      <c r="N4300" t="s">
        <v>3411</v>
      </c>
      <c r="O4300" t="s">
        <v>3412</v>
      </c>
      <c r="P4300" t="s">
        <v>3564</v>
      </c>
      <c r="Q4300" t="s">
        <v>3803</v>
      </c>
      <c r="R4300" t="s">
        <v>13482</v>
      </c>
    </row>
    <row r="4301" spans="1:18" x14ac:dyDescent="0.2">
      <c r="A4301">
        <v>373671</v>
      </c>
      <c r="B4301" t="s">
        <v>13483</v>
      </c>
      <c r="C4301">
        <v>0</v>
      </c>
      <c r="D4301">
        <v>0</v>
      </c>
      <c r="E4301">
        <v>0</v>
      </c>
      <c r="F4301">
        <v>1</v>
      </c>
      <c r="G4301">
        <v>0</v>
      </c>
      <c r="H4301">
        <v>0</v>
      </c>
      <c r="I4301">
        <v>0</v>
      </c>
      <c r="J4301">
        <v>0</v>
      </c>
      <c r="K4301">
        <v>0</v>
      </c>
      <c r="L4301" t="s">
        <v>3284</v>
      </c>
      <c r="M4301" t="s">
        <v>3391</v>
      </c>
      <c r="N4301" t="s">
        <v>3411</v>
      </c>
      <c r="O4301" t="s">
        <v>3412</v>
      </c>
      <c r="P4301" t="s">
        <v>3564</v>
      </c>
      <c r="Q4301" t="s">
        <v>3565</v>
      </c>
      <c r="R4301" t="s">
        <v>13484</v>
      </c>
    </row>
    <row r="4302" spans="1:18" x14ac:dyDescent="0.2">
      <c r="A4302">
        <v>373668</v>
      </c>
      <c r="B4302" t="s">
        <v>13485</v>
      </c>
      <c r="C4302">
        <v>0</v>
      </c>
      <c r="D4302">
        <v>1</v>
      </c>
      <c r="E4302">
        <v>1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 t="s">
        <v>3284</v>
      </c>
      <c r="M4302" t="s">
        <v>3391</v>
      </c>
      <c r="N4302" t="s">
        <v>3411</v>
      </c>
      <c r="O4302" t="s">
        <v>3412</v>
      </c>
      <c r="P4302" t="s">
        <v>3564</v>
      </c>
      <c r="Q4302" t="s">
        <v>3803</v>
      </c>
      <c r="R4302" t="s">
        <v>13486</v>
      </c>
    </row>
    <row r="4303" spans="1:18" x14ac:dyDescent="0.2">
      <c r="A4303">
        <v>373043</v>
      </c>
      <c r="B4303" t="s">
        <v>13487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1</v>
      </c>
      <c r="L4303" t="s">
        <v>3284</v>
      </c>
      <c r="M4303" t="s">
        <v>3296</v>
      </c>
      <c r="N4303" t="s">
        <v>3343</v>
      </c>
      <c r="O4303" t="s">
        <v>3429</v>
      </c>
      <c r="P4303" t="s">
        <v>4336</v>
      </c>
      <c r="Q4303" t="s">
        <v>13488</v>
      </c>
      <c r="R4303" t="s">
        <v>13489</v>
      </c>
    </row>
    <row r="4304" spans="1:18" x14ac:dyDescent="0.2">
      <c r="A4304">
        <v>371731</v>
      </c>
      <c r="B4304" t="s">
        <v>13490</v>
      </c>
      <c r="C4304">
        <v>1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 t="s">
        <v>3284</v>
      </c>
      <c r="M4304" t="s">
        <v>3296</v>
      </c>
      <c r="N4304" t="s">
        <v>3343</v>
      </c>
      <c r="O4304" t="s">
        <v>3371</v>
      </c>
      <c r="P4304" t="s">
        <v>3271</v>
      </c>
      <c r="Q4304" t="s">
        <v>5409</v>
      </c>
      <c r="R4304" t="s">
        <v>13491</v>
      </c>
    </row>
    <row r="4305" spans="1:18" x14ac:dyDescent="0.2">
      <c r="A4305">
        <v>371036</v>
      </c>
      <c r="B4305" t="s">
        <v>13492</v>
      </c>
      <c r="C4305">
        <v>2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 t="s">
        <v>3284</v>
      </c>
      <c r="M4305" t="s">
        <v>3327</v>
      </c>
      <c r="N4305" t="s">
        <v>3376</v>
      </c>
      <c r="O4305" t="s">
        <v>3377</v>
      </c>
      <c r="P4305" t="s">
        <v>3378</v>
      </c>
      <c r="Q4305" t="s">
        <v>3615</v>
      </c>
      <c r="R4305" t="s">
        <v>13493</v>
      </c>
    </row>
    <row r="4306" spans="1:18" x14ac:dyDescent="0.2">
      <c r="A4306">
        <v>370979</v>
      </c>
      <c r="B4306" t="s">
        <v>13494</v>
      </c>
      <c r="C4306">
        <v>0</v>
      </c>
      <c r="D4306">
        <v>0</v>
      </c>
      <c r="E4306">
        <v>0</v>
      </c>
      <c r="F4306">
        <v>2</v>
      </c>
      <c r="G4306">
        <v>0</v>
      </c>
      <c r="H4306">
        <v>0</v>
      </c>
      <c r="I4306">
        <v>0</v>
      </c>
      <c r="J4306">
        <v>0</v>
      </c>
      <c r="K4306">
        <v>0</v>
      </c>
      <c r="L4306" t="s">
        <v>3284</v>
      </c>
      <c r="M4306" t="s">
        <v>3391</v>
      </c>
      <c r="N4306" t="s">
        <v>3411</v>
      </c>
      <c r="O4306" t="s">
        <v>3412</v>
      </c>
      <c r="P4306" t="s">
        <v>3413</v>
      </c>
      <c r="Q4306" t="s">
        <v>3414</v>
      </c>
      <c r="R4306" t="s">
        <v>13495</v>
      </c>
    </row>
    <row r="4307" spans="1:18" x14ac:dyDescent="0.2">
      <c r="A4307">
        <v>370978</v>
      </c>
      <c r="B4307" t="s">
        <v>13496</v>
      </c>
      <c r="C4307">
        <v>5</v>
      </c>
      <c r="D4307">
        <v>5</v>
      </c>
      <c r="E4307">
        <v>1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 t="s">
        <v>3284</v>
      </c>
      <c r="M4307" t="s">
        <v>3391</v>
      </c>
      <c r="N4307" t="s">
        <v>3740</v>
      </c>
      <c r="O4307" t="s">
        <v>3741</v>
      </c>
      <c r="P4307" t="s">
        <v>3742</v>
      </c>
      <c r="Q4307" t="s">
        <v>4997</v>
      </c>
      <c r="R4307" t="s">
        <v>13497</v>
      </c>
    </row>
    <row r="4308" spans="1:18" x14ac:dyDescent="0.2">
      <c r="A4308">
        <v>370973</v>
      </c>
      <c r="B4308" t="s">
        <v>13498</v>
      </c>
      <c r="C4308">
        <v>2</v>
      </c>
      <c r="D4308">
        <v>4</v>
      </c>
      <c r="E4308">
        <v>1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 t="s">
        <v>3284</v>
      </c>
      <c r="M4308" t="s">
        <v>3391</v>
      </c>
      <c r="N4308" t="s">
        <v>3740</v>
      </c>
      <c r="O4308" t="s">
        <v>3741</v>
      </c>
      <c r="P4308" t="s">
        <v>3742</v>
      </c>
      <c r="Q4308" t="s">
        <v>4997</v>
      </c>
      <c r="R4308" t="s">
        <v>13499</v>
      </c>
    </row>
    <row r="4309" spans="1:18" x14ac:dyDescent="0.2">
      <c r="A4309">
        <v>370959</v>
      </c>
      <c r="B4309" t="s">
        <v>13500</v>
      </c>
      <c r="C4309">
        <v>0</v>
      </c>
      <c r="D4309">
        <v>1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 t="s">
        <v>3284</v>
      </c>
      <c r="M4309" t="s">
        <v>3296</v>
      </c>
      <c r="N4309" t="s">
        <v>3343</v>
      </c>
      <c r="O4309" t="s">
        <v>3349</v>
      </c>
      <c r="P4309" t="s">
        <v>3350</v>
      </c>
      <c r="Q4309" t="s">
        <v>3580</v>
      </c>
      <c r="R4309" t="s">
        <v>13501</v>
      </c>
    </row>
    <row r="4310" spans="1:18" x14ac:dyDescent="0.2">
      <c r="A4310">
        <v>370764</v>
      </c>
      <c r="B4310" t="s">
        <v>13502</v>
      </c>
      <c r="C4310">
        <v>3</v>
      </c>
      <c r="D4310">
        <v>0</v>
      </c>
      <c r="E4310">
        <v>2</v>
      </c>
      <c r="F4310">
        <v>1</v>
      </c>
      <c r="G4310">
        <v>0</v>
      </c>
      <c r="H4310">
        <v>0</v>
      </c>
      <c r="I4310">
        <v>2</v>
      </c>
      <c r="J4310">
        <v>0</v>
      </c>
      <c r="K4310">
        <v>0</v>
      </c>
      <c r="L4310" t="s">
        <v>3284</v>
      </c>
      <c r="M4310" t="s">
        <v>3307</v>
      </c>
      <c r="N4310" t="s">
        <v>3308</v>
      </c>
      <c r="O4310" t="s">
        <v>3359</v>
      </c>
      <c r="P4310" t="s">
        <v>3360</v>
      </c>
      <c r="Q4310" t="s">
        <v>3361</v>
      </c>
      <c r="R4310" t="s">
        <v>13503</v>
      </c>
    </row>
    <row r="4311" spans="1:18" x14ac:dyDescent="0.2">
      <c r="A4311">
        <v>370622</v>
      </c>
      <c r="B4311" t="s">
        <v>13504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1</v>
      </c>
      <c r="K4311">
        <v>1</v>
      </c>
      <c r="L4311" t="s">
        <v>3284</v>
      </c>
      <c r="M4311" t="s">
        <v>3296</v>
      </c>
      <c r="N4311" t="s">
        <v>3343</v>
      </c>
      <c r="O4311" t="s">
        <v>3344</v>
      </c>
      <c r="P4311" t="s">
        <v>4347</v>
      </c>
      <c r="Q4311" t="s">
        <v>6412</v>
      </c>
      <c r="R4311" t="s">
        <v>13505</v>
      </c>
    </row>
    <row r="4312" spans="1:18" x14ac:dyDescent="0.2">
      <c r="A4312">
        <v>370111</v>
      </c>
      <c r="B4312" t="s">
        <v>13506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1</v>
      </c>
      <c r="I4312">
        <v>0</v>
      </c>
      <c r="J4312">
        <v>0</v>
      </c>
      <c r="K4312">
        <v>0</v>
      </c>
      <c r="L4312" t="s">
        <v>3284</v>
      </c>
      <c r="M4312" t="s">
        <v>3296</v>
      </c>
      <c r="N4312" t="s">
        <v>3343</v>
      </c>
      <c r="O4312" t="s">
        <v>3344</v>
      </c>
      <c r="P4312" t="s">
        <v>4076</v>
      </c>
      <c r="Q4312" t="s">
        <v>4077</v>
      </c>
      <c r="R4312" t="s">
        <v>13507</v>
      </c>
    </row>
    <row r="4313" spans="1:18" x14ac:dyDescent="0.2">
      <c r="A4313">
        <v>370038</v>
      </c>
      <c r="B4313" t="s">
        <v>13508</v>
      </c>
      <c r="C4313">
        <v>1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 t="s">
        <v>3284</v>
      </c>
      <c r="M4313" t="s">
        <v>6718</v>
      </c>
      <c r="N4313" t="s">
        <v>6719</v>
      </c>
      <c r="O4313" t="s">
        <v>6720</v>
      </c>
      <c r="P4313" t="s">
        <v>6721</v>
      </c>
      <c r="Q4313" t="s">
        <v>13509</v>
      </c>
      <c r="R4313" t="s">
        <v>13510</v>
      </c>
    </row>
    <row r="4314" spans="1:18" x14ac:dyDescent="0.2">
      <c r="A4314">
        <v>367474</v>
      </c>
      <c r="B4314" t="s">
        <v>13511</v>
      </c>
      <c r="C4314">
        <v>0</v>
      </c>
      <c r="D4314">
        <v>1</v>
      </c>
      <c r="E4314">
        <v>0</v>
      </c>
      <c r="F4314">
        <v>1</v>
      </c>
      <c r="G4314">
        <v>0</v>
      </c>
      <c r="H4314">
        <v>0</v>
      </c>
      <c r="I4314">
        <v>1</v>
      </c>
      <c r="J4314">
        <v>0</v>
      </c>
      <c r="K4314">
        <v>0</v>
      </c>
      <c r="L4314" t="s">
        <v>3284</v>
      </c>
      <c r="M4314" t="s">
        <v>3296</v>
      </c>
      <c r="N4314" t="s">
        <v>3321</v>
      </c>
      <c r="O4314" t="s">
        <v>3322</v>
      </c>
      <c r="P4314" t="s">
        <v>3398</v>
      </c>
      <c r="Q4314" t="s">
        <v>7951</v>
      </c>
      <c r="R4314" t="s">
        <v>13512</v>
      </c>
    </row>
    <row r="4315" spans="1:18" x14ac:dyDescent="0.2">
      <c r="A4315">
        <v>367190</v>
      </c>
      <c r="B4315" t="s">
        <v>13513</v>
      </c>
      <c r="C4315">
        <v>0</v>
      </c>
      <c r="D4315">
        <v>1</v>
      </c>
      <c r="E4315">
        <v>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 t="s">
        <v>3284</v>
      </c>
      <c r="M4315" t="s">
        <v>3296</v>
      </c>
      <c r="N4315" t="s">
        <v>3297</v>
      </c>
      <c r="O4315" t="s">
        <v>3298</v>
      </c>
      <c r="P4315" t="s">
        <v>3299</v>
      </c>
      <c r="Q4315" t="s">
        <v>4689</v>
      </c>
      <c r="R4315" t="s">
        <v>13514</v>
      </c>
    </row>
    <row r="4316" spans="1:18" x14ac:dyDescent="0.2">
      <c r="A4316">
        <v>366616</v>
      </c>
      <c r="B4316" t="s">
        <v>13515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1</v>
      </c>
      <c r="J4316">
        <v>0</v>
      </c>
      <c r="K4316">
        <v>0</v>
      </c>
      <c r="L4316" t="s">
        <v>3284</v>
      </c>
      <c r="M4316" t="s">
        <v>3296</v>
      </c>
      <c r="N4316" t="s">
        <v>3343</v>
      </c>
      <c r="O4316" t="s">
        <v>3371</v>
      </c>
      <c r="P4316" t="s">
        <v>3688</v>
      </c>
      <c r="Q4316" t="s">
        <v>13516</v>
      </c>
      <c r="R4316" t="s">
        <v>13517</v>
      </c>
    </row>
    <row r="4317" spans="1:18" x14ac:dyDescent="0.2">
      <c r="A4317">
        <v>366582</v>
      </c>
      <c r="B4317" t="s">
        <v>13518</v>
      </c>
      <c r="C4317">
        <v>0</v>
      </c>
      <c r="D4317">
        <v>1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 t="s">
        <v>3284</v>
      </c>
      <c r="M4317" t="s">
        <v>3296</v>
      </c>
      <c r="N4317" t="s">
        <v>3297</v>
      </c>
      <c r="O4317" t="s">
        <v>4556</v>
      </c>
      <c r="P4317" t="s">
        <v>4557</v>
      </c>
      <c r="Q4317" t="s">
        <v>13519</v>
      </c>
      <c r="R4317" t="s">
        <v>13520</v>
      </c>
    </row>
    <row r="4318" spans="1:18" x14ac:dyDescent="0.2">
      <c r="A4318">
        <v>366289</v>
      </c>
      <c r="B4318" t="s">
        <v>13521</v>
      </c>
      <c r="C4318">
        <v>0</v>
      </c>
      <c r="D4318">
        <v>0</v>
      </c>
      <c r="E4318">
        <v>0</v>
      </c>
      <c r="F4318">
        <v>1</v>
      </c>
      <c r="G4318">
        <v>0</v>
      </c>
      <c r="H4318">
        <v>0</v>
      </c>
      <c r="I4318">
        <v>0</v>
      </c>
      <c r="J4318">
        <v>0</v>
      </c>
      <c r="K4318">
        <v>0</v>
      </c>
      <c r="L4318" t="s">
        <v>3284</v>
      </c>
      <c r="M4318" t="s">
        <v>3296</v>
      </c>
      <c r="N4318" t="s">
        <v>3297</v>
      </c>
      <c r="O4318" t="s">
        <v>3434</v>
      </c>
      <c r="P4318" t="s">
        <v>3435</v>
      </c>
      <c r="Q4318" t="s">
        <v>3436</v>
      </c>
      <c r="R4318" t="s">
        <v>13522</v>
      </c>
    </row>
    <row r="4319" spans="1:18" x14ac:dyDescent="0.2">
      <c r="A4319">
        <v>365616</v>
      </c>
      <c r="B4319" t="s">
        <v>13523</v>
      </c>
      <c r="C4319">
        <v>1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 t="s">
        <v>3284</v>
      </c>
      <c r="M4319" t="s">
        <v>3327</v>
      </c>
      <c r="N4319" t="s">
        <v>3376</v>
      </c>
      <c r="O4319" t="s">
        <v>3377</v>
      </c>
      <c r="P4319" t="s">
        <v>3604</v>
      </c>
      <c r="Q4319" t="s">
        <v>3668</v>
      </c>
      <c r="R4319" t="s">
        <v>13524</v>
      </c>
    </row>
    <row r="4320" spans="1:18" x14ac:dyDescent="0.2">
      <c r="A4320">
        <v>365533</v>
      </c>
      <c r="B4320" t="s">
        <v>13525</v>
      </c>
      <c r="C4320">
        <v>0</v>
      </c>
      <c r="D4320">
        <v>1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 t="s">
        <v>3284</v>
      </c>
      <c r="M4320" t="s">
        <v>3296</v>
      </c>
      <c r="N4320" t="s">
        <v>3343</v>
      </c>
      <c r="O4320" t="s">
        <v>3429</v>
      </c>
      <c r="P4320" t="s">
        <v>3430</v>
      </c>
      <c r="Q4320" t="s">
        <v>6632</v>
      </c>
      <c r="R4320" t="s">
        <v>13526</v>
      </c>
    </row>
    <row r="4321" spans="1:18" x14ac:dyDescent="0.2">
      <c r="A4321">
        <v>365489</v>
      </c>
      <c r="B4321" t="s">
        <v>13527</v>
      </c>
      <c r="C4321">
        <v>8</v>
      </c>
      <c r="D4321">
        <v>12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 t="s">
        <v>3284</v>
      </c>
      <c r="M4321" t="s">
        <v>3391</v>
      </c>
      <c r="N4321" t="s">
        <v>3740</v>
      </c>
      <c r="O4321" t="s">
        <v>3741</v>
      </c>
      <c r="P4321" t="s">
        <v>3742</v>
      </c>
      <c r="Q4321" t="s">
        <v>4598</v>
      </c>
      <c r="R4321" t="s">
        <v>13528</v>
      </c>
    </row>
    <row r="4322" spans="1:18" x14ac:dyDescent="0.2">
      <c r="A4322">
        <v>365349</v>
      </c>
      <c r="B4322" t="s">
        <v>13529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1</v>
      </c>
      <c r="J4322">
        <v>0</v>
      </c>
      <c r="K4322">
        <v>0</v>
      </c>
      <c r="L4322" t="s">
        <v>3284</v>
      </c>
      <c r="M4322" t="s">
        <v>3327</v>
      </c>
      <c r="N4322" t="s">
        <v>3753</v>
      </c>
      <c r="O4322" t="s">
        <v>3754</v>
      </c>
      <c r="P4322" t="s">
        <v>3755</v>
      </c>
      <c r="Q4322" t="s">
        <v>3756</v>
      </c>
      <c r="R4322" t="s">
        <v>13530</v>
      </c>
    </row>
    <row r="4323" spans="1:18" x14ac:dyDescent="0.2">
      <c r="A4323">
        <v>365341</v>
      </c>
      <c r="B4323" t="s">
        <v>13531</v>
      </c>
      <c r="C4323">
        <v>0</v>
      </c>
      <c r="D4323">
        <v>0</v>
      </c>
      <c r="E4323">
        <v>0</v>
      </c>
      <c r="F4323">
        <v>0</v>
      </c>
      <c r="G4323">
        <v>1</v>
      </c>
      <c r="H4323">
        <v>0</v>
      </c>
      <c r="I4323">
        <v>0</v>
      </c>
      <c r="J4323">
        <v>0</v>
      </c>
      <c r="K4323">
        <v>0</v>
      </c>
      <c r="L4323" t="s">
        <v>3284</v>
      </c>
      <c r="M4323" t="s">
        <v>3296</v>
      </c>
      <c r="N4323" t="s">
        <v>3343</v>
      </c>
      <c r="O4323" t="s">
        <v>3349</v>
      </c>
      <c r="P4323" t="s">
        <v>3350</v>
      </c>
      <c r="Q4323" t="s">
        <v>4175</v>
      </c>
      <c r="R4323" t="s">
        <v>13532</v>
      </c>
    </row>
    <row r="4324" spans="1:18" x14ac:dyDescent="0.2">
      <c r="A4324">
        <v>365340</v>
      </c>
      <c r="B4324" t="s">
        <v>13533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1</v>
      </c>
      <c r="L4324" t="s">
        <v>3284</v>
      </c>
      <c r="M4324" t="s">
        <v>3296</v>
      </c>
      <c r="N4324" t="s">
        <v>3343</v>
      </c>
      <c r="O4324" t="s">
        <v>3371</v>
      </c>
      <c r="P4324" t="s">
        <v>3688</v>
      </c>
      <c r="Q4324" t="s">
        <v>11949</v>
      </c>
      <c r="R4324" t="s">
        <v>13534</v>
      </c>
    </row>
    <row r="4325" spans="1:18" x14ac:dyDescent="0.2">
      <c r="A4325">
        <v>364317</v>
      </c>
      <c r="B4325" t="s">
        <v>13535</v>
      </c>
      <c r="C4325">
        <v>1</v>
      </c>
      <c r="D4325">
        <v>1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 t="s">
        <v>3284</v>
      </c>
      <c r="M4325" t="s">
        <v>3296</v>
      </c>
      <c r="N4325" t="s">
        <v>3321</v>
      </c>
      <c r="O4325" t="s">
        <v>3322</v>
      </c>
      <c r="P4325" t="s">
        <v>3398</v>
      </c>
      <c r="Q4325" t="s">
        <v>12116</v>
      </c>
      <c r="R4325" t="s">
        <v>13536</v>
      </c>
    </row>
    <row r="4326" spans="1:18" x14ac:dyDescent="0.2">
      <c r="A4326">
        <v>364298</v>
      </c>
      <c r="B4326" t="s">
        <v>13537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1</v>
      </c>
      <c r="K4326">
        <v>0</v>
      </c>
      <c r="L4326" t="s">
        <v>3284</v>
      </c>
      <c r="M4326" t="s">
        <v>3307</v>
      </c>
      <c r="N4326" t="s">
        <v>3308</v>
      </c>
      <c r="O4326" t="s">
        <v>3359</v>
      </c>
      <c r="P4326" t="s">
        <v>3965</v>
      </c>
      <c r="Q4326" t="s">
        <v>13538</v>
      </c>
      <c r="R4326" t="s">
        <v>13539</v>
      </c>
    </row>
    <row r="4327" spans="1:18" x14ac:dyDescent="0.2">
      <c r="A4327">
        <v>364098</v>
      </c>
      <c r="B4327" t="s">
        <v>13540</v>
      </c>
      <c r="C4327">
        <v>0</v>
      </c>
      <c r="D4327">
        <v>0</v>
      </c>
      <c r="E4327">
        <v>0</v>
      </c>
      <c r="F4327">
        <v>0</v>
      </c>
      <c r="G4327">
        <v>1</v>
      </c>
      <c r="H4327">
        <v>0</v>
      </c>
      <c r="I4327">
        <v>0</v>
      </c>
      <c r="J4327">
        <v>0</v>
      </c>
      <c r="K4327">
        <v>0</v>
      </c>
      <c r="L4327" t="s">
        <v>3284</v>
      </c>
      <c r="M4327" t="s">
        <v>3296</v>
      </c>
      <c r="N4327" t="s">
        <v>3343</v>
      </c>
      <c r="O4327" t="s">
        <v>3349</v>
      </c>
      <c r="P4327" t="s">
        <v>5827</v>
      </c>
      <c r="Q4327" t="s">
        <v>13541</v>
      </c>
      <c r="R4327" t="s">
        <v>13542</v>
      </c>
    </row>
    <row r="4328" spans="1:18" x14ac:dyDescent="0.2">
      <c r="A4328">
        <v>364039</v>
      </c>
      <c r="B4328" t="s">
        <v>13543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1</v>
      </c>
      <c r="K4328">
        <v>0</v>
      </c>
      <c r="L4328" t="s">
        <v>3284</v>
      </c>
      <c r="M4328" t="s">
        <v>3296</v>
      </c>
      <c r="N4328" t="s">
        <v>3321</v>
      </c>
      <c r="O4328" t="s">
        <v>3322</v>
      </c>
      <c r="P4328" t="s">
        <v>3671</v>
      </c>
      <c r="Q4328" t="s">
        <v>8007</v>
      </c>
      <c r="R4328" t="s">
        <v>13544</v>
      </c>
    </row>
    <row r="4329" spans="1:18" x14ac:dyDescent="0.2">
      <c r="A4329">
        <v>364029</v>
      </c>
      <c r="B4329" t="s">
        <v>13545</v>
      </c>
      <c r="C4329">
        <v>0</v>
      </c>
      <c r="D4329">
        <v>1</v>
      </c>
      <c r="E4329">
        <v>0</v>
      </c>
      <c r="F4329">
        <v>1</v>
      </c>
      <c r="G4329">
        <v>0</v>
      </c>
      <c r="H4329">
        <v>0</v>
      </c>
      <c r="I4329">
        <v>0</v>
      </c>
      <c r="J4329">
        <v>0</v>
      </c>
      <c r="K4329">
        <v>0</v>
      </c>
      <c r="L4329" t="s">
        <v>3284</v>
      </c>
      <c r="M4329" t="s">
        <v>3296</v>
      </c>
      <c r="N4329" t="s">
        <v>3321</v>
      </c>
      <c r="O4329" t="s">
        <v>3322</v>
      </c>
      <c r="P4329" t="s">
        <v>3398</v>
      </c>
      <c r="Q4329" t="s">
        <v>3806</v>
      </c>
      <c r="R4329" t="s">
        <v>13546</v>
      </c>
    </row>
    <row r="4330" spans="1:18" x14ac:dyDescent="0.2">
      <c r="A4330">
        <v>363952</v>
      </c>
      <c r="B4330" t="s">
        <v>13547</v>
      </c>
      <c r="C4330">
        <v>16</v>
      </c>
      <c r="D4330">
        <v>24</v>
      </c>
      <c r="E4330">
        <v>40</v>
      </c>
      <c r="F4330">
        <v>1</v>
      </c>
      <c r="G4330">
        <v>0</v>
      </c>
      <c r="H4330">
        <v>0</v>
      </c>
      <c r="I4330">
        <v>0</v>
      </c>
      <c r="J4330">
        <v>1</v>
      </c>
      <c r="K4330">
        <v>0</v>
      </c>
      <c r="L4330" t="s">
        <v>3284</v>
      </c>
      <c r="M4330" t="s">
        <v>3296</v>
      </c>
      <c r="N4330" t="s">
        <v>3321</v>
      </c>
      <c r="O4330" t="s">
        <v>3322</v>
      </c>
      <c r="P4330" t="s">
        <v>3398</v>
      </c>
      <c r="Q4330" t="s">
        <v>3806</v>
      </c>
      <c r="R4330" t="s">
        <v>13548</v>
      </c>
    </row>
    <row r="4331" spans="1:18" x14ac:dyDescent="0.2">
      <c r="A4331">
        <v>363870</v>
      </c>
      <c r="B4331" t="s">
        <v>13549</v>
      </c>
      <c r="C4331">
        <v>1</v>
      </c>
      <c r="D4331">
        <v>0</v>
      </c>
      <c r="E4331">
        <v>1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 t="s">
        <v>3284</v>
      </c>
      <c r="M4331" t="s">
        <v>3327</v>
      </c>
      <c r="N4331" t="s">
        <v>3376</v>
      </c>
      <c r="O4331" t="s">
        <v>3377</v>
      </c>
      <c r="P4331" t="s">
        <v>3378</v>
      </c>
      <c r="Q4331" t="s">
        <v>13550</v>
      </c>
      <c r="R4331" t="s">
        <v>13551</v>
      </c>
    </row>
    <row r="4332" spans="1:18" x14ac:dyDescent="0.2">
      <c r="A4332">
        <v>363868</v>
      </c>
      <c r="B4332" t="s">
        <v>13552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1</v>
      </c>
      <c r="J4332">
        <v>0</v>
      </c>
      <c r="K4332">
        <v>0</v>
      </c>
      <c r="L4332" t="s">
        <v>3284</v>
      </c>
      <c r="M4332" t="s">
        <v>3307</v>
      </c>
      <c r="N4332" t="s">
        <v>3308</v>
      </c>
      <c r="O4332" t="s">
        <v>3309</v>
      </c>
      <c r="P4332" t="s">
        <v>3310</v>
      </c>
      <c r="Q4332" t="s">
        <v>3311</v>
      </c>
      <c r="R4332" t="s">
        <v>13553</v>
      </c>
    </row>
    <row r="4333" spans="1:18" x14ac:dyDescent="0.2">
      <c r="A4333">
        <v>363863</v>
      </c>
      <c r="B4333" t="s">
        <v>13554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1</v>
      </c>
      <c r="J4333">
        <v>1</v>
      </c>
      <c r="K4333">
        <v>0</v>
      </c>
      <c r="L4333" t="s">
        <v>3284</v>
      </c>
      <c r="M4333" t="s">
        <v>3307</v>
      </c>
      <c r="N4333" t="s">
        <v>3308</v>
      </c>
      <c r="O4333" t="s">
        <v>3309</v>
      </c>
      <c r="P4333" t="s">
        <v>6036</v>
      </c>
      <c r="Q4333" t="s">
        <v>7956</v>
      </c>
      <c r="R4333" t="s">
        <v>13555</v>
      </c>
    </row>
    <row r="4334" spans="1:18" x14ac:dyDescent="0.2">
      <c r="A4334">
        <v>363853</v>
      </c>
      <c r="B4334" t="s">
        <v>13556</v>
      </c>
      <c r="C4334">
        <v>0</v>
      </c>
      <c r="D4334">
        <v>0</v>
      </c>
      <c r="E4334">
        <v>0</v>
      </c>
      <c r="F4334">
        <v>4</v>
      </c>
      <c r="G4334">
        <v>2</v>
      </c>
      <c r="H4334">
        <v>0</v>
      </c>
      <c r="I4334">
        <v>0</v>
      </c>
      <c r="J4334">
        <v>0</v>
      </c>
      <c r="K4334">
        <v>0</v>
      </c>
      <c r="L4334" t="s">
        <v>3284</v>
      </c>
      <c r="M4334" t="s">
        <v>3391</v>
      </c>
      <c r="N4334" t="s">
        <v>3411</v>
      </c>
      <c r="O4334" t="s">
        <v>3412</v>
      </c>
      <c r="P4334" t="s">
        <v>3564</v>
      </c>
      <c r="Q4334" t="s">
        <v>3803</v>
      </c>
      <c r="R4334" t="s">
        <v>13557</v>
      </c>
    </row>
    <row r="4335" spans="1:18" x14ac:dyDescent="0.2">
      <c r="A4335">
        <v>363852</v>
      </c>
      <c r="B4335" t="s">
        <v>13558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3</v>
      </c>
      <c r="J4335">
        <v>0</v>
      </c>
      <c r="K4335">
        <v>0</v>
      </c>
      <c r="L4335" t="s">
        <v>3284</v>
      </c>
      <c r="M4335" t="s">
        <v>3391</v>
      </c>
      <c r="N4335" t="s">
        <v>3392</v>
      </c>
      <c r="O4335" t="s">
        <v>3393</v>
      </c>
      <c r="P4335" t="s">
        <v>3394</v>
      </c>
      <c r="Q4335" t="s">
        <v>3395</v>
      </c>
      <c r="R4335" t="s">
        <v>13559</v>
      </c>
    </row>
    <row r="4336" spans="1:18" x14ac:dyDescent="0.2">
      <c r="A4336">
        <v>363844</v>
      </c>
      <c r="B4336" t="s">
        <v>13560</v>
      </c>
      <c r="C4336">
        <v>0</v>
      </c>
      <c r="D4336">
        <v>0</v>
      </c>
      <c r="E4336">
        <v>0</v>
      </c>
      <c r="F4336">
        <v>75</v>
      </c>
      <c r="G4336">
        <v>50</v>
      </c>
      <c r="H4336">
        <v>15</v>
      </c>
      <c r="I4336">
        <v>3</v>
      </c>
      <c r="J4336">
        <v>2</v>
      </c>
      <c r="K4336">
        <v>0</v>
      </c>
      <c r="L4336" t="s">
        <v>3284</v>
      </c>
      <c r="M4336" t="s">
        <v>3296</v>
      </c>
      <c r="N4336" t="s">
        <v>3321</v>
      </c>
      <c r="O4336" t="s">
        <v>3322</v>
      </c>
      <c r="P4336" t="s">
        <v>3398</v>
      </c>
      <c r="Q4336" t="s">
        <v>3399</v>
      </c>
      <c r="R4336" t="s">
        <v>13561</v>
      </c>
    </row>
    <row r="4337" spans="1:18" x14ac:dyDescent="0.2">
      <c r="A4337">
        <v>363841</v>
      </c>
      <c r="B4337" t="s">
        <v>13562</v>
      </c>
      <c r="C4337">
        <v>0</v>
      </c>
      <c r="D4337">
        <v>0</v>
      </c>
      <c r="E4337">
        <v>0</v>
      </c>
      <c r="F4337">
        <v>2</v>
      </c>
      <c r="G4337">
        <v>0</v>
      </c>
      <c r="H4337">
        <v>0</v>
      </c>
      <c r="I4337">
        <v>0</v>
      </c>
      <c r="J4337">
        <v>0</v>
      </c>
      <c r="K4337">
        <v>0</v>
      </c>
      <c r="L4337" t="s">
        <v>3284</v>
      </c>
      <c r="M4337" t="s">
        <v>3296</v>
      </c>
      <c r="N4337" t="s">
        <v>3343</v>
      </c>
      <c r="O4337" t="s">
        <v>3349</v>
      </c>
      <c r="P4337" t="s">
        <v>3350</v>
      </c>
      <c r="Q4337" t="s">
        <v>5444</v>
      </c>
      <c r="R4337" t="s">
        <v>13563</v>
      </c>
    </row>
    <row r="4338" spans="1:18" x14ac:dyDescent="0.2">
      <c r="A4338">
        <v>363832</v>
      </c>
      <c r="B4338" t="s">
        <v>13564</v>
      </c>
      <c r="C4338">
        <v>0</v>
      </c>
      <c r="D4338">
        <v>1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 t="s">
        <v>3284</v>
      </c>
      <c r="M4338" t="s">
        <v>3307</v>
      </c>
      <c r="N4338" t="s">
        <v>3989</v>
      </c>
      <c r="O4338" t="s">
        <v>3990</v>
      </c>
      <c r="P4338" t="s">
        <v>13565</v>
      </c>
      <c r="Q4338" t="s">
        <v>13566</v>
      </c>
      <c r="R4338" t="s">
        <v>13567</v>
      </c>
    </row>
    <row r="4339" spans="1:18" x14ac:dyDescent="0.2">
      <c r="A4339">
        <v>363630</v>
      </c>
      <c r="B4339" t="s">
        <v>13568</v>
      </c>
      <c r="C4339">
        <v>0</v>
      </c>
      <c r="D4339">
        <v>0</v>
      </c>
      <c r="E4339">
        <v>0</v>
      </c>
      <c r="F4339">
        <v>1</v>
      </c>
      <c r="G4339">
        <v>0</v>
      </c>
      <c r="H4339">
        <v>0</v>
      </c>
      <c r="I4339">
        <v>0</v>
      </c>
      <c r="J4339">
        <v>0</v>
      </c>
      <c r="K4339">
        <v>0</v>
      </c>
      <c r="L4339" t="s">
        <v>3284</v>
      </c>
      <c r="M4339" t="s">
        <v>3307</v>
      </c>
      <c r="N4339" t="s">
        <v>3308</v>
      </c>
      <c r="O4339" t="s">
        <v>13569</v>
      </c>
      <c r="P4339" t="s">
        <v>13570</v>
      </c>
      <c r="Q4339" t="s">
        <v>13571</v>
      </c>
      <c r="R4339" t="s">
        <v>13572</v>
      </c>
    </row>
    <row r="4340" spans="1:18" x14ac:dyDescent="0.2">
      <c r="A4340">
        <v>363259</v>
      </c>
      <c r="B4340" t="s">
        <v>13573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5</v>
      </c>
      <c r="J4340">
        <v>0</v>
      </c>
      <c r="K4340">
        <v>0</v>
      </c>
      <c r="L4340" t="s">
        <v>3284</v>
      </c>
      <c r="M4340" t="s">
        <v>3296</v>
      </c>
      <c r="N4340" t="s">
        <v>3343</v>
      </c>
      <c r="O4340" t="s">
        <v>3344</v>
      </c>
      <c r="P4340" t="s">
        <v>3387</v>
      </c>
      <c r="Q4340" t="s">
        <v>3388</v>
      </c>
      <c r="R4340" t="s">
        <v>13574</v>
      </c>
    </row>
    <row r="4341" spans="1:18" x14ac:dyDescent="0.2">
      <c r="A4341">
        <v>362649</v>
      </c>
      <c r="B4341" t="s">
        <v>13575</v>
      </c>
      <c r="C4341">
        <v>0</v>
      </c>
      <c r="D4341">
        <v>1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1</v>
      </c>
      <c r="K4341">
        <v>0</v>
      </c>
      <c r="L4341" t="s">
        <v>3284</v>
      </c>
      <c r="M4341" t="s">
        <v>3307</v>
      </c>
      <c r="N4341" t="s">
        <v>3308</v>
      </c>
      <c r="O4341" t="s">
        <v>3359</v>
      </c>
      <c r="P4341" t="s">
        <v>3360</v>
      </c>
      <c r="Q4341" t="s">
        <v>3361</v>
      </c>
      <c r="R4341" t="s">
        <v>13576</v>
      </c>
    </row>
    <row r="4342" spans="1:18" x14ac:dyDescent="0.2">
      <c r="A4342">
        <v>362418</v>
      </c>
      <c r="B4342" t="s">
        <v>13577</v>
      </c>
      <c r="C4342">
        <v>0</v>
      </c>
      <c r="D4342">
        <v>0</v>
      </c>
      <c r="E4342">
        <v>0</v>
      </c>
      <c r="F4342">
        <v>1</v>
      </c>
      <c r="G4342">
        <v>1</v>
      </c>
      <c r="H4342">
        <v>0</v>
      </c>
      <c r="I4342">
        <v>0</v>
      </c>
      <c r="J4342">
        <v>0</v>
      </c>
      <c r="K4342">
        <v>0</v>
      </c>
      <c r="L4342" t="s">
        <v>3284</v>
      </c>
      <c r="M4342" t="s">
        <v>3391</v>
      </c>
      <c r="N4342" t="s">
        <v>3411</v>
      </c>
      <c r="O4342" t="s">
        <v>3412</v>
      </c>
      <c r="P4342" t="s">
        <v>3413</v>
      </c>
      <c r="Q4342" t="s">
        <v>3414</v>
      </c>
      <c r="R4342" t="s">
        <v>13578</v>
      </c>
    </row>
    <row r="4343" spans="1:18" x14ac:dyDescent="0.2">
      <c r="A4343">
        <v>362413</v>
      </c>
      <c r="B4343" t="s">
        <v>13579</v>
      </c>
      <c r="C4343">
        <v>0</v>
      </c>
      <c r="D4343">
        <v>0</v>
      </c>
      <c r="E4343">
        <v>0</v>
      </c>
      <c r="F4343">
        <v>1</v>
      </c>
      <c r="G4343">
        <v>0</v>
      </c>
      <c r="H4343">
        <v>0</v>
      </c>
      <c r="I4343">
        <v>0</v>
      </c>
      <c r="J4343">
        <v>0</v>
      </c>
      <c r="K4343">
        <v>0</v>
      </c>
      <c r="L4343" t="s">
        <v>3284</v>
      </c>
      <c r="M4343" t="s">
        <v>3391</v>
      </c>
      <c r="N4343" t="s">
        <v>3411</v>
      </c>
      <c r="O4343" t="s">
        <v>3412</v>
      </c>
      <c r="P4343" t="s">
        <v>3413</v>
      </c>
      <c r="Q4343" t="s">
        <v>3414</v>
      </c>
      <c r="R4343" t="s">
        <v>13580</v>
      </c>
    </row>
    <row r="4344" spans="1:18" x14ac:dyDescent="0.2">
      <c r="A4344">
        <v>360422</v>
      </c>
      <c r="B4344" t="s">
        <v>13581</v>
      </c>
      <c r="C4344">
        <v>14</v>
      </c>
      <c r="D4344">
        <v>7</v>
      </c>
      <c r="E4344">
        <v>13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 t="s">
        <v>3284</v>
      </c>
      <c r="M4344" t="s">
        <v>3327</v>
      </c>
      <c r="N4344" t="s">
        <v>3328</v>
      </c>
      <c r="O4344" t="s">
        <v>3329</v>
      </c>
      <c r="P4344" t="s">
        <v>3330</v>
      </c>
      <c r="Q4344" t="s">
        <v>3331</v>
      </c>
      <c r="R4344" t="s">
        <v>13582</v>
      </c>
    </row>
    <row r="4345" spans="1:18" x14ac:dyDescent="0.2">
      <c r="A4345">
        <v>360412</v>
      </c>
      <c r="B4345" t="s">
        <v>13583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1</v>
      </c>
      <c r="K4345">
        <v>0</v>
      </c>
      <c r="L4345" t="s">
        <v>3284</v>
      </c>
      <c r="M4345" t="s">
        <v>6855</v>
      </c>
      <c r="N4345" t="s">
        <v>13584</v>
      </c>
      <c r="O4345" t="s">
        <v>13585</v>
      </c>
      <c r="P4345" t="s">
        <v>13586</v>
      </c>
      <c r="Q4345" t="s">
        <v>13587</v>
      </c>
      <c r="R4345" t="s">
        <v>13588</v>
      </c>
    </row>
    <row r="4346" spans="1:18" x14ac:dyDescent="0.2">
      <c r="A4346">
        <v>360411</v>
      </c>
      <c r="B4346" t="s">
        <v>13589</v>
      </c>
      <c r="C4346">
        <v>0</v>
      </c>
      <c r="D4346">
        <v>1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 t="s">
        <v>3284</v>
      </c>
      <c r="M4346" t="s">
        <v>6855</v>
      </c>
      <c r="N4346" t="s">
        <v>13584</v>
      </c>
      <c r="O4346" t="s">
        <v>13585</v>
      </c>
      <c r="P4346" t="s">
        <v>13586</v>
      </c>
      <c r="Q4346" t="s">
        <v>13590</v>
      </c>
      <c r="R4346" t="s">
        <v>13591</v>
      </c>
    </row>
    <row r="4347" spans="1:18" x14ac:dyDescent="0.2">
      <c r="A4347">
        <v>360310</v>
      </c>
      <c r="B4347" t="s">
        <v>13592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1</v>
      </c>
      <c r="K4347">
        <v>0</v>
      </c>
      <c r="L4347" t="s">
        <v>3284</v>
      </c>
      <c r="M4347" t="s">
        <v>3327</v>
      </c>
      <c r="N4347" t="s">
        <v>3376</v>
      </c>
      <c r="O4347" t="s">
        <v>3377</v>
      </c>
      <c r="P4347" t="s">
        <v>3378</v>
      </c>
      <c r="Q4347" t="s">
        <v>3379</v>
      </c>
      <c r="R4347" t="s">
        <v>13593</v>
      </c>
    </row>
    <row r="4348" spans="1:18" x14ac:dyDescent="0.2">
      <c r="A4348">
        <v>360241</v>
      </c>
      <c r="B4348" t="s">
        <v>13594</v>
      </c>
      <c r="C4348">
        <v>4</v>
      </c>
      <c r="D4348">
        <v>6</v>
      </c>
      <c r="E4348">
        <v>3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 t="s">
        <v>3284</v>
      </c>
      <c r="M4348" t="s">
        <v>3296</v>
      </c>
      <c r="N4348" t="s">
        <v>3321</v>
      </c>
      <c r="O4348" t="s">
        <v>3322</v>
      </c>
      <c r="P4348" t="s">
        <v>3271</v>
      </c>
      <c r="Q4348" t="s">
        <v>7487</v>
      </c>
      <c r="R4348" t="s">
        <v>13595</v>
      </c>
    </row>
    <row r="4349" spans="1:18" x14ac:dyDescent="0.2">
      <c r="A4349">
        <v>360056</v>
      </c>
      <c r="B4349" t="s">
        <v>13596</v>
      </c>
      <c r="C4349">
        <v>0</v>
      </c>
      <c r="D4349">
        <v>1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 t="s">
        <v>3284</v>
      </c>
      <c r="M4349" t="s">
        <v>3794</v>
      </c>
      <c r="N4349" t="s">
        <v>3795</v>
      </c>
      <c r="O4349" t="s">
        <v>3796</v>
      </c>
      <c r="P4349" t="s">
        <v>3797</v>
      </c>
      <c r="Q4349" t="s">
        <v>13597</v>
      </c>
      <c r="R4349" t="s">
        <v>13598</v>
      </c>
    </row>
    <row r="4350" spans="1:18" x14ac:dyDescent="0.2">
      <c r="A4350">
        <v>360055</v>
      </c>
      <c r="B4350" t="s">
        <v>13599</v>
      </c>
      <c r="C4350">
        <v>0</v>
      </c>
      <c r="D4350">
        <v>1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 t="s">
        <v>3284</v>
      </c>
      <c r="M4350" t="s">
        <v>3794</v>
      </c>
      <c r="N4350" t="s">
        <v>3795</v>
      </c>
      <c r="O4350" t="s">
        <v>9928</v>
      </c>
      <c r="P4350" t="s">
        <v>9929</v>
      </c>
      <c r="Q4350" t="s">
        <v>13600</v>
      </c>
      <c r="R4350" t="s">
        <v>13601</v>
      </c>
    </row>
    <row r="4351" spans="1:18" x14ac:dyDescent="0.2">
      <c r="A4351">
        <v>359110</v>
      </c>
      <c r="B4351" t="s">
        <v>13602</v>
      </c>
      <c r="C4351">
        <v>1</v>
      </c>
      <c r="D4351">
        <v>0</v>
      </c>
      <c r="E4351">
        <v>0</v>
      </c>
      <c r="F4351">
        <v>1</v>
      </c>
      <c r="G4351">
        <v>0</v>
      </c>
      <c r="H4351">
        <v>0</v>
      </c>
      <c r="I4351">
        <v>0</v>
      </c>
      <c r="J4351">
        <v>0</v>
      </c>
      <c r="K4351">
        <v>2</v>
      </c>
      <c r="L4351" t="s">
        <v>3284</v>
      </c>
      <c r="M4351" t="s">
        <v>3296</v>
      </c>
      <c r="N4351" t="s">
        <v>3297</v>
      </c>
      <c r="O4351" t="s">
        <v>3434</v>
      </c>
      <c r="P4351" t="s">
        <v>3435</v>
      </c>
      <c r="Q4351" t="s">
        <v>3436</v>
      </c>
      <c r="R4351" t="s">
        <v>13603</v>
      </c>
    </row>
    <row r="4352" spans="1:18" x14ac:dyDescent="0.2">
      <c r="A4352">
        <v>358742</v>
      </c>
      <c r="B4352" t="s">
        <v>13604</v>
      </c>
      <c r="C4352">
        <v>1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 t="s">
        <v>3284</v>
      </c>
      <c r="M4352" t="s">
        <v>3327</v>
      </c>
      <c r="N4352" t="s">
        <v>3328</v>
      </c>
      <c r="O4352" t="s">
        <v>4017</v>
      </c>
      <c r="P4352" t="s">
        <v>4018</v>
      </c>
      <c r="Q4352" t="s">
        <v>13605</v>
      </c>
      <c r="R4352" t="s">
        <v>13606</v>
      </c>
    </row>
    <row r="4353" spans="1:18" x14ac:dyDescent="0.2">
      <c r="A4353">
        <v>358687</v>
      </c>
      <c r="B4353" t="s">
        <v>13607</v>
      </c>
      <c r="C4353">
        <v>0</v>
      </c>
      <c r="D4353">
        <v>0</v>
      </c>
      <c r="E4353">
        <v>0</v>
      </c>
      <c r="F4353">
        <v>0</v>
      </c>
      <c r="G4353">
        <v>1</v>
      </c>
      <c r="H4353">
        <v>0</v>
      </c>
      <c r="I4353">
        <v>0</v>
      </c>
      <c r="J4353">
        <v>0</v>
      </c>
      <c r="K4353">
        <v>0</v>
      </c>
      <c r="L4353" t="s">
        <v>3284</v>
      </c>
      <c r="M4353" t="s">
        <v>3391</v>
      </c>
      <c r="N4353" t="s">
        <v>3411</v>
      </c>
      <c r="O4353" t="s">
        <v>3412</v>
      </c>
      <c r="P4353" t="s">
        <v>3564</v>
      </c>
      <c r="Q4353" t="s">
        <v>3565</v>
      </c>
      <c r="R4353" t="s">
        <v>13608</v>
      </c>
    </row>
    <row r="4354" spans="1:18" x14ac:dyDescent="0.2">
      <c r="A4354">
        <v>358220</v>
      </c>
      <c r="B4354" t="s">
        <v>13609</v>
      </c>
      <c r="C4354">
        <v>0</v>
      </c>
      <c r="D4354">
        <v>0</v>
      </c>
      <c r="E4354">
        <v>0</v>
      </c>
      <c r="F4354">
        <v>0</v>
      </c>
      <c r="G4354">
        <v>1</v>
      </c>
      <c r="H4354">
        <v>0</v>
      </c>
      <c r="I4354">
        <v>0</v>
      </c>
      <c r="J4354">
        <v>1</v>
      </c>
      <c r="K4354">
        <v>0</v>
      </c>
      <c r="L4354" t="s">
        <v>3284</v>
      </c>
      <c r="M4354" t="s">
        <v>3296</v>
      </c>
      <c r="N4354" t="s">
        <v>3321</v>
      </c>
      <c r="O4354" t="s">
        <v>3322</v>
      </c>
      <c r="P4354" t="s">
        <v>3398</v>
      </c>
      <c r="Q4354" t="s">
        <v>3556</v>
      </c>
      <c r="R4354" t="s">
        <v>13610</v>
      </c>
    </row>
    <row r="4355" spans="1:18" x14ac:dyDescent="0.2">
      <c r="A4355">
        <v>357999</v>
      </c>
      <c r="B4355" t="s">
        <v>13611</v>
      </c>
      <c r="C4355">
        <v>0</v>
      </c>
      <c r="D4355">
        <v>0</v>
      </c>
      <c r="E4355">
        <v>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 t="s">
        <v>3284</v>
      </c>
      <c r="M4355" t="s">
        <v>3327</v>
      </c>
      <c r="N4355" t="s">
        <v>3753</v>
      </c>
      <c r="O4355" t="s">
        <v>3754</v>
      </c>
      <c r="P4355" t="s">
        <v>3755</v>
      </c>
      <c r="Q4355" t="s">
        <v>9122</v>
      </c>
      <c r="R4355" t="s">
        <v>13612</v>
      </c>
    </row>
    <row r="4356" spans="1:18" x14ac:dyDescent="0.2">
      <c r="A4356">
        <v>357441</v>
      </c>
      <c r="B4356" t="s">
        <v>13613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1</v>
      </c>
      <c r="L4356" t="s">
        <v>3284</v>
      </c>
      <c r="M4356" t="s">
        <v>3327</v>
      </c>
      <c r="N4356" t="s">
        <v>3376</v>
      </c>
      <c r="O4356" t="s">
        <v>3718</v>
      </c>
      <c r="P4356" t="s">
        <v>6044</v>
      </c>
      <c r="Q4356" t="s">
        <v>6045</v>
      </c>
      <c r="R4356" t="s">
        <v>13614</v>
      </c>
    </row>
    <row r="4357" spans="1:18" x14ac:dyDescent="0.2">
      <c r="A4357">
        <v>357240</v>
      </c>
      <c r="B4357" t="s">
        <v>13615</v>
      </c>
      <c r="C4357">
        <v>0</v>
      </c>
      <c r="D4357">
        <v>0</v>
      </c>
      <c r="E4357">
        <v>1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 t="s">
        <v>3284</v>
      </c>
      <c r="M4357" t="s">
        <v>3296</v>
      </c>
      <c r="N4357" t="s">
        <v>3297</v>
      </c>
      <c r="O4357" t="s">
        <v>3298</v>
      </c>
      <c r="P4357" t="s">
        <v>3826</v>
      </c>
      <c r="Q4357" t="s">
        <v>13616</v>
      </c>
      <c r="R4357" t="s">
        <v>13617</v>
      </c>
    </row>
    <row r="4358" spans="1:18" x14ac:dyDescent="0.2">
      <c r="A4358">
        <v>356302</v>
      </c>
      <c r="B4358" t="s">
        <v>13618</v>
      </c>
      <c r="C4358">
        <v>1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 t="s">
        <v>3284</v>
      </c>
      <c r="M4358" t="s">
        <v>3296</v>
      </c>
      <c r="N4358" t="s">
        <v>3321</v>
      </c>
      <c r="O4358" t="s">
        <v>5306</v>
      </c>
      <c r="P4358" t="s">
        <v>5385</v>
      </c>
      <c r="Q4358" t="s">
        <v>5386</v>
      </c>
      <c r="R4358" t="s">
        <v>13619</v>
      </c>
    </row>
    <row r="4359" spans="1:18" x14ac:dyDescent="0.2">
      <c r="A4359">
        <v>355930</v>
      </c>
      <c r="B4359" t="s">
        <v>13620</v>
      </c>
      <c r="C4359">
        <v>0</v>
      </c>
      <c r="D4359">
        <v>1</v>
      </c>
      <c r="E4359">
        <v>0</v>
      </c>
      <c r="F4359">
        <v>0</v>
      </c>
      <c r="G4359">
        <v>0</v>
      </c>
      <c r="H4359">
        <v>0</v>
      </c>
      <c r="I4359">
        <v>1</v>
      </c>
      <c r="J4359">
        <v>0</v>
      </c>
      <c r="K4359">
        <v>0</v>
      </c>
      <c r="L4359" t="s">
        <v>3284</v>
      </c>
      <c r="M4359" t="s">
        <v>3307</v>
      </c>
      <c r="N4359" t="s">
        <v>3308</v>
      </c>
      <c r="O4359" t="s">
        <v>3359</v>
      </c>
      <c r="P4359" t="s">
        <v>3360</v>
      </c>
      <c r="Q4359" t="s">
        <v>5474</v>
      </c>
      <c r="R4359" t="s">
        <v>13621</v>
      </c>
    </row>
    <row r="4360" spans="1:18" x14ac:dyDescent="0.2">
      <c r="A4360">
        <v>354630</v>
      </c>
      <c r="B4360" t="s">
        <v>13622</v>
      </c>
      <c r="C4360">
        <v>0</v>
      </c>
      <c r="D4360">
        <v>0</v>
      </c>
      <c r="E4360">
        <v>0</v>
      </c>
      <c r="F4360">
        <v>2</v>
      </c>
      <c r="G4360">
        <v>1</v>
      </c>
      <c r="H4360">
        <v>0</v>
      </c>
      <c r="I4360">
        <v>0</v>
      </c>
      <c r="J4360">
        <v>0</v>
      </c>
      <c r="K4360">
        <v>0</v>
      </c>
      <c r="L4360" t="s">
        <v>3284</v>
      </c>
      <c r="M4360" t="s">
        <v>3391</v>
      </c>
      <c r="N4360" t="s">
        <v>3392</v>
      </c>
      <c r="O4360" t="s">
        <v>3393</v>
      </c>
      <c r="P4360" t="s">
        <v>3394</v>
      </c>
      <c r="Q4360" t="s">
        <v>4082</v>
      </c>
      <c r="R4360" t="s">
        <v>13623</v>
      </c>
    </row>
    <row r="4361" spans="1:18" x14ac:dyDescent="0.2">
      <c r="A4361">
        <v>354352</v>
      </c>
      <c r="B4361" t="s">
        <v>13624</v>
      </c>
      <c r="C4361">
        <v>2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 t="s">
        <v>3284</v>
      </c>
      <c r="M4361" t="s">
        <v>3296</v>
      </c>
      <c r="N4361" t="s">
        <v>3343</v>
      </c>
      <c r="O4361" t="s">
        <v>3344</v>
      </c>
      <c r="P4361" t="s">
        <v>4076</v>
      </c>
      <c r="Q4361" t="s">
        <v>6071</v>
      </c>
      <c r="R4361" t="s">
        <v>13625</v>
      </c>
    </row>
    <row r="4362" spans="1:18" x14ac:dyDescent="0.2">
      <c r="A4362">
        <v>354351</v>
      </c>
      <c r="B4362" t="s">
        <v>13626</v>
      </c>
      <c r="C4362">
        <v>1</v>
      </c>
      <c r="D4362">
        <v>1</v>
      </c>
      <c r="E4362">
        <v>1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 t="s">
        <v>3284</v>
      </c>
      <c r="M4362" t="s">
        <v>3296</v>
      </c>
      <c r="N4362" t="s">
        <v>3343</v>
      </c>
      <c r="O4362" t="s">
        <v>3344</v>
      </c>
      <c r="P4362" t="s">
        <v>4076</v>
      </c>
      <c r="Q4362" t="s">
        <v>6071</v>
      </c>
      <c r="R4362" t="s">
        <v>13627</v>
      </c>
    </row>
    <row r="4363" spans="1:18" x14ac:dyDescent="0.2">
      <c r="A4363">
        <v>353156</v>
      </c>
      <c r="B4363" t="s">
        <v>13628</v>
      </c>
      <c r="C4363">
        <v>0</v>
      </c>
      <c r="D4363">
        <v>1</v>
      </c>
      <c r="E4363">
        <v>0</v>
      </c>
      <c r="F4363">
        <v>1</v>
      </c>
      <c r="G4363">
        <v>0</v>
      </c>
      <c r="H4363">
        <v>0</v>
      </c>
      <c r="I4363">
        <v>1</v>
      </c>
      <c r="J4363">
        <v>0</v>
      </c>
      <c r="K4363">
        <v>0</v>
      </c>
      <c r="L4363" t="s">
        <v>3284</v>
      </c>
      <c r="M4363" t="s">
        <v>3391</v>
      </c>
      <c r="N4363" t="s">
        <v>3392</v>
      </c>
      <c r="O4363" t="s">
        <v>3393</v>
      </c>
      <c r="P4363" t="s">
        <v>3394</v>
      </c>
      <c r="Q4363" t="s">
        <v>3395</v>
      </c>
      <c r="R4363" t="s">
        <v>13629</v>
      </c>
    </row>
    <row r="4364" spans="1:18" x14ac:dyDescent="0.2">
      <c r="A4364">
        <v>352475</v>
      </c>
      <c r="B4364" t="s">
        <v>13630</v>
      </c>
      <c r="C4364">
        <v>0</v>
      </c>
      <c r="D4364">
        <v>1</v>
      </c>
      <c r="E4364">
        <v>0</v>
      </c>
      <c r="F4364">
        <v>256</v>
      </c>
      <c r="G4364">
        <v>159</v>
      </c>
      <c r="H4364">
        <v>186</v>
      </c>
      <c r="I4364">
        <v>3</v>
      </c>
      <c r="J4364">
        <v>0</v>
      </c>
      <c r="K4364">
        <v>0</v>
      </c>
      <c r="L4364" t="s">
        <v>3284</v>
      </c>
      <c r="M4364" t="s">
        <v>3296</v>
      </c>
      <c r="N4364" t="s">
        <v>3343</v>
      </c>
      <c r="O4364" t="s">
        <v>3344</v>
      </c>
      <c r="P4364" t="s">
        <v>3355</v>
      </c>
      <c r="Q4364" t="s">
        <v>3846</v>
      </c>
      <c r="R4364" t="s">
        <v>13631</v>
      </c>
    </row>
    <row r="4365" spans="1:18" x14ac:dyDescent="0.2">
      <c r="A4365">
        <v>351679</v>
      </c>
      <c r="B4365" t="s">
        <v>13632</v>
      </c>
      <c r="C4365">
        <v>3</v>
      </c>
      <c r="D4365">
        <v>1</v>
      </c>
      <c r="E4365">
        <v>2</v>
      </c>
      <c r="F4365">
        <v>5</v>
      </c>
      <c r="G4365">
        <v>4</v>
      </c>
      <c r="H4365">
        <v>3</v>
      </c>
      <c r="I4365">
        <v>4</v>
      </c>
      <c r="J4365">
        <v>3</v>
      </c>
      <c r="K4365">
        <v>5</v>
      </c>
      <c r="L4365" t="s">
        <v>3284</v>
      </c>
      <c r="M4365" t="s">
        <v>3296</v>
      </c>
      <c r="N4365" t="s">
        <v>3297</v>
      </c>
      <c r="O4365" t="s">
        <v>3298</v>
      </c>
      <c r="P4365" t="s">
        <v>4399</v>
      </c>
      <c r="Q4365" t="s">
        <v>5043</v>
      </c>
      <c r="R4365" t="s">
        <v>13633</v>
      </c>
    </row>
    <row r="4366" spans="1:18" x14ac:dyDescent="0.2">
      <c r="A4366">
        <v>351676</v>
      </c>
      <c r="B4366" t="s">
        <v>13634</v>
      </c>
      <c r="C4366">
        <v>1</v>
      </c>
      <c r="D4366">
        <v>2</v>
      </c>
      <c r="E4366">
        <v>0</v>
      </c>
      <c r="F4366">
        <v>2</v>
      </c>
      <c r="G4366">
        <v>0</v>
      </c>
      <c r="H4366">
        <v>2</v>
      </c>
      <c r="I4366">
        <v>0</v>
      </c>
      <c r="J4366">
        <v>0</v>
      </c>
      <c r="K4366">
        <v>1</v>
      </c>
      <c r="L4366" t="s">
        <v>3284</v>
      </c>
      <c r="M4366" t="s">
        <v>3296</v>
      </c>
      <c r="N4366" t="s">
        <v>3297</v>
      </c>
      <c r="O4366" t="s">
        <v>3298</v>
      </c>
      <c r="P4366" t="s">
        <v>4399</v>
      </c>
      <c r="Q4366" t="s">
        <v>5043</v>
      </c>
      <c r="R4366" t="s">
        <v>13635</v>
      </c>
    </row>
    <row r="4367" spans="1:18" x14ac:dyDescent="0.2">
      <c r="A4367">
        <v>351604</v>
      </c>
      <c r="B4367" t="s">
        <v>13636</v>
      </c>
      <c r="C4367">
        <v>0</v>
      </c>
      <c r="D4367">
        <v>0</v>
      </c>
      <c r="E4367">
        <v>0</v>
      </c>
      <c r="F4367">
        <v>1</v>
      </c>
      <c r="G4367">
        <v>0</v>
      </c>
      <c r="H4367">
        <v>0</v>
      </c>
      <c r="I4367">
        <v>0</v>
      </c>
      <c r="J4367">
        <v>0</v>
      </c>
      <c r="K4367">
        <v>0</v>
      </c>
      <c r="L4367" t="s">
        <v>3284</v>
      </c>
      <c r="M4367" t="s">
        <v>6718</v>
      </c>
      <c r="N4367" t="s">
        <v>11921</v>
      </c>
      <c r="O4367" t="s">
        <v>11922</v>
      </c>
      <c r="P4367" t="s">
        <v>11923</v>
      </c>
      <c r="Q4367" t="s">
        <v>11924</v>
      </c>
      <c r="R4367" t="s">
        <v>13637</v>
      </c>
    </row>
    <row r="4368" spans="1:18" x14ac:dyDescent="0.2">
      <c r="A4368">
        <v>351345</v>
      </c>
      <c r="B4368" t="s">
        <v>13638</v>
      </c>
      <c r="C4368">
        <v>1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 t="s">
        <v>3284</v>
      </c>
      <c r="M4368" t="s">
        <v>3296</v>
      </c>
      <c r="N4368" t="s">
        <v>3321</v>
      </c>
      <c r="O4368" t="s">
        <v>3322</v>
      </c>
      <c r="P4368" t="s">
        <v>3423</v>
      </c>
      <c r="Q4368" t="s">
        <v>4394</v>
      </c>
      <c r="R4368" t="s">
        <v>13639</v>
      </c>
    </row>
    <row r="4369" spans="1:18" x14ac:dyDescent="0.2">
      <c r="A4369">
        <v>351343</v>
      </c>
      <c r="B4369" t="s">
        <v>13640</v>
      </c>
      <c r="C4369">
        <v>0</v>
      </c>
      <c r="D4369">
        <v>1</v>
      </c>
      <c r="E4369">
        <v>0</v>
      </c>
      <c r="F4369">
        <v>500</v>
      </c>
      <c r="G4369">
        <v>385</v>
      </c>
      <c r="H4369">
        <v>9</v>
      </c>
      <c r="I4369">
        <v>1</v>
      </c>
      <c r="J4369">
        <v>1</v>
      </c>
      <c r="K4369">
        <v>0</v>
      </c>
      <c r="L4369" t="s">
        <v>3284</v>
      </c>
      <c r="M4369" t="s">
        <v>3391</v>
      </c>
      <c r="N4369" t="s">
        <v>3392</v>
      </c>
      <c r="O4369" t="s">
        <v>3393</v>
      </c>
      <c r="P4369" t="s">
        <v>3394</v>
      </c>
      <c r="Q4369" t="s">
        <v>3395</v>
      </c>
      <c r="R4369" t="s">
        <v>13641</v>
      </c>
    </row>
    <row r="4370" spans="1:18" x14ac:dyDescent="0.2">
      <c r="A4370">
        <v>351095</v>
      </c>
      <c r="B4370" t="s">
        <v>13642</v>
      </c>
      <c r="C4370">
        <v>0</v>
      </c>
      <c r="D4370">
        <v>0</v>
      </c>
      <c r="E4370">
        <v>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 t="s">
        <v>3284</v>
      </c>
      <c r="M4370" t="s">
        <v>3327</v>
      </c>
      <c r="N4370" t="s">
        <v>3376</v>
      </c>
      <c r="O4370" t="s">
        <v>3377</v>
      </c>
      <c r="P4370" t="s">
        <v>3378</v>
      </c>
      <c r="Q4370" t="s">
        <v>13643</v>
      </c>
      <c r="R4370" t="s">
        <v>13644</v>
      </c>
    </row>
    <row r="4371" spans="1:18" x14ac:dyDescent="0.2">
      <c r="A4371">
        <v>349938</v>
      </c>
      <c r="B4371" t="s">
        <v>13645</v>
      </c>
      <c r="C4371">
        <v>0</v>
      </c>
      <c r="D4371">
        <v>1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 t="s">
        <v>3284</v>
      </c>
      <c r="M4371" t="s">
        <v>3327</v>
      </c>
      <c r="N4371" t="s">
        <v>3328</v>
      </c>
      <c r="O4371" t="s">
        <v>3329</v>
      </c>
      <c r="P4371" t="s">
        <v>3330</v>
      </c>
      <c r="Q4371" t="s">
        <v>3331</v>
      </c>
      <c r="R4371" t="s">
        <v>13646</v>
      </c>
    </row>
    <row r="4372" spans="1:18" x14ac:dyDescent="0.2">
      <c r="A4372">
        <v>349933</v>
      </c>
      <c r="B4372" t="s">
        <v>13647</v>
      </c>
      <c r="C4372">
        <v>66</v>
      </c>
      <c r="D4372">
        <v>70</v>
      </c>
      <c r="E4372">
        <v>93</v>
      </c>
      <c r="F4372">
        <v>0</v>
      </c>
      <c r="G4372">
        <v>0</v>
      </c>
      <c r="H4372">
        <v>0</v>
      </c>
      <c r="I4372">
        <v>2</v>
      </c>
      <c r="J4372">
        <v>1</v>
      </c>
      <c r="K4372">
        <v>0</v>
      </c>
      <c r="L4372" t="s">
        <v>3284</v>
      </c>
      <c r="M4372" t="s">
        <v>3327</v>
      </c>
      <c r="N4372" t="s">
        <v>3328</v>
      </c>
      <c r="O4372" t="s">
        <v>3329</v>
      </c>
      <c r="P4372" t="s">
        <v>3330</v>
      </c>
      <c r="Q4372" t="s">
        <v>3331</v>
      </c>
      <c r="R4372" t="s">
        <v>13648</v>
      </c>
    </row>
    <row r="4373" spans="1:18" x14ac:dyDescent="0.2">
      <c r="A4373">
        <v>349931</v>
      </c>
      <c r="B4373" t="s">
        <v>13649</v>
      </c>
      <c r="C4373">
        <v>58</v>
      </c>
      <c r="D4373">
        <v>55</v>
      </c>
      <c r="E4373">
        <v>33</v>
      </c>
      <c r="F4373">
        <v>0</v>
      </c>
      <c r="G4373">
        <v>0</v>
      </c>
      <c r="H4373">
        <v>0</v>
      </c>
      <c r="I4373">
        <v>4</v>
      </c>
      <c r="J4373">
        <v>2</v>
      </c>
      <c r="K4373">
        <v>0</v>
      </c>
      <c r="L4373" t="s">
        <v>3284</v>
      </c>
      <c r="M4373" t="s">
        <v>3327</v>
      </c>
      <c r="N4373" t="s">
        <v>3328</v>
      </c>
      <c r="O4373" t="s">
        <v>3329</v>
      </c>
      <c r="P4373" t="s">
        <v>3330</v>
      </c>
      <c r="Q4373" t="s">
        <v>3331</v>
      </c>
      <c r="R4373" t="s">
        <v>13650</v>
      </c>
    </row>
    <row r="4374" spans="1:18" x14ac:dyDescent="0.2">
      <c r="A4374">
        <v>349522</v>
      </c>
      <c r="B4374" t="s">
        <v>13651</v>
      </c>
      <c r="C4374">
        <v>0</v>
      </c>
      <c r="D4374">
        <v>0</v>
      </c>
      <c r="E4374">
        <v>0</v>
      </c>
      <c r="F4374">
        <v>1</v>
      </c>
      <c r="G4374">
        <v>0</v>
      </c>
      <c r="H4374">
        <v>0</v>
      </c>
      <c r="I4374">
        <v>2</v>
      </c>
      <c r="J4374">
        <v>0</v>
      </c>
      <c r="K4374">
        <v>0</v>
      </c>
      <c r="L4374" t="s">
        <v>3284</v>
      </c>
      <c r="M4374" t="s">
        <v>3307</v>
      </c>
      <c r="N4374" t="s">
        <v>3308</v>
      </c>
      <c r="O4374" t="s">
        <v>3309</v>
      </c>
      <c r="P4374" t="s">
        <v>3310</v>
      </c>
      <c r="Q4374" t="s">
        <v>3311</v>
      </c>
      <c r="R4374" t="s">
        <v>13652</v>
      </c>
    </row>
    <row r="4375" spans="1:18" x14ac:dyDescent="0.2">
      <c r="A4375">
        <v>349273</v>
      </c>
      <c r="B4375" t="s">
        <v>13653</v>
      </c>
      <c r="C4375">
        <v>0</v>
      </c>
      <c r="D4375">
        <v>0</v>
      </c>
      <c r="E4375">
        <v>0</v>
      </c>
      <c r="F4375">
        <v>0</v>
      </c>
      <c r="G4375">
        <v>1</v>
      </c>
      <c r="H4375">
        <v>0</v>
      </c>
      <c r="I4375">
        <v>0</v>
      </c>
      <c r="J4375">
        <v>0</v>
      </c>
      <c r="K4375">
        <v>0</v>
      </c>
      <c r="L4375" t="s">
        <v>3284</v>
      </c>
      <c r="M4375" t="s">
        <v>3296</v>
      </c>
      <c r="N4375" t="s">
        <v>3343</v>
      </c>
      <c r="O4375" t="s">
        <v>3402</v>
      </c>
      <c r="P4375" t="s">
        <v>3403</v>
      </c>
      <c r="Q4375" t="s">
        <v>5337</v>
      </c>
      <c r="R4375" t="s">
        <v>13654</v>
      </c>
    </row>
    <row r="4376" spans="1:18" x14ac:dyDescent="0.2">
      <c r="A4376">
        <v>349221</v>
      </c>
      <c r="B4376" t="s">
        <v>13655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1</v>
      </c>
      <c r="J4376">
        <v>0</v>
      </c>
      <c r="K4376">
        <v>0</v>
      </c>
      <c r="L4376" t="s">
        <v>3284</v>
      </c>
      <c r="M4376" t="s">
        <v>3285</v>
      </c>
      <c r="N4376" t="s">
        <v>3286</v>
      </c>
      <c r="O4376" t="s">
        <v>3287</v>
      </c>
      <c r="P4376" t="s">
        <v>3288</v>
      </c>
      <c r="Q4376" t="s">
        <v>13656</v>
      </c>
      <c r="R4376" t="s">
        <v>13657</v>
      </c>
    </row>
    <row r="4377" spans="1:18" x14ac:dyDescent="0.2">
      <c r="A4377">
        <v>346912</v>
      </c>
      <c r="B4377" t="s">
        <v>13658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1</v>
      </c>
      <c r="K4377">
        <v>0</v>
      </c>
      <c r="L4377" t="s">
        <v>3284</v>
      </c>
      <c r="M4377" t="s">
        <v>3296</v>
      </c>
      <c r="N4377" t="s">
        <v>3343</v>
      </c>
      <c r="O4377" t="s">
        <v>3344</v>
      </c>
      <c r="P4377" t="s">
        <v>3661</v>
      </c>
      <c r="Q4377" t="s">
        <v>13253</v>
      </c>
      <c r="R4377" t="s">
        <v>13659</v>
      </c>
    </row>
    <row r="4378" spans="1:18" x14ac:dyDescent="0.2">
      <c r="A4378">
        <v>346377</v>
      </c>
      <c r="B4378" t="s">
        <v>13660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1</v>
      </c>
      <c r="J4378">
        <v>0</v>
      </c>
      <c r="K4378">
        <v>0</v>
      </c>
      <c r="L4378" t="s">
        <v>3284</v>
      </c>
      <c r="M4378" t="s">
        <v>3391</v>
      </c>
      <c r="N4378" t="s">
        <v>3740</v>
      </c>
      <c r="O4378" t="s">
        <v>3741</v>
      </c>
      <c r="P4378" t="s">
        <v>4388</v>
      </c>
      <c r="Q4378" t="s">
        <v>13661</v>
      </c>
      <c r="R4378" t="s">
        <v>13662</v>
      </c>
    </row>
    <row r="4379" spans="1:18" x14ac:dyDescent="0.2">
      <c r="A4379">
        <v>346179</v>
      </c>
      <c r="B4379" t="s">
        <v>13663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3</v>
      </c>
      <c r="J4379">
        <v>0</v>
      </c>
      <c r="K4379">
        <v>0</v>
      </c>
      <c r="L4379" t="s">
        <v>3284</v>
      </c>
      <c r="M4379" t="s">
        <v>3296</v>
      </c>
      <c r="N4379" t="s">
        <v>3321</v>
      </c>
      <c r="O4379" t="s">
        <v>3322</v>
      </c>
      <c r="P4379" t="s">
        <v>3323</v>
      </c>
      <c r="Q4379" t="s">
        <v>3518</v>
      </c>
      <c r="R4379" t="s">
        <v>13664</v>
      </c>
    </row>
    <row r="4380" spans="1:18" x14ac:dyDescent="0.2">
      <c r="A4380">
        <v>345167</v>
      </c>
      <c r="B4380" t="s">
        <v>13665</v>
      </c>
      <c r="C4380">
        <v>0</v>
      </c>
      <c r="D4380">
        <v>0</v>
      </c>
      <c r="E4380">
        <v>0</v>
      </c>
      <c r="F4380">
        <v>15</v>
      </c>
      <c r="G4380">
        <v>4</v>
      </c>
      <c r="H4380">
        <v>7</v>
      </c>
      <c r="I4380">
        <v>0</v>
      </c>
      <c r="J4380">
        <v>0</v>
      </c>
      <c r="K4380">
        <v>0</v>
      </c>
      <c r="L4380" t="s">
        <v>3284</v>
      </c>
      <c r="M4380" t="s">
        <v>3296</v>
      </c>
      <c r="N4380" t="s">
        <v>3343</v>
      </c>
      <c r="O4380" t="s">
        <v>3402</v>
      </c>
      <c r="P4380" t="s">
        <v>3403</v>
      </c>
      <c r="Q4380" t="s">
        <v>3536</v>
      </c>
      <c r="R4380" t="s">
        <v>13666</v>
      </c>
    </row>
    <row r="4381" spans="1:18" x14ac:dyDescent="0.2">
      <c r="A4381">
        <v>344883</v>
      </c>
      <c r="B4381" t="s">
        <v>13667</v>
      </c>
      <c r="C4381">
        <v>0</v>
      </c>
      <c r="D4381">
        <v>0</v>
      </c>
      <c r="E4381">
        <v>0</v>
      </c>
      <c r="F4381">
        <v>1</v>
      </c>
      <c r="G4381">
        <v>0</v>
      </c>
      <c r="H4381">
        <v>1</v>
      </c>
      <c r="I4381">
        <v>1</v>
      </c>
      <c r="J4381">
        <v>0</v>
      </c>
      <c r="K4381">
        <v>0</v>
      </c>
      <c r="L4381" t="s">
        <v>3284</v>
      </c>
      <c r="M4381" t="s">
        <v>3296</v>
      </c>
      <c r="N4381" t="s">
        <v>3321</v>
      </c>
      <c r="O4381" t="s">
        <v>3322</v>
      </c>
      <c r="P4381" t="s">
        <v>3398</v>
      </c>
      <c r="Q4381" t="s">
        <v>3399</v>
      </c>
      <c r="R4381" t="s">
        <v>13668</v>
      </c>
    </row>
    <row r="4382" spans="1:18" x14ac:dyDescent="0.2">
      <c r="A4382">
        <v>344881</v>
      </c>
      <c r="B4382" t="s">
        <v>13669</v>
      </c>
      <c r="C4382">
        <v>0</v>
      </c>
      <c r="D4382">
        <v>1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 t="s">
        <v>3284</v>
      </c>
      <c r="M4382" t="s">
        <v>3391</v>
      </c>
      <c r="N4382" t="s">
        <v>3411</v>
      </c>
      <c r="O4382" t="s">
        <v>3412</v>
      </c>
      <c r="P4382" t="s">
        <v>3413</v>
      </c>
      <c r="Q4382" t="s">
        <v>3414</v>
      </c>
      <c r="R4382" t="s">
        <v>13670</v>
      </c>
    </row>
    <row r="4383" spans="1:18" x14ac:dyDescent="0.2">
      <c r="A4383">
        <v>344166</v>
      </c>
      <c r="B4383" t="s">
        <v>13671</v>
      </c>
      <c r="C4383">
        <v>1</v>
      </c>
      <c r="D4383">
        <v>0</v>
      </c>
      <c r="E4383">
        <v>0</v>
      </c>
      <c r="F4383">
        <v>1</v>
      </c>
      <c r="G4383">
        <v>0</v>
      </c>
      <c r="H4383">
        <v>0</v>
      </c>
      <c r="I4383">
        <v>0</v>
      </c>
      <c r="J4383">
        <v>1</v>
      </c>
      <c r="K4383">
        <v>0</v>
      </c>
      <c r="L4383" t="s">
        <v>3284</v>
      </c>
      <c r="M4383" t="s">
        <v>3307</v>
      </c>
      <c r="N4383" t="s">
        <v>3308</v>
      </c>
      <c r="O4383" t="s">
        <v>3359</v>
      </c>
      <c r="P4383" t="s">
        <v>3360</v>
      </c>
      <c r="Q4383" t="s">
        <v>3361</v>
      </c>
      <c r="R4383" t="s">
        <v>13672</v>
      </c>
    </row>
    <row r="4384" spans="1:18" x14ac:dyDescent="0.2">
      <c r="A4384">
        <v>344165</v>
      </c>
      <c r="B4384" t="s">
        <v>13673</v>
      </c>
      <c r="C4384">
        <v>0</v>
      </c>
      <c r="D4384">
        <v>0</v>
      </c>
      <c r="E4384">
        <v>0</v>
      </c>
      <c r="F4384">
        <v>0</v>
      </c>
      <c r="G4384">
        <v>1</v>
      </c>
      <c r="H4384">
        <v>0</v>
      </c>
      <c r="I4384">
        <v>0</v>
      </c>
      <c r="J4384">
        <v>0</v>
      </c>
      <c r="K4384">
        <v>0</v>
      </c>
      <c r="L4384" t="s">
        <v>3284</v>
      </c>
      <c r="M4384" t="s">
        <v>3307</v>
      </c>
      <c r="N4384" t="s">
        <v>3308</v>
      </c>
      <c r="O4384" t="s">
        <v>3359</v>
      </c>
      <c r="P4384" t="s">
        <v>3360</v>
      </c>
      <c r="Q4384" t="s">
        <v>3361</v>
      </c>
      <c r="R4384" t="s">
        <v>13674</v>
      </c>
    </row>
    <row r="4385" spans="1:18" x14ac:dyDescent="0.2">
      <c r="A4385">
        <v>344164</v>
      </c>
      <c r="B4385" t="s">
        <v>13675</v>
      </c>
      <c r="C4385">
        <v>0</v>
      </c>
      <c r="D4385">
        <v>1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 t="s">
        <v>3284</v>
      </c>
      <c r="M4385" t="s">
        <v>3307</v>
      </c>
      <c r="N4385" t="s">
        <v>3308</v>
      </c>
      <c r="O4385" t="s">
        <v>3359</v>
      </c>
      <c r="P4385" t="s">
        <v>3360</v>
      </c>
      <c r="Q4385" t="s">
        <v>3361</v>
      </c>
      <c r="R4385" t="s">
        <v>13676</v>
      </c>
    </row>
    <row r="4386" spans="1:18" x14ac:dyDescent="0.2">
      <c r="A4386">
        <v>344163</v>
      </c>
      <c r="B4386" t="s">
        <v>13677</v>
      </c>
      <c r="C4386">
        <v>0</v>
      </c>
      <c r="D4386">
        <v>0</v>
      </c>
      <c r="E4386">
        <v>0</v>
      </c>
      <c r="F4386">
        <v>1</v>
      </c>
      <c r="G4386">
        <v>0</v>
      </c>
      <c r="H4386">
        <v>0</v>
      </c>
      <c r="I4386">
        <v>1</v>
      </c>
      <c r="J4386">
        <v>0</v>
      </c>
      <c r="K4386">
        <v>0</v>
      </c>
      <c r="L4386" t="s">
        <v>3284</v>
      </c>
      <c r="M4386" t="s">
        <v>3307</v>
      </c>
      <c r="N4386" t="s">
        <v>3308</v>
      </c>
      <c r="O4386" t="s">
        <v>3359</v>
      </c>
      <c r="P4386" t="s">
        <v>3360</v>
      </c>
      <c r="Q4386" t="s">
        <v>3361</v>
      </c>
      <c r="R4386" t="s">
        <v>13678</v>
      </c>
    </row>
    <row r="4387" spans="1:18" x14ac:dyDescent="0.2">
      <c r="A4387">
        <v>343874</v>
      </c>
      <c r="B4387" t="s">
        <v>13679</v>
      </c>
      <c r="C4387">
        <v>0</v>
      </c>
      <c r="D4387">
        <v>0</v>
      </c>
      <c r="E4387">
        <v>1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 t="s">
        <v>3284</v>
      </c>
      <c r="M4387" t="s">
        <v>3391</v>
      </c>
      <c r="N4387" t="s">
        <v>3411</v>
      </c>
      <c r="O4387" t="s">
        <v>3412</v>
      </c>
      <c r="P4387" t="s">
        <v>3564</v>
      </c>
      <c r="Q4387" t="s">
        <v>8498</v>
      </c>
      <c r="R4387" t="s">
        <v>13680</v>
      </c>
    </row>
    <row r="4388" spans="1:18" x14ac:dyDescent="0.2">
      <c r="A4388">
        <v>343517</v>
      </c>
      <c r="B4388" t="s">
        <v>13681</v>
      </c>
      <c r="C4388">
        <v>1</v>
      </c>
      <c r="D4388">
        <v>0</v>
      </c>
      <c r="E4388">
        <v>0</v>
      </c>
      <c r="F4388">
        <v>1</v>
      </c>
      <c r="G4388">
        <v>0</v>
      </c>
      <c r="H4388">
        <v>0</v>
      </c>
      <c r="I4388">
        <v>0</v>
      </c>
      <c r="J4388">
        <v>2</v>
      </c>
      <c r="K4388">
        <v>1</v>
      </c>
      <c r="L4388" t="s">
        <v>3284</v>
      </c>
      <c r="M4388" t="s">
        <v>3327</v>
      </c>
      <c r="N4388" t="s">
        <v>3376</v>
      </c>
      <c r="O4388" t="s">
        <v>3377</v>
      </c>
      <c r="P4388" t="s">
        <v>3604</v>
      </c>
      <c r="Q4388" t="s">
        <v>3668</v>
      </c>
      <c r="R4388" t="s">
        <v>13682</v>
      </c>
    </row>
    <row r="4389" spans="1:18" x14ac:dyDescent="0.2">
      <c r="A4389">
        <v>343013</v>
      </c>
      <c r="B4389" t="s">
        <v>13683</v>
      </c>
      <c r="C4389">
        <v>0</v>
      </c>
      <c r="D4389">
        <v>2</v>
      </c>
      <c r="E4389">
        <v>0</v>
      </c>
      <c r="F4389">
        <v>1</v>
      </c>
      <c r="G4389">
        <v>0</v>
      </c>
      <c r="H4389">
        <v>0</v>
      </c>
      <c r="I4389">
        <v>0</v>
      </c>
      <c r="J4389">
        <v>1</v>
      </c>
      <c r="K4389">
        <v>0</v>
      </c>
      <c r="L4389" t="s">
        <v>3284</v>
      </c>
      <c r="M4389" t="s">
        <v>3296</v>
      </c>
      <c r="N4389" t="s">
        <v>3321</v>
      </c>
      <c r="O4389" t="s">
        <v>3322</v>
      </c>
      <c r="P4389" t="s">
        <v>3398</v>
      </c>
      <c r="Q4389" t="s">
        <v>9827</v>
      </c>
      <c r="R4389" t="s">
        <v>13684</v>
      </c>
    </row>
    <row r="4390" spans="1:18" x14ac:dyDescent="0.2">
      <c r="A4390">
        <v>342002</v>
      </c>
      <c r="B4390" t="s">
        <v>13685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1</v>
      </c>
      <c r="J4390">
        <v>0</v>
      </c>
      <c r="K4390">
        <v>0</v>
      </c>
      <c r="L4390" t="s">
        <v>3284</v>
      </c>
      <c r="M4390" t="s">
        <v>3307</v>
      </c>
      <c r="N4390" t="s">
        <v>3308</v>
      </c>
      <c r="O4390" t="s">
        <v>3635</v>
      </c>
      <c r="P4390" t="s">
        <v>4011</v>
      </c>
      <c r="Q4390" t="s">
        <v>13686</v>
      </c>
      <c r="R4390" t="s">
        <v>13687</v>
      </c>
    </row>
    <row r="4391" spans="1:18" x14ac:dyDescent="0.2">
      <c r="A4391">
        <v>341045</v>
      </c>
      <c r="B4391" t="s">
        <v>13688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4</v>
      </c>
      <c r="J4391">
        <v>1</v>
      </c>
      <c r="K4391">
        <v>0</v>
      </c>
      <c r="L4391" t="s">
        <v>3284</v>
      </c>
      <c r="M4391" t="s">
        <v>3296</v>
      </c>
      <c r="N4391" t="s">
        <v>3321</v>
      </c>
      <c r="O4391" t="s">
        <v>3322</v>
      </c>
      <c r="P4391" t="s">
        <v>3323</v>
      </c>
      <c r="Q4391" t="s">
        <v>3518</v>
      </c>
      <c r="R4391" t="s">
        <v>13689</v>
      </c>
    </row>
    <row r="4392" spans="1:18" x14ac:dyDescent="0.2">
      <c r="A4392">
        <v>341027</v>
      </c>
      <c r="B4392" t="s">
        <v>13690</v>
      </c>
      <c r="C4392">
        <v>1</v>
      </c>
      <c r="D4392">
        <v>0</v>
      </c>
      <c r="E4392">
        <v>0</v>
      </c>
      <c r="F4392">
        <v>4</v>
      </c>
      <c r="G4392">
        <v>1</v>
      </c>
      <c r="H4392">
        <v>0</v>
      </c>
      <c r="I4392">
        <v>0</v>
      </c>
      <c r="J4392">
        <v>0</v>
      </c>
      <c r="K4392">
        <v>0</v>
      </c>
      <c r="L4392" t="s">
        <v>3284</v>
      </c>
      <c r="M4392" t="s">
        <v>3391</v>
      </c>
      <c r="N4392" t="s">
        <v>3392</v>
      </c>
      <c r="O4392" t="s">
        <v>3393</v>
      </c>
      <c r="P4392" t="s">
        <v>3394</v>
      </c>
      <c r="Q4392" t="s">
        <v>4351</v>
      </c>
      <c r="R4392" t="s">
        <v>13691</v>
      </c>
    </row>
    <row r="4393" spans="1:18" x14ac:dyDescent="0.2">
      <c r="A4393">
        <v>340711</v>
      </c>
      <c r="B4393" t="s">
        <v>13692</v>
      </c>
      <c r="C4393">
        <v>0</v>
      </c>
      <c r="D4393">
        <v>1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 t="s">
        <v>3284</v>
      </c>
      <c r="M4393" t="s">
        <v>4022</v>
      </c>
      <c r="N4393" t="s">
        <v>4023</v>
      </c>
      <c r="O4393" t="s">
        <v>4289</v>
      </c>
      <c r="P4393" t="s">
        <v>4563</v>
      </c>
      <c r="Q4393" t="s">
        <v>4564</v>
      </c>
      <c r="R4393" t="s">
        <v>13693</v>
      </c>
    </row>
    <row r="4394" spans="1:18" x14ac:dyDescent="0.2">
      <c r="A4394">
        <v>340345</v>
      </c>
      <c r="B4394" t="s">
        <v>13694</v>
      </c>
      <c r="C4394">
        <v>0</v>
      </c>
      <c r="D4394">
        <v>0</v>
      </c>
      <c r="E4394">
        <v>0</v>
      </c>
      <c r="F4394">
        <v>1</v>
      </c>
      <c r="G4394">
        <v>0</v>
      </c>
      <c r="H4394">
        <v>0</v>
      </c>
      <c r="I4394">
        <v>0</v>
      </c>
      <c r="J4394">
        <v>1</v>
      </c>
      <c r="K4394">
        <v>0</v>
      </c>
      <c r="L4394" t="s">
        <v>3284</v>
      </c>
      <c r="M4394" t="s">
        <v>3307</v>
      </c>
      <c r="N4394" t="s">
        <v>3308</v>
      </c>
      <c r="O4394" t="s">
        <v>3382</v>
      </c>
      <c r="P4394" t="s">
        <v>3383</v>
      </c>
      <c r="Q4394" t="s">
        <v>13695</v>
      </c>
      <c r="R4394" t="s">
        <v>13696</v>
      </c>
    </row>
    <row r="4395" spans="1:18" x14ac:dyDescent="0.2">
      <c r="A4395">
        <v>340320</v>
      </c>
      <c r="B4395" t="s">
        <v>13697</v>
      </c>
      <c r="C4395">
        <v>0</v>
      </c>
      <c r="D4395">
        <v>1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 t="s">
        <v>3284</v>
      </c>
      <c r="M4395" t="s">
        <v>3307</v>
      </c>
      <c r="N4395" t="s">
        <v>3308</v>
      </c>
      <c r="O4395" t="s">
        <v>3359</v>
      </c>
      <c r="P4395" t="s">
        <v>3360</v>
      </c>
      <c r="Q4395" t="s">
        <v>5690</v>
      </c>
      <c r="R4395" t="s">
        <v>13698</v>
      </c>
    </row>
    <row r="4396" spans="1:18" x14ac:dyDescent="0.2">
      <c r="A4396">
        <v>340268</v>
      </c>
      <c r="B4396" t="s">
        <v>13699</v>
      </c>
      <c r="C4396">
        <v>0</v>
      </c>
      <c r="D4396">
        <v>0</v>
      </c>
      <c r="E4396">
        <v>0</v>
      </c>
      <c r="F4396">
        <v>4</v>
      </c>
      <c r="G4396">
        <v>10</v>
      </c>
      <c r="H4396">
        <v>0</v>
      </c>
      <c r="I4396">
        <v>0</v>
      </c>
      <c r="J4396">
        <v>0</v>
      </c>
      <c r="K4396">
        <v>0</v>
      </c>
      <c r="L4396" t="s">
        <v>3284</v>
      </c>
      <c r="M4396" t="s">
        <v>3296</v>
      </c>
      <c r="N4396" t="s">
        <v>3343</v>
      </c>
      <c r="O4396" t="s">
        <v>3344</v>
      </c>
      <c r="P4396" t="s">
        <v>3937</v>
      </c>
      <c r="Q4396" t="s">
        <v>7974</v>
      </c>
      <c r="R4396" t="s">
        <v>13700</v>
      </c>
    </row>
    <row r="4397" spans="1:18" x14ac:dyDescent="0.2">
      <c r="A4397">
        <v>340221</v>
      </c>
      <c r="B4397" t="s">
        <v>13701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1</v>
      </c>
      <c r="J4397">
        <v>0</v>
      </c>
      <c r="K4397">
        <v>0</v>
      </c>
      <c r="L4397" t="s">
        <v>3284</v>
      </c>
      <c r="M4397" t="s">
        <v>3296</v>
      </c>
      <c r="N4397" t="s">
        <v>3343</v>
      </c>
      <c r="O4397" t="s">
        <v>3344</v>
      </c>
      <c r="P4397" t="s">
        <v>4033</v>
      </c>
      <c r="Q4397" t="s">
        <v>4034</v>
      </c>
      <c r="R4397" t="s">
        <v>13702</v>
      </c>
    </row>
    <row r="4398" spans="1:18" x14ac:dyDescent="0.2">
      <c r="A4398">
        <v>339861</v>
      </c>
      <c r="B4398" t="s">
        <v>13703</v>
      </c>
      <c r="C4398">
        <v>14</v>
      </c>
      <c r="D4398">
        <v>5</v>
      </c>
      <c r="E4398">
        <v>6</v>
      </c>
      <c r="F4398">
        <v>0</v>
      </c>
      <c r="G4398">
        <v>0</v>
      </c>
      <c r="H4398">
        <v>0</v>
      </c>
      <c r="I4398">
        <v>3</v>
      </c>
      <c r="J4398">
        <v>1</v>
      </c>
      <c r="K4398">
        <v>0</v>
      </c>
      <c r="L4398" t="s">
        <v>3284</v>
      </c>
      <c r="M4398" t="s">
        <v>3327</v>
      </c>
      <c r="N4398" t="s">
        <v>3328</v>
      </c>
      <c r="O4398" t="s">
        <v>3329</v>
      </c>
      <c r="P4398" t="s">
        <v>3330</v>
      </c>
      <c r="Q4398" t="s">
        <v>3331</v>
      </c>
      <c r="R4398" t="s">
        <v>13704</v>
      </c>
    </row>
    <row r="4399" spans="1:18" x14ac:dyDescent="0.2">
      <c r="A4399">
        <v>338193</v>
      </c>
      <c r="B4399" t="s">
        <v>13705</v>
      </c>
      <c r="C4399">
        <v>7</v>
      </c>
      <c r="D4399">
        <v>3</v>
      </c>
      <c r="E4399">
        <v>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 t="s">
        <v>3284</v>
      </c>
      <c r="M4399" t="s">
        <v>3327</v>
      </c>
      <c r="N4399" t="s">
        <v>3328</v>
      </c>
      <c r="O4399" t="s">
        <v>3329</v>
      </c>
      <c r="P4399" t="s">
        <v>3330</v>
      </c>
      <c r="Q4399" t="s">
        <v>3331</v>
      </c>
      <c r="R4399" t="s">
        <v>13706</v>
      </c>
    </row>
    <row r="4400" spans="1:18" x14ac:dyDescent="0.2">
      <c r="A4400">
        <v>337480</v>
      </c>
      <c r="B4400" t="s">
        <v>13707</v>
      </c>
      <c r="C4400">
        <v>0</v>
      </c>
      <c r="D4400">
        <v>1</v>
      </c>
      <c r="E4400">
        <v>0</v>
      </c>
      <c r="F4400">
        <v>0</v>
      </c>
      <c r="G4400">
        <v>0</v>
      </c>
      <c r="H4400">
        <v>0</v>
      </c>
      <c r="I4400">
        <v>1</v>
      </c>
      <c r="J4400">
        <v>0</v>
      </c>
      <c r="K4400">
        <v>0</v>
      </c>
      <c r="L4400" t="s">
        <v>3284</v>
      </c>
      <c r="M4400" t="s">
        <v>3307</v>
      </c>
      <c r="N4400" t="s">
        <v>3308</v>
      </c>
      <c r="O4400" t="s">
        <v>3359</v>
      </c>
      <c r="P4400" t="s">
        <v>3360</v>
      </c>
      <c r="Q4400" t="s">
        <v>3361</v>
      </c>
      <c r="R4400" t="s">
        <v>13708</v>
      </c>
    </row>
    <row r="4401" spans="1:18" x14ac:dyDescent="0.2">
      <c r="A4401">
        <v>337097</v>
      </c>
      <c r="B4401" t="s">
        <v>13709</v>
      </c>
      <c r="C4401">
        <v>1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 t="s">
        <v>3284</v>
      </c>
      <c r="M4401" t="s">
        <v>3327</v>
      </c>
      <c r="N4401" t="s">
        <v>3376</v>
      </c>
      <c r="O4401" t="s">
        <v>3377</v>
      </c>
      <c r="P4401" t="s">
        <v>3378</v>
      </c>
      <c r="Q4401" t="s">
        <v>13710</v>
      </c>
      <c r="R4401" t="s">
        <v>13711</v>
      </c>
    </row>
    <row r="4402" spans="1:18" x14ac:dyDescent="0.2">
      <c r="A4402">
        <v>337005</v>
      </c>
      <c r="B4402" t="s">
        <v>13712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1</v>
      </c>
      <c r="J4402">
        <v>0</v>
      </c>
      <c r="K4402">
        <v>0</v>
      </c>
      <c r="L4402" t="s">
        <v>3284</v>
      </c>
      <c r="M4402" t="s">
        <v>3307</v>
      </c>
      <c r="N4402" t="s">
        <v>3308</v>
      </c>
      <c r="O4402" t="s">
        <v>3359</v>
      </c>
      <c r="P4402" t="s">
        <v>3360</v>
      </c>
      <c r="Q4402" t="s">
        <v>5474</v>
      </c>
      <c r="R4402" t="s">
        <v>13713</v>
      </c>
    </row>
    <row r="4403" spans="1:18" x14ac:dyDescent="0.2">
      <c r="A4403">
        <v>336820</v>
      </c>
      <c r="B4403" t="s">
        <v>13714</v>
      </c>
      <c r="C4403">
        <v>0</v>
      </c>
      <c r="D4403">
        <v>0</v>
      </c>
      <c r="E4403">
        <v>0</v>
      </c>
      <c r="F4403">
        <v>3</v>
      </c>
      <c r="G4403">
        <v>5</v>
      </c>
      <c r="H4403">
        <v>0</v>
      </c>
      <c r="I4403">
        <v>0</v>
      </c>
      <c r="J4403">
        <v>0</v>
      </c>
      <c r="K4403">
        <v>0</v>
      </c>
      <c r="L4403" t="s">
        <v>3284</v>
      </c>
      <c r="M4403" t="s">
        <v>3391</v>
      </c>
      <c r="N4403" t="s">
        <v>3392</v>
      </c>
      <c r="O4403" t="s">
        <v>3393</v>
      </c>
      <c r="P4403" t="s">
        <v>3394</v>
      </c>
      <c r="Q4403" t="s">
        <v>3395</v>
      </c>
      <c r="R4403" t="s">
        <v>13715</v>
      </c>
    </row>
    <row r="4404" spans="1:18" x14ac:dyDescent="0.2">
      <c r="A4404">
        <v>336804</v>
      </c>
      <c r="B4404" t="s">
        <v>13716</v>
      </c>
      <c r="C4404">
        <v>78</v>
      </c>
      <c r="D4404">
        <v>59</v>
      </c>
      <c r="E4404">
        <v>3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1</v>
      </c>
      <c r="L4404" t="s">
        <v>3284</v>
      </c>
      <c r="M4404" t="s">
        <v>3296</v>
      </c>
      <c r="N4404" t="s">
        <v>3297</v>
      </c>
      <c r="O4404" t="s">
        <v>3298</v>
      </c>
      <c r="P4404" t="s">
        <v>11148</v>
      </c>
      <c r="Q4404" t="s">
        <v>11149</v>
      </c>
      <c r="R4404" t="s">
        <v>13717</v>
      </c>
    </row>
    <row r="4405" spans="1:18" x14ac:dyDescent="0.2">
      <c r="A4405">
        <v>336203</v>
      </c>
      <c r="B4405" t="s">
        <v>13718</v>
      </c>
      <c r="C4405">
        <v>0</v>
      </c>
      <c r="D4405">
        <v>0</v>
      </c>
      <c r="E4405">
        <v>0</v>
      </c>
      <c r="F4405">
        <v>1</v>
      </c>
      <c r="G4405">
        <v>0</v>
      </c>
      <c r="H4405">
        <v>0</v>
      </c>
      <c r="I4405">
        <v>0</v>
      </c>
      <c r="J4405">
        <v>0</v>
      </c>
      <c r="K4405">
        <v>0</v>
      </c>
      <c r="L4405" t="s">
        <v>3284</v>
      </c>
      <c r="M4405" t="s">
        <v>3296</v>
      </c>
      <c r="N4405" t="s">
        <v>3343</v>
      </c>
      <c r="O4405" t="s">
        <v>3349</v>
      </c>
      <c r="P4405" t="s">
        <v>3350</v>
      </c>
      <c r="Q4405" t="s">
        <v>4175</v>
      </c>
      <c r="R4405" t="s">
        <v>13719</v>
      </c>
    </row>
    <row r="4406" spans="1:18" x14ac:dyDescent="0.2">
      <c r="A4406">
        <v>335476</v>
      </c>
      <c r="B4406" t="s">
        <v>13720</v>
      </c>
      <c r="C4406">
        <v>0</v>
      </c>
      <c r="D4406">
        <v>1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 t="s">
        <v>3284</v>
      </c>
      <c r="M4406" t="s">
        <v>3296</v>
      </c>
      <c r="N4406" t="s">
        <v>3321</v>
      </c>
      <c r="O4406" t="s">
        <v>3322</v>
      </c>
      <c r="P4406" t="s">
        <v>3398</v>
      </c>
      <c r="Q4406" t="s">
        <v>4593</v>
      </c>
      <c r="R4406" t="s">
        <v>13721</v>
      </c>
    </row>
    <row r="4407" spans="1:18" x14ac:dyDescent="0.2">
      <c r="A4407">
        <v>335431</v>
      </c>
      <c r="B4407" t="s">
        <v>13722</v>
      </c>
      <c r="C4407">
        <v>1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 t="s">
        <v>3284</v>
      </c>
      <c r="M4407" t="s">
        <v>3296</v>
      </c>
      <c r="N4407" t="s">
        <v>3321</v>
      </c>
      <c r="O4407" t="s">
        <v>3322</v>
      </c>
      <c r="P4407" t="s">
        <v>3271</v>
      </c>
      <c r="Q4407" t="s">
        <v>8019</v>
      </c>
      <c r="R4407" t="s">
        <v>13723</v>
      </c>
    </row>
    <row r="4408" spans="1:18" x14ac:dyDescent="0.2">
      <c r="A4408">
        <v>334253</v>
      </c>
      <c r="B4408" t="s">
        <v>13724</v>
      </c>
      <c r="C4408">
        <v>0</v>
      </c>
      <c r="D4408">
        <v>2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 t="s">
        <v>3284</v>
      </c>
      <c r="M4408" t="s">
        <v>3327</v>
      </c>
      <c r="N4408" t="s">
        <v>3376</v>
      </c>
      <c r="O4408" t="s">
        <v>3377</v>
      </c>
      <c r="P4408" t="s">
        <v>3378</v>
      </c>
      <c r="Q4408" t="s">
        <v>7730</v>
      </c>
      <c r="R4408" t="s">
        <v>13725</v>
      </c>
    </row>
    <row r="4409" spans="1:18" x14ac:dyDescent="0.2">
      <c r="A4409">
        <v>332999</v>
      </c>
      <c r="B4409" t="s">
        <v>13726</v>
      </c>
      <c r="C4409">
        <v>0</v>
      </c>
      <c r="D4409">
        <v>1</v>
      </c>
      <c r="E4409">
        <v>0</v>
      </c>
      <c r="F4409">
        <v>7</v>
      </c>
      <c r="G4409">
        <v>3</v>
      </c>
      <c r="H4409">
        <v>0</v>
      </c>
      <c r="I4409">
        <v>1</v>
      </c>
      <c r="J4409">
        <v>2</v>
      </c>
      <c r="K4409">
        <v>0</v>
      </c>
      <c r="L4409" t="s">
        <v>3284</v>
      </c>
      <c r="M4409" t="s">
        <v>3391</v>
      </c>
      <c r="N4409" t="s">
        <v>3392</v>
      </c>
      <c r="O4409" t="s">
        <v>3393</v>
      </c>
      <c r="P4409" t="s">
        <v>3394</v>
      </c>
      <c r="Q4409" t="s">
        <v>3395</v>
      </c>
      <c r="R4409" t="s">
        <v>13727</v>
      </c>
    </row>
    <row r="4410" spans="1:18" x14ac:dyDescent="0.2">
      <c r="A4410">
        <v>332977</v>
      </c>
      <c r="B4410" t="s">
        <v>13728</v>
      </c>
      <c r="C4410">
        <v>0</v>
      </c>
      <c r="D4410">
        <v>0</v>
      </c>
      <c r="E4410">
        <v>0</v>
      </c>
      <c r="F4410">
        <v>1</v>
      </c>
      <c r="G4410">
        <v>0</v>
      </c>
      <c r="H4410">
        <v>0</v>
      </c>
      <c r="I4410">
        <v>0</v>
      </c>
      <c r="J4410">
        <v>0</v>
      </c>
      <c r="K4410">
        <v>0</v>
      </c>
      <c r="L4410" t="s">
        <v>3284</v>
      </c>
      <c r="M4410" t="s">
        <v>3391</v>
      </c>
      <c r="N4410" t="s">
        <v>3392</v>
      </c>
      <c r="O4410" t="s">
        <v>3393</v>
      </c>
      <c r="P4410" t="s">
        <v>3394</v>
      </c>
      <c r="Q4410" t="s">
        <v>11353</v>
      </c>
      <c r="R4410" t="s">
        <v>13729</v>
      </c>
    </row>
    <row r="4411" spans="1:18" x14ac:dyDescent="0.2">
      <c r="A4411">
        <v>332101</v>
      </c>
      <c r="B4411" t="s">
        <v>13730</v>
      </c>
      <c r="C4411">
        <v>1</v>
      </c>
      <c r="D4411">
        <v>2</v>
      </c>
      <c r="E4411">
        <v>1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 t="s">
        <v>3284</v>
      </c>
      <c r="M4411" t="s">
        <v>3327</v>
      </c>
      <c r="N4411" t="s">
        <v>3328</v>
      </c>
      <c r="O4411" t="s">
        <v>3329</v>
      </c>
      <c r="P4411" t="s">
        <v>3330</v>
      </c>
      <c r="Q4411" t="s">
        <v>3331</v>
      </c>
      <c r="R4411" t="s">
        <v>13731</v>
      </c>
    </row>
    <row r="4412" spans="1:18" x14ac:dyDescent="0.2">
      <c r="A4412">
        <v>332095</v>
      </c>
      <c r="B4412" t="s">
        <v>13732</v>
      </c>
      <c r="C4412">
        <v>1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 t="s">
        <v>3284</v>
      </c>
      <c r="M4412" t="s">
        <v>3327</v>
      </c>
      <c r="N4412" t="s">
        <v>4384</v>
      </c>
      <c r="O4412" t="s">
        <v>3271</v>
      </c>
      <c r="P4412" t="s">
        <v>3271</v>
      </c>
      <c r="Q4412" t="s">
        <v>13733</v>
      </c>
      <c r="R4412" t="s">
        <v>13734</v>
      </c>
    </row>
    <row r="4413" spans="1:18" x14ac:dyDescent="0.2">
      <c r="A4413">
        <v>331696</v>
      </c>
      <c r="B4413" t="s">
        <v>13735</v>
      </c>
      <c r="C4413">
        <v>1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1</v>
      </c>
      <c r="K4413">
        <v>0</v>
      </c>
      <c r="L4413" t="s">
        <v>3284</v>
      </c>
      <c r="M4413" t="s">
        <v>3296</v>
      </c>
      <c r="N4413" t="s">
        <v>3343</v>
      </c>
      <c r="O4413" t="s">
        <v>3344</v>
      </c>
      <c r="P4413" t="s">
        <v>3661</v>
      </c>
      <c r="Q4413" t="s">
        <v>10749</v>
      </c>
      <c r="R4413" t="s">
        <v>13736</v>
      </c>
    </row>
    <row r="4414" spans="1:18" x14ac:dyDescent="0.2">
      <c r="A4414">
        <v>331618</v>
      </c>
      <c r="B4414" t="s">
        <v>13737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1</v>
      </c>
      <c r="J4414">
        <v>0</v>
      </c>
      <c r="K4414">
        <v>0</v>
      </c>
      <c r="L4414" t="s">
        <v>3284</v>
      </c>
      <c r="M4414" t="s">
        <v>3307</v>
      </c>
      <c r="N4414" t="s">
        <v>3308</v>
      </c>
      <c r="O4414" t="s">
        <v>3359</v>
      </c>
      <c r="P4414" t="s">
        <v>3360</v>
      </c>
      <c r="Q4414" t="s">
        <v>3913</v>
      </c>
      <c r="R4414" t="s">
        <v>13738</v>
      </c>
    </row>
    <row r="4415" spans="1:18" x14ac:dyDescent="0.2">
      <c r="A4415">
        <v>330920</v>
      </c>
      <c r="B4415" t="s">
        <v>13739</v>
      </c>
      <c r="C4415">
        <v>0</v>
      </c>
      <c r="D4415">
        <v>0</v>
      </c>
      <c r="E4415">
        <v>0</v>
      </c>
      <c r="F4415">
        <v>2</v>
      </c>
      <c r="G4415">
        <v>0</v>
      </c>
      <c r="H4415">
        <v>0</v>
      </c>
      <c r="I4415">
        <v>0</v>
      </c>
      <c r="J4415">
        <v>0</v>
      </c>
      <c r="K4415">
        <v>0</v>
      </c>
      <c r="L4415" t="s">
        <v>3284</v>
      </c>
      <c r="M4415" t="s">
        <v>3296</v>
      </c>
      <c r="N4415" t="s">
        <v>3343</v>
      </c>
      <c r="O4415" t="s">
        <v>3349</v>
      </c>
      <c r="P4415" t="s">
        <v>3350</v>
      </c>
      <c r="Q4415" t="s">
        <v>3580</v>
      </c>
      <c r="R4415" t="s">
        <v>13740</v>
      </c>
    </row>
    <row r="4416" spans="1:18" x14ac:dyDescent="0.2">
      <c r="A4416">
        <v>330214</v>
      </c>
      <c r="B4416" t="s">
        <v>13741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1</v>
      </c>
      <c r="I4416">
        <v>0</v>
      </c>
      <c r="J4416">
        <v>0</v>
      </c>
      <c r="K4416">
        <v>0</v>
      </c>
      <c r="L4416" t="s">
        <v>3284</v>
      </c>
      <c r="M4416" t="s">
        <v>13742</v>
      </c>
      <c r="N4416" t="s">
        <v>13743</v>
      </c>
      <c r="O4416" t="s">
        <v>13744</v>
      </c>
      <c r="P4416" t="s">
        <v>13745</v>
      </c>
      <c r="Q4416" t="s">
        <v>13746</v>
      </c>
      <c r="R4416" t="s">
        <v>13747</v>
      </c>
    </row>
    <row r="4417" spans="1:18" x14ac:dyDescent="0.2">
      <c r="A4417">
        <v>328415</v>
      </c>
      <c r="B4417" t="s">
        <v>13748</v>
      </c>
      <c r="C4417">
        <v>0</v>
      </c>
      <c r="D4417">
        <v>1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 t="s">
        <v>3284</v>
      </c>
      <c r="M4417" t="s">
        <v>3296</v>
      </c>
      <c r="N4417" t="s">
        <v>3343</v>
      </c>
      <c r="O4417" t="s">
        <v>3371</v>
      </c>
      <c r="P4417" t="s">
        <v>3372</v>
      </c>
      <c r="Q4417" t="s">
        <v>13101</v>
      </c>
      <c r="R4417" t="s">
        <v>13749</v>
      </c>
    </row>
    <row r="4418" spans="1:18" x14ac:dyDescent="0.2">
      <c r="A4418">
        <v>324768</v>
      </c>
      <c r="B4418" t="s">
        <v>13750</v>
      </c>
      <c r="C4418">
        <v>1</v>
      </c>
      <c r="D4418">
        <v>2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 t="s">
        <v>3284</v>
      </c>
      <c r="M4418" t="s">
        <v>3327</v>
      </c>
      <c r="N4418" t="s">
        <v>3376</v>
      </c>
      <c r="O4418" t="s">
        <v>3377</v>
      </c>
      <c r="P4418" t="s">
        <v>3378</v>
      </c>
      <c r="Q4418" t="s">
        <v>6184</v>
      </c>
      <c r="R4418" t="s">
        <v>13751</v>
      </c>
    </row>
    <row r="4419" spans="1:18" x14ac:dyDescent="0.2">
      <c r="A4419">
        <v>324606</v>
      </c>
      <c r="B4419" t="s">
        <v>13752</v>
      </c>
      <c r="C4419">
        <v>3</v>
      </c>
      <c r="D4419">
        <v>2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 t="s">
        <v>3284</v>
      </c>
      <c r="M4419" t="s">
        <v>3296</v>
      </c>
      <c r="N4419" t="s">
        <v>3321</v>
      </c>
      <c r="O4419" t="s">
        <v>3322</v>
      </c>
      <c r="P4419" t="s">
        <v>4143</v>
      </c>
      <c r="Q4419" t="s">
        <v>4708</v>
      </c>
      <c r="R4419" t="s">
        <v>13753</v>
      </c>
    </row>
    <row r="4420" spans="1:18" x14ac:dyDescent="0.2">
      <c r="A4420">
        <v>323761</v>
      </c>
      <c r="B4420" t="s">
        <v>13754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1</v>
      </c>
      <c r="J4420">
        <v>0</v>
      </c>
      <c r="K4420">
        <v>0</v>
      </c>
      <c r="L4420" t="s">
        <v>3284</v>
      </c>
      <c r="M4420" t="s">
        <v>3307</v>
      </c>
      <c r="N4420" t="s">
        <v>3308</v>
      </c>
      <c r="O4420" t="s">
        <v>3359</v>
      </c>
      <c r="P4420" t="s">
        <v>3360</v>
      </c>
      <c r="Q4420" t="s">
        <v>3361</v>
      </c>
      <c r="R4420" t="s">
        <v>13755</v>
      </c>
    </row>
    <row r="4421" spans="1:18" x14ac:dyDescent="0.2">
      <c r="A4421">
        <v>323621</v>
      </c>
      <c r="B4421" t="s">
        <v>13756</v>
      </c>
      <c r="C4421">
        <v>0</v>
      </c>
      <c r="D4421">
        <v>0</v>
      </c>
      <c r="E4421">
        <v>0</v>
      </c>
      <c r="F4421">
        <v>0</v>
      </c>
      <c r="G4421">
        <v>1</v>
      </c>
      <c r="H4421">
        <v>1</v>
      </c>
      <c r="I4421">
        <v>0</v>
      </c>
      <c r="J4421">
        <v>0</v>
      </c>
      <c r="K4421">
        <v>0</v>
      </c>
      <c r="L4421" t="s">
        <v>3284</v>
      </c>
      <c r="M4421" t="s">
        <v>3296</v>
      </c>
      <c r="N4421" t="s">
        <v>3343</v>
      </c>
      <c r="O4421" t="s">
        <v>3344</v>
      </c>
      <c r="P4421" t="s">
        <v>3355</v>
      </c>
      <c r="Q4421" t="s">
        <v>3846</v>
      </c>
      <c r="R4421" t="s">
        <v>13757</v>
      </c>
    </row>
    <row r="4422" spans="1:18" x14ac:dyDescent="0.2">
      <c r="A4422">
        <v>323450</v>
      </c>
      <c r="B4422" t="s">
        <v>13758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1</v>
      </c>
      <c r="J4422">
        <v>0</v>
      </c>
      <c r="K4422">
        <v>0</v>
      </c>
      <c r="L4422" t="s">
        <v>3284</v>
      </c>
      <c r="M4422" t="s">
        <v>3391</v>
      </c>
      <c r="N4422" t="s">
        <v>3740</v>
      </c>
      <c r="O4422" t="s">
        <v>3741</v>
      </c>
      <c r="P4422" t="s">
        <v>4993</v>
      </c>
      <c r="Q4422" t="s">
        <v>6750</v>
      </c>
      <c r="R4422" t="s">
        <v>13759</v>
      </c>
    </row>
    <row r="4423" spans="1:18" x14ac:dyDescent="0.2">
      <c r="A4423">
        <v>323412</v>
      </c>
      <c r="B4423" t="s">
        <v>13760</v>
      </c>
      <c r="C4423">
        <v>0</v>
      </c>
      <c r="D4423">
        <v>0</v>
      </c>
      <c r="E4423">
        <v>0</v>
      </c>
      <c r="F4423">
        <v>2</v>
      </c>
      <c r="G4423">
        <v>0</v>
      </c>
      <c r="H4423">
        <v>0</v>
      </c>
      <c r="I4423">
        <v>0</v>
      </c>
      <c r="J4423">
        <v>0</v>
      </c>
      <c r="K4423">
        <v>0</v>
      </c>
      <c r="L4423" t="s">
        <v>3284</v>
      </c>
      <c r="M4423" t="s">
        <v>3391</v>
      </c>
      <c r="N4423" t="s">
        <v>3411</v>
      </c>
      <c r="O4423" t="s">
        <v>3412</v>
      </c>
      <c r="P4423" t="s">
        <v>3413</v>
      </c>
      <c r="Q4423" t="s">
        <v>4420</v>
      </c>
      <c r="R4423" t="s">
        <v>13761</v>
      </c>
    </row>
    <row r="4424" spans="1:18" x14ac:dyDescent="0.2">
      <c r="A4424">
        <v>322163</v>
      </c>
      <c r="B4424" t="s">
        <v>13762</v>
      </c>
      <c r="C4424">
        <v>0</v>
      </c>
      <c r="D4424">
        <v>0</v>
      </c>
      <c r="E4424">
        <v>0</v>
      </c>
      <c r="F4424">
        <v>1</v>
      </c>
      <c r="G4424">
        <v>2</v>
      </c>
      <c r="H4424">
        <v>0</v>
      </c>
      <c r="I4424">
        <v>0</v>
      </c>
      <c r="J4424">
        <v>0</v>
      </c>
      <c r="K4424">
        <v>0</v>
      </c>
      <c r="L4424" t="s">
        <v>3284</v>
      </c>
      <c r="M4424" t="s">
        <v>3296</v>
      </c>
      <c r="N4424" t="s">
        <v>3343</v>
      </c>
      <c r="O4424" t="s">
        <v>3402</v>
      </c>
      <c r="P4424" t="s">
        <v>3403</v>
      </c>
      <c r="Q4424" t="s">
        <v>3536</v>
      </c>
      <c r="R4424" t="s">
        <v>13763</v>
      </c>
    </row>
    <row r="4425" spans="1:18" x14ac:dyDescent="0.2">
      <c r="A4425">
        <v>321846</v>
      </c>
      <c r="B4425" t="s">
        <v>13764</v>
      </c>
      <c r="C4425">
        <v>0</v>
      </c>
      <c r="D4425">
        <v>0</v>
      </c>
      <c r="E4425">
        <v>0</v>
      </c>
      <c r="F4425">
        <v>0</v>
      </c>
      <c r="G4425">
        <v>1</v>
      </c>
      <c r="H4425">
        <v>0</v>
      </c>
      <c r="I4425">
        <v>0</v>
      </c>
      <c r="J4425">
        <v>0</v>
      </c>
      <c r="K4425">
        <v>0</v>
      </c>
      <c r="L4425" t="s">
        <v>3284</v>
      </c>
      <c r="M4425" t="s">
        <v>3296</v>
      </c>
      <c r="N4425" t="s">
        <v>3297</v>
      </c>
      <c r="O4425" t="s">
        <v>3434</v>
      </c>
      <c r="P4425" t="s">
        <v>3435</v>
      </c>
      <c r="Q4425" t="s">
        <v>3436</v>
      </c>
      <c r="R4425" t="s">
        <v>13765</v>
      </c>
    </row>
    <row r="4426" spans="1:18" x14ac:dyDescent="0.2">
      <c r="A4426">
        <v>321763</v>
      </c>
      <c r="B4426" t="s">
        <v>13766</v>
      </c>
      <c r="C4426">
        <v>1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 t="s">
        <v>3284</v>
      </c>
      <c r="M4426" t="s">
        <v>3327</v>
      </c>
      <c r="N4426" t="s">
        <v>3328</v>
      </c>
      <c r="O4426" t="s">
        <v>11667</v>
      </c>
      <c r="P4426" t="s">
        <v>13767</v>
      </c>
      <c r="Q4426" t="s">
        <v>13768</v>
      </c>
      <c r="R4426" t="s">
        <v>13769</v>
      </c>
    </row>
    <row r="4427" spans="1:18" x14ac:dyDescent="0.2">
      <c r="A4427">
        <v>321325</v>
      </c>
      <c r="B4427" t="s">
        <v>13770</v>
      </c>
      <c r="C4427">
        <v>0</v>
      </c>
      <c r="D4427">
        <v>0</v>
      </c>
      <c r="E4427">
        <v>0</v>
      </c>
      <c r="F4427">
        <v>1</v>
      </c>
      <c r="G4427">
        <v>0</v>
      </c>
      <c r="H4427">
        <v>0</v>
      </c>
      <c r="I4427">
        <v>0</v>
      </c>
      <c r="J4427">
        <v>0</v>
      </c>
      <c r="K4427">
        <v>0</v>
      </c>
      <c r="L4427" t="s">
        <v>3284</v>
      </c>
      <c r="M4427" t="s">
        <v>3307</v>
      </c>
      <c r="N4427" t="s">
        <v>3308</v>
      </c>
      <c r="O4427" t="s">
        <v>3635</v>
      </c>
      <c r="P4427" t="s">
        <v>3636</v>
      </c>
      <c r="Q4427" t="s">
        <v>6345</v>
      </c>
      <c r="R4427" t="s">
        <v>13771</v>
      </c>
    </row>
    <row r="4428" spans="1:18" x14ac:dyDescent="0.2">
      <c r="A4428">
        <v>319939</v>
      </c>
      <c r="B4428" t="s">
        <v>13772</v>
      </c>
      <c r="C4428">
        <v>0</v>
      </c>
      <c r="D4428">
        <v>0</v>
      </c>
      <c r="E4428">
        <v>0</v>
      </c>
      <c r="F4428">
        <v>1</v>
      </c>
      <c r="G4428">
        <v>1</v>
      </c>
      <c r="H4428">
        <v>0</v>
      </c>
      <c r="I4428">
        <v>0</v>
      </c>
      <c r="J4428">
        <v>0</v>
      </c>
      <c r="K4428">
        <v>0</v>
      </c>
      <c r="L4428" t="s">
        <v>3284</v>
      </c>
      <c r="M4428" t="s">
        <v>3296</v>
      </c>
      <c r="N4428" t="s">
        <v>3297</v>
      </c>
      <c r="O4428" t="s">
        <v>3434</v>
      </c>
      <c r="P4428" t="s">
        <v>3435</v>
      </c>
      <c r="Q4428" t="s">
        <v>6436</v>
      </c>
      <c r="R4428" t="s">
        <v>13773</v>
      </c>
    </row>
    <row r="4429" spans="1:18" x14ac:dyDescent="0.2">
      <c r="A4429">
        <v>319707</v>
      </c>
      <c r="B4429" t="s">
        <v>13774</v>
      </c>
      <c r="C4429">
        <v>0</v>
      </c>
      <c r="D4429">
        <v>0</v>
      </c>
      <c r="E4429">
        <v>0</v>
      </c>
      <c r="F4429">
        <v>0</v>
      </c>
      <c r="G4429">
        <v>2</v>
      </c>
      <c r="H4429">
        <v>0</v>
      </c>
      <c r="I4429">
        <v>0</v>
      </c>
      <c r="J4429">
        <v>0</v>
      </c>
      <c r="K4429">
        <v>0</v>
      </c>
      <c r="L4429" t="s">
        <v>3284</v>
      </c>
      <c r="M4429" t="s">
        <v>3307</v>
      </c>
      <c r="N4429" t="s">
        <v>3308</v>
      </c>
      <c r="O4429" t="s">
        <v>3635</v>
      </c>
      <c r="P4429" t="s">
        <v>4011</v>
      </c>
      <c r="Q4429" t="s">
        <v>4471</v>
      </c>
      <c r="R4429" t="s">
        <v>13775</v>
      </c>
    </row>
    <row r="4430" spans="1:18" x14ac:dyDescent="0.2">
      <c r="A4430">
        <v>319475</v>
      </c>
      <c r="B4430" t="s">
        <v>13776</v>
      </c>
      <c r="C4430">
        <v>7</v>
      </c>
      <c r="D4430">
        <v>6</v>
      </c>
      <c r="E4430">
        <v>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 t="s">
        <v>3284</v>
      </c>
      <c r="M4430" t="s">
        <v>3327</v>
      </c>
      <c r="N4430" t="s">
        <v>3328</v>
      </c>
      <c r="O4430" t="s">
        <v>3329</v>
      </c>
      <c r="P4430" t="s">
        <v>3330</v>
      </c>
      <c r="Q4430" t="s">
        <v>3331</v>
      </c>
      <c r="R4430" t="s">
        <v>13777</v>
      </c>
    </row>
    <row r="4431" spans="1:18" x14ac:dyDescent="0.2">
      <c r="A4431">
        <v>319238</v>
      </c>
      <c r="B4431" t="s">
        <v>13778</v>
      </c>
      <c r="C4431">
        <v>0</v>
      </c>
      <c r="D4431">
        <v>0</v>
      </c>
      <c r="E4431">
        <v>0</v>
      </c>
      <c r="F4431">
        <v>1</v>
      </c>
      <c r="G4431">
        <v>0</v>
      </c>
      <c r="H4431">
        <v>0</v>
      </c>
      <c r="I4431">
        <v>0</v>
      </c>
      <c r="J4431">
        <v>0</v>
      </c>
      <c r="K4431">
        <v>0</v>
      </c>
      <c r="L4431" t="s">
        <v>3284</v>
      </c>
      <c r="M4431" t="s">
        <v>3391</v>
      </c>
      <c r="N4431" t="s">
        <v>3411</v>
      </c>
      <c r="O4431" t="s">
        <v>3412</v>
      </c>
      <c r="P4431" t="s">
        <v>3413</v>
      </c>
      <c r="Q4431" t="s">
        <v>13779</v>
      </c>
      <c r="R4431" t="s">
        <v>13780</v>
      </c>
    </row>
    <row r="4432" spans="1:18" x14ac:dyDescent="0.2">
      <c r="A4432">
        <v>318464</v>
      </c>
      <c r="B4432" t="s">
        <v>13781</v>
      </c>
      <c r="C4432">
        <v>3</v>
      </c>
      <c r="D4432">
        <v>2</v>
      </c>
      <c r="E4432">
        <v>3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 t="s">
        <v>3284</v>
      </c>
      <c r="M4432" t="s">
        <v>3327</v>
      </c>
      <c r="N4432" t="s">
        <v>3328</v>
      </c>
      <c r="O4432" t="s">
        <v>3329</v>
      </c>
      <c r="P4432" t="s">
        <v>3330</v>
      </c>
      <c r="Q4432" t="s">
        <v>3331</v>
      </c>
      <c r="R4432" t="s">
        <v>13782</v>
      </c>
    </row>
    <row r="4433" spans="1:18" x14ac:dyDescent="0.2">
      <c r="A4433">
        <v>318456</v>
      </c>
      <c r="B4433" t="s">
        <v>13783</v>
      </c>
      <c r="C4433">
        <v>0</v>
      </c>
      <c r="D4433">
        <v>0</v>
      </c>
      <c r="E4433">
        <v>4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1</v>
      </c>
      <c r="L4433" t="s">
        <v>3284</v>
      </c>
      <c r="M4433" t="s">
        <v>3296</v>
      </c>
      <c r="N4433" t="s">
        <v>3297</v>
      </c>
      <c r="O4433" t="s">
        <v>8851</v>
      </c>
      <c r="P4433" t="s">
        <v>8852</v>
      </c>
      <c r="Q4433" t="s">
        <v>8853</v>
      </c>
      <c r="R4433" t="s">
        <v>13784</v>
      </c>
    </row>
    <row r="4434" spans="1:18" x14ac:dyDescent="0.2">
      <c r="A4434">
        <v>316330</v>
      </c>
      <c r="B4434" t="s">
        <v>13785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1</v>
      </c>
      <c r="J4434">
        <v>0</v>
      </c>
      <c r="K4434">
        <v>0</v>
      </c>
      <c r="L4434" t="s">
        <v>3284</v>
      </c>
      <c r="M4434" t="s">
        <v>3307</v>
      </c>
      <c r="N4434" t="s">
        <v>3308</v>
      </c>
      <c r="O4434" t="s">
        <v>3949</v>
      </c>
      <c r="P4434" t="s">
        <v>3950</v>
      </c>
      <c r="Q4434" t="s">
        <v>13786</v>
      </c>
      <c r="R4434" t="s">
        <v>13787</v>
      </c>
    </row>
    <row r="4435" spans="1:18" x14ac:dyDescent="0.2">
      <c r="A4435">
        <v>314722</v>
      </c>
      <c r="B4435" t="s">
        <v>13788</v>
      </c>
      <c r="C4435">
        <v>0</v>
      </c>
      <c r="D4435">
        <v>0</v>
      </c>
      <c r="E4435">
        <v>0</v>
      </c>
      <c r="F4435">
        <v>1</v>
      </c>
      <c r="G4435">
        <v>0</v>
      </c>
      <c r="H4435">
        <v>0</v>
      </c>
      <c r="I4435">
        <v>0</v>
      </c>
      <c r="J4435">
        <v>0</v>
      </c>
      <c r="K4435">
        <v>0</v>
      </c>
      <c r="L4435" t="s">
        <v>3284</v>
      </c>
      <c r="M4435" t="s">
        <v>3296</v>
      </c>
      <c r="N4435" t="s">
        <v>3297</v>
      </c>
      <c r="O4435" t="s">
        <v>3469</v>
      </c>
      <c r="P4435" t="s">
        <v>3470</v>
      </c>
      <c r="Q4435" t="s">
        <v>6962</v>
      </c>
      <c r="R4435" t="s">
        <v>13789</v>
      </c>
    </row>
    <row r="4436" spans="1:18" x14ac:dyDescent="0.2">
      <c r="A4436">
        <v>314281</v>
      </c>
      <c r="B4436" t="s">
        <v>13790</v>
      </c>
      <c r="C4436">
        <v>0</v>
      </c>
      <c r="D4436">
        <v>0</v>
      </c>
      <c r="E4436">
        <v>0</v>
      </c>
      <c r="F4436">
        <v>0</v>
      </c>
      <c r="G4436">
        <v>1</v>
      </c>
      <c r="H4436">
        <v>0</v>
      </c>
      <c r="I4436">
        <v>0</v>
      </c>
      <c r="J4436">
        <v>0</v>
      </c>
      <c r="K4436">
        <v>0</v>
      </c>
      <c r="L4436" t="s">
        <v>3284</v>
      </c>
      <c r="M4436" t="s">
        <v>3296</v>
      </c>
      <c r="N4436" t="s">
        <v>3297</v>
      </c>
      <c r="O4436" t="s">
        <v>4556</v>
      </c>
      <c r="P4436" t="s">
        <v>11249</v>
      </c>
      <c r="Q4436" t="s">
        <v>11250</v>
      </c>
      <c r="R4436" t="s">
        <v>13791</v>
      </c>
    </row>
    <row r="4437" spans="1:18" x14ac:dyDescent="0.2">
      <c r="A4437">
        <v>312306</v>
      </c>
      <c r="B4437" t="s">
        <v>13792</v>
      </c>
      <c r="C4437">
        <v>1</v>
      </c>
      <c r="D4437">
        <v>1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 t="s">
        <v>3284</v>
      </c>
      <c r="M4437" t="s">
        <v>3296</v>
      </c>
      <c r="N4437" t="s">
        <v>3297</v>
      </c>
      <c r="O4437" t="s">
        <v>3434</v>
      </c>
      <c r="P4437" t="s">
        <v>3435</v>
      </c>
      <c r="Q4437" t="s">
        <v>3436</v>
      </c>
      <c r="R4437" t="s">
        <v>13793</v>
      </c>
    </row>
    <row r="4438" spans="1:18" x14ac:dyDescent="0.2">
      <c r="A4438">
        <v>312279</v>
      </c>
      <c r="B4438" t="s">
        <v>13794</v>
      </c>
      <c r="C4438">
        <v>0</v>
      </c>
      <c r="D4438">
        <v>1</v>
      </c>
      <c r="E4438">
        <v>0</v>
      </c>
      <c r="F4438">
        <v>0</v>
      </c>
      <c r="G4438">
        <v>0</v>
      </c>
      <c r="H4438">
        <v>0</v>
      </c>
      <c r="I4438">
        <v>5</v>
      </c>
      <c r="J4438">
        <v>5</v>
      </c>
      <c r="K4438">
        <v>0</v>
      </c>
      <c r="L4438" t="s">
        <v>3284</v>
      </c>
      <c r="M4438" t="s">
        <v>3391</v>
      </c>
      <c r="N4438" t="s">
        <v>3740</v>
      </c>
      <c r="O4438" t="s">
        <v>3741</v>
      </c>
      <c r="P4438" t="s">
        <v>3853</v>
      </c>
      <c r="Q4438" t="s">
        <v>3854</v>
      </c>
      <c r="R4438" t="s">
        <v>13795</v>
      </c>
    </row>
    <row r="4439" spans="1:18" x14ac:dyDescent="0.2">
      <c r="A4439">
        <v>312277</v>
      </c>
      <c r="B4439" t="s">
        <v>13796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1</v>
      </c>
      <c r="K4439">
        <v>0</v>
      </c>
      <c r="L4439" t="s">
        <v>3284</v>
      </c>
      <c r="M4439" t="s">
        <v>3391</v>
      </c>
      <c r="N4439" t="s">
        <v>3411</v>
      </c>
      <c r="O4439" t="s">
        <v>3412</v>
      </c>
      <c r="P4439" t="s">
        <v>3413</v>
      </c>
      <c r="Q4439" t="s">
        <v>3414</v>
      </c>
      <c r="R4439" t="s">
        <v>13797</v>
      </c>
    </row>
    <row r="4440" spans="1:18" x14ac:dyDescent="0.2">
      <c r="A4440">
        <v>312168</v>
      </c>
      <c r="B4440" t="s">
        <v>13798</v>
      </c>
      <c r="C4440">
        <v>2</v>
      </c>
      <c r="D4440">
        <v>2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 t="s">
        <v>3284</v>
      </c>
      <c r="M4440" t="s">
        <v>3327</v>
      </c>
      <c r="N4440" t="s">
        <v>3328</v>
      </c>
      <c r="O4440" t="s">
        <v>4184</v>
      </c>
      <c r="P4440" t="s">
        <v>6312</v>
      </c>
      <c r="Q4440" t="s">
        <v>13799</v>
      </c>
      <c r="R4440" t="s">
        <v>13800</v>
      </c>
    </row>
    <row r="4441" spans="1:18" x14ac:dyDescent="0.2">
      <c r="A4441">
        <v>312089</v>
      </c>
      <c r="B4441" t="s">
        <v>13801</v>
      </c>
      <c r="C4441">
        <v>11</v>
      </c>
      <c r="D4441">
        <v>5</v>
      </c>
      <c r="E4441">
        <v>4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 t="s">
        <v>3284</v>
      </c>
      <c r="M4441" t="s">
        <v>3327</v>
      </c>
      <c r="N4441" t="s">
        <v>3328</v>
      </c>
      <c r="O4441" t="s">
        <v>3329</v>
      </c>
      <c r="P4441" t="s">
        <v>3330</v>
      </c>
      <c r="Q4441" t="s">
        <v>3331</v>
      </c>
      <c r="R4441" t="s">
        <v>13802</v>
      </c>
    </row>
    <row r="4442" spans="1:18" x14ac:dyDescent="0.2">
      <c r="A4442">
        <v>311333</v>
      </c>
      <c r="B4442" t="s">
        <v>13803</v>
      </c>
      <c r="C4442">
        <v>0</v>
      </c>
      <c r="D4442">
        <v>0</v>
      </c>
      <c r="E4442">
        <v>0</v>
      </c>
      <c r="F4442">
        <v>1</v>
      </c>
      <c r="G4442">
        <v>0</v>
      </c>
      <c r="H4442">
        <v>0</v>
      </c>
      <c r="I4442">
        <v>0</v>
      </c>
      <c r="J4442">
        <v>0</v>
      </c>
      <c r="K4442">
        <v>0</v>
      </c>
      <c r="L4442" t="s">
        <v>3284</v>
      </c>
      <c r="M4442" t="s">
        <v>3391</v>
      </c>
      <c r="N4442" t="s">
        <v>3411</v>
      </c>
      <c r="O4442" t="s">
        <v>3412</v>
      </c>
      <c r="P4442" t="s">
        <v>3564</v>
      </c>
      <c r="Q4442" t="s">
        <v>3803</v>
      </c>
      <c r="R4442" t="s">
        <v>13804</v>
      </c>
    </row>
    <row r="4443" spans="1:18" x14ac:dyDescent="0.2">
      <c r="A4443">
        <v>311230</v>
      </c>
      <c r="B4443" t="s">
        <v>13805</v>
      </c>
      <c r="C4443">
        <v>0</v>
      </c>
      <c r="D4443">
        <v>0</v>
      </c>
      <c r="E4443">
        <v>0</v>
      </c>
      <c r="F4443">
        <v>0</v>
      </c>
      <c r="G4443">
        <v>2</v>
      </c>
      <c r="H4443">
        <v>0</v>
      </c>
      <c r="I4443">
        <v>0</v>
      </c>
      <c r="J4443">
        <v>0</v>
      </c>
      <c r="K4443">
        <v>0</v>
      </c>
      <c r="L4443" t="s">
        <v>3284</v>
      </c>
      <c r="M4443" t="s">
        <v>3296</v>
      </c>
      <c r="N4443" t="s">
        <v>3321</v>
      </c>
      <c r="O4443" t="s">
        <v>3322</v>
      </c>
      <c r="P4443" t="s">
        <v>3423</v>
      </c>
      <c r="Q4443" t="s">
        <v>4357</v>
      </c>
      <c r="R4443" t="s">
        <v>13806</v>
      </c>
    </row>
    <row r="4444" spans="1:18" x14ac:dyDescent="0.2">
      <c r="A4444">
        <v>311194</v>
      </c>
      <c r="B4444" t="s">
        <v>13807</v>
      </c>
      <c r="C4444">
        <v>0</v>
      </c>
      <c r="D4444">
        <v>1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 t="s">
        <v>3284</v>
      </c>
      <c r="M4444" t="s">
        <v>3327</v>
      </c>
      <c r="N4444" t="s">
        <v>3376</v>
      </c>
      <c r="O4444" t="s">
        <v>3377</v>
      </c>
      <c r="P4444" t="s">
        <v>3378</v>
      </c>
      <c r="Q4444" t="s">
        <v>13808</v>
      </c>
      <c r="R4444" t="s">
        <v>13809</v>
      </c>
    </row>
    <row r="4445" spans="1:18" x14ac:dyDescent="0.2">
      <c r="A4445">
        <v>311182</v>
      </c>
      <c r="B4445" t="s">
        <v>13810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1</v>
      </c>
      <c r="J4445">
        <v>0</v>
      </c>
      <c r="K4445">
        <v>0</v>
      </c>
      <c r="L4445" t="s">
        <v>3284</v>
      </c>
      <c r="M4445" t="s">
        <v>3296</v>
      </c>
      <c r="N4445" t="s">
        <v>3321</v>
      </c>
      <c r="O4445" t="s">
        <v>5469</v>
      </c>
      <c r="P4445" t="s">
        <v>5470</v>
      </c>
      <c r="Q4445" t="s">
        <v>13811</v>
      </c>
      <c r="R4445" t="s">
        <v>13812</v>
      </c>
    </row>
    <row r="4446" spans="1:18" x14ac:dyDescent="0.2">
      <c r="A4446">
        <v>310721</v>
      </c>
      <c r="B4446" t="s">
        <v>13813</v>
      </c>
      <c r="C4446">
        <v>0</v>
      </c>
      <c r="D4446">
        <v>1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1</v>
      </c>
      <c r="L4446" t="s">
        <v>3284</v>
      </c>
      <c r="M4446" t="s">
        <v>6546</v>
      </c>
      <c r="N4446" t="s">
        <v>6547</v>
      </c>
      <c r="O4446" t="s">
        <v>13814</v>
      </c>
      <c r="P4446" t="s">
        <v>13815</v>
      </c>
      <c r="Q4446" t="s">
        <v>13816</v>
      </c>
      <c r="R4446" t="s">
        <v>13817</v>
      </c>
    </row>
    <row r="4447" spans="1:18" x14ac:dyDescent="0.2">
      <c r="A4447">
        <v>310353</v>
      </c>
      <c r="B4447" t="s">
        <v>13818</v>
      </c>
      <c r="C4447">
        <v>0</v>
      </c>
      <c r="D4447">
        <v>0</v>
      </c>
      <c r="E4447">
        <v>0</v>
      </c>
      <c r="F4447">
        <v>0</v>
      </c>
      <c r="G4447">
        <v>1</v>
      </c>
      <c r="H4447">
        <v>0</v>
      </c>
      <c r="I4447">
        <v>0</v>
      </c>
      <c r="J4447">
        <v>0</v>
      </c>
      <c r="K4447">
        <v>0</v>
      </c>
      <c r="L4447" t="s">
        <v>3284</v>
      </c>
      <c r="M4447" t="s">
        <v>3307</v>
      </c>
      <c r="N4447" t="s">
        <v>3308</v>
      </c>
      <c r="O4447" t="s">
        <v>3494</v>
      </c>
      <c r="P4447" t="s">
        <v>3495</v>
      </c>
      <c r="Q4447" t="s">
        <v>6241</v>
      </c>
      <c r="R4447" t="s">
        <v>13819</v>
      </c>
    </row>
    <row r="4448" spans="1:18" x14ac:dyDescent="0.2">
      <c r="A4448">
        <v>309889</v>
      </c>
      <c r="B4448" t="s">
        <v>13820</v>
      </c>
      <c r="C4448">
        <v>1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 t="s">
        <v>3284</v>
      </c>
      <c r="M4448" t="s">
        <v>6891</v>
      </c>
      <c r="N4448" t="s">
        <v>6892</v>
      </c>
      <c r="O4448" t="s">
        <v>6893</v>
      </c>
      <c r="P4448" t="s">
        <v>6894</v>
      </c>
      <c r="Q4448" t="s">
        <v>6895</v>
      </c>
      <c r="R4448" t="s">
        <v>13821</v>
      </c>
    </row>
    <row r="4449" spans="1:18" x14ac:dyDescent="0.2">
      <c r="A4449">
        <v>308053</v>
      </c>
      <c r="B4449" t="s">
        <v>13822</v>
      </c>
      <c r="C4449">
        <v>0</v>
      </c>
      <c r="D4449">
        <v>1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 t="s">
        <v>3284</v>
      </c>
      <c r="M4449" t="s">
        <v>3391</v>
      </c>
      <c r="N4449" t="s">
        <v>3411</v>
      </c>
      <c r="O4449" t="s">
        <v>3412</v>
      </c>
      <c r="P4449" t="s">
        <v>3413</v>
      </c>
      <c r="Q4449" t="s">
        <v>3414</v>
      </c>
      <c r="R4449" t="s">
        <v>13823</v>
      </c>
    </row>
    <row r="4450" spans="1:18" x14ac:dyDescent="0.2">
      <c r="A4450">
        <v>307643</v>
      </c>
      <c r="B4450" t="s">
        <v>13824</v>
      </c>
      <c r="C4450">
        <v>0</v>
      </c>
      <c r="D4450">
        <v>1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 t="s">
        <v>3284</v>
      </c>
      <c r="M4450" t="s">
        <v>3327</v>
      </c>
      <c r="N4450" t="s">
        <v>3376</v>
      </c>
      <c r="O4450" t="s">
        <v>3377</v>
      </c>
      <c r="P4450" t="s">
        <v>3271</v>
      </c>
      <c r="Q4450" t="s">
        <v>3648</v>
      </c>
      <c r="R4450" t="s">
        <v>13825</v>
      </c>
    </row>
    <row r="4451" spans="1:18" x14ac:dyDescent="0.2">
      <c r="A4451">
        <v>307486</v>
      </c>
      <c r="B4451" t="s">
        <v>13826</v>
      </c>
      <c r="C4451">
        <v>2</v>
      </c>
      <c r="D4451">
        <v>1</v>
      </c>
      <c r="E4451">
        <v>1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 t="s">
        <v>3284</v>
      </c>
      <c r="M4451" t="s">
        <v>3296</v>
      </c>
      <c r="N4451" t="s">
        <v>3321</v>
      </c>
      <c r="O4451" t="s">
        <v>3322</v>
      </c>
      <c r="P4451" t="s">
        <v>3271</v>
      </c>
      <c r="Q4451" t="s">
        <v>8019</v>
      </c>
      <c r="R4451" t="s">
        <v>13827</v>
      </c>
    </row>
    <row r="4452" spans="1:18" x14ac:dyDescent="0.2">
      <c r="A4452">
        <v>306542</v>
      </c>
      <c r="B4452" t="s">
        <v>13828</v>
      </c>
      <c r="C4452">
        <v>2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 t="s">
        <v>3284</v>
      </c>
      <c r="M4452" t="s">
        <v>3327</v>
      </c>
      <c r="N4452" t="s">
        <v>3376</v>
      </c>
      <c r="O4452" t="s">
        <v>3377</v>
      </c>
      <c r="P4452" t="s">
        <v>3604</v>
      </c>
      <c r="Q4452" t="s">
        <v>3668</v>
      </c>
      <c r="R4452" t="s">
        <v>13829</v>
      </c>
    </row>
    <row r="4453" spans="1:18" x14ac:dyDescent="0.2">
      <c r="A4453">
        <v>306205</v>
      </c>
      <c r="B4453" t="s">
        <v>13830</v>
      </c>
      <c r="C4453">
        <v>1</v>
      </c>
      <c r="D4453">
        <v>1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 t="s">
        <v>3284</v>
      </c>
      <c r="M4453" t="s">
        <v>3296</v>
      </c>
      <c r="N4453" t="s">
        <v>3297</v>
      </c>
      <c r="O4453" t="s">
        <v>4124</v>
      </c>
      <c r="P4453" t="s">
        <v>4125</v>
      </c>
      <c r="Q4453" t="s">
        <v>5083</v>
      </c>
      <c r="R4453" t="s">
        <v>13831</v>
      </c>
    </row>
    <row r="4454" spans="1:18" x14ac:dyDescent="0.2">
      <c r="A4454">
        <v>304901</v>
      </c>
      <c r="B4454" t="s">
        <v>13832</v>
      </c>
      <c r="C4454">
        <v>1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 t="s">
        <v>3284</v>
      </c>
      <c r="M4454" t="s">
        <v>3307</v>
      </c>
      <c r="N4454" t="s">
        <v>3308</v>
      </c>
      <c r="O4454" t="s">
        <v>9851</v>
      </c>
      <c r="P4454" t="s">
        <v>9852</v>
      </c>
      <c r="Q4454" t="s">
        <v>13833</v>
      </c>
      <c r="R4454" t="s">
        <v>13834</v>
      </c>
    </row>
    <row r="4455" spans="1:18" x14ac:dyDescent="0.2">
      <c r="A4455">
        <v>304378</v>
      </c>
      <c r="B4455" t="s">
        <v>13835</v>
      </c>
      <c r="C4455">
        <v>0</v>
      </c>
      <c r="D4455">
        <v>0</v>
      </c>
      <c r="E4455">
        <v>0</v>
      </c>
      <c r="F4455">
        <v>1</v>
      </c>
      <c r="G4455">
        <v>0</v>
      </c>
      <c r="H4455">
        <v>0</v>
      </c>
      <c r="I4455">
        <v>0</v>
      </c>
      <c r="J4455">
        <v>0</v>
      </c>
      <c r="K4455">
        <v>0</v>
      </c>
      <c r="L4455" t="s">
        <v>3284</v>
      </c>
      <c r="M4455" t="s">
        <v>3296</v>
      </c>
      <c r="N4455" t="s">
        <v>3343</v>
      </c>
      <c r="O4455" t="s">
        <v>3349</v>
      </c>
      <c r="P4455" t="s">
        <v>3350</v>
      </c>
      <c r="Q4455" t="s">
        <v>3580</v>
      </c>
      <c r="R4455" t="s">
        <v>13836</v>
      </c>
    </row>
    <row r="4456" spans="1:18" x14ac:dyDescent="0.2">
      <c r="A4456">
        <v>303380</v>
      </c>
      <c r="B4456" t="s">
        <v>13837</v>
      </c>
      <c r="C4456">
        <v>0</v>
      </c>
      <c r="D4456">
        <v>0</v>
      </c>
      <c r="E4456">
        <v>0</v>
      </c>
      <c r="F4456">
        <v>0</v>
      </c>
      <c r="G4456">
        <v>1</v>
      </c>
      <c r="H4456">
        <v>0</v>
      </c>
      <c r="I4456">
        <v>0</v>
      </c>
      <c r="J4456">
        <v>0</v>
      </c>
      <c r="K4456">
        <v>0</v>
      </c>
      <c r="L4456" t="s">
        <v>3284</v>
      </c>
      <c r="M4456" t="s">
        <v>3296</v>
      </c>
      <c r="N4456" t="s">
        <v>3321</v>
      </c>
      <c r="O4456" t="s">
        <v>3322</v>
      </c>
      <c r="P4456" t="s">
        <v>3323</v>
      </c>
      <c r="Q4456" t="s">
        <v>8972</v>
      </c>
      <c r="R4456" t="s">
        <v>13838</v>
      </c>
    </row>
    <row r="4457" spans="1:18" x14ac:dyDescent="0.2">
      <c r="A4457">
        <v>301388</v>
      </c>
      <c r="B4457" t="s">
        <v>13839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1</v>
      </c>
      <c r="J4457">
        <v>0</v>
      </c>
      <c r="K4457">
        <v>0</v>
      </c>
      <c r="L4457" t="s">
        <v>3284</v>
      </c>
      <c r="M4457" t="s">
        <v>3307</v>
      </c>
      <c r="N4457" t="s">
        <v>3308</v>
      </c>
      <c r="O4457" t="s">
        <v>3359</v>
      </c>
      <c r="P4457" t="s">
        <v>3588</v>
      </c>
      <c r="Q4457" t="s">
        <v>4970</v>
      </c>
      <c r="R4457" t="s">
        <v>13840</v>
      </c>
    </row>
    <row r="4458" spans="1:18" x14ac:dyDescent="0.2">
      <c r="A4458">
        <v>301154</v>
      </c>
      <c r="B4458" t="s">
        <v>13841</v>
      </c>
      <c r="C4458">
        <v>0</v>
      </c>
      <c r="D4458">
        <v>0</v>
      </c>
      <c r="E4458">
        <v>0</v>
      </c>
      <c r="F4458">
        <v>2</v>
      </c>
      <c r="G4458">
        <v>1</v>
      </c>
      <c r="H4458">
        <v>0</v>
      </c>
      <c r="I4458">
        <v>0</v>
      </c>
      <c r="J4458">
        <v>0</v>
      </c>
      <c r="K4458">
        <v>0</v>
      </c>
      <c r="L4458" t="s">
        <v>3284</v>
      </c>
      <c r="M4458" t="s">
        <v>3296</v>
      </c>
      <c r="N4458" t="s">
        <v>3343</v>
      </c>
      <c r="O4458" t="s">
        <v>3349</v>
      </c>
      <c r="P4458" t="s">
        <v>3350</v>
      </c>
      <c r="Q4458" t="s">
        <v>3580</v>
      </c>
      <c r="R4458" t="s">
        <v>13842</v>
      </c>
    </row>
    <row r="4459" spans="1:18" x14ac:dyDescent="0.2">
      <c r="A4459">
        <v>301148</v>
      </c>
      <c r="B4459" t="s">
        <v>13843</v>
      </c>
      <c r="C4459">
        <v>1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 t="s">
        <v>3284</v>
      </c>
      <c r="M4459" t="s">
        <v>3327</v>
      </c>
      <c r="N4459" t="s">
        <v>3376</v>
      </c>
      <c r="O4459" t="s">
        <v>3377</v>
      </c>
      <c r="P4459" t="s">
        <v>3378</v>
      </c>
      <c r="Q4459" t="s">
        <v>13844</v>
      </c>
      <c r="R4459" t="s">
        <v>13845</v>
      </c>
    </row>
    <row r="4460" spans="1:18" x14ac:dyDescent="0.2">
      <c r="A4460">
        <v>300876</v>
      </c>
      <c r="B4460" t="s">
        <v>13846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1</v>
      </c>
      <c r="L4460" t="s">
        <v>3284</v>
      </c>
      <c r="M4460" t="s">
        <v>3296</v>
      </c>
      <c r="N4460" t="s">
        <v>3297</v>
      </c>
      <c r="O4460" t="s">
        <v>8851</v>
      </c>
      <c r="P4460" t="s">
        <v>8852</v>
      </c>
      <c r="Q4460" t="s">
        <v>10605</v>
      </c>
      <c r="R4460" t="s">
        <v>13847</v>
      </c>
    </row>
    <row r="4461" spans="1:18" x14ac:dyDescent="0.2">
      <c r="A4461">
        <v>300273</v>
      </c>
      <c r="B4461" t="s">
        <v>13848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1</v>
      </c>
      <c r="J4461">
        <v>1</v>
      </c>
      <c r="K4461">
        <v>0</v>
      </c>
      <c r="L4461" t="s">
        <v>3284</v>
      </c>
      <c r="M4461" t="s">
        <v>3296</v>
      </c>
      <c r="N4461" t="s">
        <v>3343</v>
      </c>
      <c r="O4461" t="s">
        <v>3344</v>
      </c>
      <c r="P4461" t="s">
        <v>3837</v>
      </c>
      <c r="Q4461" t="s">
        <v>4865</v>
      </c>
      <c r="R4461" t="s">
        <v>13849</v>
      </c>
    </row>
    <row r="4462" spans="1:18" x14ac:dyDescent="0.2">
      <c r="A4462">
        <v>300181</v>
      </c>
      <c r="B4462" t="s">
        <v>13850</v>
      </c>
      <c r="C4462">
        <v>0</v>
      </c>
      <c r="D4462">
        <v>0</v>
      </c>
      <c r="E4462">
        <v>0</v>
      </c>
      <c r="F4462">
        <v>1</v>
      </c>
      <c r="G4462">
        <v>0</v>
      </c>
      <c r="H4462">
        <v>0</v>
      </c>
      <c r="I4462">
        <v>0</v>
      </c>
      <c r="J4462">
        <v>0</v>
      </c>
      <c r="K4462">
        <v>0</v>
      </c>
      <c r="L4462" t="s">
        <v>3284</v>
      </c>
      <c r="M4462" t="s">
        <v>3296</v>
      </c>
      <c r="N4462" t="s">
        <v>3297</v>
      </c>
      <c r="O4462" t="s">
        <v>3298</v>
      </c>
      <c r="P4462" t="s">
        <v>3299</v>
      </c>
      <c r="Q4462" t="s">
        <v>3300</v>
      </c>
      <c r="R4462" t="s">
        <v>13851</v>
      </c>
    </row>
    <row r="4463" spans="1:18" x14ac:dyDescent="0.2">
      <c r="A4463">
        <v>300019</v>
      </c>
      <c r="B4463" t="s">
        <v>13852</v>
      </c>
      <c r="C4463">
        <v>0</v>
      </c>
      <c r="D4463">
        <v>0</v>
      </c>
      <c r="E4463">
        <v>0</v>
      </c>
      <c r="F4463">
        <v>1</v>
      </c>
      <c r="G4463">
        <v>0</v>
      </c>
      <c r="H4463">
        <v>0</v>
      </c>
      <c r="I4463">
        <v>0</v>
      </c>
      <c r="J4463">
        <v>0</v>
      </c>
      <c r="K4463">
        <v>0</v>
      </c>
      <c r="L4463" t="s">
        <v>3284</v>
      </c>
      <c r="M4463" t="s">
        <v>3307</v>
      </c>
      <c r="N4463" t="s">
        <v>3308</v>
      </c>
      <c r="O4463" t="s">
        <v>3359</v>
      </c>
      <c r="P4463" t="s">
        <v>3360</v>
      </c>
      <c r="Q4463" t="s">
        <v>3361</v>
      </c>
      <c r="R4463" t="s">
        <v>13853</v>
      </c>
    </row>
    <row r="4464" spans="1:18" x14ac:dyDescent="0.2">
      <c r="A4464">
        <v>299767</v>
      </c>
      <c r="B4464" t="s">
        <v>13854</v>
      </c>
      <c r="C4464">
        <v>0</v>
      </c>
      <c r="D4464">
        <v>0</v>
      </c>
      <c r="E4464">
        <v>1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1</v>
      </c>
      <c r="L4464" t="s">
        <v>3284</v>
      </c>
      <c r="M4464" t="s">
        <v>3296</v>
      </c>
      <c r="N4464" t="s">
        <v>3297</v>
      </c>
      <c r="O4464" t="s">
        <v>3298</v>
      </c>
      <c r="P4464" t="s">
        <v>3826</v>
      </c>
      <c r="Q4464" t="s">
        <v>6074</v>
      </c>
      <c r="R4464" t="s">
        <v>13855</v>
      </c>
    </row>
    <row r="4465" spans="1:18" x14ac:dyDescent="0.2">
      <c r="A4465">
        <v>299567</v>
      </c>
      <c r="B4465" t="s">
        <v>13856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1</v>
      </c>
      <c r="K4465">
        <v>0</v>
      </c>
      <c r="L4465" t="s">
        <v>3284</v>
      </c>
      <c r="M4465" t="s">
        <v>3391</v>
      </c>
      <c r="N4465" t="s">
        <v>3740</v>
      </c>
      <c r="O4465" t="s">
        <v>3741</v>
      </c>
      <c r="P4465" t="s">
        <v>4993</v>
      </c>
      <c r="Q4465" t="s">
        <v>6737</v>
      </c>
      <c r="R4465" t="s">
        <v>13857</v>
      </c>
    </row>
    <row r="4466" spans="1:18" x14ac:dyDescent="0.2">
      <c r="A4466">
        <v>298657</v>
      </c>
      <c r="B4466" t="s">
        <v>13858</v>
      </c>
      <c r="C4466">
        <v>15</v>
      </c>
      <c r="D4466">
        <v>30</v>
      </c>
      <c r="E4466">
        <v>78</v>
      </c>
      <c r="F4466">
        <v>27</v>
      </c>
      <c r="G4466">
        <v>27</v>
      </c>
      <c r="H4466">
        <v>62</v>
      </c>
      <c r="I4466">
        <v>106</v>
      </c>
      <c r="J4466">
        <v>56</v>
      </c>
      <c r="K4466">
        <v>251</v>
      </c>
      <c r="L4466" t="s">
        <v>3284</v>
      </c>
      <c r="M4466" t="s">
        <v>3296</v>
      </c>
      <c r="N4466" t="s">
        <v>3297</v>
      </c>
      <c r="O4466" t="s">
        <v>4556</v>
      </c>
      <c r="P4466" t="s">
        <v>11249</v>
      </c>
      <c r="Q4466" t="s">
        <v>11250</v>
      </c>
      <c r="R4466" t="s">
        <v>13859</v>
      </c>
    </row>
    <row r="4467" spans="1:18" x14ac:dyDescent="0.2">
      <c r="A4467">
        <v>298163</v>
      </c>
      <c r="B4467" t="s">
        <v>13860</v>
      </c>
      <c r="C4467">
        <v>0</v>
      </c>
      <c r="D4467">
        <v>0</v>
      </c>
      <c r="E4467">
        <v>0</v>
      </c>
      <c r="F4467">
        <v>1</v>
      </c>
      <c r="G4467">
        <v>0</v>
      </c>
      <c r="H4467">
        <v>0</v>
      </c>
      <c r="I4467">
        <v>0</v>
      </c>
      <c r="J4467">
        <v>0</v>
      </c>
      <c r="K4467">
        <v>0</v>
      </c>
      <c r="L4467" t="s">
        <v>3284</v>
      </c>
      <c r="M4467" t="s">
        <v>3307</v>
      </c>
      <c r="N4467" t="s">
        <v>3989</v>
      </c>
      <c r="O4467" t="s">
        <v>3990</v>
      </c>
      <c r="P4467" t="s">
        <v>3991</v>
      </c>
      <c r="Q4467" t="s">
        <v>3992</v>
      </c>
      <c r="R4467" t="s">
        <v>13861</v>
      </c>
    </row>
    <row r="4468" spans="1:18" x14ac:dyDescent="0.2">
      <c r="A4468">
        <v>297244</v>
      </c>
      <c r="B4468" t="s">
        <v>13862</v>
      </c>
      <c r="C4468">
        <v>1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 t="s">
        <v>3284</v>
      </c>
      <c r="M4468" t="s">
        <v>3391</v>
      </c>
      <c r="N4468" t="s">
        <v>3411</v>
      </c>
      <c r="O4468" t="s">
        <v>3412</v>
      </c>
      <c r="P4468" t="s">
        <v>3564</v>
      </c>
      <c r="Q4468" t="s">
        <v>3803</v>
      </c>
      <c r="R4468" t="s">
        <v>13863</v>
      </c>
    </row>
    <row r="4469" spans="1:18" x14ac:dyDescent="0.2">
      <c r="A4469">
        <v>296832</v>
      </c>
      <c r="B4469" t="s">
        <v>13864</v>
      </c>
      <c r="C4469">
        <v>0</v>
      </c>
      <c r="D4469">
        <v>1</v>
      </c>
      <c r="E4469">
        <v>0</v>
      </c>
      <c r="F4469">
        <v>0</v>
      </c>
      <c r="G4469">
        <v>0</v>
      </c>
      <c r="H4469">
        <v>1</v>
      </c>
      <c r="I4469">
        <v>0</v>
      </c>
      <c r="J4469">
        <v>0</v>
      </c>
      <c r="K4469">
        <v>0</v>
      </c>
      <c r="L4469" t="s">
        <v>3284</v>
      </c>
      <c r="M4469" t="s">
        <v>3296</v>
      </c>
      <c r="N4469" t="s">
        <v>3321</v>
      </c>
      <c r="O4469" t="s">
        <v>3322</v>
      </c>
      <c r="P4469" t="s">
        <v>3271</v>
      </c>
      <c r="Q4469" t="s">
        <v>4474</v>
      </c>
      <c r="R4469" t="s">
        <v>13865</v>
      </c>
    </row>
    <row r="4470" spans="1:18" x14ac:dyDescent="0.2">
      <c r="A4470">
        <v>296591</v>
      </c>
      <c r="B4470" t="s">
        <v>13866</v>
      </c>
      <c r="C4470">
        <v>0</v>
      </c>
      <c r="D4470">
        <v>0</v>
      </c>
      <c r="E4470">
        <v>0</v>
      </c>
      <c r="F4470">
        <v>1</v>
      </c>
      <c r="G4470">
        <v>0</v>
      </c>
      <c r="H4470">
        <v>0</v>
      </c>
      <c r="I4470">
        <v>0</v>
      </c>
      <c r="J4470">
        <v>0</v>
      </c>
      <c r="K4470">
        <v>0</v>
      </c>
      <c r="L4470" t="s">
        <v>3284</v>
      </c>
      <c r="M4470" t="s">
        <v>3296</v>
      </c>
      <c r="N4470" t="s">
        <v>3321</v>
      </c>
      <c r="O4470" t="s">
        <v>3322</v>
      </c>
      <c r="P4470" t="s">
        <v>3398</v>
      </c>
      <c r="Q4470" t="s">
        <v>4593</v>
      </c>
      <c r="R4470" t="s">
        <v>13867</v>
      </c>
    </row>
    <row r="4471" spans="1:18" x14ac:dyDescent="0.2">
      <c r="A4471">
        <v>293958</v>
      </c>
      <c r="B4471" t="s">
        <v>13868</v>
      </c>
      <c r="C4471">
        <v>0</v>
      </c>
      <c r="D4471">
        <v>0</v>
      </c>
      <c r="E4471">
        <v>0</v>
      </c>
      <c r="F4471">
        <v>2</v>
      </c>
      <c r="G4471">
        <v>0</v>
      </c>
      <c r="H4471">
        <v>0</v>
      </c>
      <c r="I4471">
        <v>0</v>
      </c>
      <c r="J4471">
        <v>0</v>
      </c>
      <c r="K4471">
        <v>2</v>
      </c>
      <c r="L4471" t="s">
        <v>3284</v>
      </c>
      <c r="M4471" t="s">
        <v>3296</v>
      </c>
      <c r="N4471" t="s">
        <v>3343</v>
      </c>
      <c r="O4471" t="s">
        <v>3344</v>
      </c>
      <c r="P4471" t="s">
        <v>3355</v>
      </c>
      <c r="Q4471" t="s">
        <v>3356</v>
      </c>
      <c r="R4471" t="s">
        <v>13869</v>
      </c>
    </row>
    <row r="4472" spans="1:18" x14ac:dyDescent="0.2">
      <c r="A4472">
        <v>293890</v>
      </c>
      <c r="B4472" t="s">
        <v>13870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1</v>
      </c>
      <c r="J4472">
        <v>0</v>
      </c>
      <c r="K4472">
        <v>0</v>
      </c>
      <c r="L4472" t="s">
        <v>3284</v>
      </c>
      <c r="M4472" t="s">
        <v>3307</v>
      </c>
      <c r="N4472" t="s">
        <v>3308</v>
      </c>
      <c r="O4472" t="s">
        <v>3359</v>
      </c>
      <c r="P4472" t="s">
        <v>3360</v>
      </c>
      <c r="Q4472" t="s">
        <v>3364</v>
      </c>
      <c r="R4472" t="s">
        <v>13871</v>
      </c>
    </row>
    <row r="4473" spans="1:18" x14ac:dyDescent="0.2">
      <c r="A4473">
        <v>293387</v>
      </c>
      <c r="B4473" t="s">
        <v>13872</v>
      </c>
      <c r="C4473">
        <v>0</v>
      </c>
      <c r="D4473">
        <v>0</v>
      </c>
      <c r="E4473">
        <v>1</v>
      </c>
      <c r="F4473">
        <v>1</v>
      </c>
      <c r="G4473">
        <v>0</v>
      </c>
      <c r="H4473">
        <v>0</v>
      </c>
      <c r="I4473">
        <v>0</v>
      </c>
      <c r="J4473">
        <v>0</v>
      </c>
      <c r="K4473">
        <v>0</v>
      </c>
      <c r="L4473" t="s">
        <v>3284</v>
      </c>
      <c r="M4473" t="s">
        <v>3327</v>
      </c>
      <c r="N4473" t="s">
        <v>3376</v>
      </c>
      <c r="O4473" t="s">
        <v>3377</v>
      </c>
      <c r="P4473" t="s">
        <v>3378</v>
      </c>
      <c r="Q4473" t="s">
        <v>3379</v>
      </c>
      <c r="R4473" t="s">
        <v>13873</v>
      </c>
    </row>
    <row r="4474" spans="1:18" x14ac:dyDescent="0.2">
      <c r="A4474">
        <v>293337</v>
      </c>
      <c r="B4474" t="s">
        <v>13874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1</v>
      </c>
      <c r="J4474">
        <v>0</v>
      </c>
      <c r="K4474">
        <v>0</v>
      </c>
      <c r="L4474" t="s">
        <v>3284</v>
      </c>
      <c r="M4474" t="s">
        <v>3307</v>
      </c>
      <c r="N4474" t="s">
        <v>3308</v>
      </c>
      <c r="O4474" t="s">
        <v>3359</v>
      </c>
      <c r="P4474" t="s">
        <v>3360</v>
      </c>
      <c r="Q4474" t="s">
        <v>4893</v>
      </c>
      <c r="R4474" t="s">
        <v>13875</v>
      </c>
    </row>
    <row r="4475" spans="1:18" x14ac:dyDescent="0.2">
      <c r="A4475">
        <v>293089</v>
      </c>
      <c r="B4475" t="s">
        <v>13876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2</v>
      </c>
      <c r="K4475">
        <v>0</v>
      </c>
      <c r="L4475" t="s">
        <v>3284</v>
      </c>
      <c r="M4475" t="s">
        <v>3296</v>
      </c>
      <c r="N4475" t="s">
        <v>3343</v>
      </c>
      <c r="O4475" t="s">
        <v>3344</v>
      </c>
      <c r="P4475" t="s">
        <v>4347</v>
      </c>
      <c r="Q4475" t="s">
        <v>7357</v>
      </c>
      <c r="R4475" t="s">
        <v>13877</v>
      </c>
    </row>
    <row r="4476" spans="1:18" x14ac:dyDescent="0.2">
      <c r="A4476">
        <v>293069</v>
      </c>
      <c r="B4476" t="s">
        <v>13878</v>
      </c>
      <c r="C4476">
        <v>0</v>
      </c>
      <c r="D4476">
        <v>1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 t="s">
        <v>3284</v>
      </c>
      <c r="M4476" t="s">
        <v>6546</v>
      </c>
      <c r="N4476" t="s">
        <v>6547</v>
      </c>
      <c r="O4476" t="s">
        <v>13879</v>
      </c>
      <c r="P4476" t="s">
        <v>13880</v>
      </c>
      <c r="Q4476" t="s">
        <v>13881</v>
      </c>
      <c r="R4476" t="s">
        <v>13882</v>
      </c>
    </row>
    <row r="4477" spans="1:18" x14ac:dyDescent="0.2">
      <c r="A4477">
        <v>292277</v>
      </c>
      <c r="B4477" t="s">
        <v>13883</v>
      </c>
      <c r="C4477">
        <v>0</v>
      </c>
      <c r="D4477">
        <v>0</v>
      </c>
      <c r="E4477">
        <v>0</v>
      </c>
      <c r="F4477">
        <v>1</v>
      </c>
      <c r="G4477">
        <v>0</v>
      </c>
      <c r="H4477">
        <v>0</v>
      </c>
      <c r="I4477">
        <v>0</v>
      </c>
      <c r="J4477">
        <v>0</v>
      </c>
      <c r="K4477">
        <v>0</v>
      </c>
      <c r="L4477" t="s">
        <v>3284</v>
      </c>
      <c r="M4477" t="s">
        <v>3296</v>
      </c>
      <c r="N4477" t="s">
        <v>3343</v>
      </c>
      <c r="O4477" t="s">
        <v>3349</v>
      </c>
      <c r="P4477" t="s">
        <v>3350</v>
      </c>
      <c r="Q4477" t="s">
        <v>3351</v>
      </c>
      <c r="R4477" t="s">
        <v>13884</v>
      </c>
    </row>
    <row r="4478" spans="1:18" x14ac:dyDescent="0.2">
      <c r="A4478">
        <v>291995</v>
      </c>
      <c r="B4478" t="s">
        <v>13885</v>
      </c>
      <c r="C4478">
        <v>0</v>
      </c>
      <c r="D4478">
        <v>0</v>
      </c>
      <c r="E4478">
        <v>0</v>
      </c>
      <c r="F4478">
        <v>1</v>
      </c>
      <c r="G4478">
        <v>0</v>
      </c>
      <c r="H4478">
        <v>1</v>
      </c>
      <c r="I4478">
        <v>1</v>
      </c>
      <c r="J4478">
        <v>0</v>
      </c>
      <c r="K4478">
        <v>0</v>
      </c>
      <c r="L4478" t="s">
        <v>3284</v>
      </c>
      <c r="M4478" t="s">
        <v>3296</v>
      </c>
      <c r="N4478" t="s">
        <v>3297</v>
      </c>
      <c r="O4478" t="s">
        <v>3434</v>
      </c>
      <c r="P4478" t="s">
        <v>3435</v>
      </c>
      <c r="Q4478" t="s">
        <v>5438</v>
      </c>
      <c r="R4478" t="s">
        <v>13886</v>
      </c>
    </row>
    <row r="4479" spans="1:18" x14ac:dyDescent="0.2">
      <c r="A4479">
        <v>291403</v>
      </c>
      <c r="B4479" t="s">
        <v>13887</v>
      </c>
      <c r="C4479">
        <v>0</v>
      </c>
      <c r="D4479">
        <v>0</v>
      </c>
      <c r="E4479">
        <v>0</v>
      </c>
      <c r="F4479">
        <v>0</v>
      </c>
      <c r="G4479">
        <v>1</v>
      </c>
      <c r="H4479">
        <v>0</v>
      </c>
      <c r="I4479">
        <v>0</v>
      </c>
      <c r="J4479">
        <v>0</v>
      </c>
      <c r="K4479">
        <v>0</v>
      </c>
      <c r="L4479" t="s">
        <v>3284</v>
      </c>
      <c r="M4479" t="s">
        <v>3391</v>
      </c>
      <c r="N4479" t="s">
        <v>3740</v>
      </c>
      <c r="O4479" t="s">
        <v>3741</v>
      </c>
      <c r="P4479" t="s">
        <v>4388</v>
      </c>
      <c r="Q4479" t="s">
        <v>4389</v>
      </c>
      <c r="R4479" t="s">
        <v>13888</v>
      </c>
    </row>
    <row r="4480" spans="1:18" x14ac:dyDescent="0.2">
      <c r="A4480">
        <v>290309</v>
      </c>
      <c r="B4480" t="s">
        <v>13889</v>
      </c>
      <c r="C4480">
        <v>1</v>
      </c>
      <c r="D4480">
        <v>2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1</v>
      </c>
      <c r="K4480">
        <v>0</v>
      </c>
      <c r="L4480" t="s">
        <v>3284</v>
      </c>
      <c r="M4480" t="s">
        <v>3296</v>
      </c>
      <c r="N4480" t="s">
        <v>3321</v>
      </c>
      <c r="O4480" t="s">
        <v>3322</v>
      </c>
      <c r="P4480" t="s">
        <v>3398</v>
      </c>
      <c r="Q4480" t="s">
        <v>3806</v>
      </c>
      <c r="R4480" t="s">
        <v>13890</v>
      </c>
    </row>
    <row r="4481" spans="1:18" x14ac:dyDescent="0.2">
      <c r="A4481">
        <v>289370</v>
      </c>
      <c r="B4481" t="s">
        <v>13891</v>
      </c>
      <c r="C4481">
        <v>0</v>
      </c>
      <c r="D4481">
        <v>0</v>
      </c>
      <c r="E4481">
        <v>0</v>
      </c>
      <c r="F4481">
        <v>2</v>
      </c>
      <c r="G4481">
        <v>1</v>
      </c>
      <c r="H4481">
        <v>0</v>
      </c>
      <c r="I4481">
        <v>0</v>
      </c>
      <c r="J4481">
        <v>0</v>
      </c>
      <c r="K4481">
        <v>0</v>
      </c>
      <c r="L4481" t="s">
        <v>3284</v>
      </c>
      <c r="M4481" t="s">
        <v>3296</v>
      </c>
      <c r="N4481" t="s">
        <v>3297</v>
      </c>
      <c r="O4481" t="s">
        <v>3434</v>
      </c>
      <c r="P4481" t="s">
        <v>3435</v>
      </c>
      <c r="Q4481" t="s">
        <v>3436</v>
      </c>
      <c r="R4481" t="s">
        <v>13892</v>
      </c>
    </row>
    <row r="4482" spans="1:18" x14ac:dyDescent="0.2">
      <c r="A4482">
        <v>289003</v>
      </c>
      <c r="B4482" t="s">
        <v>13893</v>
      </c>
      <c r="C4482">
        <v>0</v>
      </c>
      <c r="D4482">
        <v>0</v>
      </c>
      <c r="E4482">
        <v>0</v>
      </c>
      <c r="F4482">
        <v>0</v>
      </c>
      <c r="G4482">
        <v>1</v>
      </c>
      <c r="H4482">
        <v>0</v>
      </c>
      <c r="I4482">
        <v>0</v>
      </c>
      <c r="J4482">
        <v>0</v>
      </c>
      <c r="K4482">
        <v>0</v>
      </c>
      <c r="L4482" t="s">
        <v>3284</v>
      </c>
      <c r="M4482" t="s">
        <v>3296</v>
      </c>
      <c r="N4482" t="s">
        <v>3297</v>
      </c>
      <c r="O4482" t="s">
        <v>3434</v>
      </c>
      <c r="P4482" t="s">
        <v>3435</v>
      </c>
      <c r="Q4482" t="s">
        <v>3436</v>
      </c>
      <c r="R4482" t="s">
        <v>13894</v>
      </c>
    </row>
    <row r="4483" spans="1:18" x14ac:dyDescent="0.2">
      <c r="A4483">
        <v>288995</v>
      </c>
      <c r="B4483" t="s">
        <v>13895</v>
      </c>
      <c r="C4483">
        <v>0</v>
      </c>
      <c r="D4483">
        <v>0</v>
      </c>
      <c r="E4483">
        <v>0</v>
      </c>
      <c r="F4483">
        <v>1</v>
      </c>
      <c r="G4483">
        <v>0</v>
      </c>
      <c r="H4483">
        <v>0</v>
      </c>
      <c r="I4483">
        <v>0</v>
      </c>
      <c r="J4483">
        <v>0</v>
      </c>
      <c r="K4483">
        <v>0</v>
      </c>
      <c r="L4483" t="s">
        <v>3284</v>
      </c>
      <c r="M4483" t="s">
        <v>3296</v>
      </c>
      <c r="N4483" t="s">
        <v>3343</v>
      </c>
      <c r="O4483" t="s">
        <v>3344</v>
      </c>
      <c r="P4483" t="s">
        <v>3345</v>
      </c>
      <c r="Q4483" t="s">
        <v>3346</v>
      </c>
      <c r="R4483" t="s">
        <v>13896</v>
      </c>
    </row>
    <row r="4484" spans="1:18" x14ac:dyDescent="0.2">
      <c r="A4484">
        <v>288966</v>
      </c>
      <c r="B4484" t="s">
        <v>13897</v>
      </c>
      <c r="C4484">
        <v>0</v>
      </c>
      <c r="D4484">
        <v>1</v>
      </c>
      <c r="E4484">
        <v>1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 t="s">
        <v>3284</v>
      </c>
      <c r="M4484" t="s">
        <v>3327</v>
      </c>
      <c r="N4484" t="s">
        <v>3328</v>
      </c>
      <c r="O4484" t="s">
        <v>6407</v>
      </c>
      <c r="P4484" t="s">
        <v>6408</v>
      </c>
      <c r="Q4484" t="s">
        <v>6409</v>
      </c>
      <c r="R4484" t="s">
        <v>13898</v>
      </c>
    </row>
    <row r="4485" spans="1:18" x14ac:dyDescent="0.2">
      <c r="A4485">
        <v>288768</v>
      </c>
      <c r="B4485" t="s">
        <v>13899</v>
      </c>
      <c r="C4485">
        <v>0</v>
      </c>
      <c r="D4485">
        <v>0</v>
      </c>
      <c r="E4485">
        <v>0</v>
      </c>
      <c r="F4485">
        <v>1</v>
      </c>
      <c r="G4485">
        <v>0</v>
      </c>
      <c r="H4485">
        <v>0</v>
      </c>
      <c r="I4485">
        <v>0</v>
      </c>
      <c r="J4485">
        <v>0</v>
      </c>
      <c r="K4485">
        <v>0</v>
      </c>
      <c r="L4485" t="s">
        <v>3284</v>
      </c>
      <c r="M4485" t="s">
        <v>3296</v>
      </c>
      <c r="N4485" t="s">
        <v>3321</v>
      </c>
      <c r="O4485" t="s">
        <v>3322</v>
      </c>
      <c r="P4485" t="s">
        <v>4143</v>
      </c>
      <c r="Q4485" t="s">
        <v>6285</v>
      </c>
      <c r="R4485" t="s">
        <v>13900</v>
      </c>
    </row>
    <row r="4486" spans="1:18" x14ac:dyDescent="0.2">
      <c r="A4486">
        <v>287609</v>
      </c>
      <c r="B4486" t="s">
        <v>13901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2</v>
      </c>
      <c r="J4486">
        <v>0</v>
      </c>
      <c r="K4486">
        <v>0</v>
      </c>
      <c r="L4486" t="s">
        <v>3284</v>
      </c>
      <c r="M4486" t="s">
        <v>3296</v>
      </c>
      <c r="N4486" t="s">
        <v>3343</v>
      </c>
      <c r="O4486" t="s">
        <v>3429</v>
      </c>
      <c r="P4486" t="s">
        <v>4336</v>
      </c>
      <c r="Q4486" t="s">
        <v>6265</v>
      </c>
      <c r="R4486" t="s">
        <v>13902</v>
      </c>
    </row>
    <row r="4487" spans="1:18" x14ac:dyDescent="0.2">
      <c r="A4487">
        <v>287099</v>
      </c>
      <c r="B4487" t="s">
        <v>13903</v>
      </c>
      <c r="C4487">
        <v>0</v>
      </c>
      <c r="D4487">
        <v>0</v>
      </c>
      <c r="E4487">
        <v>0</v>
      </c>
      <c r="F4487">
        <v>1</v>
      </c>
      <c r="G4487">
        <v>0</v>
      </c>
      <c r="H4487">
        <v>0</v>
      </c>
      <c r="I4487">
        <v>0</v>
      </c>
      <c r="J4487">
        <v>0</v>
      </c>
      <c r="K4487">
        <v>0</v>
      </c>
      <c r="L4487" t="s">
        <v>3284</v>
      </c>
      <c r="M4487" t="s">
        <v>3391</v>
      </c>
      <c r="N4487" t="s">
        <v>3411</v>
      </c>
      <c r="O4487" t="s">
        <v>3412</v>
      </c>
      <c r="P4487" t="s">
        <v>3413</v>
      </c>
      <c r="Q4487" t="s">
        <v>13904</v>
      </c>
      <c r="R4487" t="s">
        <v>13905</v>
      </c>
    </row>
    <row r="4488" spans="1:18" x14ac:dyDescent="0.2">
      <c r="A4488">
        <v>286138</v>
      </c>
      <c r="B4488" t="s">
        <v>13906</v>
      </c>
      <c r="C4488">
        <v>0</v>
      </c>
      <c r="D4488">
        <v>1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 t="s">
        <v>3284</v>
      </c>
      <c r="M4488" t="s">
        <v>3327</v>
      </c>
      <c r="N4488" t="s">
        <v>3328</v>
      </c>
      <c r="O4488" t="s">
        <v>4017</v>
      </c>
      <c r="P4488" t="s">
        <v>4018</v>
      </c>
      <c r="Q4488" t="s">
        <v>13907</v>
      </c>
      <c r="R4488" t="s">
        <v>13908</v>
      </c>
    </row>
    <row r="4489" spans="1:18" x14ac:dyDescent="0.2">
      <c r="A4489">
        <v>285983</v>
      </c>
      <c r="B4489" t="s">
        <v>13909</v>
      </c>
      <c r="C4489">
        <v>1</v>
      </c>
      <c r="D4489">
        <v>1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 t="s">
        <v>3284</v>
      </c>
      <c r="M4489" t="s">
        <v>3327</v>
      </c>
      <c r="N4489" t="s">
        <v>3376</v>
      </c>
      <c r="O4489" t="s">
        <v>3377</v>
      </c>
      <c r="P4489" t="s">
        <v>3378</v>
      </c>
      <c r="Q4489" t="s">
        <v>8825</v>
      </c>
      <c r="R4489" t="s">
        <v>13910</v>
      </c>
    </row>
    <row r="4490" spans="1:18" x14ac:dyDescent="0.2">
      <c r="A4490">
        <v>285560</v>
      </c>
      <c r="B4490" t="s">
        <v>13911</v>
      </c>
      <c r="C4490">
        <v>0</v>
      </c>
      <c r="D4490">
        <v>0</v>
      </c>
      <c r="E4490">
        <v>0</v>
      </c>
      <c r="F4490">
        <v>3</v>
      </c>
      <c r="G4490">
        <v>0</v>
      </c>
      <c r="H4490">
        <v>0</v>
      </c>
      <c r="I4490">
        <v>0</v>
      </c>
      <c r="J4490">
        <v>0</v>
      </c>
      <c r="K4490">
        <v>0</v>
      </c>
      <c r="L4490" t="s">
        <v>3284</v>
      </c>
      <c r="M4490" t="s">
        <v>3307</v>
      </c>
      <c r="N4490" t="s">
        <v>3308</v>
      </c>
      <c r="O4490" t="s">
        <v>3446</v>
      </c>
      <c r="P4490" t="s">
        <v>3447</v>
      </c>
      <c r="Q4490" t="s">
        <v>3962</v>
      </c>
      <c r="R4490" t="s">
        <v>13912</v>
      </c>
    </row>
    <row r="4491" spans="1:18" x14ac:dyDescent="0.2">
      <c r="A4491">
        <v>284581</v>
      </c>
      <c r="B4491" t="s">
        <v>13913</v>
      </c>
      <c r="C4491">
        <v>0</v>
      </c>
      <c r="D4491">
        <v>1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 t="s">
        <v>3284</v>
      </c>
      <c r="M4491" t="s">
        <v>3327</v>
      </c>
      <c r="N4491" t="s">
        <v>3376</v>
      </c>
      <c r="O4491" t="s">
        <v>3377</v>
      </c>
      <c r="P4491" t="s">
        <v>3378</v>
      </c>
      <c r="Q4491" t="s">
        <v>13914</v>
      </c>
      <c r="R4491" t="s">
        <v>13915</v>
      </c>
    </row>
    <row r="4492" spans="1:18" x14ac:dyDescent="0.2">
      <c r="A4492">
        <v>284016</v>
      </c>
      <c r="B4492" t="s">
        <v>13916</v>
      </c>
      <c r="C4492">
        <v>0</v>
      </c>
      <c r="D4492">
        <v>0</v>
      </c>
      <c r="E4492">
        <v>0</v>
      </c>
      <c r="F4492">
        <v>1</v>
      </c>
      <c r="G4492">
        <v>0</v>
      </c>
      <c r="H4492">
        <v>0</v>
      </c>
      <c r="I4492">
        <v>0</v>
      </c>
      <c r="J4492">
        <v>0</v>
      </c>
      <c r="K4492">
        <v>0</v>
      </c>
      <c r="L4492" t="s">
        <v>3284</v>
      </c>
      <c r="M4492" t="s">
        <v>3296</v>
      </c>
      <c r="N4492" t="s">
        <v>3343</v>
      </c>
      <c r="O4492" t="s">
        <v>3402</v>
      </c>
      <c r="P4492" t="s">
        <v>3403</v>
      </c>
      <c r="Q4492" t="s">
        <v>5337</v>
      </c>
      <c r="R4492" t="s">
        <v>13917</v>
      </c>
    </row>
    <row r="4493" spans="1:18" x14ac:dyDescent="0.2">
      <c r="A4493">
        <v>283878</v>
      </c>
      <c r="B4493" t="s">
        <v>13918</v>
      </c>
      <c r="C4493">
        <v>1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 t="s">
        <v>3284</v>
      </c>
      <c r="M4493" t="s">
        <v>3307</v>
      </c>
      <c r="N4493" t="s">
        <v>3308</v>
      </c>
      <c r="O4493" t="s">
        <v>3359</v>
      </c>
      <c r="P4493" t="s">
        <v>3360</v>
      </c>
      <c r="Q4493" t="s">
        <v>5690</v>
      </c>
      <c r="R4493" t="s">
        <v>13919</v>
      </c>
    </row>
    <row r="4494" spans="1:18" x14ac:dyDescent="0.2">
      <c r="A4494">
        <v>283816</v>
      </c>
      <c r="B4494" t="s">
        <v>13920</v>
      </c>
      <c r="C4494">
        <v>1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 t="s">
        <v>3284</v>
      </c>
      <c r="M4494" t="s">
        <v>3327</v>
      </c>
      <c r="N4494" t="s">
        <v>3376</v>
      </c>
      <c r="O4494" t="s">
        <v>3377</v>
      </c>
      <c r="P4494" t="s">
        <v>3378</v>
      </c>
      <c r="Q4494" t="s">
        <v>6184</v>
      </c>
      <c r="R4494" t="s">
        <v>13921</v>
      </c>
    </row>
    <row r="4495" spans="1:18" x14ac:dyDescent="0.2">
      <c r="A4495">
        <v>282217</v>
      </c>
      <c r="B4495" t="s">
        <v>13922</v>
      </c>
      <c r="C4495">
        <v>0</v>
      </c>
      <c r="D4495">
        <v>0</v>
      </c>
      <c r="E4495">
        <v>0</v>
      </c>
      <c r="F4495">
        <v>0</v>
      </c>
      <c r="G4495">
        <v>1</v>
      </c>
      <c r="H4495">
        <v>0</v>
      </c>
      <c r="I4495">
        <v>0</v>
      </c>
      <c r="J4495">
        <v>0</v>
      </c>
      <c r="K4495">
        <v>0</v>
      </c>
      <c r="L4495" t="s">
        <v>3284</v>
      </c>
      <c r="M4495" t="s">
        <v>3296</v>
      </c>
      <c r="N4495" t="s">
        <v>3321</v>
      </c>
      <c r="O4495" t="s">
        <v>3322</v>
      </c>
      <c r="P4495" t="s">
        <v>3398</v>
      </c>
      <c r="Q4495" t="s">
        <v>3399</v>
      </c>
      <c r="R4495" t="s">
        <v>13923</v>
      </c>
    </row>
    <row r="4496" spans="1:18" x14ac:dyDescent="0.2">
      <c r="A4496">
        <v>281714</v>
      </c>
      <c r="B4496" t="s">
        <v>13924</v>
      </c>
      <c r="C4496">
        <v>0</v>
      </c>
      <c r="D4496">
        <v>0</v>
      </c>
      <c r="E4496">
        <v>0</v>
      </c>
      <c r="F4496">
        <v>1</v>
      </c>
      <c r="G4496">
        <v>0</v>
      </c>
      <c r="H4496">
        <v>0</v>
      </c>
      <c r="I4496">
        <v>0</v>
      </c>
      <c r="J4496">
        <v>0</v>
      </c>
      <c r="K4496">
        <v>0</v>
      </c>
      <c r="L4496" t="s">
        <v>3284</v>
      </c>
      <c r="M4496" t="s">
        <v>3307</v>
      </c>
      <c r="N4496" t="s">
        <v>3308</v>
      </c>
      <c r="O4496" t="s">
        <v>3309</v>
      </c>
      <c r="P4496" t="s">
        <v>3310</v>
      </c>
      <c r="Q4496" t="s">
        <v>3311</v>
      </c>
      <c r="R4496" t="s">
        <v>13925</v>
      </c>
    </row>
    <row r="4497" spans="1:18" x14ac:dyDescent="0.2">
      <c r="A4497">
        <v>281091</v>
      </c>
      <c r="B4497" t="s">
        <v>13926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1</v>
      </c>
      <c r="J4497">
        <v>0</v>
      </c>
      <c r="K4497">
        <v>1</v>
      </c>
      <c r="L4497" t="s">
        <v>3284</v>
      </c>
      <c r="M4497" t="s">
        <v>3296</v>
      </c>
      <c r="N4497" t="s">
        <v>3343</v>
      </c>
      <c r="O4497" t="s">
        <v>3344</v>
      </c>
      <c r="P4497" t="s">
        <v>3661</v>
      </c>
      <c r="Q4497" t="s">
        <v>8895</v>
      </c>
      <c r="R4497" t="s">
        <v>13927</v>
      </c>
    </row>
    <row r="4498" spans="1:18" x14ac:dyDescent="0.2">
      <c r="A4498">
        <v>280332</v>
      </c>
      <c r="B4498" t="s">
        <v>13928</v>
      </c>
      <c r="C4498">
        <v>0</v>
      </c>
      <c r="D4498">
        <v>0</v>
      </c>
      <c r="E4498">
        <v>0</v>
      </c>
      <c r="F4498">
        <v>1</v>
      </c>
      <c r="G4498">
        <v>0</v>
      </c>
      <c r="H4498">
        <v>0</v>
      </c>
      <c r="I4498">
        <v>0</v>
      </c>
      <c r="J4498">
        <v>0</v>
      </c>
      <c r="K4498">
        <v>0</v>
      </c>
      <c r="L4498" t="s">
        <v>3284</v>
      </c>
      <c r="M4498" t="s">
        <v>3296</v>
      </c>
      <c r="N4498" t="s">
        <v>3343</v>
      </c>
      <c r="O4498" t="s">
        <v>3344</v>
      </c>
      <c r="P4498" t="s">
        <v>3937</v>
      </c>
      <c r="Q4498" t="s">
        <v>3938</v>
      </c>
      <c r="R4498" t="s">
        <v>13929</v>
      </c>
    </row>
    <row r="4499" spans="1:18" x14ac:dyDescent="0.2">
      <c r="A4499">
        <v>280239</v>
      </c>
      <c r="B4499" t="s">
        <v>13930</v>
      </c>
      <c r="C4499">
        <v>1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 t="s">
        <v>3284</v>
      </c>
      <c r="M4499" t="s">
        <v>3307</v>
      </c>
      <c r="N4499" t="s">
        <v>3308</v>
      </c>
      <c r="O4499" t="s">
        <v>3949</v>
      </c>
      <c r="P4499" t="s">
        <v>13931</v>
      </c>
      <c r="Q4499" t="s">
        <v>13932</v>
      </c>
      <c r="R4499" t="s">
        <v>13933</v>
      </c>
    </row>
    <row r="4500" spans="1:18" x14ac:dyDescent="0.2">
      <c r="A4500">
        <v>280147</v>
      </c>
      <c r="B4500" t="s">
        <v>13934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1</v>
      </c>
      <c r="K4500">
        <v>0</v>
      </c>
      <c r="L4500" t="s">
        <v>3284</v>
      </c>
      <c r="M4500" t="s">
        <v>3296</v>
      </c>
      <c r="N4500" t="s">
        <v>3297</v>
      </c>
      <c r="O4500" t="s">
        <v>4037</v>
      </c>
      <c r="P4500" t="s">
        <v>4038</v>
      </c>
      <c r="Q4500" t="s">
        <v>5556</v>
      </c>
      <c r="R4500" t="s">
        <v>13935</v>
      </c>
    </row>
    <row r="4501" spans="1:18" x14ac:dyDescent="0.2">
      <c r="A4501">
        <v>280145</v>
      </c>
      <c r="B4501" t="s">
        <v>13936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1</v>
      </c>
      <c r="J4501">
        <v>0</v>
      </c>
      <c r="K4501">
        <v>0</v>
      </c>
      <c r="L4501" t="s">
        <v>3284</v>
      </c>
      <c r="M4501" t="s">
        <v>3296</v>
      </c>
      <c r="N4501" t="s">
        <v>3297</v>
      </c>
      <c r="O4501" t="s">
        <v>4037</v>
      </c>
      <c r="P4501" t="s">
        <v>4038</v>
      </c>
      <c r="Q4501" t="s">
        <v>5556</v>
      </c>
      <c r="R4501" t="s">
        <v>13937</v>
      </c>
    </row>
    <row r="4502" spans="1:18" x14ac:dyDescent="0.2">
      <c r="A4502">
        <v>279826</v>
      </c>
      <c r="B4502" t="s">
        <v>13938</v>
      </c>
      <c r="C4502">
        <v>0</v>
      </c>
      <c r="D4502">
        <v>1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 t="s">
        <v>3284</v>
      </c>
      <c r="M4502" t="s">
        <v>3327</v>
      </c>
      <c r="N4502" t="s">
        <v>3376</v>
      </c>
      <c r="O4502" t="s">
        <v>3377</v>
      </c>
      <c r="P4502" t="s">
        <v>3378</v>
      </c>
      <c r="Q4502" t="s">
        <v>8825</v>
      </c>
      <c r="R4502" t="s">
        <v>13939</v>
      </c>
    </row>
    <row r="4503" spans="1:18" x14ac:dyDescent="0.2">
      <c r="A4503">
        <v>279573</v>
      </c>
      <c r="B4503" t="s">
        <v>13940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1</v>
      </c>
      <c r="J4503">
        <v>1</v>
      </c>
      <c r="K4503">
        <v>0</v>
      </c>
      <c r="L4503" t="s">
        <v>3284</v>
      </c>
      <c r="M4503" t="s">
        <v>3307</v>
      </c>
      <c r="N4503" t="s">
        <v>3308</v>
      </c>
      <c r="O4503" t="s">
        <v>3359</v>
      </c>
      <c r="P4503" t="s">
        <v>3360</v>
      </c>
      <c r="Q4503" t="s">
        <v>3364</v>
      </c>
      <c r="R4503" t="s">
        <v>13941</v>
      </c>
    </row>
    <row r="4504" spans="1:18" x14ac:dyDescent="0.2">
      <c r="A4504">
        <v>279572</v>
      </c>
      <c r="B4504" t="s">
        <v>13942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1</v>
      </c>
      <c r="J4504">
        <v>1</v>
      </c>
      <c r="K4504">
        <v>0</v>
      </c>
      <c r="L4504" t="s">
        <v>3284</v>
      </c>
      <c r="M4504" t="s">
        <v>3307</v>
      </c>
      <c r="N4504" t="s">
        <v>3308</v>
      </c>
      <c r="O4504" t="s">
        <v>3359</v>
      </c>
      <c r="P4504" t="s">
        <v>3360</v>
      </c>
      <c r="Q4504" t="s">
        <v>3364</v>
      </c>
      <c r="R4504" t="s">
        <v>13943</v>
      </c>
    </row>
    <row r="4505" spans="1:18" x14ac:dyDescent="0.2">
      <c r="A4505">
        <v>279369</v>
      </c>
      <c r="B4505" t="s">
        <v>13944</v>
      </c>
      <c r="C4505">
        <v>0</v>
      </c>
      <c r="D4505">
        <v>0</v>
      </c>
      <c r="E4505">
        <v>0</v>
      </c>
      <c r="F4505">
        <v>1</v>
      </c>
      <c r="G4505">
        <v>0</v>
      </c>
      <c r="H4505">
        <v>0</v>
      </c>
      <c r="I4505">
        <v>0</v>
      </c>
      <c r="J4505">
        <v>0</v>
      </c>
      <c r="K4505">
        <v>0</v>
      </c>
      <c r="L4505" t="s">
        <v>3284</v>
      </c>
      <c r="M4505" t="s">
        <v>3296</v>
      </c>
      <c r="N4505" t="s">
        <v>3343</v>
      </c>
      <c r="O4505" t="s">
        <v>3349</v>
      </c>
      <c r="P4505" t="s">
        <v>3350</v>
      </c>
      <c r="Q4505" t="s">
        <v>13945</v>
      </c>
      <c r="R4505" t="s">
        <v>13946</v>
      </c>
    </row>
    <row r="4506" spans="1:18" x14ac:dyDescent="0.2">
      <c r="A4506">
        <v>274592</v>
      </c>
      <c r="B4506" t="s">
        <v>13947</v>
      </c>
      <c r="C4506">
        <v>0</v>
      </c>
      <c r="D4506">
        <v>0</v>
      </c>
      <c r="E4506">
        <v>0</v>
      </c>
      <c r="F4506">
        <v>1</v>
      </c>
      <c r="G4506">
        <v>0</v>
      </c>
      <c r="H4506">
        <v>0</v>
      </c>
      <c r="I4506">
        <v>0</v>
      </c>
      <c r="J4506">
        <v>0</v>
      </c>
      <c r="K4506">
        <v>0</v>
      </c>
      <c r="L4506" t="s">
        <v>3284</v>
      </c>
      <c r="M4506" t="s">
        <v>3296</v>
      </c>
      <c r="N4506" t="s">
        <v>3343</v>
      </c>
      <c r="O4506" t="s">
        <v>3344</v>
      </c>
      <c r="P4506" t="s">
        <v>3355</v>
      </c>
      <c r="Q4506" t="s">
        <v>13948</v>
      </c>
      <c r="R4506" t="s">
        <v>13949</v>
      </c>
    </row>
    <row r="4507" spans="1:18" x14ac:dyDescent="0.2">
      <c r="A4507">
        <v>273678</v>
      </c>
      <c r="B4507" t="s">
        <v>13950</v>
      </c>
      <c r="C4507">
        <v>0</v>
      </c>
      <c r="D4507">
        <v>0</v>
      </c>
      <c r="E4507">
        <v>0</v>
      </c>
      <c r="F4507">
        <v>2</v>
      </c>
      <c r="G4507">
        <v>0</v>
      </c>
      <c r="H4507">
        <v>0</v>
      </c>
      <c r="I4507">
        <v>0</v>
      </c>
      <c r="J4507">
        <v>0</v>
      </c>
      <c r="K4507">
        <v>0</v>
      </c>
      <c r="L4507" t="s">
        <v>3284</v>
      </c>
      <c r="M4507" t="s">
        <v>3307</v>
      </c>
      <c r="N4507" t="s">
        <v>3308</v>
      </c>
      <c r="O4507" t="s">
        <v>3359</v>
      </c>
      <c r="P4507" t="s">
        <v>3360</v>
      </c>
      <c r="Q4507" t="s">
        <v>3361</v>
      </c>
      <c r="R4507" t="s">
        <v>13951</v>
      </c>
    </row>
    <row r="4508" spans="1:18" x14ac:dyDescent="0.2">
      <c r="A4508">
        <v>273677</v>
      </c>
      <c r="B4508" t="s">
        <v>13952</v>
      </c>
      <c r="C4508">
        <v>2</v>
      </c>
      <c r="D4508">
        <v>1</v>
      </c>
      <c r="E4508">
        <v>0</v>
      </c>
      <c r="F4508">
        <v>1</v>
      </c>
      <c r="G4508">
        <v>0</v>
      </c>
      <c r="H4508">
        <v>0</v>
      </c>
      <c r="I4508">
        <v>0</v>
      </c>
      <c r="J4508">
        <v>0</v>
      </c>
      <c r="K4508">
        <v>0</v>
      </c>
      <c r="L4508" t="s">
        <v>3284</v>
      </c>
      <c r="M4508" t="s">
        <v>3307</v>
      </c>
      <c r="N4508" t="s">
        <v>3308</v>
      </c>
      <c r="O4508" t="s">
        <v>3359</v>
      </c>
      <c r="P4508" t="s">
        <v>3360</v>
      </c>
      <c r="Q4508" t="s">
        <v>3361</v>
      </c>
      <c r="R4508" t="s">
        <v>13953</v>
      </c>
    </row>
    <row r="4509" spans="1:18" x14ac:dyDescent="0.2">
      <c r="A4509">
        <v>273168</v>
      </c>
      <c r="B4509" t="s">
        <v>13954</v>
      </c>
      <c r="C4509">
        <v>0</v>
      </c>
      <c r="D4509">
        <v>0</v>
      </c>
      <c r="E4509">
        <v>0</v>
      </c>
      <c r="F4509">
        <v>0</v>
      </c>
      <c r="G4509">
        <v>1</v>
      </c>
      <c r="H4509">
        <v>0</v>
      </c>
      <c r="I4509">
        <v>0</v>
      </c>
      <c r="J4509">
        <v>0</v>
      </c>
      <c r="K4509">
        <v>0</v>
      </c>
      <c r="L4509" t="s">
        <v>3284</v>
      </c>
      <c r="M4509" t="s">
        <v>3296</v>
      </c>
      <c r="N4509" t="s">
        <v>3343</v>
      </c>
      <c r="O4509" t="s">
        <v>3349</v>
      </c>
      <c r="P4509" t="s">
        <v>3350</v>
      </c>
      <c r="Q4509" t="s">
        <v>3351</v>
      </c>
      <c r="R4509" t="s">
        <v>13955</v>
      </c>
    </row>
    <row r="4510" spans="1:18" x14ac:dyDescent="0.2">
      <c r="A4510">
        <v>271096</v>
      </c>
      <c r="B4510" t="s">
        <v>13956</v>
      </c>
      <c r="C4510">
        <v>0</v>
      </c>
      <c r="D4510">
        <v>1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 t="s">
        <v>3284</v>
      </c>
      <c r="M4510" t="s">
        <v>3296</v>
      </c>
      <c r="N4510" t="s">
        <v>3297</v>
      </c>
      <c r="O4510" t="s">
        <v>4556</v>
      </c>
      <c r="P4510" t="s">
        <v>6227</v>
      </c>
      <c r="Q4510" t="s">
        <v>6228</v>
      </c>
      <c r="R4510" t="s">
        <v>13957</v>
      </c>
    </row>
    <row r="4511" spans="1:18" x14ac:dyDescent="0.2">
      <c r="A4511">
        <v>270368</v>
      </c>
      <c r="B4511" t="s">
        <v>13958</v>
      </c>
      <c r="C4511">
        <v>0</v>
      </c>
      <c r="D4511">
        <v>1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1</v>
      </c>
      <c r="K4511">
        <v>0</v>
      </c>
      <c r="L4511" t="s">
        <v>3284</v>
      </c>
      <c r="M4511" t="s">
        <v>3296</v>
      </c>
      <c r="N4511" t="s">
        <v>3321</v>
      </c>
      <c r="O4511" t="s">
        <v>3322</v>
      </c>
      <c r="P4511" t="s">
        <v>3671</v>
      </c>
      <c r="Q4511" t="s">
        <v>3672</v>
      </c>
      <c r="R4511" t="s">
        <v>13959</v>
      </c>
    </row>
    <row r="4512" spans="1:18" x14ac:dyDescent="0.2">
      <c r="A4512">
        <v>268410</v>
      </c>
      <c r="B4512" t="s">
        <v>13960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4</v>
      </c>
      <c r="J4512">
        <v>1</v>
      </c>
      <c r="K4512">
        <v>0</v>
      </c>
      <c r="L4512" t="s">
        <v>3284</v>
      </c>
      <c r="M4512" t="s">
        <v>3296</v>
      </c>
      <c r="N4512" t="s">
        <v>3343</v>
      </c>
      <c r="O4512" t="s">
        <v>3429</v>
      </c>
      <c r="P4512" t="s">
        <v>3430</v>
      </c>
      <c r="Q4512" t="s">
        <v>5416</v>
      </c>
      <c r="R4512" t="s">
        <v>13961</v>
      </c>
    </row>
    <row r="4513" spans="1:18" x14ac:dyDescent="0.2">
      <c r="A4513">
        <v>266809</v>
      </c>
      <c r="B4513" t="s">
        <v>13962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1</v>
      </c>
      <c r="K4513">
        <v>0</v>
      </c>
      <c r="L4513" t="s">
        <v>3284</v>
      </c>
      <c r="M4513" t="s">
        <v>3296</v>
      </c>
      <c r="N4513" t="s">
        <v>3343</v>
      </c>
      <c r="O4513" t="s">
        <v>3371</v>
      </c>
      <c r="P4513" t="s">
        <v>3372</v>
      </c>
      <c r="Q4513" t="s">
        <v>13963</v>
      </c>
      <c r="R4513" t="s">
        <v>13964</v>
      </c>
    </row>
    <row r="4514" spans="1:18" x14ac:dyDescent="0.2">
      <c r="A4514">
        <v>266805</v>
      </c>
      <c r="B4514" t="s">
        <v>13965</v>
      </c>
      <c r="C4514">
        <v>0</v>
      </c>
      <c r="D4514">
        <v>0</v>
      </c>
      <c r="E4514">
        <v>0</v>
      </c>
      <c r="F4514">
        <v>0</v>
      </c>
      <c r="G4514">
        <v>1</v>
      </c>
      <c r="H4514">
        <v>0</v>
      </c>
      <c r="I4514">
        <v>0</v>
      </c>
      <c r="J4514">
        <v>0</v>
      </c>
      <c r="K4514">
        <v>0</v>
      </c>
      <c r="L4514" t="s">
        <v>3284</v>
      </c>
      <c r="M4514" t="s">
        <v>3296</v>
      </c>
      <c r="N4514" t="s">
        <v>3297</v>
      </c>
      <c r="O4514" t="s">
        <v>7551</v>
      </c>
      <c r="P4514" t="s">
        <v>12278</v>
      </c>
      <c r="Q4514" t="s">
        <v>12279</v>
      </c>
      <c r="R4514" t="s">
        <v>13966</v>
      </c>
    </row>
    <row r="4515" spans="1:18" x14ac:dyDescent="0.2">
      <c r="A4515">
        <v>266122</v>
      </c>
      <c r="B4515" t="s">
        <v>13967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1</v>
      </c>
      <c r="I4515">
        <v>0</v>
      </c>
      <c r="J4515">
        <v>0</v>
      </c>
      <c r="K4515">
        <v>0</v>
      </c>
      <c r="L4515" t="s">
        <v>3284</v>
      </c>
      <c r="M4515" t="s">
        <v>3296</v>
      </c>
      <c r="N4515" t="s">
        <v>3297</v>
      </c>
      <c r="O4515" t="s">
        <v>3469</v>
      </c>
      <c r="P4515" t="s">
        <v>3470</v>
      </c>
      <c r="Q4515" t="s">
        <v>4417</v>
      </c>
      <c r="R4515" t="s">
        <v>13968</v>
      </c>
    </row>
    <row r="4516" spans="1:18" x14ac:dyDescent="0.2">
      <c r="A4516">
        <v>266121</v>
      </c>
      <c r="B4516" t="s">
        <v>13969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1</v>
      </c>
      <c r="J4516">
        <v>0</v>
      </c>
      <c r="K4516">
        <v>0</v>
      </c>
      <c r="L4516" t="s">
        <v>3284</v>
      </c>
      <c r="M4516" t="s">
        <v>3296</v>
      </c>
      <c r="N4516" t="s">
        <v>3343</v>
      </c>
      <c r="O4516" t="s">
        <v>3344</v>
      </c>
      <c r="P4516" t="s">
        <v>3661</v>
      </c>
      <c r="Q4516" t="s">
        <v>3662</v>
      </c>
      <c r="R4516" t="s">
        <v>13970</v>
      </c>
    </row>
    <row r="4517" spans="1:18" x14ac:dyDescent="0.2">
      <c r="A4517">
        <v>266062</v>
      </c>
      <c r="B4517" t="s">
        <v>13971</v>
      </c>
      <c r="C4517">
        <v>0</v>
      </c>
      <c r="D4517">
        <v>0</v>
      </c>
      <c r="E4517">
        <v>0</v>
      </c>
      <c r="F4517">
        <v>1</v>
      </c>
      <c r="G4517">
        <v>0</v>
      </c>
      <c r="H4517">
        <v>0</v>
      </c>
      <c r="I4517">
        <v>0</v>
      </c>
      <c r="J4517">
        <v>0</v>
      </c>
      <c r="K4517">
        <v>0</v>
      </c>
      <c r="L4517" t="s">
        <v>3284</v>
      </c>
      <c r="M4517" t="s">
        <v>3296</v>
      </c>
      <c r="N4517" t="s">
        <v>3297</v>
      </c>
      <c r="O4517" t="s">
        <v>3469</v>
      </c>
      <c r="P4517" t="s">
        <v>3470</v>
      </c>
      <c r="Q4517" t="s">
        <v>6962</v>
      </c>
      <c r="R4517" t="s">
        <v>13972</v>
      </c>
    </row>
    <row r="4518" spans="1:18" x14ac:dyDescent="0.2">
      <c r="A4518">
        <v>266009</v>
      </c>
      <c r="B4518" t="s">
        <v>13973</v>
      </c>
      <c r="C4518">
        <v>0</v>
      </c>
      <c r="D4518">
        <v>0</v>
      </c>
      <c r="E4518">
        <v>0</v>
      </c>
      <c r="F4518">
        <v>1</v>
      </c>
      <c r="G4518">
        <v>1</v>
      </c>
      <c r="H4518">
        <v>0</v>
      </c>
      <c r="I4518">
        <v>0</v>
      </c>
      <c r="J4518">
        <v>0</v>
      </c>
      <c r="K4518">
        <v>0</v>
      </c>
      <c r="L4518" t="s">
        <v>3284</v>
      </c>
      <c r="M4518" t="s">
        <v>3296</v>
      </c>
      <c r="N4518" t="s">
        <v>3321</v>
      </c>
      <c r="O4518" t="s">
        <v>5469</v>
      </c>
      <c r="P4518" t="s">
        <v>6828</v>
      </c>
      <c r="Q4518" t="s">
        <v>13974</v>
      </c>
      <c r="R4518" t="s">
        <v>13975</v>
      </c>
    </row>
    <row r="4519" spans="1:18" x14ac:dyDescent="0.2">
      <c r="A4519">
        <v>265719</v>
      </c>
      <c r="B4519" t="s">
        <v>13976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4</v>
      </c>
      <c r="J4519">
        <v>0</v>
      </c>
      <c r="K4519">
        <v>4</v>
      </c>
      <c r="L4519" t="s">
        <v>3284</v>
      </c>
      <c r="M4519" t="s">
        <v>3296</v>
      </c>
      <c r="N4519" t="s">
        <v>3297</v>
      </c>
      <c r="O4519" t="s">
        <v>3469</v>
      </c>
      <c r="P4519" t="s">
        <v>5200</v>
      </c>
      <c r="Q4519" t="s">
        <v>10137</v>
      </c>
      <c r="R4519" t="s">
        <v>13977</v>
      </c>
    </row>
    <row r="4520" spans="1:18" x14ac:dyDescent="0.2">
      <c r="A4520">
        <v>265178</v>
      </c>
      <c r="B4520" t="s">
        <v>13978</v>
      </c>
      <c r="C4520">
        <v>1</v>
      </c>
      <c r="D4520">
        <v>1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 t="s">
        <v>3284</v>
      </c>
      <c r="M4520" t="s">
        <v>3327</v>
      </c>
      <c r="N4520" t="s">
        <v>6610</v>
      </c>
      <c r="O4520" t="s">
        <v>6611</v>
      </c>
      <c r="P4520" t="s">
        <v>13979</v>
      </c>
      <c r="Q4520" t="s">
        <v>13980</v>
      </c>
      <c r="R4520" t="s">
        <v>13981</v>
      </c>
    </row>
    <row r="4521" spans="1:18" x14ac:dyDescent="0.2">
      <c r="A4521">
        <v>264148</v>
      </c>
      <c r="B4521" t="s">
        <v>13982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1</v>
      </c>
      <c r="J4521">
        <v>0</v>
      </c>
      <c r="K4521">
        <v>0</v>
      </c>
      <c r="L4521" t="s">
        <v>3284</v>
      </c>
      <c r="M4521" t="s">
        <v>3307</v>
      </c>
      <c r="N4521" t="s">
        <v>3308</v>
      </c>
      <c r="O4521" t="s">
        <v>3635</v>
      </c>
      <c r="P4521" t="s">
        <v>4321</v>
      </c>
      <c r="Q4521" t="s">
        <v>13983</v>
      </c>
      <c r="R4521" t="s">
        <v>13984</v>
      </c>
    </row>
    <row r="4522" spans="1:18" x14ac:dyDescent="0.2">
      <c r="A4522">
        <v>263819</v>
      </c>
      <c r="B4522" t="s">
        <v>13985</v>
      </c>
      <c r="C4522">
        <v>4</v>
      </c>
      <c r="D4522">
        <v>2</v>
      </c>
      <c r="E4522">
        <v>6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 t="s">
        <v>3284</v>
      </c>
      <c r="M4522" t="s">
        <v>3296</v>
      </c>
      <c r="N4522" t="s">
        <v>3297</v>
      </c>
      <c r="O4522" t="s">
        <v>3298</v>
      </c>
      <c r="P4522" t="s">
        <v>3299</v>
      </c>
      <c r="Q4522" t="s">
        <v>4689</v>
      </c>
      <c r="R4522" t="s">
        <v>13986</v>
      </c>
    </row>
    <row r="4523" spans="1:18" x14ac:dyDescent="0.2">
      <c r="A4523">
        <v>263765</v>
      </c>
      <c r="B4523" t="s">
        <v>13987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1</v>
      </c>
      <c r="K4523">
        <v>0</v>
      </c>
      <c r="L4523" t="s">
        <v>3284</v>
      </c>
      <c r="M4523" t="s">
        <v>3296</v>
      </c>
      <c r="N4523" t="s">
        <v>3297</v>
      </c>
      <c r="O4523" t="s">
        <v>4112</v>
      </c>
      <c r="P4523" t="s">
        <v>4113</v>
      </c>
      <c r="Q4523" t="s">
        <v>13988</v>
      </c>
      <c r="R4523" t="s">
        <v>13989</v>
      </c>
    </row>
    <row r="4524" spans="1:18" x14ac:dyDescent="0.2">
      <c r="A4524">
        <v>263067</v>
      </c>
      <c r="B4524" t="s">
        <v>13990</v>
      </c>
      <c r="C4524">
        <v>3</v>
      </c>
      <c r="D4524">
        <v>4</v>
      </c>
      <c r="E4524">
        <v>4</v>
      </c>
      <c r="F4524">
        <v>0</v>
      </c>
      <c r="G4524">
        <v>0</v>
      </c>
      <c r="H4524">
        <v>0</v>
      </c>
      <c r="I4524">
        <v>1</v>
      </c>
      <c r="J4524">
        <v>0</v>
      </c>
      <c r="K4524">
        <v>0</v>
      </c>
      <c r="L4524" t="s">
        <v>3284</v>
      </c>
      <c r="M4524" t="s">
        <v>3296</v>
      </c>
      <c r="N4524" t="s">
        <v>3321</v>
      </c>
      <c r="O4524" t="s">
        <v>3322</v>
      </c>
      <c r="P4524" t="s">
        <v>3398</v>
      </c>
      <c r="Q4524" t="s">
        <v>9142</v>
      </c>
      <c r="R4524" t="s">
        <v>13991</v>
      </c>
    </row>
    <row r="4525" spans="1:18" x14ac:dyDescent="0.2">
      <c r="A4525">
        <v>262668</v>
      </c>
      <c r="B4525" t="s">
        <v>13992</v>
      </c>
      <c r="C4525">
        <v>1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 t="s">
        <v>3284</v>
      </c>
      <c r="M4525" t="s">
        <v>3296</v>
      </c>
      <c r="N4525" t="s">
        <v>3297</v>
      </c>
      <c r="O4525" t="s">
        <v>4037</v>
      </c>
      <c r="P4525" t="s">
        <v>4038</v>
      </c>
      <c r="Q4525" t="s">
        <v>5556</v>
      </c>
      <c r="R4525" t="s">
        <v>13993</v>
      </c>
    </row>
    <row r="4526" spans="1:18" x14ac:dyDescent="0.2">
      <c r="A4526">
        <v>262323</v>
      </c>
      <c r="B4526" t="s">
        <v>13994</v>
      </c>
      <c r="C4526">
        <v>1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 t="s">
        <v>3284</v>
      </c>
      <c r="M4526" t="s">
        <v>3296</v>
      </c>
      <c r="N4526" t="s">
        <v>3297</v>
      </c>
      <c r="O4526" t="s">
        <v>3469</v>
      </c>
      <c r="P4526" t="s">
        <v>3470</v>
      </c>
      <c r="Q4526" t="s">
        <v>4417</v>
      </c>
      <c r="R4526" t="s">
        <v>13995</v>
      </c>
    </row>
    <row r="4527" spans="1:18" x14ac:dyDescent="0.2">
      <c r="A4527">
        <v>262320</v>
      </c>
      <c r="B4527" t="s">
        <v>13996</v>
      </c>
      <c r="C4527">
        <v>0</v>
      </c>
      <c r="D4527">
        <v>0</v>
      </c>
      <c r="E4527">
        <v>0</v>
      </c>
      <c r="F4527">
        <v>1</v>
      </c>
      <c r="G4527">
        <v>1</v>
      </c>
      <c r="H4527">
        <v>0</v>
      </c>
      <c r="I4527">
        <v>0</v>
      </c>
      <c r="J4527">
        <v>0</v>
      </c>
      <c r="K4527">
        <v>0</v>
      </c>
      <c r="L4527" t="s">
        <v>3284</v>
      </c>
      <c r="M4527" t="s">
        <v>3391</v>
      </c>
      <c r="N4527" t="s">
        <v>3411</v>
      </c>
      <c r="O4527" t="s">
        <v>3412</v>
      </c>
      <c r="P4527" t="s">
        <v>3413</v>
      </c>
      <c r="Q4527" t="s">
        <v>3414</v>
      </c>
      <c r="R4527" t="s">
        <v>13997</v>
      </c>
    </row>
    <row r="4528" spans="1:18" x14ac:dyDescent="0.2">
      <c r="A4528">
        <v>261299</v>
      </c>
      <c r="B4528" t="s">
        <v>13998</v>
      </c>
      <c r="C4528">
        <v>0</v>
      </c>
      <c r="D4528">
        <v>1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 t="s">
        <v>3284</v>
      </c>
      <c r="M4528" t="s">
        <v>3327</v>
      </c>
      <c r="N4528" t="s">
        <v>3328</v>
      </c>
      <c r="O4528" t="s">
        <v>4184</v>
      </c>
      <c r="P4528" t="s">
        <v>4185</v>
      </c>
      <c r="Q4528" t="s">
        <v>9620</v>
      </c>
      <c r="R4528" t="s">
        <v>13999</v>
      </c>
    </row>
    <row r="4529" spans="1:18" x14ac:dyDescent="0.2">
      <c r="A4529">
        <v>260755</v>
      </c>
      <c r="B4529" t="s">
        <v>14000</v>
      </c>
      <c r="C4529">
        <v>0</v>
      </c>
      <c r="D4529">
        <v>1</v>
      </c>
      <c r="E4529">
        <v>0</v>
      </c>
      <c r="F4529">
        <v>2</v>
      </c>
      <c r="G4529">
        <v>0</v>
      </c>
      <c r="H4529">
        <v>0</v>
      </c>
      <c r="I4529">
        <v>0</v>
      </c>
      <c r="J4529">
        <v>0</v>
      </c>
      <c r="K4529">
        <v>0</v>
      </c>
      <c r="L4529" t="s">
        <v>3284</v>
      </c>
      <c r="M4529" t="s">
        <v>3296</v>
      </c>
      <c r="N4529" t="s">
        <v>3321</v>
      </c>
      <c r="O4529" t="s">
        <v>3322</v>
      </c>
      <c r="P4529" t="s">
        <v>3398</v>
      </c>
      <c r="Q4529" t="s">
        <v>3696</v>
      </c>
      <c r="R4529" t="s">
        <v>14001</v>
      </c>
    </row>
    <row r="4530" spans="1:18" x14ac:dyDescent="0.2">
      <c r="A4530">
        <v>260084</v>
      </c>
      <c r="B4530" t="s">
        <v>14002</v>
      </c>
      <c r="C4530">
        <v>0</v>
      </c>
      <c r="D4530">
        <v>0</v>
      </c>
      <c r="E4530">
        <v>0</v>
      </c>
      <c r="F4530">
        <v>8</v>
      </c>
      <c r="G4530">
        <v>6</v>
      </c>
      <c r="H4530">
        <v>0</v>
      </c>
      <c r="I4530">
        <v>0</v>
      </c>
      <c r="J4530">
        <v>0</v>
      </c>
      <c r="K4530">
        <v>0</v>
      </c>
      <c r="L4530" t="s">
        <v>3284</v>
      </c>
      <c r="M4530" t="s">
        <v>3296</v>
      </c>
      <c r="N4530" t="s">
        <v>3343</v>
      </c>
      <c r="O4530" t="s">
        <v>3402</v>
      </c>
      <c r="P4530" t="s">
        <v>3403</v>
      </c>
      <c r="Q4530" t="s">
        <v>4884</v>
      </c>
      <c r="R4530" t="s">
        <v>14003</v>
      </c>
    </row>
    <row r="4531" spans="1:18" x14ac:dyDescent="0.2">
      <c r="A4531">
        <v>259322</v>
      </c>
      <c r="B4531" t="s">
        <v>14004</v>
      </c>
      <c r="C4531">
        <v>0</v>
      </c>
      <c r="D4531">
        <v>1</v>
      </c>
      <c r="E4531">
        <v>0</v>
      </c>
      <c r="F4531">
        <v>2</v>
      </c>
      <c r="G4531">
        <v>4</v>
      </c>
      <c r="H4531">
        <v>0</v>
      </c>
      <c r="I4531">
        <v>0</v>
      </c>
      <c r="J4531">
        <v>0</v>
      </c>
      <c r="K4531">
        <v>0</v>
      </c>
      <c r="L4531" t="s">
        <v>3284</v>
      </c>
      <c r="M4531" t="s">
        <v>3391</v>
      </c>
      <c r="N4531" t="s">
        <v>3411</v>
      </c>
      <c r="O4531" t="s">
        <v>3412</v>
      </c>
      <c r="P4531" t="s">
        <v>3564</v>
      </c>
      <c r="Q4531" t="s">
        <v>3803</v>
      </c>
      <c r="R4531" t="s">
        <v>14005</v>
      </c>
    </row>
    <row r="4532" spans="1:18" x14ac:dyDescent="0.2">
      <c r="A4532">
        <v>259063</v>
      </c>
      <c r="B4532" t="s">
        <v>14006</v>
      </c>
      <c r="C4532">
        <v>1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2</v>
      </c>
      <c r="K4532">
        <v>0</v>
      </c>
      <c r="L4532" t="s">
        <v>3284</v>
      </c>
      <c r="M4532" t="s">
        <v>3327</v>
      </c>
      <c r="N4532" t="s">
        <v>3328</v>
      </c>
      <c r="O4532" t="s">
        <v>4017</v>
      </c>
      <c r="P4532" t="s">
        <v>4018</v>
      </c>
      <c r="Q4532" t="s">
        <v>4507</v>
      </c>
      <c r="R4532" t="s">
        <v>14007</v>
      </c>
    </row>
    <row r="4533" spans="1:18" x14ac:dyDescent="0.2">
      <c r="A4533">
        <v>258475</v>
      </c>
      <c r="B4533" t="s">
        <v>14008</v>
      </c>
      <c r="C4533">
        <v>0</v>
      </c>
      <c r="D4533">
        <v>1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 t="s">
        <v>3284</v>
      </c>
      <c r="M4533" t="s">
        <v>3327</v>
      </c>
      <c r="N4533" t="s">
        <v>3328</v>
      </c>
      <c r="O4533" t="s">
        <v>3329</v>
      </c>
      <c r="P4533" t="s">
        <v>4489</v>
      </c>
      <c r="Q4533" t="s">
        <v>14009</v>
      </c>
      <c r="R4533" t="s">
        <v>14010</v>
      </c>
    </row>
    <row r="4534" spans="1:18" x14ac:dyDescent="0.2">
      <c r="A4534">
        <v>257772</v>
      </c>
      <c r="B4534" t="s">
        <v>14011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1</v>
      </c>
      <c r="K4534">
        <v>0</v>
      </c>
      <c r="L4534" t="s">
        <v>3284</v>
      </c>
      <c r="M4534" t="s">
        <v>3296</v>
      </c>
      <c r="N4534" t="s">
        <v>3297</v>
      </c>
      <c r="O4534" t="s">
        <v>4500</v>
      </c>
      <c r="P4534" t="s">
        <v>4501</v>
      </c>
      <c r="Q4534" t="s">
        <v>4822</v>
      </c>
      <c r="R4534" t="s">
        <v>14012</v>
      </c>
    </row>
    <row r="4535" spans="1:18" x14ac:dyDescent="0.2">
      <c r="A4535">
        <v>257003</v>
      </c>
      <c r="B4535" t="s">
        <v>14013</v>
      </c>
      <c r="C4535">
        <v>0</v>
      </c>
      <c r="D4535">
        <v>0</v>
      </c>
      <c r="E4535">
        <v>0</v>
      </c>
      <c r="F4535">
        <v>1</v>
      </c>
      <c r="G4535">
        <v>1</v>
      </c>
      <c r="H4535">
        <v>0</v>
      </c>
      <c r="I4535">
        <v>0</v>
      </c>
      <c r="J4535">
        <v>0</v>
      </c>
      <c r="K4535">
        <v>0</v>
      </c>
      <c r="L4535" t="s">
        <v>3284</v>
      </c>
      <c r="M4535" t="s">
        <v>3296</v>
      </c>
      <c r="N4535" t="s">
        <v>3343</v>
      </c>
      <c r="O4535" t="s">
        <v>3349</v>
      </c>
      <c r="P4535" t="s">
        <v>3350</v>
      </c>
      <c r="Q4535" t="s">
        <v>3580</v>
      </c>
      <c r="R4535" t="s">
        <v>14014</v>
      </c>
    </row>
    <row r="4536" spans="1:18" x14ac:dyDescent="0.2">
      <c r="A4536">
        <v>255984</v>
      </c>
      <c r="B4536" t="s">
        <v>14015</v>
      </c>
      <c r="C4536">
        <v>0</v>
      </c>
      <c r="D4536">
        <v>0</v>
      </c>
      <c r="E4536">
        <v>0</v>
      </c>
      <c r="F4536">
        <v>0</v>
      </c>
      <c r="G4536">
        <v>1</v>
      </c>
      <c r="H4536">
        <v>0</v>
      </c>
      <c r="I4536">
        <v>0</v>
      </c>
      <c r="J4536">
        <v>0</v>
      </c>
      <c r="K4536">
        <v>0</v>
      </c>
      <c r="L4536" t="s">
        <v>3284</v>
      </c>
      <c r="M4536" t="s">
        <v>3296</v>
      </c>
      <c r="N4536" t="s">
        <v>3343</v>
      </c>
      <c r="O4536" t="s">
        <v>3349</v>
      </c>
      <c r="P4536" t="s">
        <v>4285</v>
      </c>
      <c r="Q4536" t="s">
        <v>14016</v>
      </c>
      <c r="R4536" t="s">
        <v>14017</v>
      </c>
    </row>
    <row r="4537" spans="1:18" x14ac:dyDescent="0.2">
      <c r="A4537">
        <v>253314</v>
      </c>
      <c r="B4537" t="s">
        <v>14018</v>
      </c>
      <c r="C4537">
        <v>2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 t="s">
        <v>3284</v>
      </c>
      <c r="M4537" t="s">
        <v>3327</v>
      </c>
      <c r="N4537" t="s">
        <v>3328</v>
      </c>
      <c r="O4537" t="s">
        <v>3329</v>
      </c>
      <c r="P4537" t="s">
        <v>4620</v>
      </c>
      <c r="Q4537" t="s">
        <v>8537</v>
      </c>
      <c r="R4537" t="s">
        <v>14019</v>
      </c>
    </row>
    <row r="4538" spans="1:18" x14ac:dyDescent="0.2">
      <c r="A4538">
        <v>251051</v>
      </c>
      <c r="B4538" t="s">
        <v>14020</v>
      </c>
      <c r="C4538">
        <v>1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 t="s">
        <v>3284</v>
      </c>
      <c r="M4538" t="s">
        <v>3327</v>
      </c>
      <c r="N4538" t="s">
        <v>3376</v>
      </c>
      <c r="O4538" t="s">
        <v>3377</v>
      </c>
      <c r="P4538" t="s">
        <v>3378</v>
      </c>
      <c r="Q4538" t="s">
        <v>14021</v>
      </c>
      <c r="R4538" t="s">
        <v>14022</v>
      </c>
    </row>
    <row r="4539" spans="1:18" x14ac:dyDescent="0.2">
      <c r="A4539">
        <v>249410</v>
      </c>
      <c r="B4539" t="s">
        <v>14023</v>
      </c>
      <c r="C4539">
        <v>2</v>
      </c>
      <c r="D4539">
        <v>1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 t="s">
        <v>3284</v>
      </c>
      <c r="M4539" t="s">
        <v>3296</v>
      </c>
      <c r="N4539" t="s">
        <v>3321</v>
      </c>
      <c r="O4539" t="s">
        <v>3322</v>
      </c>
      <c r="P4539" t="s">
        <v>3398</v>
      </c>
      <c r="Q4539" t="s">
        <v>3841</v>
      </c>
      <c r="R4539" t="s">
        <v>14024</v>
      </c>
    </row>
    <row r="4540" spans="1:18" x14ac:dyDescent="0.2">
      <c r="A4540">
        <v>249409</v>
      </c>
      <c r="B4540" t="s">
        <v>14025</v>
      </c>
      <c r="C4540">
        <v>6</v>
      </c>
      <c r="D4540">
        <v>4</v>
      </c>
      <c r="E4540">
        <v>1</v>
      </c>
      <c r="F4540">
        <v>1</v>
      </c>
      <c r="G4540">
        <v>0</v>
      </c>
      <c r="H4540">
        <v>0</v>
      </c>
      <c r="I4540">
        <v>0</v>
      </c>
      <c r="J4540">
        <v>0</v>
      </c>
      <c r="K4540">
        <v>0</v>
      </c>
      <c r="L4540" t="s">
        <v>3284</v>
      </c>
      <c r="M4540" t="s">
        <v>3296</v>
      </c>
      <c r="N4540" t="s">
        <v>3321</v>
      </c>
      <c r="O4540" t="s">
        <v>3322</v>
      </c>
      <c r="P4540" t="s">
        <v>3398</v>
      </c>
      <c r="Q4540" t="s">
        <v>3841</v>
      </c>
      <c r="R4540" t="s">
        <v>14026</v>
      </c>
    </row>
    <row r="4541" spans="1:18" x14ac:dyDescent="0.2">
      <c r="A4541">
        <v>246787</v>
      </c>
      <c r="B4541" t="s">
        <v>14027</v>
      </c>
      <c r="C4541">
        <v>0</v>
      </c>
      <c r="D4541">
        <v>0</v>
      </c>
      <c r="E4541">
        <v>0</v>
      </c>
      <c r="F4541">
        <v>4</v>
      </c>
      <c r="G4541">
        <v>1</v>
      </c>
      <c r="H4541">
        <v>1</v>
      </c>
      <c r="I4541">
        <v>2</v>
      </c>
      <c r="J4541">
        <v>0</v>
      </c>
      <c r="K4541">
        <v>0</v>
      </c>
      <c r="L4541" t="s">
        <v>3284</v>
      </c>
      <c r="M4541" t="s">
        <v>3391</v>
      </c>
      <c r="N4541" t="s">
        <v>3765</v>
      </c>
      <c r="O4541" t="s">
        <v>3766</v>
      </c>
      <c r="P4541" t="s">
        <v>9999</v>
      </c>
      <c r="Q4541" t="s">
        <v>10000</v>
      </c>
      <c r="R4541" t="s">
        <v>14028</v>
      </c>
    </row>
    <row r="4542" spans="1:18" x14ac:dyDescent="0.2">
      <c r="A4542">
        <v>246786</v>
      </c>
      <c r="B4542" t="s">
        <v>14029</v>
      </c>
      <c r="C4542">
        <v>5</v>
      </c>
      <c r="D4542">
        <v>4</v>
      </c>
      <c r="E4542">
        <v>0</v>
      </c>
      <c r="F4542">
        <v>1</v>
      </c>
      <c r="G4542">
        <v>0</v>
      </c>
      <c r="H4542">
        <v>0</v>
      </c>
      <c r="I4542">
        <v>0</v>
      </c>
      <c r="J4542">
        <v>0</v>
      </c>
      <c r="K4542">
        <v>0</v>
      </c>
      <c r="L4542" t="s">
        <v>3284</v>
      </c>
      <c r="M4542" t="s">
        <v>3327</v>
      </c>
      <c r="N4542" t="s">
        <v>3376</v>
      </c>
      <c r="O4542" t="s">
        <v>3377</v>
      </c>
      <c r="P4542" t="s">
        <v>3378</v>
      </c>
      <c r="Q4542" t="s">
        <v>6184</v>
      </c>
      <c r="R4542" t="s">
        <v>14030</v>
      </c>
    </row>
    <row r="4543" spans="1:18" x14ac:dyDescent="0.2">
      <c r="A4543">
        <v>246139</v>
      </c>
      <c r="B4543" t="s">
        <v>14031</v>
      </c>
      <c r="C4543">
        <v>1</v>
      </c>
      <c r="D4543">
        <v>0</v>
      </c>
      <c r="E4543">
        <v>0</v>
      </c>
      <c r="F4543">
        <v>2</v>
      </c>
      <c r="G4543">
        <v>0</v>
      </c>
      <c r="H4543">
        <v>0</v>
      </c>
      <c r="I4543">
        <v>0</v>
      </c>
      <c r="J4543">
        <v>0</v>
      </c>
      <c r="K4543">
        <v>0</v>
      </c>
      <c r="L4543" t="s">
        <v>3284</v>
      </c>
      <c r="M4543" t="s">
        <v>3391</v>
      </c>
      <c r="N4543" t="s">
        <v>3392</v>
      </c>
      <c r="O4543" t="s">
        <v>3393</v>
      </c>
      <c r="P4543" t="s">
        <v>3394</v>
      </c>
      <c r="Q4543" t="s">
        <v>3395</v>
      </c>
      <c r="R4543" t="s">
        <v>14032</v>
      </c>
    </row>
    <row r="4544" spans="1:18" x14ac:dyDescent="0.2">
      <c r="A4544">
        <v>245187</v>
      </c>
      <c r="B4544" t="s">
        <v>14033</v>
      </c>
      <c r="C4544">
        <v>1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 t="s">
        <v>3284</v>
      </c>
      <c r="M4544" t="s">
        <v>3296</v>
      </c>
      <c r="N4544" t="s">
        <v>3343</v>
      </c>
      <c r="O4544" t="s">
        <v>3371</v>
      </c>
      <c r="P4544" t="s">
        <v>3372</v>
      </c>
      <c r="Q4544" t="s">
        <v>14034</v>
      </c>
      <c r="R4544" t="s">
        <v>14035</v>
      </c>
    </row>
    <row r="4545" spans="1:18" x14ac:dyDescent="0.2">
      <c r="A4545">
        <v>244735</v>
      </c>
      <c r="B4545" t="s">
        <v>14036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1</v>
      </c>
      <c r="K4545">
        <v>0</v>
      </c>
      <c r="L4545" t="s">
        <v>3284</v>
      </c>
      <c r="M4545" t="s">
        <v>3307</v>
      </c>
      <c r="N4545" t="s">
        <v>3308</v>
      </c>
      <c r="O4545" t="s">
        <v>3359</v>
      </c>
      <c r="P4545" t="s">
        <v>3360</v>
      </c>
      <c r="Q4545" t="s">
        <v>14037</v>
      </c>
      <c r="R4545" t="s">
        <v>14038</v>
      </c>
    </row>
    <row r="4546" spans="1:18" x14ac:dyDescent="0.2">
      <c r="A4546">
        <v>244566</v>
      </c>
      <c r="B4546" t="s">
        <v>14039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33</v>
      </c>
      <c r="J4546">
        <v>11</v>
      </c>
      <c r="K4546">
        <v>4</v>
      </c>
      <c r="L4546" t="s">
        <v>3284</v>
      </c>
      <c r="M4546" t="s">
        <v>3296</v>
      </c>
      <c r="N4546" t="s">
        <v>3297</v>
      </c>
      <c r="O4546" t="s">
        <v>3434</v>
      </c>
      <c r="P4546" t="s">
        <v>3435</v>
      </c>
      <c r="Q4546" t="s">
        <v>3436</v>
      </c>
      <c r="R4546" t="s">
        <v>14040</v>
      </c>
    </row>
    <row r="4547" spans="1:18" x14ac:dyDescent="0.2">
      <c r="A4547">
        <v>244366</v>
      </c>
      <c r="B4547" t="s">
        <v>14041</v>
      </c>
      <c r="C4547">
        <v>1</v>
      </c>
      <c r="D4547">
        <v>0</v>
      </c>
      <c r="E4547">
        <v>1</v>
      </c>
      <c r="F4547">
        <v>0</v>
      </c>
      <c r="G4547">
        <v>1</v>
      </c>
      <c r="H4547">
        <v>0</v>
      </c>
      <c r="I4547">
        <v>0</v>
      </c>
      <c r="J4547">
        <v>1</v>
      </c>
      <c r="K4547">
        <v>0</v>
      </c>
      <c r="L4547" t="s">
        <v>3284</v>
      </c>
      <c r="M4547" t="s">
        <v>3296</v>
      </c>
      <c r="N4547" t="s">
        <v>3297</v>
      </c>
      <c r="O4547" t="s">
        <v>3298</v>
      </c>
      <c r="P4547" t="s">
        <v>3826</v>
      </c>
      <c r="Q4547" t="s">
        <v>7086</v>
      </c>
      <c r="R4547" t="s">
        <v>14042</v>
      </c>
    </row>
    <row r="4548" spans="1:18" x14ac:dyDescent="0.2">
      <c r="A4548">
        <v>242163</v>
      </c>
      <c r="B4548" t="s">
        <v>14043</v>
      </c>
      <c r="C4548">
        <v>0</v>
      </c>
      <c r="D4548">
        <v>0</v>
      </c>
      <c r="E4548">
        <v>0</v>
      </c>
      <c r="F4548">
        <v>1</v>
      </c>
      <c r="G4548">
        <v>0</v>
      </c>
      <c r="H4548">
        <v>0</v>
      </c>
      <c r="I4548">
        <v>0</v>
      </c>
      <c r="J4548">
        <v>0</v>
      </c>
      <c r="K4548">
        <v>0</v>
      </c>
      <c r="L4548" t="s">
        <v>3284</v>
      </c>
      <c r="M4548" t="s">
        <v>3296</v>
      </c>
      <c r="N4548" t="s">
        <v>3321</v>
      </c>
      <c r="O4548" t="s">
        <v>3322</v>
      </c>
      <c r="P4548" t="s">
        <v>3423</v>
      </c>
      <c r="Q4548" t="s">
        <v>4170</v>
      </c>
      <c r="R4548" t="s">
        <v>14044</v>
      </c>
    </row>
    <row r="4549" spans="1:18" x14ac:dyDescent="0.2">
      <c r="A4549">
        <v>240521</v>
      </c>
      <c r="B4549" t="s">
        <v>14045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1</v>
      </c>
      <c r="K4549">
        <v>0</v>
      </c>
      <c r="L4549" t="s">
        <v>3284</v>
      </c>
      <c r="M4549" t="s">
        <v>3296</v>
      </c>
      <c r="N4549" t="s">
        <v>3343</v>
      </c>
      <c r="O4549" t="s">
        <v>3344</v>
      </c>
      <c r="P4549" t="s">
        <v>3355</v>
      </c>
      <c r="Q4549" t="s">
        <v>3356</v>
      </c>
      <c r="R4549" t="s">
        <v>14046</v>
      </c>
    </row>
    <row r="4550" spans="1:18" x14ac:dyDescent="0.2">
      <c r="A4550">
        <v>240412</v>
      </c>
      <c r="B4550" t="s">
        <v>14047</v>
      </c>
      <c r="C4550">
        <v>2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 t="s">
        <v>3284</v>
      </c>
      <c r="M4550" t="s">
        <v>3296</v>
      </c>
      <c r="N4550" t="s">
        <v>3321</v>
      </c>
      <c r="O4550" t="s">
        <v>5306</v>
      </c>
      <c r="P4550" t="s">
        <v>5385</v>
      </c>
      <c r="Q4550" t="s">
        <v>5386</v>
      </c>
      <c r="R4550" t="s">
        <v>14048</v>
      </c>
    </row>
    <row r="4551" spans="1:18" x14ac:dyDescent="0.2">
      <c r="A4551">
        <v>240125</v>
      </c>
      <c r="B4551" t="s">
        <v>14049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1</v>
      </c>
      <c r="J4551">
        <v>0</v>
      </c>
      <c r="K4551">
        <v>0</v>
      </c>
      <c r="L4551" t="s">
        <v>3284</v>
      </c>
      <c r="M4551" t="s">
        <v>3307</v>
      </c>
      <c r="N4551" t="s">
        <v>3308</v>
      </c>
      <c r="O4551" t="s">
        <v>3635</v>
      </c>
      <c r="P4551" t="s">
        <v>4011</v>
      </c>
      <c r="Q4551" t="s">
        <v>4012</v>
      </c>
      <c r="R4551" t="s">
        <v>14050</v>
      </c>
    </row>
    <row r="4552" spans="1:18" x14ac:dyDescent="0.2">
      <c r="A4552">
        <v>239744</v>
      </c>
      <c r="B4552" t="s">
        <v>14051</v>
      </c>
      <c r="C4552">
        <v>0</v>
      </c>
      <c r="D4552">
        <v>0</v>
      </c>
      <c r="E4552">
        <v>0</v>
      </c>
      <c r="F4552">
        <v>1</v>
      </c>
      <c r="G4552">
        <v>0</v>
      </c>
      <c r="H4552">
        <v>0</v>
      </c>
      <c r="I4552">
        <v>1</v>
      </c>
      <c r="J4552">
        <v>2</v>
      </c>
      <c r="K4552">
        <v>1</v>
      </c>
      <c r="L4552" t="s">
        <v>3284</v>
      </c>
      <c r="M4552" t="s">
        <v>3285</v>
      </c>
      <c r="N4552" t="s">
        <v>3286</v>
      </c>
      <c r="O4552" t="s">
        <v>3287</v>
      </c>
      <c r="P4552" t="s">
        <v>3288</v>
      </c>
      <c r="Q4552" t="s">
        <v>3289</v>
      </c>
      <c r="R4552" t="s">
        <v>14052</v>
      </c>
    </row>
    <row r="4553" spans="1:18" x14ac:dyDescent="0.2">
      <c r="A4553">
        <v>238834</v>
      </c>
      <c r="B4553" t="s">
        <v>14053</v>
      </c>
      <c r="C4553">
        <v>21</v>
      </c>
      <c r="D4553">
        <v>18</v>
      </c>
      <c r="E4553">
        <v>11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 t="s">
        <v>3284</v>
      </c>
      <c r="M4553" t="s">
        <v>3327</v>
      </c>
      <c r="N4553" t="s">
        <v>3328</v>
      </c>
      <c r="O4553" t="s">
        <v>3329</v>
      </c>
      <c r="P4553" t="s">
        <v>3330</v>
      </c>
      <c r="Q4553" t="s">
        <v>3331</v>
      </c>
      <c r="R4553" t="s">
        <v>14054</v>
      </c>
    </row>
    <row r="4554" spans="1:18" x14ac:dyDescent="0.2">
      <c r="A4554">
        <v>237258</v>
      </c>
      <c r="B4554" t="s">
        <v>14055</v>
      </c>
      <c r="C4554">
        <v>0</v>
      </c>
      <c r="D4554">
        <v>1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 t="s">
        <v>3284</v>
      </c>
      <c r="M4554" t="s">
        <v>3391</v>
      </c>
      <c r="N4554" t="s">
        <v>3411</v>
      </c>
      <c r="O4554" t="s">
        <v>3412</v>
      </c>
      <c r="P4554" t="s">
        <v>3564</v>
      </c>
      <c r="Q4554" t="s">
        <v>5377</v>
      </c>
      <c r="R4554" t="s">
        <v>14056</v>
      </c>
    </row>
    <row r="4555" spans="1:18" x14ac:dyDescent="0.2">
      <c r="A4555">
        <v>236068</v>
      </c>
      <c r="B4555" t="s">
        <v>14057</v>
      </c>
      <c r="C4555">
        <v>0</v>
      </c>
      <c r="D4555">
        <v>0</v>
      </c>
      <c r="E4555">
        <v>0</v>
      </c>
      <c r="F4555">
        <v>1</v>
      </c>
      <c r="G4555">
        <v>0</v>
      </c>
      <c r="H4555">
        <v>0</v>
      </c>
      <c r="I4555">
        <v>0</v>
      </c>
      <c r="J4555">
        <v>0</v>
      </c>
      <c r="K4555">
        <v>0</v>
      </c>
      <c r="L4555" t="s">
        <v>3284</v>
      </c>
      <c r="M4555" t="s">
        <v>3307</v>
      </c>
      <c r="N4555" t="s">
        <v>3308</v>
      </c>
      <c r="O4555" t="s">
        <v>3309</v>
      </c>
      <c r="P4555" t="s">
        <v>8318</v>
      </c>
      <c r="Q4555" t="s">
        <v>8319</v>
      </c>
      <c r="R4555" t="s">
        <v>14058</v>
      </c>
    </row>
    <row r="4556" spans="1:18" x14ac:dyDescent="0.2">
      <c r="A4556">
        <v>235985</v>
      </c>
      <c r="B4556" t="s">
        <v>14059</v>
      </c>
      <c r="C4556">
        <v>0</v>
      </c>
      <c r="D4556">
        <v>0</v>
      </c>
      <c r="E4556">
        <v>0</v>
      </c>
      <c r="F4556">
        <v>0</v>
      </c>
      <c r="G4556">
        <v>1</v>
      </c>
      <c r="H4556">
        <v>0</v>
      </c>
      <c r="I4556">
        <v>0</v>
      </c>
      <c r="J4556">
        <v>0</v>
      </c>
      <c r="K4556">
        <v>0</v>
      </c>
      <c r="L4556" t="s">
        <v>3284</v>
      </c>
      <c r="M4556" t="s">
        <v>3307</v>
      </c>
      <c r="N4556" t="s">
        <v>3308</v>
      </c>
      <c r="O4556" t="s">
        <v>3446</v>
      </c>
      <c r="P4556" t="s">
        <v>3447</v>
      </c>
      <c r="Q4556" t="s">
        <v>8797</v>
      </c>
      <c r="R4556" t="s">
        <v>14060</v>
      </c>
    </row>
    <row r="4557" spans="1:18" x14ac:dyDescent="0.2">
      <c r="A4557">
        <v>231455</v>
      </c>
      <c r="B4557" t="s">
        <v>14061</v>
      </c>
      <c r="C4557">
        <v>0</v>
      </c>
      <c r="D4557">
        <v>0</v>
      </c>
      <c r="E4557">
        <v>0</v>
      </c>
      <c r="F4557">
        <v>1</v>
      </c>
      <c r="G4557">
        <v>0</v>
      </c>
      <c r="H4557">
        <v>0</v>
      </c>
      <c r="I4557">
        <v>0</v>
      </c>
      <c r="J4557">
        <v>0</v>
      </c>
      <c r="K4557">
        <v>0</v>
      </c>
      <c r="L4557" t="s">
        <v>3284</v>
      </c>
      <c r="M4557" t="s">
        <v>3296</v>
      </c>
      <c r="N4557" t="s">
        <v>3297</v>
      </c>
      <c r="O4557" t="s">
        <v>3469</v>
      </c>
      <c r="P4557" t="s">
        <v>5200</v>
      </c>
      <c r="Q4557" t="s">
        <v>5201</v>
      </c>
      <c r="R4557" t="s">
        <v>14062</v>
      </c>
    </row>
    <row r="4558" spans="1:18" x14ac:dyDescent="0.2">
      <c r="A4558">
        <v>230361</v>
      </c>
      <c r="B4558" t="s">
        <v>14063</v>
      </c>
      <c r="C4558">
        <v>0</v>
      </c>
      <c r="D4558">
        <v>1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 t="s">
        <v>4270</v>
      </c>
      <c r="M4558" t="s">
        <v>4271</v>
      </c>
      <c r="N4558" t="s">
        <v>14064</v>
      </c>
      <c r="O4558" t="s">
        <v>14065</v>
      </c>
      <c r="P4558" t="s">
        <v>14066</v>
      </c>
      <c r="Q4558" t="s">
        <v>14067</v>
      </c>
      <c r="R4558" t="s">
        <v>14068</v>
      </c>
    </row>
    <row r="4559" spans="1:18" x14ac:dyDescent="0.2">
      <c r="A4559">
        <v>230310</v>
      </c>
      <c r="B4559" t="s">
        <v>14069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31</v>
      </c>
      <c r="J4559">
        <v>9</v>
      </c>
      <c r="K4559">
        <v>1</v>
      </c>
      <c r="L4559" t="s">
        <v>3284</v>
      </c>
      <c r="M4559" t="s">
        <v>3296</v>
      </c>
      <c r="N4559" t="s">
        <v>3321</v>
      </c>
      <c r="O4559" t="s">
        <v>3322</v>
      </c>
      <c r="P4559" t="s">
        <v>3398</v>
      </c>
      <c r="Q4559" t="s">
        <v>4542</v>
      </c>
      <c r="R4559" t="s">
        <v>14070</v>
      </c>
    </row>
    <row r="4560" spans="1:18" x14ac:dyDescent="0.2">
      <c r="A4560">
        <v>230089</v>
      </c>
      <c r="B4560" t="s">
        <v>14071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3</v>
      </c>
      <c r="I4560">
        <v>1</v>
      </c>
      <c r="J4560">
        <v>0</v>
      </c>
      <c r="K4560">
        <v>0</v>
      </c>
      <c r="L4560" t="s">
        <v>3284</v>
      </c>
      <c r="M4560" t="s">
        <v>3296</v>
      </c>
      <c r="N4560" t="s">
        <v>3297</v>
      </c>
      <c r="O4560" t="s">
        <v>3298</v>
      </c>
      <c r="P4560" t="s">
        <v>4399</v>
      </c>
      <c r="Q4560" t="s">
        <v>11911</v>
      </c>
      <c r="R4560" t="s">
        <v>14072</v>
      </c>
    </row>
    <row r="4561" spans="1:18" x14ac:dyDescent="0.2">
      <c r="A4561">
        <v>229921</v>
      </c>
      <c r="B4561" t="s">
        <v>14073</v>
      </c>
      <c r="C4561">
        <v>0</v>
      </c>
      <c r="D4561">
        <v>1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 t="s">
        <v>3284</v>
      </c>
      <c r="M4561" t="s">
        <v>6855</v>
      </c>
      <c r="N4561" t="s">
        <v>13584</v>
      </c>
      <c r="O4561" t="s">
        <v>13585</v>
      </c>
      <c r="P4561" t="s">
        <v>13586</v>
      </c>
      <c r="Q4561" t="s">
        <v>14074</v>
      </c>
      <c r="R4561" t="s">
        <v>14075</v>
      </c>
    </row>
    <row r="4562" spans="1:18" x14ac:dyDescent="0.2">
      <c r="A4562">
        <v>227138</v>
      </c>
      <c r="B4562" t="s">
        <v>14076</v>
      </c>
      <c r="C4562">
        <v>0</v>
      </c>
      <c r="D4562">
        <v>2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 t="s">
        <v>3284</v>
      </c>
      <c r="M4562" t="s">
        <v>3327</v>
      </c>
      <c r="N4562" t="s">
        <v>3328</v>
      </c>
      <c r="O4562" t="s">
        <v>4184</v>
      </c>
      <c r="P4562" t="s">
        <v>4185</v>
      </c>
      <c r="Q4562" t="s">
        <v>4186</v>
      </c>
      <c r="R4562" t="s">
        <v>14077</v>
      </c>
    </row>
    <row r="4563" spans="1:18" x14ac:dyDescent="0.2">
      <c r="A4563">
        <v>226910</v>
      </c>
      <c r="B4563" t="s">
        <v>14078</v>
      </c>
      <c r="C4563">
        <v>1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 t="s">
        <v>3284</v>
      </c>
      <c r="M4563" t="s">
        <v>3296</v>
      </c>
      <c r="N4563" t="s">
        <v>3297</v>
      </c>
      <c r="O4563" t="s">
        <v>3434</v>
      </c>
      <c r="P4563" t="s">
        <v>3435</v>
      </c>
      <c r="Q4563" t="s">
        <v>3436</v>
      </c>
      <c r="R4563" t="s">
        <v>14079</v>
      </c>
    </row>
    <row r="4564" spans="1:18" x14ac:dyDescent="0.2">
      <c r="A4564">
        <v>225992</v>
      </c>
      <c r="B4564" t="s">
        <v>14080</v>
      </c>
      <c r="C4564">
        <v>8</v>
      </c>
      <c r="D4564">
        <v>2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 t="s">
        <v>3284</v>
      </c>
      <c r="M4564" t="s">
        <v>3296</v>
      </c>
      <c r="N4564" t="s">
        <v>3321</v>
      </c>
      <c r="O4564" t="s">
        <v>3322</v>
      </c>
      <c r="P4564" t="s">
        <v>3398</v>
      </c>
      <c r="Q4564" t="s">
        <v>3806</v>
      </c>
      <c r="R4564" t="s">
        <v>14081</v>
      </c>
    </row>
    <row r="4565" spans="1:18" x14ac:dyDescent="0.2">
      <c r="A4565">
        <v>225991</v>
      </c>
      <c r="B4565" t="s">
        <v>14082</v>
      </c>
      <c r="C4565">
        <v>5</v>
      </c>
      <c r="D4565">
        <v>2</v>
      </c>
      <c r="E4565">
        <v>1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 t="s">
        <v>3284</v>
      </c>
      <c r="M4565" t="s">
        <v>3296</v>
      </c>
      <c r="N4565" t="s">
        <v>3321</v>
      </c>
      <c r="O4565" t="s">
        <v>3322</v>
      </c>
      <c r="P4565" t="s">
        <v>3398</v>
      </c>
      <c r="Q4565" t="s">
        <v>3806</v>
      </c>
      <c r="R4565" t="s">
        <v>14083</v>
      </c>
    </row>
    <row r="4566" spans="1:18" x14ac:dyDescent="0.2">
      <c r="A4566">
        <v>225345</v>
      </c>
      <c r="B4566" t="s">
        <v>14084</v>
      </c>
      <c r="C4566">
        <v>10</v>
      </c>
      <c r="D4566">
        <v>11</v>
      </c>
      <c r="E4566">
        <v>5</v>
      </c>
      <c r="F4566">
        <v>0</v>
      </c>
      <c r="G4566">
        <v>0</v>
      </c>
      <c r="H4566">
        <v>0</v>
      </c>
      <c r="I4566">
        <v>5</v>
      </c>
      <c r="J4566">
        <v>2</v>
      </c>
      <c r="K4566">
        <v>1</v>
      </c>
      <c r="L4566" t="s">
        <v>3284</v>
      </c>
      <c r="M4566" t="s">
        <v>3327</v>
      </c>
      <c r="N4566" t="s">
        <v>3328</v>
      </c>
      <c r="O4566" t="s">
        <v>3329</v>
      </c>
      <c r="P4566" t="s">
        <v>3330</v>
      </c>
      <c r="Q4566" t="s">
        <v>3331</v>
      </c>
      <c r="R4566" t="s">
        <v>14085</v>
      </c>
    </row>
    <row r="4567" spans="1:18" x14ac:dyDescent="0.2">
      <c r="A4567">
        <v>225324</v>
      </c>
      <c r="B4567" t="s">
        <v>14086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1</v>
      </c>
      <c r="K4567">
        <v>0</v>
      </c>
      <c r="L4567" t="s">
        <v>3284</v>
      </c>
      <c r="M4567" t="s">
        <v>3296</v>
      </c>
      <c r="N4567" t="s">
        <v>3343</v>
      </c>
      <c r="O4567" t="s">
        <v>3344</v>
      </c>
      <c r="P4567" t="s">
        <v>3271</v>
      </c>
      <c r="Q4567" t="s">
        <v>10018</v>
      </c>
      <c r="R4567" t="s">
        <v>14087</v>
      </c>
    </row>
    <row r="4568" spans="1:18" x14ac:dyDescent="0.2">
      <c r="A4568">
        <v>223919</v>
      </c>
      <c r="B4568" t="s">
        <v>14088</v>
      </c>
      <c r="C4568">
        <v>0</v>
      </c>
      <c r="D4568">
        <v>1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 t="s">
        <v>3284</v>
      </c>
      <c r="M4568" t="s">
        <v>3327</v>
      </c>
      <c r="N4568" t="s">
        <v>3328</v>
      </c>
      <c r="O4568" t="s">
        <v>3329</v>
      </c>
      <c r="P4568" t="s">
        <v>3330</v>
      </c>
      <c r="Q4568" t="s">
        <v>3331</v>
      </c>
      <c r="R4568" t="s">
        <v>14089</v>
      </c>
    </row>
    <row r="4569" spans="1:18" x14ac:dyDescent="0.2">
      <c r="A4569">
        <v>223900</v>
      </c>
      <c r="B4569" t="s">
        <v>14090</v>
      </c>
      <c r="C4569">
        <v>0</v>
      </c>
      <c r="D4569">
        <v>0</v>
      </c>
      <c r="E4569">
        <v>0</v>
      </c>
      <c r="F4569">
        <v>0</v>
      </c>
      <c r="G4569">
        <v>2</v>
      </c>
      <c r="H4569">
        <v>0</v>
      </c>
      <c r="I4569">
        <v>0</v>
      </c>
      <c r="J4569">
        <v>0</v>
      </c>
      <c r="K4569">
        <v>0</v>
      </c>
      <c r="L4569" t="s">
        <v>3284</v>
      </c>
      <c r="M4569" t="s">
        <v>3296</v>
      </c>
      <c r="N4569" t="s">
        <v>3297</v>
      </c>
      <c r="O4569" t="s">
        <v>4500</v>
      </c>
      <c r="P4569" t="s">
        <v>4501</v>
      </c>
      <c r="Q4569" t="s">
        <v>14091</v>
      </c>
      <c r="R4569" t="s">
        <v>14092</v>
      </c>
    </row>
    <row r="4570" spans="1:18" x14ac:dyDescent="0.2">
      <c r="A4570">
        <v>223390</v>
      </c>
      <c r="B4570" t="s">
        <v>14093</v>
      </c>
      <c r="C4570">
        <v>0</v>
      </c>
      <c r="D4570">
        <v>2</v>
      </c>
      <c r="E4570">
        <v>1</v>
      </c>
      <c r="F4570">
        <v>0</v>
      </c>
      <c r="G4570">
        <v>0</v>
      </c>
      <c r="H4570">
        <v>0</v>
      </c>
      <c r="I4570">
        <v>2</v>
      </c>
      <c r="J4570">
        <v>3</v>
      </c>
      <c r="K4570">
        <v>0</v>
      </c>
      <c r="L4570" t="s">
        <v>3284</v>
      </c>
      <c r="M4570" t="s">
        <v>3296</v>
      </c>
      <c r="N4570" t="s">
        <v>3343</v>
      </c>
      <c r="O4570" t="s">
        <v>3344</v>
      </c>
      <c r="P4570" t="s">
        <v>3661</v>
      </c>
      <c r="Q4570" t="s">
        <v>3662</v>
      </c>
      <c r="R4570" t="s">
        <v>14094</v>
      </c>
    </row>
    <row r="4571" spans="1:18" x14ac:dyDescent="0.2">
      <c r="A4571">
        <v>223389</v>
      </c>
      <c r="B4571" t="s">
        <v>14095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2</v>
      </c>
      <c r="J4571">
        <v>0</v>
      </c>
      <c r="K4571">
        <v>0</v>
      </c>
      <c r="L4571" t="s">
        <v>3284</v>
      </c>
      <c r="M4571" t="s">
        <v>3296</v>
      </c>
      <c r="N4571" t="s">
        <v>3343</v>
      </c>
      <c r="O4571" t="s">
        <v>3344</v>
      </c>
      <c r="P4571" t="s">
        <v>3661</v>
      </c>
      <c r="Q4571" t="s">
        <v>3662</v>
      </c>
      <c r="R4571" t="s">
        <v>14096</v>
      </c>
    </row>
    <row r="4572" spans="1:18" x14ac:dyDescent="0.2">
      <c r="A4572">
        <v>223188</v>
      </c>
      <c r="B4572" t="s">
        <v>14097</v>
      </c>
      <c r="C4572">
        <v>1</v>
      </c>
      <c r="D4572">
        <v>1</v>
      </c>
      <c r="E4572">
        <v>0</v>
      </c>
      <c r="F4572">
        <v>5</v>
      </c>
      <c r="G4572">
        <v>3</v>
      </c>
      <c r="H4572">
        <v>0</v>
      </c>
      <c r="I4572">
        <v>0</v>
      </c>
      <c r="J4572">
        <v>0</v>
      </c>
      <c r="K4572">
        <v>0</v>
      </c>
      <c r="L4572" t="s">
        <v>3284</v>
      </c>
      <c r="M4572" t="s">
        <v>3296</v>
      </c>
      <c r="N4572" t="s">
        <v>3321</v>
      </c>
      <c r="O4572" t="s">
        <v>3322</v>
      </c>
      <c r="P4572" t="s">
        <v>3398</v>
      </c>
      <c r="Q4572" t="s">
        <v>3788</v>
      </c>
      <c r="R4572" t="s">
        <v>14098</v>
      </c>
    </row>
    <row r="4573" spans="1:18" x14ac:dyDescent="0.2">
      <c r="A4573">
        <v>221953</v>
      </c>
      <c r="B4573" t="s">
        <v>14099</v>
      </c>
      <c r="C4573">
        <v>2</v>
      </c>
      <c r="D4573">
        <v>1</v>
      </c>
      <c r="E4573">
        <v>2</v>
      </c>
      <c r="F4573">
        <v>3</v>
      </c>
      <c r="G4573">
        <v>2</v>
      </c>
      <c r="H4573">
        <v>1</v>
      </c>
      <c r="I4573">
        <v>3</v>
      </c>
      <c r="J4573">
        <v>1</v>
      </c>
      <c r="K4573">
        <v>1</v>
      </c>
      <c r="L4573" t="s">
        <v>3284</v>
      </c>
      <c r="M4573" t="s">
        <v>6546</v>
      </c>
      <c r="N4573" t="s">
        <v>6547</v>
      </c>
      <c r="O4573" t="s">
        <v>13814</v>
      </c>
      <c r="P4573" t="s">
        <v>13815</v>
      </c>
      <c r="Q4573" t="s">
        <v>13816</v>
      </c>
      <c r="R4573" t="s">
        <v>14100</v>
      </c>
    </row>
    <row r="4574" spans="1:18" x14ac:dyDescent="0.2">
      <c r="A4574">
        <v>221287</v>
      </c>
      <c r="B4574" t="s">
        <v>14101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2</v>
      </c>
      <c r="K4574">
        <v>0</v>
      </c>
      <c r="L4574" t="s">
        <v>3284</v>
      </c>
      <c r="M4574" t="s">
        <v>4022</v>
      </c>
      <c r="N4574" t="s">
        <v>4023</v>
      </c>
      <c r="O4574" t="s">
        <v>4289</v>
      </c>
      <c r="P4574" t="s">
        <v>14102</v>
      </c>
      <c r="Q4574" t="s">
        <v>14103</v>
      </c>
      <c r="R4574" t="s">
        <v>14104</v>
      </c>
    </row>
    <row r="4575" spans="1:18" x14ac:dyDescent="0.2">
      <c r="A4575">
        <v>220688</v>
      </c>
      <c r="B4575" t="s">
        <v>14105</v>
      </c>
      <c r="C4575">
        <v>1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 t="s">
        <v>3284</v>
      </c>
      <c r="M4575" t="s">
        <v>3327</v>
      </c>
      <c r="N4575" t="s">
        <v>3376</v>
      </c>
      <c r="O4575" t="s">
        <v>3377</v>
      </c>
      <c r="P4575" t="s">
        <v>3378</v>
      </c>
      <c r="Q4575" t="s">
        <v>3608</v>
      </c>
      <c r="R4575" t="s">
        <v>14106</v>
      </c>
    </row>
    <row r="4576" spans="1:18" x14ac:dyDescent="0.2">
      <c r="A4576">
        <v>220686</v>
      </c>
      <c r="B4576" t="s">
        <v>14107</v>
      </c>
      <c r="C4576">
        <v>1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 t="s">
        <v>3284</v>
      </c>
      <c r="M4576" t="s">
        <v>3327</v>
      </c>
      <c r="N4576" t="s">
        <v>3376</v>
      </c>
      <c r="O4576" t="s">
        <v>3377</v>
      </c>
      <c r="P4576" t="s">
        <v>3378</v>
      </c>
      <c r="Q4576" t="s">
        <v>3608</v>
      </c>
      <c r="R4576" t="s">
        <v>14108</v>
      </c>
    </row>
    <row r="4577" spans="1:18" x14ac:dyDescent="0.2">
      <c r="A4577">
        <v>220685</v>
      </c>
      <c r="B4577" t="s">
        <v>14109</v>
      </c>
      <c r="C4577">
        <v>2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 t="s">
        <v>3284</v>
      </c>
      <c r="M4577" t="s">
        <v>3327</v>
      </c>
      <c r="N4577" t="s">
        <v>3376</v>
      </c>
      <c r="O4577" t="s">
        <v>3377</v>
      </c>
      <c r="P4577" t="s">
        <v>3378</v>
      </c>
      <c r="Q4577" t="s">
        <v>3608</v>
      </c>
      <c r="R4577" t="s">
        <v>14110</v>
      </c>
    </row>
    <row r="4578" spans="1:18" x14ac:dyDescent="0.2">
      <c r="A4578">
        <v>220343</v>
      </c>
      <c r="B4578" t="s">
        <v>14111</v>
      </c>
      <c r="C4578">
        <v>1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 t="s">
        <v>3284</v>
      </c>
      <c r="M4578" t="s">
        <v>3296</v>
      </c>
      <c r="N4578" t="s">
        <v>3343</v>
      </c>
      <c r="O4578" t="s">
        <v>3371</v>
      </c>
      <c r="P4578" t="s">
        <v>3688</v>
      </c>
      <c r="Q4578" t="s">
        <v>4278</v>
      </c>
      <c r="R4578" t="s">
        <v>14112</v>
      </c>
    </row>
    <row r="4579" spans="1:18" x14ac:dyDescent="0.2">
      <c r="A4579">
        <v>219748</v>
      </c>
      <c r="B4579" t="s">
        <v>14113</v>
      </c>
      <c r="C4579">
        <v>48</v>
      </c>
      <c r="D4579">
        <v>51</v>
      </c>
      <c r="E4579">
        <v>13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 t="s">
        <v>3284</v>
      </c>
      <c r="M4579" t="s">
        <v>3327</v>
      </c>
      <c r="N4579" t="s">
        <v>3328</v>
      </c>
      <c r="O4579" t="s">
        <v>3329</v>
      </c>
      <c r="P4579" t="s">
        <v>3330</v>
      </c>
      <c r="Q4579" t="s">
        <v>3331</v>
      </c>
      <c r="R4579" t="s">
        <v>14114</v>
      </c>
    </row>
    <row r="4580" spans="1:18" x14ac:dyDescent="0.2">
      <c r="A4580">
        <v>219182</v>
      </c>
      <c r="B4580" t="s">
        <v>14115</v>
      </c>
      <c r="C4580">
        <v>1</v>
      </c>
      <c r="D4580">
        <v>0</v>
      </c>
      <c r="E4580">
        <v>3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 t="s">
        <v>3284</v>
      </c>
      <c r="M4580" t="s">
        <v>3296</v>
      </c>
      <c r="N4580" t="s">
        <v>3321</v>
      </c>
      <c r="O4580" t="s">
        <v>3322</v>
      </c>
      <c r="P4580" t="s">
        <v>3398</v>
      </c>
      <c r="Q4580" t="s">
        <v>6530</v>
      </c>
      <c r="R4580" t="s">
        <v>14116</v>
      </c>
    </row>
    <row r="4581" spans="1:18" x14ac:dyDescent="0.2">
      <c r="A4581">
        <v>218936</v>
      </c>
      <c r="B4581" t="s">
        <v>14117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1</v>
      </c>
      <c r="K4581">
        <v>0</v>
      </c>
      <c r="L4581" t="s">
        <v>3284</v>
      </c>
      <c r="M4581" t="s">
        <v>3296</v>
      </c>
      <c r="N4581" t="s">
        <v>3297</v>
      </c>
      <c r="O4581" t="s">
        <v>4112</v>
      </c>
      <c r="P4581" t="s">
        <v>4113</v>
      </c>
      <c r="Q4581" t="s">
        <v>4114</v>
      </c>
      <c r="R4581" t="s">
        <v>14118</v>
      </c>
    </row>
    <row r="4582" spans="1:18" x14ac:dyDescent="0.2">
      <c r="A4582">
        <v>217159</v>
      </c>
      <c r="B4582" t="s">
        <v>14119</v>
      </c>
      <c r="C4582">
        <v>6</v>
      </c>
      <c r="D4582">
        <v>2</v>
      </c>
      <c r="E4582">
        <v>1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 t="s">
        <v>3284</v>
      </c>
      <c r="M4582" t="s">
        <v>3327</v>
      </c>
      <c r="N4582" t="s">
        <v>3328</v>
      </c>
      <c r="O4582" t="s">
        <v>3329</v>
      </c>
      <c r="P4582" t="s">
        <v>3330</v>
      </c>
      <c r="Q4582" t="s">
        <v>3331</v>
      </c>
      <c r="R4582" t="s">
        <v>14120</v>
      </c>
    </row>
    <row r="4583" spans="1:18" x14ac:dyDescent="0.2">
      <c r="A4583">
        <v>217069</v>
      </c>
      <c r="B4583" t="s">
        <v>14121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5</v>
      </c>
      <c r="J4583">
        <v>0</v>
      </c>
      <c r="K4583">
        <v>3</v>
      </c>
      <c r="L4583" t="s">
        <v>3284</v>
      </c>
      <c r="M4583" t="s">
        <v>3296</v>
      </c>
      <c r="N4583" t="s">
        <v>3343</v>
      </c>
      <c r="O4583" t="s">
        <v>3344</v>
      </c>
      <c r="P4583" t="s">
        <v>3661</v>
      </c>
      <c r="Q4583" t="s">
        <v>3662</v>
      </c>
      <c r="R4583" t="s">
        <v>14122</v>
      </c>
    </row>
    <row r="4584" spans="1:18" x14ac:dyDescent="0.2">
      <c r="A4584">
        <v>217068</v>
      </c>
      <c r="B4584" t="s">
        <v>14123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2</v>
      </c>
      <c r="J4584">
        <v>0</v>
      </c>
      <c r="K4584">
        <v>0</v>
      </c>
      <c r="L4584" t="s">
        <v>3284</v>
      </c>
      <c r="M4584" t="s">
        <v>3296</v>
      </c>
      <c r="N4584" t="s">
        <v>3343</v>
      </c>
      <c r="O4584" t="s">
        <v>3344</v>
      </c>
      <c r="P4584" t="s">
        <v>3661</v>
      </c>
      <c r="Q4584" t="s">
        <v>3662</v>
      </c>
      <c r="R4584" t="s">
        <v>14124</v>
      </c>
    </row>
    <row r="4585" spans="1:18" x14ac:dyDescent="0.2">
      <c r="A4585">
        <v>217067</v>
      </c>
      <c r="B4585" t="s">
        <v>14125</v>
      </c>
      <c r="C4585">
        <v>0</v>
      </c>
      <c r="D4585">
        <v>1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 t="s">
        <v>3284</v>
      </c>
      <c r="M4585" t="s">
        <v>3296</v>
      </c>
      <c r="N4585" t="s">
        <v>3343</v>
      </c>
      <c r="O4585" t="s">
        <v>3344</v>
      </c>
      <c r="P4585" t="s">
        <v>3661</v>
      </c>
      <c r="Q4585" t="s">
        <v>13253</v>
      </c>
      <c r="R4585" t="s">
        <v>14126</v>
      </c>
    </row>
    <row r="4586" spans="1:18" x14ac:dyDescent="0.2">
      <c r="A4586">
        <v>216903</v>
      </c>
      <c r="B4586" t="s">
        <v>14127</v>
      </c>
      <c r="C4586">
        <v>0</v>
      </c>
      <c r="D4586">
        <v>0</v>
      </c>
      <c r="E4586">
        <v>0</v>
      </c>
      <c r="F4586">
        <v>1</v>
      </c>
      <c r="G4586">
        <v>0</v>
      </c>
      <c r="H4586">
        <v>0</v>
      </c>
      <c r="I4586">
        <v>0</v>
      </c>
      <c r="J4586">
        <v>0</v>
      </c>
      <c r="K4586">
        <v>0</v>
      </c>
      <c r="L4586" t="s">
        <v>3284</v>
      </c>
      <c r="M4586" t="s">
        <v>3391</v>
      </c>
      <c r="N4586" t="s">
        <v>3411</v>
      </c>
      <c r="O4586" t="s">
        <v>3412</v>
      </c>
      <c r="P4586" t="s">
        <v>3564</v>
      </c>
      <c r="Q4586" t="s">
        <v>3565</v>
      </c>
      <c r="R4586" t="s">
        <v>14128</v>
      </c>
    </row>
    <row r="4587" spans="1:18" x14ac:dyDescent="0.2">
      <c r="A4587">
        <v>216778</v>
      </c>
      <c r="B4587" t="s">
        <v>14129</v>
      </c>
      <c r="C4587">
        <v>0</v>
      </c>
      <c r="D4587">
        <v>0</v>
      </c>
      <c r="E4587">
        <v>1</v>
      </c>
      <c r="F4587">
        <v>60</v>
      </c>
      <c r="G4587">
        <v>46</v>
      </c>
      <c r="H4587">
        <v>27</v>
      </c>
      <c r="I4587">
        <v>13</v>
      </c>
      <c r="J4587">
        <v>4</v>
      </c>
      <c r="K4587">
        <v>3</v>
      </c>
      <c r="L4587" t="s">
        <v>3284</v>
      </c>
      <c r="M4587" t="s">
        <v>3296</v>
      </c>
      <c r="N4587" t="s">
        <v>3297</v>
      </c>
      <c r="O4587" t="s">
        <v>3469</v>
      </c>
      <c r="P4587" t="s">
        <v>3470</v>
      </c>
      <c r="Q4587" t="s">
        <v>3471</v>
      </c>
      <c r="R4587" t="s">
        <v>14130</v>
      </c>
    </row>
    <row r="4588" spans="1:18" x14ac:dyDescent="0.2">
      <c r="A4588">
        <v>216465</v>
      </c>
      <c r="B4588" t="s">
        <v>14131</v>
      </c>
      <c r="C4588">
        <v>0</v>
      </c>
      <c r="D4588">
        <v>0</v>
      </c>
      <c r="E4588">
        <v>0</v>
      </c>
      <c r="F4588">
        <v>1</v>
      </c>
      <c r="G4588">
        <v>0</v>
      </c>
      <c r="H4588">
        <v>0</v>
      </c>
      <c r="I4588">
        <v>0</v>
      </c>
      <c r="J4588">
        <v>0</v>
      </c>
      <c r="K4588">
        <v>0</v>
      </c>
      <c r="L4588" t="s">
        <v>3284</v>
      </c>
      <c r="M4588" t="s">
        <v>3296</v>
      </c>
      <c r="N4588" t="s">
        <v>3321</v>
      </c>
      <c r="O4588" t="s">
        <v>3322</v>
      </c>
      <c r="P4588" t="s">
        <v>3398</v>
      </c>
      <c r="Q4588" t="s">
        <v>4593</v>
      </c>
      <c r="R4588" t="s">
        <v>14132</v>
      </c>
    </row>
    <row r="4589" spans="1:18" x14ac:dyDescent="0.2">
      <c r="A4589">
        <v>215591</v>
      </c>
      <c r="B4589" t="s">
        <v>14133</v>
      </c>
      <c r="C4589">
        <v>0</v>
      </c>
      <c r="D4589">
        <v>1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 t="s">
        <v>3284</v>
      </c>
      <c r="M4589" t="s">
        <v>6546</v>
      </c>
      <c r="N4589" t="s">
        <v>6547</v>
      </c>
      <c r="O4589" t="s">
        <v>6548</v>
      </c>
      <c r="P4589" t="s">
        <v>6682</v>
      </c>
      <c r="Q4589" t="s">
        <v>14134</v>
      </c>
      <c r="R4589" t="s">
        <v>14135</v>
      </c>
    </row>
    <row r="4590" spans="1:18" x14ac:dyDescent="0.2">
      <c r="A4590">
        <v>215580</v>
      </c>
      <c r="B4590" t="s">
        <v>14136</v>
      </c>
      <c r="C4590">
        <v>0</v>
      </c>
      <c r="D4590">
        <v>0</v>
      </c>
      <c r="E4590">
        <v>0</v>
      </c>
      <c r="F4590">
        <v>0</v>
      </c>
      <c r="G4590">
        <v>1</v>
      </c>
      <c r="H4590">
        <v>0</v>
      </c>
      <c r="I4590">
        <v>0</v>
      </c>
      <c r="J4590">
        <v>0</v>
      </c>
      <c r="K4590">
        <v>0</v>
      </c>
      <c r="L4590" t="s">
        <v>3284</v>
      </c>
      <c r="M4590" t="s">
        <v>3296</v>
      </c>
      <c r="N4590" t="s">
        <v>3321</v>
      </c>
      <c r="O4590" t="s">
        <v>3322</v>
      </c>
      <c r="P4590" t="s">
        <v>3671</v>
      </c>
      <c r="Q4590" t="s">
        <v>5595</v>
      </c>
      <c r="R4590" t="s">
        <v>14137</v>
      </c>
    </row>
    <row r="4591" spans="1:18" x14ac:dyDescent="0.2">
      <c r="A4591">
        <v>215200</v>
      </c>
      <c r="B4591" t="s">
        <v>14138</v>
      </c>
      <c r="C4591">
        <v>0</v>
      </c>
      <c r="D4591">
        <v>1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 t="s">
        <v>3284</v>
      </c>
      <c r="M4591" t="s">
        <v>3327</v>
      </c>
      <c r="N4591" t="s">
        <v>3328</v>
      </c>
      <c r="O4591" t="s">
        <v>4184</v>
      </c>
      <c r="P4591" t="s">
        <v>4185</v>
      </c>
      <c r="Q4591" t="s">
        <v>14139</v>
      </c>
      <c r="R4591" t="s">
        <v>14140</v>
      </c>
    </row>
    <row r="4592" spans="1:18" x14ac:dyDescent="0.2">
      <c r="A4592">
        <v>214905</v>
      </c>
      <c r="B4592" t="s">
        <v>14141</v>
      </c>
      <c r="C4592">
        <v>0</v>
      </c>
      <c r="D4592">
        <v>2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 t="s">
        <v>3284</v>
      </c>
      <c r="M4592" t="s">
        <v>3327</v>
      </c>
      <c r="N4592" t="s">
        <v>3328</v>
      </c>
      <c r="O4592" t="s">
        <v>4184</v>
      </c>
      <c r="P4592" t="s">
        <v>4185</v>
      </c>
      <c r="Q4592" t="s">
        <v>4186</v>
      </c>
      <c r="R4592" t="s">
        <v>14142</v>
      </c>
    </row>
    <row r="4593" spans="1:18" x14ac:dyDescent="0.2">
      <c r="A4593">
        <v>214860</v>
      </c>
      <c r="B4593" t="s">
        <v>14143</v>
      </c>
      <c r="C4593">
        <v>0</v>
      </c>
      <c r="D4593">
        <v>0</v>
      </c>
      <c r="E4593">
        <v>0</v>
      </c>
      <c r="F4593">
        <v>2</v>
      </c>
      <c r="G4593">
        <v>2</v>
      </c>
      <c r="H4593">
        <v>0</v>
      </c>
      <c r="I4593">
        <v>0</v>
      </c>
      <c r="J4593">
        <v>0</v>
      </c>
      <c r="K4593">
        <v>0</v>
      </c>
      <c r="L4593" t="s">
        <v>3284</v>
      </c>
      <c r="M4593" t="s">
        <v>3391</v>
      </c>
      <c r="N4593" t="s">
        <v>3411</v>
      </c>
      <c r="O4593" t="s">
        <v>3412</v>
      </c>
      <c r="P4593" t="s">
        <v>3413</v>
      </c>
      <c r="Q4593" t="s">
        <v>3414</v>
      </c>
      <c r="R4593" t="s">
        <v>14144</v>
      </c>
    </row>
    <row r="4594" spans="1:18" x14ac:dyDescent="0.2">
      <c r="A4594">
        <v>213588</v>
      </c>
      <c r="B4594" t="s">
        <v>14145</v>
      </c>
      <c r="C4594">
        <v>1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 t="s">
        <v>3284</v>
      </c>
      <c r="M4594" t="s">
        <v>3296</v>
      </c>
      <c r="N4594" t="s">
        <v>3297</v>
      </c>
      <c r="O4594" t="s">
        <v>3469</v>
      </c>
      <c r="P4594" t="s">
        <v>3470</v>
      </c>
      <c r="Q4594" t="s">
        <v>6022</v>
      </c>
      <c r="R4594" t="s">
        <v>14146</v>
      </c>
    </row>
    <row r="4595" spans="1:18" x14ac:dyDescent="0.2">
      <c r="A4595">
        <v>213418</v>
      </c>
      <c r="B4595" t="s">
        <v>14147</v>
      </c>
      <c r="C4595">
        <v>0</v>
      </c>
      <c r="D4595">
        <v>0</v>
      </c>
      <c r="E4595">
        <v>0</v>
      </c>
      <c r="F4595">
        <v>25</v>
      </c>
      <c r="G4595">
        <v>15</v>
      </c>
      <c r="H4595">
        <v>18</v>
      </c>
      <c r="I4595">
        <v>0</v>
      </c>
      <c r="J4595">
        <v>0</v>
      </c>
      <c r="K4595">
        <v>0</v>
      </c>
      <c r="L4595" t="s">
        <v>3284</v>
      </c>
      <c r="M4595" t="s">
        <v>3296</v>
      </c>
      <c r="N4595" t="s">
        <v>3343</v>
      </c>
      <c r="O4595" t="s">
        <v>3402</v>
      </c>
      <c r="P4595" t="s">
        <v>3403</v>
      </c>
      <c r="Q4595" t="s">
        <v>3536</v>
      </c>
      <c r="R4595" t="s">
        <v>14148</v>
      </c>
    </row>
    <row r="4596" spans="1:18" x14ac:dyDescent="0.2">
      <c r="A4596">
        <v>213312</v>
      </c>
      <c r="B4596" t="s">
        <v>14149</v>
      </c>
      <c r="C4596">
        <v>0</v>
      </c>
      <c r="D4596">
        <v>0</v>
      </c>
      <c r="E4596">
        <v>0</v>
      </c>
      <c r="F4596">
        <v>1</v>
      </c>
      <c r="G4596">
        <v>0</v>
      </c>
      <c r="H4596">
        <v>0</v>
      </c>
      <c r="I4596">
        <v>7</v>
      </c>
      <c r="J4596">
        <v>1</v>
      </c>
      <c r="K4596">
        <v>1</v>
      </c>
      <c r="L4596" t="s">
        <v>3284</v>
      </c>
      <c r="M4596" t="s">
        <v>3296</v>
      </c>
      <c r="N4596" t="s">
        <v>3321</v>
      </c>
      <c r="O4596" t="s">
        <v>3322</v>
      </c>
      <c r="P4596" t="s">
        <v>3323</v>
      </c>
      <c r="Q4596" t="s">
        <v>3518</v>
      </c>
      <c r="R4596" t="s">
        <v>14150</v>
      </c>
    </row>
    <row r="4597" spans="1:18" x14ac:dyDescent="0.2">
      <c r="A4597">
        <v>212659</v>
      </c>
      <c r="B4597" t="s">
        <v>14151</v>
      </c>
      <c r="C4597">
        <v>1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 t="s">
        <v>3284</v>
      </c>
      <c r="M4597" t="s">
        <v>3327</v>
      </c>
      <c r="N4597" t="s">
        <v>3376</v>
      </c>
      <c r="O4597" t="s">
        <v>3377</v>
      </c>
      <c r="P4597" t="s">
        <v>5514</v>
      </c>
      <c r="Q4597" t="s">
        <v>14152</v>
      </c>
      <c r="R4597" t="s">
        <v>14153</v>
      </c>
    </row>
    <row r="4598" spans="1:18" x14ac:dyDescent="0.2">
      <c r="A4598">
        <v>211589</v>
      </c>
      <c r="B4598" t="s">
        <v>14154</v>
      </c>
      <c r="C4598">
        <v>0</v>
      </c>
      <c r="D4598">
        <v>0</v>
      </c>
      <c r="E4598">
        <v>0</v>
      </c>
      <c r="F4598">
        <v>1</v>
      </c>
      <c r="G4598">
        <v>2</v>
      </c>
      <c r="H4598">
        <v>0</v>
      </c>
      <c r="I4598">
        <v>0</v>
      </c>
      <c r="J4598">
        <v>0</v>
      </c>
      <c r="K4598">
        <v>0</v>
      </c>
      <c r="L4598" t="s">
        <v>3284</v>
      </c>
      <c r="M4598" t="s">
        <v>3296</v>
      </c>
      <c r="N4598" t="s">
        <v>3321</v>
      </c>
      <c r="O4598" t="s">
        <v>3322</v>
      </c>
      <c r="P4598" t="s">
        <v>3323</v>
      </c>
      <c r="Q4598" t="s">
        <v>3518</v>
      </c>
      <c r="R4598" t="s">
        <v>14155</v>
      </c>
    </row>
    <row r="4599" spans="1:18" x14ac:dyDescent="0.2">
      <c r="A4599">
        <v>211457</v>
      </c>
      <c r="B4599" t="s">
        <v>14156</v>
      </c>
      <c r="C4599">
        <v>0</v>
      </c>
      <c r="D4599">
        <v>0</v>
      </c>
      <c r="E4599">
        <v>0</v>
      </c>
      <c r="F4599">
        <v>5</v>
      </c>
      <c r="G4599">
        <v>4</v>
      </c>
      <c r="H4599">
        <v>1</v>
      </c>
      <c r="I4599">
        <v>8</v>
      </c>
      <c r="J4599">
        <v>3</v>
      </c>
      <c r="K4599">
        <v>1</v>
      </c>
      <c r="L4599" t="s">
        <v>3284</v>
      </c>
      <c r="M4599" t="s">
        <v>3296</v>
      </c>
      <c r="N4599" t="s">
        <v>3343</v>
      </c>
      <c r="O4599" t="s">
        <v>3344</v>
      </c>
      <c r="P4599" t="s">
        <v>3367</v>
      </c>
      <c r="Q4599" t="s">
        <v>3368</v>
      </c>
      <c r="R4599" t="s">
        <v>14157</v>
      </c>
    </row>
    <row r="4600" spans="1:18" x14ac:dyDescent="0.2">
      <c r="A4600">
        <v>208226</v>
      </c>
      <c r="B4600" t="s">
        <v>14158</v>
      </c>
      <c r="C4600">
        <v>2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 t="s">
        <v>3284</v>
      </c>
      <c r="M4600" t="s">
        <v>3327</v>
      </c>
      <c r="N4600" t="s">
        <v>3328</v>
      </c>
      <c r="O4600" t="s">
        <v>4184</v>
      </c>
      <c r="P4600" t="s">
        <v>6312</v>
      </c>
      <c r="Q4600" t="s">
        <v>6313</v>
      </c>
      <c r="R4600" t="s">
        <v>14159</v>
      </c>
    </row>
    <row r="4601" spans="1:18" x14ac:dyDescent="0.2">
      <c r="A4601">
        <v>208224</v>
      </c>
      <c r="B4601" t="s">
        <v>14160</v>
      </c>
      <c r="C4601">
        <v>1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 t="s">
        <v>3284</v>
      </c>
      <c r="M4601" t="s">
        <v>3296</v>
      </c>
      <c r="N4601" t="s">
        <v>3297</v>
      </c>
      <c r="O4601" t="s">
        <v>3298</v>
      </c>
      <c r="P4601" t="s">
        <v>3826</v>
      </c>
      <c r="Q4601" t="s">
        <v>6074</v>
      </c>
      <c r="R4601" t="s">
        <v>14161</v>
      </c>
    </row>
    <row r="4602" spans="1:18" x14ac:dyDescent="0.2">
      <c r="A4602">
        <v>208223</v>
      </c>
      <c r="B4602" t="s">
        <v>14162</v>
      </c>
      <c r="C4602">
        <v>0</v>
      </c>
      <c r="D4602">
        <v>0</v>
      </c>
      <c r="E4602">
        <v>0</v>
      </c>
      <c r="F4602">
        <v>0</v>
      </c>
      <c r="G4602">
        <v>1</v>
      </c>
      <c r="H4602">
        <v>0</v>
      </c>
      <c r="I4602">
        <v>0</v>
      </c>
      <c r="J4602">
        <v>0</v>
      </c>
      <c r="K4602">
        <v>0</v>
      </c>
      <c r="L4602" t="s">
        <v>3284</v>
      </c>
      <c r="M4602" t="s">
        <v>3296</v>
      </c>
      <c r="N4602" t="s">
        <v>3297</v>
      </c>
      <c r="O4602" t="s">
        <v>3298</v>
      </c>
      <c r="P4602" t="s">
        <v>3826</v>
      </c>
      <c r="Q4602" t="s">
        <v>4099</v>
      </c>
      <c r="R4602" t="s">
        <v>14163</v>
      </c>
    </row>
    <row r="4603" spans="1:18" x14ac:dyDescent="0.2">
      <c r="A4603">
        <v>207921</v>
      </c>
      <c r="B4603" t="s">
        <v>14164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1</v>
      </c>
      <c r="K4603">
        <v>0</v>
      </c>
      <c r="L4603" t="s">
        <v>3284</v>
      </c>
      <c r="M4603" t="s">
        <v>4022</v>
      </c>
      <c r="N4603" t="s">
        <v>4023</v>
      </c>
      <c r="O4603" t="s">
        <v>6292</v>
      </c>
      <c r="P4603" t="s">
        <v>6293</v>
      </c>
      <c r="Q4603" t="s">
        <v>14165</v>
      </c>
      <c r="R4603" t="s">
        <v>14166</v>
      </c>
    </row>
    <row r="4604" spans="1:18" x14ac:dyDescent="0.2">
      <c r="A4604">
        <v>207920</v>
      </c>
      <c r="B4604" t="s">
        <v>14167</v>
      </c>
      <c r="C4604">
        <v>1</v>
      </c>
      <c r="D4604">
        <v>1</v>
      </c>
      <c r="E4604">
        <v>3</v>
      </c>
      <c r="F4604">
        <v>1</v>
      </c>
      <c r="G4604">
        <v>2</v>
      </c>
      <c r="H4604">
        <v>3</v>
      </c>
      <c r="I4604">
        <v>5</v>
      </c>
      <c r="J4604">
        <v>1</v>
      </c>
      <c r="K4604">
        <v>8</v>
      </c>
      <c r="L4604" t="s">
        <v>3284</v>
      </c>
      <c r="M4604" t="s">
        <v>4022</v>
      </c>
      <c r="N4604" t="s">
        <v>4023</v>
      </c>
      <c r="O4604" t="s">
        <v>6292</v>
      </c>
      <c r="P4604" t="s">
        <v>7541</v>
      </c>
      <c r="Q4604" t="s">
        <v>7863</v>
      </c>
      <c r="R4604" t="s">
        <v>14168</v>
      </c>
    </row>
    <row r="4605" spans="1:18" x14ac:dyDescent="0.2">
      <c r="A4605">
        <v>207340</v>
      </c>
      <c r="B4605" t="s">
        <v>14169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2</v>
      </c>
      <c r="K4605">
        <v>0</v>
      </c>
      <c r="L4605" t="s">
        <v>3284</v>
      </c>
      <c r="M4605" t="s">
        <v>3296</v>
      </c>
      <c r="N4605" t="s">
        <v>3343</v>
      </c>
      <c r="O4605" t="s">
        <v>3429</v>
      </c>
      <c r="P4605" t="s">
        <v>3430</v>
      </c>
      <c r="Q4605" t="s">
        <v>3651</v>
      </c>
      <c r="R4605" t="s">
        <v>14170</v>
      </c>
    </row>
    <row r="4606" spans="1:18" x14ac:dyDescent="0.2">
      <c r="A4606">
        <v>205332</v>
      </c>
      <c r="B4606" t="s">
        <v>14171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1</v>
      </c>
      <c r="K4606">
        <v>0</v>
      </c>
      <c r="L4606" t="s">
        <v>3284</v>
      </c>
      <c r="M4606" t="s">
        <v>3307</v>
      </c>
      <c r="N4606" t="s">
        <v>3308</v>
      </c>
      <c r="O4606" t="s">
        <v>3359</v>
      </c>
      <c r="P4606" t="s">
        <v>3360</v>
      </c>
      <c r="Q4606" t="s">
        <v>3364</v>
      </c>
      <c r="R4606" t="s">
        <v>14172</v>
      </c>
    </row>
    <row r="4607" spans="1:18" x14ac:dyDescent="0.2">
      <c r="A4607">
        <v>205328</v>
      </c>
      <c r="B4607" t="s">
        <v>14173</v>
      </c>
      <c r="C4607">
        <v>5</v>
      </c>
      <c r="D4607">
        <v>5</v>
      </c>
      <c r="E4607">
        <v>4</v>
      </c>
      <c r="F4607">
        <v>0</v>
      </c>
      <c r="G4607">
        <v>0</v>
      </c>
      <c r="H4607">
        <v>0</v>
      </c>
      <c r="I4607">
        <v>0</v>
      </c>
      <c r="J4607">
        <v>1</v>
      </c>
      <c r="K4607">
        <v>0</v>
      </c>
      <c r="L4607" t="s">
        <v>3284</v>
      </c>
      <c r="M4607" t="s">
        <v>3327</v>
      </c>
      <c r="N4607" t="s">
        <v>3328</v>
      </c>
      <c r="O4607" t="s">
        <v>3329</v>
      </c>
      <c r="P4607" t="s">
        <v>3330</v>
      </c>
      <c r="Q4607" t="s">
        <v>3331</v>
      </c>
      <c r="R4607" t="s">
        <v>14174</v>
      </c>
    </row>
    <row r="4608" spans="1:18" x14ac:dyDescent="0.2">
      <c r="A4608">
        <v>205327</v>
      </c>
      <c r="B4608" t="s">
        <v>14175</v>
      </c>
      <c r="C4608">
        <v>0</v>
      </c>
      <c r="D4608">
        <v>3</v>
      </c>
      <c r="E4608">
        <v>3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 t="s">
        <v>3284</v>
      </c>
      <c r="M4608" t="s">
        <v>3327</v>
      </c>
      <c r="N4608" t="s">
        <v>3328</v>
      </c>
      <c r="O4608" t="s">
        <v>3329</v>
      </c>
      <c r="P4608" t="s">
        <v>3330</v>
      </c>
      <c r="Q4608" t="s">
        <v>3331</v>
      </c>
      <c r="R4608" t="s">
        <v>14176</v>
      </c>
    </row>
    <row r="4609" spans="1:18" x14ac:dyDescent="0.2">
      <c r="A4609">
        <v>204525</v>
      </c>
      <c r="B4609" t="s">
        <v>14177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1</v>
      </c>
      <c r="J4609">
        <v>0</v>
      </c>
      <c r="K4609">
        <v>0</v>
      </c>
      <c r="L4609" t="s">
        <v>3284</v>
      </c>
      <c r="M4609" t="s">
        <v>3296</v>
      </c>
      <c r="N4609" t="s">
        <v>3343</v>
      </c>
      <c r="O4609" t="s">
        <v>3429</v>
      </c>
      <c r="P4609" t="s">
        <v>4336</v>
      </c>
      <c r="Q4609" t="s">
        <v>8235</v>
      </c>
      <c r="R4609" t="s">
        <v>14178</v>
      </c>
    </row>
    <row r="4610" spans="1:18" x14ac:dyDescent="0.2">
      <c r="A4610">
        <v>204039</v>
      </c>
      <c r="B4610" t="s">
        <v>14179</v>
      </c>
      <c r="C4610">
        <v>0</v>
      </c>
      <c r="D4610">
        <v>1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 t="s">
        <v>3284</v>
      </c>
      <c r="M4610" t="s">
        <v>3296</v>
      </c>
      <c r="N4610" t="s">
        <v>3297</v>
      </c>
      <c r="O4610" t="s">
        <v>3298</v>
      </c>
      <c r="P4610" t="s">
        <v>6582</v>
      </c>
      <c r="Q4610" t="s">
        <v>10525</v>
      </c>
      <c r="R4610" t="s">
        <v>14180</v>
      </c>
    </row>
    <row r="4611" spans="1:18" x14ac:dyDescent="0.2">
      <c r="A4611">
        <v>204038</v>
      </c>
      <c r="B4611" t="s">
        <v>14181</v>
      </c>
      <c r="C4611">
        <v>0</v>
      </c>
      <c r="D4611">
        <v>0</v>
      </c>
      <c r="E4611">
        <v>1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 t="s">
        <v>3284</v>
      </c>
      <c r="M4611" t="s">
        <v>3296</v>
      </c>
      <c r="N4611" t="s">
        <v>3297</v>
      </c>
      <c r="O4611" t="s">
        <v>3298</v>
      </c>
      <c r="P4611" t="s">
        <v>6582</v>
      </c>
      <c r="Q4611" t="s">
        <v>10525</v>
      </c>
      <c r="R4611" t="s">
        <v>14182</v>
      </c>
    </row>
    <row r="4612" spans="1:18" x14ac:dyDescent="0.2">
      <c r="A4612">
        <v>203699</v>
      </c>
      <c r="B4612" t="s">
        <v>14183</v>
      </c>
      <c r="C4612">
        <v>0</v>
      </c>
      <c r="D4612">
        <v>0</v>
      </c>
      <c r="E4612">
        <v>0</v>
      </c>
      <c r="F4612">
        <v>1</v>
      </c>
      <c r="G4612">
        <v>0</v>
      </c>
      <c r="H4612">
        <v>0</v>
      </c>
      <c r="I4612">
        <v>0</v>
      </c>
      <c r="J4612">
        <v>0</v>
      </c>
      <c r="K4612">
        <v>0</v>
      </c>
      <c r="L4612" t="s">
        <v>3284</v>
      </c>
      <c r="M4612" t="s">
        <v>3296</v>
      </c>
      <c r="N4612" t="s">
        <v>3321</v>
      </c>
      <c r="O4612" t="s">
        <v>3322</v>
      </c>
      <c r="P4612" t="s">
        <v>4143</v>
      </c>
      <c r="Q4612" t="s">
        <v>12493</v>
      </c>
      <c r="R4612" t="s">
        <v>14184</v>
      </c>
    </row>
    <row r="4613" spans="1:18" x14ac:dyDescent="0.2">
      <c r="A4613">
        <v>202954</v>
      </c>
      <c r="B4613" t="s">
        <v>14185</v>
      </c>
      <c r="C4613">
        <v>0</v>
      </c>
      <c r="D4613">
        <v>0</v>
      </c>
      <c r="E4613">
        <v>0</v>
      </c>
      <c r="F4613">
        <v>0</v>
      </c>
      <c r="G4613">
        <v>1</v>
      </c>
      <c r="H4613">
        <v>0</v>
      </c>
      <c r="I4613">
        <v>0</v>
      </c>
      <c r="J4613">
        <v>0</v>
      </c>
      <c r="K4613">
        <v>0</v>
      </c>
      <c r="L4613" t="s">
        <v>3284</v>
      </c>
      <c r="M4613" t="s">
        <v>3296</v>
      </c>
      <c r="N4613" t="s">
        <v>3297</v>
      </c>
      <c r="O4613" t="s">
        <v>4037</v>
      </c>
      <c r="P4613" t="s">
        <v>4038</v>
      </c>
      <c r="Q4613" t="s">
        <v>5556</v>
      </c>
      <c r="R4613" t="s">
        <v>14186</v>
      </c>
    </row>
    <row r="4614" spans="1:18" x14ac:dyDescent="0.2">
      <c r="A4614">
        <v>202669</v>
      </c>
      <c r="B4614" t="s">
        <v>14187</v>
      </c>
      <c r="C4614">
        <v>1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 t="s">
        <v>3284</v>
      </c>
      <c r="M4614" t="s">
        <v>3327</v>
      </c>
      <c r="N4614" t="s">
        <v>3376</v>
      </c>
      <c r="O4614" t="s">
        <v>3377</v>
      </c>
      <c r="P4614" t="s">
        <v>3271</v>
      </c>
      <c r="Q4614" t="s">
        <v>3648</v>
      </c>
      <c r="R4614" t="s">
        <v>14188</v>
      </c>
    </row>
    <row r="4615" spans="1:18" x14ac:dyDescent="0.2">
      <c r="A4615">
        <v>200618</v>
      </c>
      <c r="B4615" t="s">
        <v>14189</v>
      </c>
      <c r="C4615">
        <v>0</v>
      </c>
      <c r="D4615">
        <v>0</v>
      </c>
      <c r="E4615">
        <v>0</v>
      </c>
      <c r="F4615">
        <v>0</v>
      </c>
      <c r="G4615">
        <v>1</v>
      </c>
      <c r="H4615">
        <v>0</v>
      </c>
      <c r="I4615">
        <v>6</v>
      </c>
      <c r="J4615">
        <v>1</v>
      </c>
      <c r="K4615">
        <v>0</v>
      </c>
      <c r="L4615" t="s">
        <v>3284</v>
      </c>
      <c r="M4615" t="s">
        <v>3307</v>
      </c>
      <c r="N4615" t="s">
        <v>3308</v>
      </c>
      <c r="O4615" t="s">
        <v>3309</v>
      </c>
      <c r="P4615" t="s">
        <v>3310</v>
      </c>
      <c r="Q4615" t="s">
        <v>3311</v>
      </c>
      <c r="R4615" t="s">
        <v>14190</v>
      </c>
    </row>
    <row r="4616" spans="1:18" x14ac:dyDescent="0.2">
      <c r="A4616">
        <v>200475</v>
      </c>
      <c r="B4616" t="s">
        <v>14191</v>
      </c>
      <c r="C4616">
        <v>0</v>
      </c>
      <c r="D4616">
        <v>0</v>
      </c>
      <c r="E4616">
        <v>0</v>
      </c>
      <c r="F4616">
        <v>0</v>
      </c>
      <c r="G4616">
        <v>3</v>
      </c>
      <c r="H4616">
        <v>0</v>
      </c>
      <c r="I4616">
        <v>0</v>
      </c>
      <c r="J4616">
        <v>0</v>
      </c>
      <c r="K4616">
        <v>0</v>
      </c>
      <c r="L4616" t="s">
        <v>3284</v>
      </c>
      <c r="M4616" t="s">
        <v>3391</v>
      </c>
      <c r="N4616" t="s">
        <v>3411</v>
      </c>
      <c r="O4616" t="s">
        <v>3412</v>
      </c>
      <c r="P4616" t="s">
        <v>7008</v>
      </c>
      <c r="Q4616" t="s">
        <v>9057</v>
      </c>
      <c r="R4616" t="s">
        <v>14192</v>
      </c>
    </row>
    <row r="4617" spans="1:18" x14ac:dyDescent="0.2">
      <c r="A4617">
        <v>200451</v>
      </c>
      <c r="B4617" t="s">
        <v>14193</v>
      </c>
      <c r="C4617">
        <v>0</v>
      </c>
      <c r="D4617">
        <v>0</v>
      </c>
      <c r="E4617">
        <v>1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 t="s">
        <v>3284</v>
      </c>
      <c r="M4617" t="s">
        <v>3296</v>
      </c>
      <c r="N4617" t="s">
        <v>3297</v>
      </c>
      <c r="O4617" t="s">
        <v>3434</v>
      </c>
      <c r="P4617" t="s">
        <v>3435</v>
      </c>
      <c r="Q4617" t="s">
        <v>3436</v>
      </c>
      <c r="R4617" t="s">
        <v>14194</v>
      </c>
    </row>
    <row r="4618" spans="1:18" x14ac:dyDescent="0.2">
      <c r="A4618">
        <v>199709</v>
      </c>
      <c r="B4618" t="s">
        <v>14195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1</v>
      </c>
      <c r="J4618">
        <v>0</v>
      </c>
      <c r="K4618">
        <v>0</v>
      </c>
      <c r="L4618" t="s">
        <v>3284</v>
      </c>
      <c r="M4618" t="s">
        <v>3307</v>
      </c>
      <c r="N4618" t="s">
        <v>3308</v>
      </c>
      <c r="O4618" t="s">
        <v>3359</v>
      </c>
      <c r="P4618" t="s">
        <v>3360</v>
      </c>
      <c r="Q4618" t="s">
        <v>4893</v>
      </c>
      <c r="R4618" t="s">
        <v>14196</v>
      </c>
    </row>
    <row r="4619" spans="1:18" x14ac:dyDescent="0.2">
      <c r="A4619">
        <v>199683</v>
      </c>
      <c r="B4619" t="s">
        <v>14197</v>
      </c>
      <c r="C4619">
        <v>9</v>
      </c>
      <c r="D4619">
        <v>7</v>
      </c>
      <c r="E4619">
        <v>3</v>
      </c>
      <c r="F4619">
        <v>1</v>
      </c>
      <c r="G4619">
        <v>0</v>
      </c>
      <c r="H4619">
        <v>0</v>
      </c>
      <c r="I4619">
        <v>0</v>
      </c>
      <c r="J4619">
        <v>0</v>
      </c>
      <c r="K4619">
        <v>0</v>
      </c>
      <c r="L4619" t="s">
        <v>3284</v>
      </c>
      <c r="M4619" t="s">
        <v>3296</v>
      </c>
      <c r="N4619" t="s">
        <v>3321</v>
      </c>
      <c r="O4619" t="s">
        <v>3322</v>
      </c>
      <c r="P4619" t="s">
        <v>3398</v>
      </c>
      <c r="Q4619" t="s">
        <v>3841</v>
      </c>
      <c r="R4619" t="s">
        <v>14198</v>
      </c>
    </row>
    <row r="4620" spans="1:18" x14ac:dyDescent="0.2">
      <c r="A4620">
        <v>199596</v>
      </c>
      <c r="B4620" t="s">
        <v>14199</v>
      </c>
      <c r="C4620">
        <v>0</v>
      </c>
      <c r="D4620">
        <v>0</v>
      </c>
      <c r="E4620">
        <v>0</v>
      </c>
      <c r="F4620">
        <v>1</v>
      </c>
      <c r="G4620">
        <v>0</v>
      </c>
      <c r="H4620">
        <v>0</v>
      </c>
      <c r="I4620">
        <v>0</v>
      </c>
      <c r="J4620">
        <v>0</v>
      </c>
      <c r="K4620">
        <v>0</v>
      </c>
      <c r="L4620" t="s">
        <v>3284</v>
      </c>
      <c r="M4620" t="s">
        <v>3296</v>
      </c>
      <c r="N4620" t="s">
        <v>3343</v>
      </c>
      <c r="O4620" t="s">
        <v>3344</v>
      </c>
      <c r="P4620" t="s">
        <v>5257</v>
      </c>
      <c r="Q4620" t="s">
        <v>5258</v>
      </c>
      <c r="R4620" t="s">
        <v>14200</v>
      </c>
    </row>
    <row r="4621" spans="1:18" x14ac:dyDescent="0.2">
      <c r="A4621">
        <v>199441</v>
      </c>
      <c r="B4621" t="s">
        <v>14201</v>
      </c>
      <c r="C4621">
        <v>0</v>
      </c>
      <c r="D4621">
        <v>1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 t="s">
        <v>3284</v>
      </c>
      <c r="M4621" t="s">
        <v>3327</v>
      </c>
      <c r="N4621" t="s">
        <v>3376</v>
      </c>
      <c r="O4621" t="s">
        <v>3377</v>
      </c>
      <c r="P4621" t="s">
        <v>3378</v>
      </c>
      <c r="Q4621" t="s">
        <v>14202</v>
      </c>
      <c r="R4621" t="s">
        <v>14203</v>
      </c>
    </row>
    <row r="4622" spans="1:18" x14ac:dyDescent="0.2">
      <c r="A4622">
        <v>198620</v>
      </c>
      <c r="B4622" t="s">
        <v>14204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7</v>
      </c>
      <c r="J4622">
        <v>1</v>
      </c>
      <c r="K4622">
        <v>0</v>
      </c>
      <c r="L4622" t="s">
        <v>3284</v>
      </c>
      <c r="M4622" t="s">
        <v>3296</v>
      </c>
      <c r="N4622" t="s">
        <v>3297</v>
      </c>
      <c r="O4622" t="s">
        <v>3434</v>
      </c>
      <c r="P4622" t="s">
        <v>3435</v>
      </c>
      <c r="Q4622" t="s">
        <v>3436</v>
      </c>
      <c r="R4622" t="s">
        <v>14205</v>
      </c>
    </row>
    <row r="4623" spans="1:18" x14ac:dyDescent="0.2">
      <c r="A4623">
        <v>198441</v>
      </c>
      <c r="B4623" t="s">
        <v>14206</v>
      </c>
      <c r="C4623">
        <v>0</v>
      </c>
      <c r="D4623">
        <v>1</v>
      </c>
      <c r="E4623">
        <v>0</v>
      </c>
      <c r="F4623">
        <v>1</v>
      </c>
      <c r="G4623">
        <v>0</v>
      </c>
      <c r="H4623">
        <v>0</v>
      </c>
      <c r="I4623">
        <v>0</v>
      </c>
      <c r="J4623">
        <v>0</v>
      </c>
      <c r="K4623">
        <v>0</v>
      </c>
      <c r="L4623" t="s">
        <v>3284</v>
      </c>
      <c r="M4623" t="s">
        <v>3307</v>
      </c>
      <c r="N4623" t="s">
        <v>3308</v>
      </c>
      <c r="O4623" t="s">
        <v>3309</v>
      </c>
      <c r="P4623" t="s">
        <v>3310</v>
      </c>
      <c r="Q4623" t="s">
        <v>3311</v>
      </c>
      <c r="R4623" t="s">
        <v>14207</v>
      </c>
    </row>
    <row r="4624" spans="1:18" x14ac:dyDescent="0.2">
      <c r="A4624">
        <v>198347</v>
      </c>
      <c r="B4624" t="s">
        <v>14208</v>
      </c>
      <c r="C4624">
        <v>5</v>
      </c>
      <c r="D4624">
        <v>2</v>
      </c>
      <c r="E4624">
        <v>1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 t="s">
        <v>3284</v>
      </c>
      <c r="M4624" t="s">
        <v>3327</v>
      </c>
      <c r="N4624" t="s">
        <v>3328</v>
      </c>
      <c r="O4624" t="s">
        <v>3329</v>
      </c>
      <c r="P4624" t="s">
        <v>3330</v>
      </c>
      <c r="Q4624" t="s">
        <v>3331</v>
      </c>
      <c r="R4624" t="s">
        <v>14209</v>
      </c>
    </row>
    <row r="4625" spans="1:18" x14ac:dyDescent="0.2">
      <c r="A4625">
        <v>198252</v>
      </c>
      <c r="B4625" t="s">
        <v>14210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1</v>
      </c>
      <c r="K4625">
        <v>0</v>
      </c>
      <c r="L4625" t="s">
        <v>3284</v>
      </c>
      <c r="M4625" t="s">
        <v>3296</v>
      </c>
      <c r="N4625" t="s">
        <v>3343</v>
      </c>
      <c r="O4625" t="s">
        <v>14211</v>
      </c>
      <c r="P4625" t="s">
        <v>14212</v>
      </c>
      <c r="Q4625" t="s">
        <v>14213</v>
      </c>
      <c r="R4625" t="s">
        <v>14214</v>
      </c>
    </row>
    <row r="4626" spans="1:18" x14ac:dyDescent="0.2">
      <c r="A4626">
        <v>198093</v>
      </c>
      <c r="B4626" t="s">
        <v>14215</v>
      </c>
      <c r="C4626">
        <v>0</v>
      </c>
      <c r="D4626">
        <v>0</v>
      </c>
      <c r="E4626">
        <v>0</v>
      </c>
      <c r="F4626">
        <v>0</v>
      </c>
      <c r="G4626">
        <v>2</v>
      </c>
      <c r="H4626">
        <v>0</v>
      </c>
      <c r="I4626">
        <v>0</v>
      </c>
      <c r="J4626">
        <v>0</v>
      </c>
      <c r="K4626">
        <v>0</v>
      </c>
      <c r="L4626" t="s">
        <v>3284</v>
      </c>
      <c r="M4626" t="s">
        <v>3296</v>
      </c>
      <c r="N4626" t="s">
        <v>3343</v>
      </c>
      <c r="O4626" t="s">
        <v>3429</v>
      </c>
      <c r="P4626" t="s">
        <v>4336</v>
      </c>
      <c r="Q4626" t="s">
        <v>8235</v>
      </c>
      <c r="R4626" t="s">
        <v>14216</v>
      </c>
    </row>
    <row r="4627" spans="1:18" x14ac:dyDescent="0.2">
      <c r="A4627">
        <v>198092</v>
      </c>
      <c r="B4627" t="s">
        <v>14217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1</v>
      </c>
      <c r="L4627" t="s">
        <v>3284</v>
      </c>
      <c r="M4627" t="s">
        <v>3296</v>
      </c>
      <c r="N4627" t="s">
        <v>3343</v>
      </c>
      <c r="O4627" t="s">
        <v>3429</v>
      </c>
      <c r="P4627" t="s">
        <v>3430</v>
      </c>
      <c r="Q4627" t="s">
        <v>3651</v>
      </c>
      <c r="R4627" t="s">
        <v>14218</v>
      </c>
    </row>
    <row r="4628" spans="1:18" x14ac:dyDescent="0.2">
      <c r="A4628">
        <v>196024</v>
      </c>
      <c r="B4628" t="s">
        <v>14219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14</v>
      </c>
      <c r="J4628">
        <v>9</v>
      </c>
      <c r="K4628">
        <v>3</v>
      </c>
      <c r="L4628" t="s">
        <v>3284</v>
      </c>
      <c r="M4628" t="s">
        <v>3296</v>
      </c>
      <c r="N4628" t="s">
        <v>3297</v>
      </c>
      <c r="O4628" t="s">
        <v>4112</v>
      </c>
      <c r="P4628" t="s">
        <v>4113</v>
      </c>
      <c r="Q4628" t="s">
        <v>4114</v>
      </c>
      <c r="R4628" t="s">
        <v>14220</v>
      </c>
    </row>
    <row r="4629" spans="1:18" x14ac:dyDescent="0.2">
      <c r="A4629">
        <v>195250</v>
      </c>
      <c r="B4629" t="s">
        <v>14221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1</v>
      </c>
      <c r="J4629">
        <v>0</v>
      </c>
      <c r="K4629">
        <v>0</v>
      </c>
      <c r="L4629" t="s">
        <v>3284</v>
      </c>
      <c r="M4629" t="s">
        <v>4022</v>
      </c>
      <c r="N4629" t="s">
        <v>4023</v>
      </c>
      <c r="O4629" t="s">
        <v>4050</v>
      </c>
      <c r="P4629" t="s">
        <v>13220</v>
      </c>
      <c r="Q4629" t="s">
        <v>13221</v>
      </c>
      <c r="R4629" t="s">
        <v>14222</v>
      </c>
    </row>
    <row r="4630" spans="1:18" x14ac:dyDescent="0.2">
      <c r="A4630">
        <v>194373</v>
      </c>
      <c r="B4630" t="s">
        <v>14223</v>
      </c>
      <c r="C4630">
        <v>0</v>
      </c>
      <c r="D4630">
        <v>0</v>
      </c>
      <c r="E4630">
        <v>0</v>
      </c>
      <c r="F4630">
        <v>1</v>
      </c>
      <c r="G4630">
        <v>0</v>
      </c>
      <c r="H4630">
        <v>0</v>
      </c>
      <c r="I4630">
        <v>0</v>
      </c>
      <c r="J4630">
        <v>0</v>
      </c>
      <c r="K4630">
        <v>0</v>
      </c>
      <c r="L4630" t="s">
        <v>3284</v>
      </c>
      <c r="M4630" t="s">
        <v>3296</v>
      </c>
      <c r="N4630" t="s">
        <v>3343</v>
      </c>
      <c r="O4630" t="s">
        <v>3344</v>
      </c>
      <c r="P4630" t="s">
        <v>3837</v>
      </c>
      <c r="Q4630" t="s">
        <v>4865</v>
      </c>
      <c r="R4630" t="s">
        <v>14224</v>
      </c>
    </row>
    <row r="4631" spans="1:18" x14ac:dyDescent="0.2">
      <c r="A4631">
        <v>191579</v>
      </c>
      <c r="B4631" t="s">
        <v>14225</v>
      </c>
      <c r="C4631">
        <v>1</v>
      </c>
      <c r="D4631">
        <v>1</v>
      </c>
      <c r="E4631">
        <v>0</v>
      </c>
      <c r="F4631">
        <v>4</v>
      </c>
      <c r="G4631">
        <v>2</v>
      </c>
      <c r="H4631">
        <v>0</v>
      </c>
      <c r="I4631">
        <v>0</v>
      </c>
      <c r="J4631">
        <v>0</v>
      </c>
      <c r="K4631">
        <v>0</v>
      </c>
      <c r="L4631" t="s">
        <v>3284</v>
      </c>
      <c r="M4631" t="s">
        <v>3391</v>
      </c>
      <c r="N4631" t="s">
        <v>3411</v>
      </c>
      <c r="O4631" t="s">
        <v>3412</v>
      </c>
      <c r="P4631" t="s">
        <v>7008</v>
      </c>
      <c r="Q4631" t="s">
        <v>7940</v>
      </c>
      <c r="R4631" t="s">
        <v>14226</v>
      </c>
    </row>
    <row r="4632" spans="1:18" x14ac:dyDescent="0.2">
      <c r="A4632">
        <v>191577</v>
      </c>
      <c r="B4632" t="s">
        <v>14227</v>
      </c>
      <c r="C4632">
        <v>0</v>
      </c>
      <c r="D4632">
        <v>0</v>
      </c>
      <c r="E4632">
        <v>0</v>
      </c>
      <c r="F4632">
        <v>1</v>
      </c>
      <c r="G4632">
        <v>0</v>
      </c>
      <c r="H4632">
        <v>0</v>
      </c>
      <c r="I4632">
        <v>0</v>
      </c>
      <c r="J4632">
        <v>0</v>
      </c>
      <c r="K4632">
        <v>0</v>
      </c>
      <c r="L4632" t="s">
        <v>3284</v>
      </c>
      <c r="M4632" t="s">
        <v>3391</v>
      </c>
      <c r="N4632" t="s">
        <v>3411</v>
      </c>
      <c r="O4632" t="s">
        <v>3412</v>
      </c>
      <c r="P4632" t="s">
        <v>3564</v>
      </c>
      <c r="Q4632" t="s">
        <v>3565</v>
      </c>
      <c r="R4632" t="s">
        <v>14228</v>
      </c>
    </row>
    <row r="4633" spans="1:18" x14ac:dyDescent="0.2">
      <c r="A4633">
        <v>191468</v>
      </c>
      <c r="B4633" t="s">
        <v>14229</v>
      </c>
      <c r="C4633">
        <v>0</v>
      </c>
      <c r="D4633">
        <v>1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 t="s">
        <v>3284</v>
      </c>
      <c r="M4633" t="s">
        <v>3296</v>
      </c>
      <c r="N4633" t="s">
        <v>3343</v>
      </c>
      <c r="O4633" t="s">
        <v>3371</v>
      </c>
      <c r="P4633" t="s">
        <v>3372</v>
      </c>
      <c r="Q4633" t="s">
        <v>14230</v>
      </c>
      <c r="R4633" t="s">
        <v>14231</v>
      </c>
    </row>
    <row r="4634" spans="1:18" x14ac:dyDescent="0.2">
      <c r="A4634">
        <v>191464</v>
      </c>
      <c r="B4634" t="s">
        <v>14232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2</v>
      </c>
      <c r="J4634">
        <v>1</v>
      </c>
      <c r="K4634">
        <v>0</v>
      </c>
      <c r="L4634" t="s">
        <v>3284</v>
      </c>
      <c r="M4634" t="s">
        <v>3296</v>
      </c>
      <c r="N4634" t="s">
        <v>3321</v>
      </c>
      <c r="O4634" t="s">
        <v>3322</v>
      </c>
      <c r="P4634" t="s">
        <v>3398</v>
      </c>
      <c r="Q4634" t="s">
        <v>3439</v>
      </c>
      <c r="R4634" t="s">
        <v>14233</v>
      </c>
    </row>
    <row r="4635" spans="1:18" x14ac:dyDescent="0.2">
      <c r="A4635">
        <v>191216</v>
      </c>
      <c r="B4635" t="s">
        <v>14234</v>
      </c>
      <c r="C4635">
        <v>7</v>
      </c>
      <c r="D4635">
        <v>7</v>
      </c>
      <c r="E4635">
        <v>3</v>
      </c>
      <c r="F4635">
        <v>2</v>
      </c>
      <c r="G4635">
        <v>1</v>
      </c>
      <c r="H4635">
        <v>0</v>
      </c>
      <c r="I4635">
        <v>6</v>
      </c>
      <c r="J4635">
        <v>2</v>
      </c>
      <c r="K4635">
        <v>0</v>
      </c>
      <c r="L4635" t="s">
        <v>3284</v>
      </c>
      <c r="M4635" t="s">
        <v>3307</v>
      </c>
      <c r="N4635" t="s">
        <v>3308</v>
      </c>
      <c r="O4635" t="s">
        <v>3359</v>
      </c>
      <c r="P4635" t="s">
        <v>3360</v>
      </c>
      <c r="Q4635" t="s">
        <v>3361</v>
      </c>
      <c r="R4635" t="s">
        <v>14235</v>
      </c>
    </row>
    <row r="4636" spans="1:18" x14ac:dyDescent="0.2">
      <c r="A4636">
        <v>191027</v>
      </c>
      <c r="B4636" t="s">
        <v>14236</v>
      </c>
      <c r="C4636">
        <v>3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1</v>
      </c>
      <c r="J4636">
        <v>0</v>
      </c>
      <c r="K4636">
        <v>0</v>
      </c>
      <c r="L4636" t="s">
        <v>3284</v>
      </c>
      <c r="M4636" t="s">
        <v>3327</v>
      </c>
      <c r="N4636" t="s">
        <v>3328</v>
      </c>
      <c r="O4636" t="s">
        <v>4184</v>
      </c>
      <c r="P4636" t="s">
        <v>14237</v>
      </c>
      <c r="Q4636" t="s">
        <v>14238</v>
      </c>
      <c r="R4636" t="s">
        <v>14239</v>
      </c>
    </row>
    <row r="4637" spans="1:18" x14ac:dyDescent="0.2">
      <c r="A4637">
        <v>189691</v>
      </c>
      <c r="B4637" t="s">
        <v>14240</v>
      </c>
      <c r="C4637">
        <v>1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 t="s">
        <v>3284</v>
      </c>
      <c r="M4637" t="s">
        <v>3327</v>
      </c>
      <c r="N4637" t="s">
        <v>3376</v>
      </c>
      <c r="O4637" t="s">
        <v>3377</v>
      </c>
      <c r="P4637" t="s">
        <v>3604</v>
      </c>
      <c r="Q4637" t="s">
        <v>3668</v>
      </c>
      <c r="R4637" t="s">
        <v>14241</v>
      </c>
    </row>
    <row r="4638" spans="1:18" x14ac:dyDescent="0.2">
      <c r="A4638">
        <v>189682</v>
      </c>
      <c r="B4638" t="s">
        <v>14242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1</v>
      </c>
      <c r="K4638">
        <v>0</v>
      </c>
      <c r="L4638" t="s">
        <v>3284</v>
      </c>
      <c r="M4638" t="s">
        <v>3307</v>
      </c>
      <c r="N4638" t="s">
        <v>3308</v>
      </c>
      <c r="O4638" t="s">
        <v>3359</v>
      </c>
      <c r="P4638" t="s">
        <v>3588</v>
      </c>
      <c r="Q4638" t="s">
        <v>4970</v>
      </c>
      <c r="R4638" t="s">
        <v>14243</v>
      </c>
    </row>
    <row r="4639" spans="1:18" x14ac:dyDescent="0.2">
      <c r="A4639">
        <v>189425</v>
      </c>
      <c r="B4639" t="s">
        <v>14244</v>
      </c>
      <c r="C4639">
        <v>0</v>
      </c>
      <c r="D4639">
        <v>1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 t="s">
        <v>3284</v>
      </c>
      <c r="M4639" t="s">
        <v>3327</v>
      </c>
      <c r="N4639" t="s">
        <v>3376</v>
      </c>
      <c r="O4639" t="s">
        <v>3377</v>
      </c>
      <c r="P4639" t="s">
        <v>3604</v>
      </c>
      <c r="Q4639" t="s">
        <v>3668</v>
      </c>
      <c r="R4639" t="s">
        <v>14245</v>
      </c>
    </row>
    <row r="4640" spans="1:18" x14ac:dyDescent="0.2">
      <c r="A4640">
        <v>189382</v>
      </c>
      <c r="B4640" t="s">
        <v>14246</v>
      </c>
      <c r="C4640">
        <v>0</v>
      </c>
      <c r="D4640">
        <v>1</v>
      </c>
      <c r="E4640">
        <v>1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 t="s">
        <v>3284</v>
      </c>
      <c r="M4640" t="s">
        <v>3327</v>
      </c>
      <c r="N4640" t="s">
        <v>3376</v>
      </c>
      <c r="O4640" t="s">
        <v>3377</v>
      </c>
      <c r="P4640" t="s">
        <v>3378</v>
      </c>
      <c r="Q4640" t="s">
        <v>3476</v>
      </c>
      <c r="R4640" t="s">
        <v>14247</v>
      </c>
    </row>
    <row r="4641" spans="1:18" x14ac:dyDescent="0.2">
      <c r="A4641">
        <v>189381</v>
      </c>
      <c r="B4641" t="s">
        <v>14248</v>
      </c>
      <c r="C4641">
        <v>0</v>
      </c>
      <c r="D4641">
        <v>0</v>
      </c>
      <c r="E4641">
        <v>1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 t="s">
        <v>3284</v>
      </c>
      <c r="M4641" t="s">
        <v>3327</v>
      </c>
      <c r="N4641" t="s">
        <v>3376</v>
      </c>
      <c r="O4641" t="s">
        <v>3377</v>
      </c>
      <c r="P4641" t="s">
        <v>3378</v>
      </c>
      <c r="Q4641" t="s">
        <v>3476</v>
      </c>
      <c r="R4641" t="s">
        <v>14249</v>
      </c>
    </row>
    <row r="4642" spans="1:18" x14ac:dyDescent="0.2">
      <c r="A4642">
        <v>188932</v>
      </c>
      <c r="B4642" t="s">
        <v>14250</v>
      </c>
      <c r="C4642">
        <v>0</v>
      </c>
      <c r="D4642">
        <v>0</v>
      </c>
      <c r="E4642">
        <v>0</v>
      </c>
      <c r="F4642">
        <v>3</v>
      </c>
      <c r="G4642">
        <v>1</v>
      </c>
      <c r="H4642">
        <v>0</v>
      </c>
      <c r="I4642">
        <v>1</v>
      </c>
      <c r="J4642">
        <v>0</v>
      </c>
      <c r="K4642">
        <v>0</v>
      </c>
      <c r="L4642" t="s">
        <v>3284</v>
      </c>
      <c r="M4642" t="s">
        <v>3391</v>
      </c>
      <c r="N4642" t="s">
        <v>3392</v>
      </c>
      <c r="O4642" t="s">
        <v>3393</v>
      </c>
      <c r="P4642" t="s">
        <v>3394</v>
      </c>
      <c r="Q4642" t="s">
        <v>3395</v>
      </c>
      <c r="R4642" t="s">
        <v>14251</v>
      </c>
    </row>
    <row r="4643" spans="1:18" x14ac:dyDescent="0.2">
      <c r="A4643">
        <v>187868</v>
      </c>
      <c r="B4643" t="s">
        <v>14252</v>
      </c>
      <c r="C4643">
        <v>1</v>
      </c>
      <c r="D4643">
        <v>0</v>
      </c>
      <c r="E4643">
        <v>0</v>
      </c>
      <c r="F4643">
        <v>0</v>
      </c>
      <c r="G4643">
        <v>1</v>
      </c>
      <c r="H4643">
        <v>0</v>
      </c>
      <c r="I4643">
        <v>0</v>
      </c>
      <c r="J4643">
        <v>0</v>
      </c>
      <c r="K4643">
        <v>0</v>
      </c>
      <c r="L4643" t="s">
        <v>3284</v>
      </c>
      <c r="M4643" t="s">
        <v>3296</v>
      </c>
      <c r="N4643" t="s">
        <v>3321</v>
      </c>
      <c r="O4643" t="s">
        <v>3322</v>
      </c>
      <c r="P4643" t="s">
        <v>3398</v>
      </c>
      <c r="Q4643" t="s">
        <v>11961</v>
      </c>
      <c r="R4643" t="s">
        <v>14253</v>
      </c>
    </row>
    <row r="4644" spans="1:18" x14ac:dyDescent="0.2">
      <c r="A4644">
        <v>187379</v>
      </c>
      <c r="B4644" t="s">
        <v>14254</v>
      </c>
      <c r="C4644">
        <v>0</v>
      </c>
      <c r="D4644">
        <v>0</v>
      </c>
      <c r="E4644">
        <v>0</v>
      </c>
      <c r="F4644">
        <v>0</v>
      </c>
      <c r="G4644">
        <v>1</v>
      </c>
      <c r="H4644">
        <v>0</v>
      </c>
      <c r="I4644">
        <v>0</v>
      </c>
      <c r="J4644">
        <v>0</v>
      </c>
      <c r="K4644">
        <v>0</v>
      </c>
      <c r="L4644" t="s">
        <v>3284</v>
      </c>
      <c r="M4644" t="s">
        <v>3296</v>
      </c>
      <c r="N4644" t="s">
        <v>3297</v>
      </c>
      <c r="O4644" t="s">
        <v>3434</v>
      </c>
      <c r="P4644" t="s">
        <v>4646</v>
      </c>
      <c r="Q4644" t="s">
        <v>4647</v>
      </c>
      <c r="R4644" t="s">
        <v>14255</v>
      </c>
    </row>
    <row r="4645" spans="1:18" x14ac:dyDescent="0.2">
      <c r="A4645">
        <v>186116</v>
      </c>
      <c r="B4645" t="s">
        <v>14256</v>
      </c>
      <c r="C4645">
        <v>2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 t="s">
        <v>3284</v>
      </c>
      <c r="M4645" t="s">
        <v>3327</v>
      </c>
      <c r="N4645" t="s">
        <v>3376</v>
      </c>
      <c r="O4645" t="s">
        <v>3377</v>
      </c>
      <c r="P4645" t="s">
        <v>14257</v>
      </c>
      <c r="Q4645" t="s">
        <v>14258</v>
      </c>
      <c r="R4645" t="s">
        <v>14259</v>
      </c>
    </row>
    <row r="4646" spans="1:18" x14ac:dyDescent="0.2">
      <c r="A4646">
        <v>185950</v>
      </c>
      <c r="B4646" t="s">
        <v>14260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1</v>
      </c>
      <c r="J4646">
        <v>0</v>
      </c>
      <c r="K4646">
        <v>0</v>
      </c>
      <c r="L4646" t="s">
        <v>3284</v>
      </c>
      <c r="M4646" t="s">
        <v>3296</v>
      </c>
      <c r="N4646" t="s">
        <v>3343</v>
      </c>
      <c r="O4646" t="s">
        <v>3349</v>
      </c>
      <c r="P4646" t="s">
        <v>3350</v>
      </c>
      <c r="Q4646" t="s">
        <v>3580</v>
      </c>
      <c r="R4646" t="s">
        <v>14261</v>
      </c>
    </row>
    <row r="4647" spans="1:18" x14ac:dyDescent="0.2">
      <c r="A4647">
        <v>185300</v>
      </c>
      <c r="B4647" t="s">
        <v>14262</v>
      </c>
      <c r="C4647">
        <v>0</v>
      </c>
      <c r="D4647">
        <v>0</v>
      </c>
      <c r="E4647">
        <v>0</v>
      </c>
      <c r="F4647">
        <v>1</v>
      </c>
      <c r="G4647">
        <v>0</v>
      </c>
      <c r="H4647">
        <v>0</v>
      </c>
      <c r="I4647">
        <v>0</v>
      </c>
      <c r="J4647">
        <v>0</v>
      </c>
      <c r="K4647">
        <v>0</v>
      </c>
      <c r="L4647" t="s">
        <v>3284</v>
      </c>
      <c r="M4647" t="s">
        <v>3391</v>
      </c>
      <c r="N4647" t="s">
        <v>3765</v>
      </c>
      <c r="O4647" t="s">
        <v>3766</v>
      </c>
      <c r="P4647" t="s">
        <v>14263</v>
      </c>
      <c r="Q4647" t="s">
        <v>14264</v>
      </c>
      <c r="R4647" t="s">
        <v>14265</v>
      </c>
    </row>
    <row r="4648" spans="1:18" x14ac:dyDescent="0.2">
      <c r="A4648">
        <v>185243</v>
      </c>
      <c r="B4648" t="s">
        <v>14266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1</v>
      </c>
      <c r="J4648">
        <v>0</v>
      </c>
      <c r="K4648">
        <v>0</v>
      </c>
      <c r="L4648" t="s">
        <v>3284</v>
      </c>
      <c r="M4648" t="s">
        <v>3307</v>
      </c>
      <c r="N4648" t="s">
        <v>3308</v>
      </c>
      <c r="O4648" t="s">
        <v>3309</v>
      </c>
      <c r="P4648" t="s">
        <v>3310</v>
      </c>
      <c r="Q4648" t="s">
        <v>3883</v>
      </c>
      <c r="R4648" t="s">
        <v>14267</v>
      </c>
    </row>
    <row r="4649" spans="1:18" x14ac:dyDescent="0.2">
      <c r="A4649">
        <v>183916</v>
      </c>
      <c r="B4649" t="s">
        <v>14268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1</v>
      </c>
      <c r="J4649">
        <v>0</v>
      </c>
      <c r="K4649">
        <v>0</v>
      </c>
      <c r="L4649" t="s">
        <v>3284</v>
      </c>
      <c r="M4649" t="s">
        <v>3307</v>
      </c>
      <c r="N4649" t="s">
        <v>3308</v>
      </c>
      <c r="O4649" t="s">
        <v>13077</v>
      </c>
      <c r="P4649" t="s">
        <v>13078</v>
      </c>
      <c r="Q4649" t="s">
        <v>14269</v>
      </c>
      <c r="R4649" t="s">
        <v>14270</v>
      </c>
    </row>
    <row r="4650" spans="1:18" x14ac:dyDescent="0.2">
      <c r="A4650">
        <v>183670</v>
      </c>
      <c r="B4650" t="s">
        <v>14271</v>
      </c>
      <c r="C4650">
        <v>5</v>
      </c>
      <c r="D4650">
        <v>3</v>
      </c>
      <c r="E4650">
        <v>1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 t="s">
        <v>3284</v>
      </c>
      <c r="M4650" t="s">
        <v>3296</v>
      </c>
      <c r="N4650" t="s">
        <v>3321</v>
      </c>
      <c r="O4650" t="s">
        <v>3322</v>
      </c>
      <c r="P4650" t="s">
        <v>3398</v>
      </c>
      <c r="Q4650" t="s">
        <v>10339</v>
      </c>
      <c r="R4650" t="s">
        <v>14272</v>
      </c>
    </row>
    <row r="4651" spans="1:18" x14ac:dyDescent="0.2">
      <c r="A4651">
        <v>182773</v>
      </c>
      <c r="B4651" t="s">
        <v>14273</v>
      </c>
      <c r="C4651">
        <v>1</v>
      </c>
      <c r="D4651">
        <v>2</v>
      </c>
      <c r="E4651">
        <v>1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 t="s">
        <v>3284</v>
      </c>
      <c r="M4651" t="s">
        <v>3327</v>
      </c>
      <c r="N4651" t="s">
        <v>3328</v>
      </c>
      <c r="O4651" t="s">
        <v>3329</v>
      </c>
      <c r="P4651" t="s">
        <v>3330</v>
      </c>
      <c r="Q4651" t="s">
        <v>3331</v>
      </c>
      <c r="R4651" t="s">
        <v>14274</v>
      </c>
    </row>
    <row r="4652" spans="1:18" x14ac:dyDescent="0.2">
      <c r="A4652">
        <v>182688</v>
      </c>
      <c r="B4652" t="s">
        <v>14275</v>
      </c>
      <c r="C4652">
        <v>0</v>
      </c>
      <c r="D4652">
        <v>1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 t="s">
        <v>3284</v>
      </c>
      <c r="M4652" t="s">
        <v>3391</v>
      </c>
      <c r="N4652" t="s">
        <v>3392</v>
      </c>
      <c r="O4652" t="s">
        <v>3393</v>
      </c>
      <c r="P4652" t="s">
        <v>3394</v>
      </c>
      <c r="Q4652" t="s">
        <v>4351</v>
      </c>
      <c r="R4652" t="s">
        <v>14276</v>
      </c>
    </row>
    <row r="4653" spans="1:18" x14ac:dyDescent="0.2">
      <c r="A4653">
        <v>182403</v>
      </c>
      <c r="B4653" t="s">
        <v>14277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7</v>
      </c>
      <c r="J4653">
        <v>4</v>
      </c>
      <c r="K4653">
        <v>3</v>
      </c>
      <c r="L4653" t="s">
        <v>3284</v>
      </c>
      <c r="M4653" t="s">
        <v>3296</v>
      </c>
      <c r="N4653" t="s">
        <v>3343</v>
      </c>
      <c r="O4653" t="s">
        <v>3429</v>
      </c>
      <c r="P4653" t="s">
        <v>3430</v>
      </c>
      <c r="Q4653" t="s">
        <v>14278</v>
      </c>
      <c r="R4653" t="s">
        <v>14279</v>
      </c>
    </row>
    <row r="4654" spans="1:18" x14ac:dyDescent="0.2">
      <c r="A4654">
        <v>182180</v>
      </c>
      <c r="B4654" t="s">
        <v>14280</v>
      </c>
      <c r="C4654">
        <v>0</v>
      </c>
      <c r="D4654">
        <v>0</v>
      </c>
      <c r="E4654">
        <v>0</v>
      </c>
      <c r="F4654">
        <v>0</v>
      </c>
      <c r="G4654">
        <v>1</v>
      </c>
      <c r="H4654">
        <v>0</v>
      </c>
      <c r="I4654">
        <v>0</v>
      </c>
      <c r="J4654">
        <v>0</v>
      </c>
      <c r="K4654">
        <v>0</v>
      </c>
      <c r="L4654" t="s">
        <v>3284</v>
      </c>
      <c r="M4654" t="s">
        <v>3296</v>
      </c>
      <c r="N4654" t="s">
        <v>3321</v>
      </c>
      <c r="O4654" t="s">
        <v>4147</v>
      </c>
      <c r="P4654" t="s">
        <v>4164</v>
      </c>
      <c r="Q4654" t="s">
        <v>14281</v>
      </c>
      <c r="R4654" t="s">
        <v>14282</v>
      </c>
    </row>
    <row r="4655" spans="1:18" x14ac:dyDescent="0.2">
      <c r="A4655">
        <v>180957</v>
      </c>
      <c r="B4655" t="s">
        <v>14283</v>
      </c>
      <c r="C4655">
        <v>0</v>
      </c>
      <c r="D4655">
        <v>1</v>
      </c>
      <c r="E4655">
        <v>1</v>
      </c>
      <c r="F4655">
        <v>0</v>
      </c>
      <c r="G4655">
        <v>0</v>
      </c>
      <c r="H4655">
        <v>3</v>
      </c>
      <c r="I4655">
        <v>0</v>
      </c>
      <c r="J4655">
        <v>0</v>
      </c>
      <c r="K4655">
        <v>2</v>
      </c>
      <c r="L4655" t="s">
        <v>3284</v>
      </c>
      <c r="M4655" t="s">
        <v>3296</v>
      </c>
      <c r="N4655" t="s">
        <v>3297</v>
      </c>
      <c r="O4655" t="s">
        <v>3298</v>
      </c>
      <c r="P4655" t="s">
        <v>6582</v>
      </c>
      <c r="Q4655" t="s">
        <v>8856</v>
      </c>
      <c r="R4655" t="s">
        <v>14284</v>
      </c>
    </row>
    <row r="4656" spans="1:18" x14ac:dyDescent="0.2">
      <c r="A4656">
        <v>180282</v>
      </c>
      <c r="B4656" t="s">
        <v>14285</v>
      </c>
      <c r="C4656">
        <v>6</v>
      </c>
      <c r="D4656">
        <v>3</v>
      </c>
      <c r="E4656">
        <v>3</v>
      </c>
      <c r="F4656">
        <v>8</v>
      </c>
      <c r="G4656">
        <v>8</v>
      </c>
      <c r="H4656">
        <v>10</v>
      </c>
      <c r="I4656">
        <v>30</v>
      </c>
      <c r="J4656">
        <v>15</v>
      </c>
      <c r="K4656">
        <v>28</v>
      </c>
      <c r="L4656" t="s">
        <v>3284</v>
      </c>
      <c r="M4656" t="s">
        <v>3296</v>
      </c>
      <c r="N4656" t="s">
        <v>3321</v>
      </c>
      <c r="O4656" t="s">
        <v>3322</v>
      </c>
      <c r="P4656" t="s">
        <v>3398</v>
      </c>
      <c r="Q4656" t="s">
        <v>3439</v>
      </c>
      <c r="R4656" t="s">
        <v>14286</v>
      </c>
    </row>
    <row r="4657" spans="1:18" x14ac:dyDescent="0.2">
      <c r="A4657">
        <v>180197</v>
      </c>
      <c r="B4657" t="s">
        <v>14287</v>
      </c>
      <c r="C4657">
        <v>0</v>
      </c>
      <c r="D4657">
        <v>2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 t="s">
        <v>3284</v>
      </c>
      <c r="M4657" t="s">
        <v>3296</v>
      </c>
      <c r="N4657" t="s">
        <v>3321</v>
      </c>
      <c r="O4657" t="s">
        <v>3322</v>
      </c>
      <c r="P4657" t="s">
        <v>3398</v>
      </c>
      <c r="Q4657" t="s">
        <v>6467</v>
      </c>
      <c r="R4657" t="s">
        <v>14288</v>
      </c>
    </row>
    <row r="4658" spans="1:18" x14ac:dyDescent="0.2">
      <c r="A4658">
        <v>180163</v>
      </c>
      <c r="B4658" t="s">
        <v>14289</v>
      </c>
      <c r="C4658">
        <v>0</v>
      </c>
      <c r="D4658">
        <v>0</v>
      </c>
      <c r="E4658">
        <v>1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 t="s">
        <v>3284</v>
      </c>
      <c r="M4658" t="s">
        <v>4580</v>
      </c>
      <c r="N4658" t="s">
        <v>4581</v>
      </c>
      <c r="O4658" t="s">
        <v>4582</v>
      </c>
      <c r="P4658" t="s">
        <v>4583</v>
      </c>
      <c r="Q4658" t="s">
        <v>4584</v>
      </c>
      <c r="R4658" t="s">
        <v>14290</v>
      </c>
    </row>
    <row r="4659" spans="1:18" x14ac:dyDescent="0.2">
      <c r="A4659">
        <v>179636</v>
      </c>
      <c r="B4659" t="s">
        <v>14291</v>
      </c>
      <c r="C4659">
        <v>0</v>
      </c>
      <c r="D4659">
        <v>3</v>
      </c>
      <c r="E4659">
        <v>0</v>
      </c>
      <c r="F4659">
        <v>0</v>
      </c>
      <c r="G4659">
        <v>4</v>
      </c>
      <c r="H4659">
        <v>0</v>
      </c>
      <c r="I4659">
        <v>2</v>
      </c>
      <c r="J4659">
        <v>0</v>
      </c>
      <c r="K4659">
        <v>0</v>
      </c>
      <c r="L4659" t="s">
        <v>3284</v>
      </c>
      <c r="M4659" t="s">
        <v>3296</v>
      </c>
      <c r="N4659" t="s">
        <v>3321</v>
      </c>
      <c r="O4659" t="s">
        <v>3322</v>
      </c>
      <c r="P4659" t="s">
        <v>3398</v>
      </c>
      <c r="Q4659" t="s">
        <v>14292</v>
      </c>
      <c r="R4659" t="s">
        <v>14293</v>
      </c>
    </row>
    <row r="4660" spans="1:18" x14ac:dyDescent="0.2">
      <c r="A4660">
        <v>179095</v>
      </c>
      <c r="B4660" t="s">
        <v>14294</v>
      </c>
      <c r="C4660">
        <v>1</v>
      </c>
      <c r="D4660">
        <v>0</v>
      </c>
      <c r="E4660">
        <v>0</v>
      </c>
      <c r="F4660">
        <v>0</v>
      </c>
      <c r="G4660">
        <v>0</v>
      </c>
      <c r="H4660">
        <v>1</v>
      </c>
      <c r="I4660">
        <v>0</v>
      </c>
      <c r="J4660">
        <v>0</v>
      </c>
      <c r="K4660">
        <v>0</v>
      </c>
      <c r="L4660" t="s">
        <v>3284</v>
      </c>
      <c r="M4660" t="s">
        <v>3307</v>
      </c>
      <c r="N4660" t="s">
        <v>3308</v>
      </c>
      <c r="O4660" t="s">
        <v>3359</v>
      </c>
      <c r="P4660" t="s">
        <v>3360</v>
      </c>
      <c r="Q4660" t="s">
        <v>3361</v>
      </c>
      <c r="R4660" t="s">
        <v>14295</v>
      </c>
    </row>
    <row r="4661" spans="1:18" x14ac:dyDescent="0.2">
      <c r="A4661">
        <v>176598</v>
      </c>
      <c r="B4661" t="s">
        <v>14296</v>
      </c>
      <c r="C4661">
        <v>0</v>
      </c>
      <c r="D4661">
        <v>0</v>
      </c>
      <c r="E4661">
        <v>1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 t="s">
        <v>3284</v>
      </c>
      <c r="M4661" t="s">
        <v>3296</v>
      </c>
      <c r="N4661" t="s">
        <v>3297</v>
      </c>
      <c r="O4661" t="s">
        <v>3469</v>
      </c>
      <c r="P4661" t="s">
        <v>3470</v>
      </c>
      <c r="Q4661" t="s">
        <v>6962</v>
      </c>
      <c r="R4661" t="s">
        <v>14297</v>
      </c>
    </row>
    <row r="4662" spans="1:18" x14ac:dyDescent="0.2">
      <c r="A4662">
        <v>174711</v>
      </c>
      <c r="B4662" t="s">
        <v>14298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1</v>
      </c>
      <c r="I4662">
        <v>0</v>
      </c>
      <c r="J4662">
        <v>1</v>
      </c>
      <c r="K4662">
        <v>0</v>
      </c>
      <c r="L4662" t="s">
        <v>3284</v>
      </c>
      <c r="M4662" t="s">
        <v>3391</v>
      </c>
      <c r="N4662" t="s">
        <v>3411</v>
      </c>
      <c r="O4662" t="s">
        <v>3412</v>
      </c>
      <c r="P4662" t="s">
        <v>3413</v>
      </c>
      <c r="Q4662" t="s">
        <v>8357</v>
      </c>
      <c r="R4662" t="s">
        <v>14299</v>
      </c>
    </row>
    <row r="4663" spans="1:18" x14ac:dyDescent="0.2">
      <c r="A4663">
        <v>173676</v>
      </c>
      <c r="B4663" t="s">
        <v>14300</v>
      </c>
      <c r="C4663">
        <v>0</v>
      </c>
      <c r="D4663">
        <v>0</v>
      </c>
      <c r="E4663">
        <v>0</v>
      </c>
      <c r="F4663">
        <v>0</v>
      </c>
      <c r="G4663">
        <v>1</v>
      </c>
      <c r="H4663">
        <v>0</v>
      </c>
      <c r="I4663">
        <v>0</v>
      </c>
      <c r="J4663">
        <v>0</v>
      </c>
      <c r="K4663">
        <v>0</v>
      </c>
      <c r="L4663" t="s">
        <v>3284</v>
      </c>
      <c r="M4663" t="s">
        <v>3296</v>
      </c>
      <c r="N4663" t="s">
        <v>3343</v>
      </c>
      <c r="O4663" t="s">
        <v>3349</v>
      </c>
      <c r="P4663" t="s">
        <v>3350</v>
      </c>
      <c r="Q4663" t="s">
        <v>3351</v>
      </c>
      <c r="R4663" t="s">
        <v>14301</v>
      </c>
    </row>
    <row r="4664" spans="1:18" x14ac:dyDescent="0.2">
      <c r="A4664">
        <v>172088</v>
      </c>
      <c r="B4664" t="s">
        <v>14302</v>
      </c>
      <c r="C4664">
        <v>1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 t="s">
        <v>3284</v>
      </c>
      <c r="M4664" t="s">
        <v>3296</v>
      </c>
      <c r="N4664" t="s">
        <v>3343</v>
      </c>
      <c r="O4664" t="s">
        <v>3344</v>
      </c>
      <c r="P4664" t="s">
        <v>3937</v>
      </c>
      <c r="Q4664" t="s">
        <v>3938</v>
      </c>
      <c r="R4664" t="s">
        <v>14303</v>
      </c>
    </row>
    <row r="4665" spans="1:18" x14ac:dyDescent="0.2">
      <c r="A4665">
        <v>172045</v>
      </c>
      <c r="B4665" t="s">
        <v>14304</v>
      </c>
      <c r="C4665">
        <v>1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 t="s">
        <v>3284</v>
      </c>
      <c r="M4665" t="s">
        <v>3391</v>
      </c>
      <c r="N4665" t="s">
        <v>3411</v>
      </c>
      <c r="O4665" t="s">
        <v>3412</v>
      </c>
      <c r="P4665" t="s">
        <v>3564</v>
      </c>
      <c r="Q4665" t="s">
        <v>14305</v>
      </c>
      <c r="R4665" t="s">
        <v>14306</v>
      </c>
    </row>
    <row r="4666" spans="1:18" x14ac:dyDescent="0.2">
      <c r="A4666">
        <v>172043</v>
      </c>
      <c r="B4666" t="s">
        <v>14307</v>
      </c>
      <c r="C4666">
        <v>0</v>
      </c>
      <c r="D4666">
        <v>0</v>
      </c>
      <c r="E4666">
        <v>0</v>
      </c>
      <c r="F4666">
        <v>21</v>
      </c>
      <c r="G4666">
        <v>13</v>
      </c>
      <c r="H4666">
        <v>17</v>
      </c>
      <c r="I4666">
        <v>0</v>
      </c>
      <c r="J4666">
        <v>0</v>
      </c>
      <c r="K4666">
        <v>0</v>
      </c>
      <c r="L4666" t="s">
        <v>3284</v>
      </c>
      <c r="M4666" t="s">
        <v>3296</v>
      </c>
      <c r="N4666" t="s">
        <v>3343</v>
      </c>
      <c r="O4666" t="s">
        <v>3402</v>
      </c>
      <c r="P4666" t="s">
        <v>3403</v>
      </c>
      <c r="Q4666" t="s">
        <v>3536</v>
      </c>
      <c r="R4666" t="s">
        <v>14308</v>
      </c>
    </row>
    <row r="4667" spans="1:18" x14ac:dyDescent="0.2">
      <c r="A4667">
        <v>171674</v>
      </c>
      <c r="B4667" t="s">
        <v>14309</v>
      </c>
      <c r="C4667">
        <v>0</v>
      </c>
      <c r="D4667">
        <v>0</v>
      </c>
      <c r="E4667">
        <v>0</v>
      </c>
      <c r="F4667">
        <v>0</v>
      </c>
      <c r="G4667">
        <v>1</v>
      </c>
      <c r="H4667">
        <v>0</v>
      </c>
      <c r="I4667">
        <v>0</v>
      </c>
      <c r="J4667">
        <v>0</v>
      </c>
      <c r="K4667">
        <v>0</v>
      </c>
      <c r="L4667" t="s">
        <v>3284</v>
      </c>
      <c r="M4667" t="s">
        <v>3296</v>
      </c>
      <c r="N4667" t="s">
        <v>3343</v>
      </c>
      <c r="O4667" t="s">
        <v>3861</v>
      </c>
      <c r="P4667" t="s">
        <v>7264</v>
      </c>
      <c r="Q4667" t="s">
        <v>9795</v>
      </c>
      <c r="R4667" t="s">
        <v>14310</v>
      </c>
    </row>
    <row r="4668" spans="1:18" x14ac:dyDescent="0.2">
      <c r="A4668">
        <v>171438</v>
      </c>
      <c r="B4668" t="s">
        <v>14311</v>
      </c>
      <c r="C4668">
        <v>3</v>
      </c>
      <c r="D4668">
        <v>2</v>
      </c>
      <c r="E4668">
        <v>0</v>
      </c>
      <c r="F4668">
        <v>3</v>
      </c>
      <c r="G4668">
        <v>0</v>
      </c>
      <c r="H4668">
        <v>7</v>
      </c>
      <c r="I4668">
        <v>1</v>
      </c>
      <c r="J4668">
        <v>3</v>
      </c>
      <c r="K4668">
        <v>8</v>
      </c>
      <c r="L4668" t="s">
        <v>3284</v>
      </c>
      <c r="M4668" t="s">
        <v>3296</v>
      </c>
      <c r="N4668" t="s">
        <v>3297</v>
      </c>
      <c r="O4668" t="s">
        <v>3298</v>
      </c>
      <c r="P4668" t="s">
        <v>4399</v>
      </c>
      <c r="Q4668" t="s">
        <v>11911</v>
      </c>
      <c r="R4668" t="s">
        <v>14312</v>
      </c>
    </row>
    <row r="4669" spans="1:18" x14ac:dyDescent="0.2">
      <c r="A4669">
        <v>170861</v>
      </c>
      <c r="B4669" t="s">
        <v>14313</v>
      </c>
      <c r="C4669">
        <v>0</v>
      </c>
      <c r="D4669">
        <v>1</v>
      </c>
      <c r="E4669">
        <v>1</v>
      </c>
      <c r="F4669">
        <v>0</v>
      </c>
      <c r="G4669">
        <v>0</v>
      </c>
      <c r="H4669">
        <v>0</v>
      </c>
      <c r="I4669">
        <v>0</v>
      </c>
      <c r="J4669">
        <v>2</v>
      </c>
      <c r="K4669">
        <v>1</v>
      </c>
      <c r="L4669" t="s">
        <v>4270</v>
      </c>
      <c r="M4669" t="s">
        <v>4271</v>
      </c>
      <c r="N4669" t="s">
        <v>4272</v>
      </c>
      <c r="O4669" t="s">
        <v>4273</v>
      </c>
      <c r="P4669" t="s">
        <v>4274</v>
      </c>
      <c r="Q4669" t="s">
        <v>10848</v>
      </c>
      <c r="R4669" t="s">
        <v>14314</v>
      </c>
    </row>
    <row r="4670" spans="1:18" x14ac:dyDescent="0.2">
      <c r="A4670">
        <v>169760</v>
      </c>
      <c r="B4670" t="s">
        <v>14315</v>
      </c>
      <c r="C4670">
        <v>0</v>
      </c>
      <c r="D4670">
        <v>0</v>
      </c>
      <c r="E4670">
        <v>0</v>
      </c>
      <c r="F4670">
        <v>1</v>
      </c>
      <c r="G4670">
        <v>0</v>
      </c>
      <c r="H4670">
        <v>0</v>
      </c>
      <c r="I4670">
        <v>0</v>
      </c>
      <c r="J4670">
        <v>0</v>
      </c>
      <c r="K4670">
        <v>0</v>
      </c>
      <c r="L4670" t="s">
        <v>3284</v>
      </c>
      <c r="M4670" t="s">
        <v>3327</v>
      </c>
      <c r="N4670" t="s">
        <v>3376</v>
      </c>
      <c r="O4670" t="s">
        <v>3377</v>
      </c>
      <c r="P4670" t="s">
        <v>3604</v>
      </c>
      <c r="Q4670" t="s">
        <v>3668</v>
      </c>
      <c r="R4670" t="s">
        <v>14316</v>
      </c>
    </row>
    <row r="4671" spans="1:18" x14ac:dyDescent="0.2">
      <c r="A4671">
        <v>169679</v>
      </c>
      <c r="B4671" t="s">
        <v>14317</v>
      </c>
      <c r="C4671">
        <v>8</v>
      </c>
      <c r="D4671">
        <v>3</v>
      </c>
      <c r="E4671">
        <v>1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1</v>
      </c>
      <c r="L4671" t="s">
        <v>3284</v>
      </c>
      <c r="M4671" t="s">
        <v>3327</v>
      </c>
      <c r="N4671" t="s">
        <v>3328</v>
      </c>
      <c r="O4671" t="s">
        <v>3329</v>
      </c>
      <c r="P4671" t="s">
        <v>3330</v>
      </c>
      <c r="Q4671" t="s">
        <v>3331</v>
      </c>
      <c r="R4671" t="s">
        <v>14318</v>
      </c>
    </row>
    <row r="4672" spans="1:18" x14ac:dyDescent="0.2">
      <c r="A4672">
        <v>169669</v>
      </c>
      <c r="B4672" t="s">
        <v>14319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1</v>
      </c>
      <c r="I4672">
        <v>0</v>
      </c>
      <c r="J4672">
        <v>0</v>
      </c>
      <c r="K4672">
        <v>0</v>
      </c>
      <c r="L4672" t="s">
        <v>3284</v>
      </c>
      <c r="M4672" t="s">
        <v>3296</v>
      </c>
      <c r="N4672" t="s">
        <v>3297</v>
      </c>
      <c r="O4672" t="s">
        <v>3434</v>
      </c>
      <c r="P4672" t="s">
        <v>3435</v>
      </c>
      <c r="Q4672" t="s">
        <v>3436</v>
      </c>
      <c r="R4672" t="s">
        <v>14320</v>
      </c>
    </row>
    <row r="4673" spans="1:18" x14ac:dyDescent="0.2">
      <c r="A4673">
        <v>169177</v>
      </c>
      <c r="B4673" t="s">
        <v>14321</v>
      </c>
      <c r="C4673">
        <v>10</v>
      </c>
      <c r="D4673">
        <v>7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 t="s">
        <v>3284</v>
      </c>
      <c r="M4673" t="s">
        <v>3327</v>
      </c>
      <c r="N4673" t="s">
        <v>3376</v>
      </c>
      <c r="O4673" t="s">
        <v>3377</v>
      </c>
      <c r="P4673" t="s">
        <v>3271</v>
      </c>
      <c r="Q4673" t="s">
        <v>3648</v>
      </c>
      <c r="R4673" t="s">
        <v>14322</v>
      </c>
    </row>
    <row r="4674" spans="1:18" x14ac:dyDescent="0.2">
      <c r="A4674">
        <v>168471</v>
      </c>
      <c r="B4674" t="s">
        <v>14323</v>
      </c>
      <c r="C4674">
        <v>0</v>
      </c>
      <c r="D4674">
        <v>0</v>
      </c>
      <c r="E4674">
        <v>0</v>
      </c>
      <c r="F4674">
        <v>1</v>
      </c>
      <c r="G4674">
        <v>0</v>
      </c>
      <c r="H4674">
        <v>0</v>
      </c>
      <c r="I4674">
        <v>0</v>
      </c>
      <c r="J4674">
        <v>0</v>
      </c>
      <c r="K4674">
        <v>0</v>
      </c>
      <c r="L4674" t="s">
        <v>3284</v>
      </c>
      <c r="M4674" t="s">
        <v>3296</v>
      </c>
      <c r="N4674" t="s">
        <v>3321</v>
      </c>
      <c r="O4674" t="s">
        <v>5306</v>
      </c>
      <c r="P4674" t="s">
        <v>14324</v>
      </c>
      <c r="Q4674" t="s">
        <v>14325</v>
      </c>
      <c r="R4674" t="s">
        <v>14326</v>
      </c>
    </row>
    <row r="4675" spans="1:18" x14ac:dyDescent="0.2">
      <c r="A4675">
        <v>166954</v>
      </c>
      <c r="B4675" t="s">
        <v>14327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1</v>
      </c>
      <c r="J4675">
        <v>1</v>
      </c>
      <c r="K4675">
        <v>0</v>
      </c>
      <c r="L4675" t="s">
        <v>3284</v>
      </c>
      <c r="M4675" t="s">
        <v>3296</v>
      </c>
      <c r="N4675" t="s">
        <v>3343</v>
      </c>
      <c r="O4675" t="s">
        <v>3344</v>
      </c>
      <c r="P4675" t="s">
        <v>3387</v>
      </c>
      <c r="Q4675" t="s">
        <v>3388</v>
      </c>
      <c r="R4675" t="s">
        <v>14328</v>
      </c>
    </row>
    <row r="4676" spans="1:18" x14ac:dyDescent="0.2">
      <c r="A4676">
        <v>166485</v>
      </c>
      <c r="B4676" t="s">
        <v>14329</v>
      </c>
      <c r="C4676">
        <v>0</v>
      </c>
      <c r="D4676">
        <v>1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 t="s">
        <v>3284</v>
      </c>
      <c r="M4676" t="s">
        <v>3327</v>
      </c>
      <c r="N4676" t="s">
        <v>3328</v>
      </c>
      <c r="O4676" t="s">
        <v>4184</v>
      </c>
      <c r="P4676" t="s">
        <v>14237</v>
      </c>
      <c r="Q4676" t="s">
        <v>14330</v>
      </c>
      <c r="R4676" t="s">
        <v>14331</v>
      </c>
    </row>
    <row r="4677" spans="1:18" x14ac:dyDescent="0.2">
      <c r="A4677">
        <v>165814</v>
      </c>
      <c r="B4677" t="s">
        <v>14332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2</v>
      </c>
      <c r="J4677">
        <v>0</v>
      </c>
      <c r="K4677">
        <v>0</v>
      </c>
      <c r="L4677" t="s">
        <v>3284</v>
      </c>
      <c r="M4677" t="s">
        <v>3307</v>
      </c>
      <c r="N4677" t="s">
        <v>3308</v>
      </c>
      <c r="O4677" t="s">
        <v>3359</v>
      </c>
      <c r="P4677" t="s">
        <v>3360</v>
      </c>
      <c r="Q4677" t="s">
        <v>3364</v>
      </c>
      <c r="R4677" t="s">
        <v>14333</v>
      </c>
    </row>
    <row r="4678" spans="1:18" x14ac:dyDescent="0.2">
      <c r="A4678">
        <v>165813</v>
      </c>
      <c r="B4678" t="s">
        <v>14334</v>
      </c>
      <c r="C4678">
        <v>0</v>
      </c>
      <c r="D4678">
        <v>2</v>
      </c>
      <c r="E4678">
        <v>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 t="s">
        <v>3284</v>
      </c>
      <c r="M4678" t="s">
        <v>3327</v>
      </c>
      <c r="N4678" t="s">
        <v>4384</v>
      </c>
      <c r="O4678" t="s">
        <v>4605</v>
      </c>
      <c r="P4678" t="s">
        <v>10025</v>
      </c>
      <c r="Q4678" t="s">
        <v>10026</v>
      </c>
      <c r="R4678" t="s">
        <v>14335</v>
      </c>
    </row>
    <row r="4679" spans="1:18" x14ac:dyDescent="0.2">
      <c r="A4679">
        <v>165438</v>
      </c>
      <c r="B4679" t="s">
        <v>14336</v>
      </c>
      <c r="C4679">
        <v>0</v>
      </c>
      <c r="D4679">
        <v>0</v>
      </c>
      <c r="E4679">
        <v>0</v>
      </c>
      <c r="F4679">
        <v>24</v>
      </c>
      <c r="G4679">
        <v>14</v>
      </c>
      <c r="H4679">
        <v>9</v>
      </c>
      <c r="I4679">
        <v>0</v>
      </c>
      <c r="J4679">
        <v>0</v>
      </c>
      <c r="K4679">
        <v>0</v>
      </c>
      <c r="L4679" t="s">
        <v>3284</v>
      </c>
      <c r="M4679" t="s">
        <v>3296</v>
      </c>
      <c r="N4679" t="s">
        <v>3297</v>
      </c>
      <c r="O4679" t="s">
        <v>3469</v>
      </c>
      <c r="P4679" t="s">
        <v>3470</v>
      </c>
      <c r="Q4679" t="s">
        <v>3471</v>
      </c>
      <c r="R4679" t="s">
        <v>14337</v>
      </c>
    </row>
    <row r="4680" spans="1:18" x14ac:dyDescent="0.2">
      <c r="A4680">
        <v>165435</v>
      </c>
      <c r="B4680" t="s">
        <v>14338</v>
      </c>
      <c r="C4680">
        <v>3</v>
      </c>
      <c r="D4680">
        <v>1</v>
      </c>
      <c r="E4680">
        <v>0</v>
      </c>
      <c r="F4680">
        <v>6</v>
      </c>
      <c r="G4680">
        <v>6</v>
      </c>
      <c r="H4680">
        <v>0</v>
      </c>
      <c r="I4680">
        <v>0</v>
      </c>
      <c r="J4680">
        <v>0</v>
      </c>
      <c r="K4680">
        <v>0</v>
      </c>
      <c r="L4680" t="s">
        <v>3284</v>
      </c>
      <c r="M4680" t="s">
        <v>3391</v>
      </c>
      <c r="N4680" t="s">
        <v>3411</v>
      </c>
      <c r="O4680" t="s">
        <v>3412</v>
      </c>
      <c r="P4680" t="s">
        <v>3413</v>
      </c>
      <c r="Q4680" t="s">
        <v>3414</v>
      </c>
      <c r="R4680" t="s">
        <v>14339</v>
      </c>
    </row>
    <row r="4681" spans="1:18" x14ac:dyDescent="0.2">
      <c r="A4681">
        <v>164330</v>
      </c>
      <c r="B4681" t="s">
        <v>14340</v>
      </c>
      <c r="C4681">
        <v>0</v>
      </c>
      <c r="D4681">
        <v>1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 t="s">
        <v>3284</v>
      </c>
      <c r="M4681" t="s">
        <v>3296</v>
      </c>
      <c r="N4681" t="s">
        <v>3321</v>
      </c>
      <c r="O4681" t="s">
        <v>4147</v>
      </c>
      <c r="P4681" t="s">
        <v>4148</v>
      </c>
      <c r="Q4681" t="s">
        <v>4149</v>
      </c>
      <c r="R4681" t="s">
        <v>14341</v>
      </c>
    </row>
    <row r="4682" spans="1:18" x14ac:dyDescent="0.2">
      <c r="A4682">
        <v>163869</v>
      </c>
      <c r="B4682" t="s">
        <v>14342</v>
      </c>
      <c r="C4682">
        <v>0</v>
      </c>
      <c r="D4682">
        <v>0</v>
      </c>
      <c r="E4682">
        <v>0</v>
      </c>
      <c r="F4682">
        <v>1</v>
      </c>
      <c r="G4682">
        <v>0</v>
      </c>
      <c r="H4682">
        <v>0</v>
      </c>
      <c r="I4682">
        <v>0</v>
      </c>
      <c r="J4682">
        <v>0</v>
      </c>
      <c r="K4682">
        <v>0</v>
      </c>
      <c r="L4682" t="s">
        <v>3284</v>
      </c>
      <c r="M4682" t="s">
        <v>3296</v>
      </c>
      <c r="N4682" t="s">
        <v>3297</v>
      </c>
      <c r="O4682" t="s">
        <v>4556</v>
      </c>
      <c r="P4682" t="s">
        <v>11249</v>
      </c>
      <c r="Q4682" t="s">
        <v>14343</v>
      </c>
      <c r="R4682" t="s">
        <v>14344</v>
      </c>
    </row>
    <row r="4683" spans="1:18" x14ac:dyDescent="0.2">
      <c r="A4683">
        <v>163665</v>
      </c>
      <c r="B4683" t="s">
        <v>14345</v>
      </c>
      <c r="C4683">
        <v>1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 t="s">
        <v>3284</v>
      </c>
      <c r="M4683" t="s">
        <v>3391</v>
      </c>
      <c r="N4683" t="s">
        <v>3765</v>
      </c>
      <c r="O4683" t="s">
        <v>3766</v>
      </c>
      <c r="P4683" t="s">
        <v>6832</v>
      </c>
      <c r="Q4683" t="s">
        <v>6833</v>
      </c>
      <c r="R4683" t="s">
        <v>14346</v>
      </c>
    </row>
    <row r="4684" spans="1:18" x14ac:dyDescent="0.2">
      <c r="A4684">
        <v>163603</v>
      </c>
      <c r="B4684" t="s">
        <v>14347</v>
      </c>
      <c r="C4684">
        <v>0</v>
      </c>
      <c r="D4684">
        <v>1</v>
      </c>
      <c r="E4684">
        <v>0</v>
      </c>
      <c r="F4684">
        <v>0</v>
      </c>
      <c r="G4684">
        <v>1</v>
      </c>
      <c r="H4684">
        <v>0</v>
      </c>
      <c r="I4684">
        <v>0</v>
      </c>
      <c r="J4684">
        <v>0</v>
      </c>
      <c r="K4684">
        <v>0</v>
      </c>
      <c r="L4684" t="s">
        <v>3284</v>
      </c>
      <c r="M4684" t="s">
        <v>3307</v>
      </c>
      <c r="N4684" t="s">
        <v>3308</v>
      </c>
      <c r="O4684" t="s">
        <v>3949</v>
      </c>
      <c r="P4684" t="s">
        <v>8780</v>
      </c>
      <c r="Q4684" t="s">
        <v>8781</v>
      </c>
      <c r="R4684" t="s">
        <v>14348</v>
      </c>
    </row>
    <row r="4685" spans="1:18" x14ac:dyDescent="0.2">
      <c r="A4685">
        <v>162426</v>
      </c>
      <c r="B4685" t="s">
        <v>14349</v>
      </c>
      <c r="C4685">
        <v>1</v>
      </c>
      <c r="D4685">
        <v>1</v>
      </c>
      <c r="E4685">
        <v>0</v>
      </c>
      <c r="F4685">
        <v>0</v>
      </c>
      <c r="G4685">
        <v>0</v>
      </c>
      <c r="H4685">
        <v>0</v>
      </c>
      <c r="I4685">
        <v>2</v>
      </c>
      <c r="J4685">
        <v>0</v>
      </c>
      <c r="K4685">
        <v>0</v>
      </c>
      <c r="L4685" t="s">
        <v>3284</v>
      </c>
      <c r="M4685" t="s">
        <v>3307</v>
      </c>
      <c r="N4685" t="s">
        <v>3308</v>
      </c>
      <c r="O4685" t="s">
        <v>3359</v>
      </c>
      <c r="P4685" t="s">
        <v>3360</v>
      </c>
      <c r="Q4685" t="s">
        <v>3361</v>
      </c>
      <c r="R4685" t="s">
        <v>14350</v>
      </c>
    </row>
    <row r="4686" spans="1:18" x14ac:dyDescent="0.2">
      <c r="A4686">
        <v>162393</v>
      </c>
      <c r="B4686" t="s">
        <v>14351</v>
      </c>
      <c r="C4686">
        <v>0</v>
      </c>
      <c r="D4686">
        <v>0</v>
      </c>
      <c r="E4686">
        <v>0</v>
      </c>
      <c r="F4686">
        <v>0</v>
      </c>
      <c r="G4686">
        <v>1</v>
      </c>
      <c r="H4686">
        <v>0</v>
      </c>
      <c r="I4686">
        <v>0</v>
      </c>
      <c r="J4686">
        <v>0</v>
      </c>
      <c r="K4686">
        <v>1</v>
      </c>
      <c r="L4686" t="s">
        <v>3284</v>
      </c>
      <c r="M4686" t="s">
        <v>3307</v>
      </c>
      <c r="N4686" t="s">
        <v>3308</v>
      </c>
      <c r="O4686" t="s">
        <v>3359</v>
      </c>
      <c r="P4686" t="s">
        <v>3360</v>
      </c>
      <c r="Q4686" t="s">
        <v>3361</v>
      </c>
      <c r="R4686" t="s">
        <v>14352</v>
      </c>
    </row>
    <row r="4687" spans="1:18" x14ac:dyDescent="0.2">
      <c r="A4687">
        <v>162156</v>
      </c>
      <c r="B4687" t="s">
        <v>14353</v>
      </c>
      <c r="C4687">
        <v>0</v>
      </c>
      <c r="D4687">
        <v>0</v>
      </c>
      <c r="E4687">
        <v>0</v>
      </c>
      <c r="F4687">
        <v>1</v>
      </c>
      <c r="G4687">
        <v>0</v>
      </c>
      <c r="H4687">
        <v>0</v>
      </c>
      <c r="I4687">
        <v>0</v>
      </c>
      <c r="J4687">
        <v>0</v>
      </c>
      <c r="K4687">
        <v>0</v>
      </c>
      <c r="L4687" t="s">
        <v>3284</v>
      </c>
      <c r="M4687" t="s">
        <v>3391</v>
      </c>
      <c r="N4687" t="s">
        <v>3765</v>
      </c>
      <c r="O4687" t="s">
        <v>3766</v>
      </c>
      <c r="P4687" t="s">
        <v>9999</v>
      </c>
      <c r="Q4687" t="s">
        <v>10000</v>
      </c>
      <c r="R4687" t="s">
        <v>14354</v>
      </c>
    </row>
    <row r="4688" spans="1:18" x14ac:dyDescent="0.2">
      <c r="A4688">
        <v>160825</v>
      </c>
      <c r="B4688" t="s">
        <v>14355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1</v>
      </c>
      <c r="I4688">
        <v>0</v>
      </c>
      <c r="J4688">
        <v>0</v>
      </c>
      <c r="K4688">
        <v>0</v>
      </c>
      <c r="L4688" t="s">
        <v>3284</v>
      </c>
      <c r="M4688" t="s">
        <v>3296</v>
      </c>
      <c r="N4688" t="s">
        <v>3321</v>
      </c>
      <c r="O4688" t="s">
        <v>3322</v>
      </c>
      <c r="P4688" t="s">
        <v>3398</v>
      </c>
      <c r="Q4688" t="s">
        <v>3806</v>
      </c>
      <c r="R4688" t="s">
        <v>14356</v>
      </c>
    </row>
    <row r="4689" spans="1:18" x14ac:dyDescent="0.2">
      <c r="A4689">
        <v>160799</v>
      </c>
      <c r="B4689" t="s">
        <v>14357</v>
      </c>
      <c r="C4689">
        <v>0</v>
      </c>
      <c r="D4689">
        <v>0</v>
      </c>
      <c r="E4689">
        <v>0</v>
      </c>
      <c r="F4689">
        <v>3</v>
      </c>
      <c r="G4689">
        <v>1</v>
      </c>
      <c r="H4689">
        <v>0</v>
      </c>
      <c r="I4689">
        <v>0</v>
      </c>
      <c r="J4689">
        <v>0</v>
      </c>
      <c r="K4689">
        <v>0</v>
      </c>
      <c r="L4689" t="s">
        <v>3284</v>
      </c>
      <c r="M4689" t="s">
        <v>3327</v>
      </c>
      <c r="N4689" t="s">
        <v>3376</v>
      </c>
      <c r="O4689" t="s">
        <v>3377</v>
      </c>
      <c r="P4689" t="s">
        <v>3604</v>
      </c>
      <c r="Q4689" t="s">
        <v>3668</v>
      </c>
      <c r="R4689" t="s">
        <v>14358</v>
      </c>
    </row>
    <row r="4690" spans="1:18" x14ac:dyDescent="0.2">
      <c r="A4690">
        <v>160791</v>
      </c>
      <c r="B4690" t="s">
        <v>14359</v>
      </c>
      <c r="C4690">
        <v>0</v>
      </c>
      <c r="D4690">
        <v>0</v>
      </c>
      <c r="E4690">
        <v>0</v>
      </c>
      <c r="F4690">
        <v>5</v>
      </c>
      <c r="G4690">
        <v>7</v>
      </c>
      <c r="H4690">
        <v>0</v>
      </c>
      <c r="I4690">
        <v>0</v>
      </c>
      <c r="J4690">
        <v>0</v>
      </c>
      <c r="K4690">
        <v>0</v>
      </c>
      <c r="L4690" t="s">
        <v>3284</v>
      </c>
      <c r="M4690" t="s">
        <v>3296</v>
      </c>
      <c r="N4690" t="s">
        <v>3343</v>
      </c>
      <c r="O4690" t="s">
        <v>3349</v>
      </c>
      <c r="P4690" t="s">
        <v>3350</v>
      </c>
      <c r="Q4690" t="s">
        <v>7439</v>
      </c>
      <c r="R4690" t="s">
        <v>14360</v>
      </c>
    </row>
    <row r="4691" spans="1:18" x14ac:dyDescent="0.2">
      <c r="A4691">
        <v>160699</v>
      </c>
      <c r="B4691" t="s">
        <v>14361</v>
      </c>
      <c r="C4691">
        <v>1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 t="s">
        <v>3284</v>
      </c>
      <c r="M4691" t="s">
        <v>3296</v>
      </c>
      <c r="N4691" t="s">
        <v>3343</v>
      </c>
      <c r="O4691" t="s">
        <v>3344</v>
      </c>
      <c r="P4691" t="s">
        <v>3355</v>
      </c>
      <c r="Q4691" t="s">
        <v>3546</v>
      </c>
      <c r="R4691" t="s">
        <v>14362</v>
      </c>
    </row>
    <row r="4692" spans="1:18" x14ac:dyDescent="0.2">
      <c r="A4692">
        <v>160386</v>
      </c>
      <c r="B4692" t="s">
        <v>14363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1</v>
      </c>
      <c r="J4692">
        <v>0</v>
      </c>
      <c r="K4692">
        <v>0</v>
      </c>
      <c r="L4692" t="s">
        <v>3284</v>
      </c>
      <c r="M4692" t="s">
        <v>3307</v>
      </c>
      <c r="N4692" t="s">
        <v>3308</v>
      </c>
      <c r="O4692" t="s">
        <v>3635</v>
      </c>
      <c r="P4692" t="s">
        <v>13362</v>
      </c>
      <c r="Q4692" t="s">
        <v>13363</v>
      </c>
      <c r="R4692" t="s">
        <v>14364</v>
      </c>
    </row>
    <row r="4693" spans="1:18" x14ac:dyDescent="0.2">
      <c r="A4693">
        <v>159447</v>
      </c>
      <c r="B4693" t="s">
        <v>14365</v>
      </c>
      <c r="C4693">
        <v>1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 t="s">
        <v>3284</v>
      </c>
      <c r="M4693" t="s">
        <v>3307</v>
      </c>
      <c r="N4693" t="s">
        <v>3308</v>
      </c>
      <c r="O4693" t="s">
        <v>3635</v>
      </c>
      <c r="P4693" t="s">
        <v>13362</v>
      </c>
      <c r="Q4693" t="s">
        <v>13363</v>
      </c>
      <c r="R4693" t="s">
        <v>14366</v>
      </c>
    </row>
    <row r="4694" spans="1:18" x14ac:dyDescent="0.2">
      <c r="A4694">
        <v>159271</v>
      </c>
      <c r="B4694" t="s">
        <v>14367</v>
      </c>
      <c r="C4694">
        <v>0</v>
      </c>
      <c r="D4694">
        <v>2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 t="s">
        <v>3284</v>
      </c>
      <c r="M4694" t="s">
        <v>4580</v>
      </c>
      <c r="N4694" t="s">
        <v>4581</v>
      </c>
      <c r="O4694" t="s">
        <v>4582</v>
      </c>
      <c r="P4694" t="s">
        <v>8503</v>
      </c>
      <c r="Q4694" t="s">
        <v>8504</v>
      </c>
      <c r="R4694" t="s">
        <v>14368</v>
      </c>
    </row>
    <row r="4695" spans="1:18" x14ac:dyDescent="0.2">
      <c r="A4695">
        <v>159267</v>
      </c>
      <c r="B4695" t="s">
        <v>14369</v>
      </c>
      <c r="C4695">
        <v>0</v>
      </c>
      <c r="D4695">
        <v>1</v>
      </c>
      <c r="E4695">
        <v>0</v>
      </c>
      <c r="F4695">
        <v>0</v>
      </c>
      <c r="G4695">
        <v>0</v>
      </c>
      <c r="H4695">
        <v>0</v>
      </c>
      <c r="I4695">
        <v>1</v>
      </c>
      <c r="J4695">
        <v>0</v>
      </c>
      <c r="K4695">
        <v>0</v>
      </c>
      <c r="L4695" t="s">
        <v>3284</v>
      </c>
      <c r="M4695" t="s">
        <v>4580</v>
      </c>
      <c r="N4695" t="s">
        <v>4581</v>
      </c>
      <c r="O4695" t="s">
        <v>4582</v>
      </c>
      <c r="P4695" t="s">
        <v>4583</v>
      </c>
      <c r="Q4695" t="s">
        <v>14370</v>
      </c>
      <c r="R4695" t="s">
        <v>14371</v>
      </c>
    </row>
    <row r="4696" spans="1:18" x14ac:dyDescent="0.2">
      <c r="A4696">
        <v>158836</v>
      </c>
      <c r="B4696" t="s">
        <v>14372</v>
      </c>
      <c r="C4696">
        <v>17</v>
      </c>
      <c r="D4696">
        <v>17</v>
      </c>
      <c r="E4696">
        <v>1064</v>
      </c>
      <c r="F4696">
        <v>14</v>
      </c>
      <c r="G4696">
        <v>11</v>
      </c>
      <c r="H4696">
        <v>531</v>
      </c>
      <c r="I4696">
        <v>24</v>
      </c>
      <c r="J4696">
        <v>11</v>
      </c>
      <c r="K4696">
        <v>630</v>
      </c>
      <c r="L4696" t="s">
        <v>3284</v>
      </c>
      <c r="M4696" t="s">
        <v>3296</v>
      </c>
      <c r="N4696" t="s">
        <v>3297</v>
      </c>
      <c r="O4696" t="s">
        <v>3298</v>
      </c>
      <c r="P4696" t="s">
        <v>3826</v>
      </c>
      <c r="Q4696" t="s">
        <v>6074</v>
      </c>
      <c r="R4696" t="s">
        <v>14373</v>
      </c>
    </row>
    <row r="4697" spans="1:18" x14ac:dyDescent="0.2">
      <c r="A4697">
        <v>158754</v>
      </c>
      <c r="B4697" t="s">
        <v>14374</v>
      </c>
      <c r="C4697">
        <v>1</v>
      </c>
      <c r="D4697">
        <v>1</v>
      </c>
      <c r="E4697">
        <v>0</v>
      </c>
      <c r="F4697">
        <v>4</v>
      </c>
      <c r="G4697">
        <v>1</v>
      </c>
      <c r="H4697">
        <v>0</v>
      </c>
      <c r="I4697">
        <v>0</v>
      </c>
      <c r="J4697">
        <v>0</v>
      </c>
      <c r="K4697">
        <v>0</v>
      </c>
      <c r="L4697" t="s">
        <v>3284</v>
      </c>
      <c r="M4697" t="s">
        <v>3296</v>
      </c>
      <c r="N4697" t="s">
        <v>3343</v>
      </c>
      <c r="O4697" t="s">
        <v>3349</v>
      </c>
      <c r="P4697" t="s">
        <v>3350</v>
      </c>
      <c r="Q4697" t="s">
        <v>3580</v>
      </c>
      <c r="R4697" t="s">
        <v>14375</v>
      </c>
    </row>
    <row r="4698" spans="1:18" x14ac:dyDescent="0.2">
      <c r="A4698">
        <v>158753</v>
      </c>
      <c r="B4698" t="s">
        <v>14376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16</v>
      </c>
      <c r="J4698">
        <v>13</v>
      </c>
      <c r="K4698">
        <v>2</v>
      </c>
      <c r="L4698" t="s">
        <v>3284</v>
      </c>
      <c r="M4698" t="s">
        <v>3296</v>
      </c>
      <c r="N4698" t="s">
        <v>3321</v>
      </c>
      <c r="O4698" t="s">
        <v>3322</v>
      </c>
      <c r="P4698" t="s">
        <v>3271</v>
      </c>
      <c r="Q4698" t="s">
        <v>4214</v>
      </c>
      <c r="R4698" t="s">
        <v>14377</v>
      </c>
    </row>
    <row r="4699" spans="1:18" x14ac:dyDescent="0.2">
      <c r="A4699">
        <v>158751</v>
      </c>
      <c r="B4699" t="s">
        <v>14378</v>
      </c>
      <c r="C4699">
        <v>1</v>
      </c>
      <c r="D4699">
        <v>0</v>
      </c>
      <c r="E4699">
        <v>1</v>
      </c>
      <c r="F4699">
        <v>1</v>
      </c>
      <c r="G4699">
        <v>0</v>
      </c>
      <c r="H4699">
        <v>1</v>
      </c>
      <c r="I4699">
        <v>11</v>
      </c>
      <c r="J4699">
        <v>0</v>
      </c>
      <c r="K4699">
        <v>4</v>
      </c>
      <c r="L4699" t="s">
        <v>3284</v>
      </c>
      <c r="M4699" t="s">
        <v>3296</v>
      </c>
      <c r="N4699" t="s">
        <v>3321</v>
      </c>
      <c r="O4699" t="s">
        <v>3322</v>
      </c>
      <c r="P4699" t="s">
        <v>3398</v>
      </c>
      <c r="Q4699" t="s">
        <v>3556</v>
      </c>
      <c r="R4699" t="s">
        <v>14379</v>
      </c>
    </row>
    <row r="4700" spans="1:18" x14ac:dyDescent="0.2">
      <c r="A4700">
        <v>158749</v>
      </c>
      <c r="B4700" t="s">
        <v>14380</v>
      </c>
      <c r="C4700">
        <v>1</v>
      </c>
      <c r="D4700">
        <v>0</v>
      </c>
      <c r="E4700">
        <v>0</v>
      </c>
      <c r="F4700">
        <v>8</v>
      </c>
      <c r="G4700">
        <v>8</v>
      </c>
      <c r="H4700">
        <v>0</v>
      </c>
      <c r="I4700">
        <v>0</v>
      </c>
      <c r="J4700">
        <v>0</v>
      </c>
      <c r="K4700">
        <v>0</v>
      </c>
      <c r="L4700" t="s">
        <v>3284</v>
      </c>
      <c r="M4700" t="s">
        <v>3296</v>
      </c>
      <c r="N4700" t="s">
        <v>3343</v>
      </c>
      <c r="O4700" t="s">
        <v>3402</v>
      </c>
      <c r="P4700" t="s">
        <v>3403</v>
      </c>
      <c r="Q4700" t="s">
        <v>3404</v>
      </c>
      <c r="R4700" t="s">
        <v>14381</v>
      </c>
    </row>
    <row r="4701" spans="1:18" x14ac:dyDescent="0.2">
      <c r="A4701">
        <v>158500</v>
      </c>
      <c r="B4701" t="s">
        <v>14382</v>
      </c>
      <c r="C4701">
        <v>0</v>
      </c>
      <c r="D4701">
        <v>0</v>
      </c>
      <c r="E4701">
        <v>0</v>
      </c>
      <c r="F4701">
        <v>9</v>
      </c>
      <c r="G4701">
        <v>9</v>
      </c>
      <c r="H4701">
        <v>1</v>
      </c>
      <c r="I4701">
        <v>0</v>
      </c>
      <c r="J4701">
        <v>0</v>
      </c>
      <c r="K4701">
        <v>0</v>
      </c>
      <c r="L4701" t="s">
        <v>3284</v>
      </c>
      <c r="M4701" t="s">
        <v>3296</v>
      </c>
      <c r="N4701" t="s">
        <v>3343</v>
      </c>
      <c r="O4701" t="s">
        <v>3349</v>
      </c>
      <c r="P4701" t="s">
        <v>3350</v>
      </c>
      <c r="Q4701" t="s">
        <v>3351</v>
      </c>
      <c r="R4701" t="s">
        <v>14383</v>
      </c>
    </row>
    <row r="4702" spans="1:18" x14ac:dyDescent="0.2">
      <c r="A4702">
        <v>157784</v>
      </c>
      <c r="B4702" t="s">
        <v>14384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1</v>
      </c>
      <c r="I4702">
        <v>0</v>
      </c>
      <c r="J4702">
        <v>0</v>
      </c>
      <c r="K4702">
        <v>0</v>
      </c>
      <c r="L4702" t="s">
        <v>3284</v>
      </c>
      <c r="M4702" t="s">
        <v>3296</v>
      </c>
      <c r="N4702" t="s">
        <v>3297</v>
      </c>
      <c r="O4702" t="s">
        <v>3434</v>
      </c>
      <c r="P4702" t="s">
        <v>3435</v>
      </c>
      <c r="Q4702" t="s">
        <v>3436</v>
      </c>
      <c r="R4702" t="s">
        <v>14385</v>
      </c>
    </row>
    <row r="4703" spans="1:18" x14ac:dyDescent="0.2">
      <c r="A4703">
        <v>157783</v>
      </c>
      <c r="B4703" t="s">
        <v>14386</v>
      </c>
      <c r="C4703">
        <v>0</v>
      </c>
      <c r="D4703">
        <v>0</v>
      </c>
      <c r="E4703">
        <v>0</v>
      </c>
      <c r="F4703">
        <v>1</v>
      </c>
      <c r="G4703">
        <v>0</v>
      </c>
      <c r="H4703">
        <v>0</v>
      </c>
      <c r="I4703">
        <v>0</v>
      </c>
      <c r="J4703">
        <v>0</v>
      </c>
      <c r="K4703">
        <v>0</v>
      </c>
      <c r="L4703" t="s">
        <v>3284</v>
      </c>
      <c r="M4703" t="s">
        <v>3296</v>
      </c>
      <c r="N4703" t="s">
        <v>3297</v>
      </c>
      <c r="O4703" t="s">
        <v>3434</v>
      </c>
      <c r="P4703" t="s">
        <v>3435</v>
      </c>
      <c r="Q4703" t="s">
        <v>3436</v>
      </c>
      <c r="R4703" t="s">
        <v>14387</v>
      </c>
    </row>
    <row r="4704" spans="1:18" x14ac:dyDescent="0.2">
      <c r="A4704">
        <v>157687</v>
      </c>
      <c r="B4704" t="s">
        <v>14388</v>
      </c>
      <c r="C4704">
        <v>1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 t="s">
        <v>3284</v>
      </c>
      <c r="M4704" t="s">
        <v>4580</v>
      </c>
      <c r="N4704" t="s">
        <v>4581</v>
      </c>
      <c r="O4704" t="s">
        <v>4582</v>
      </c>
      <c r="P4704" t="s">
        <v>8503</v>
      </c>
      <c r="Q4704" t="s">
        <v>8504</v>
      </c>
      <c r="R4704" t="s">
        <v>14389</v>
      </c>
    </row>
    <row r="4705" spans="1:18" x14ac:dyDescent="0.2">
      <c r="A4705">
        <v>157076</v>
      </c>
      <c r="B4705" t="s">
        <v>14390</v>
      </c>
      <c r="C4705">
        <v>0</v>
      </c>
      <c r="D4705">
        <v>0</v>
      </c>
      <c r="E4705">
        <v>1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 t="s">
        <v>3284</v>
      </c>
      <c r="M4705" t="s">
        <v>3327</v>
      </c>
      <c r="N4705" t="s">
        <v>3376</v>
      </c>
      <c r="O4705" t="s">
        <v>3718</v>
      </c>
      <c r="P4705" t="s">
        <v>3719</v>
      </c>
      <c r="Q4705" t="s">
        <v>14391</v>
      </c>
      <c r="R4705" t="s">
        <v>14392</v>
      </c>
    </row>
    <row r="4706" spans="1:18" x14ac:dyDescent="0.2">
      <c r="A4706">
        <v>156981</v>
      </c>
      <c r="B4706" t="s">
        <v>14393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1</v>
      </c>
      <c r="J4706">
        <v>0</v>
      </c>
      <c r="K4706">
        <v>0</v>
      </c>
      <c r="L4706" t="s">
        <v>3284</v>
      </c>
      <c r="M4706" t="s">
        <v>3307</v>
      </c>
      <c r="N4706" t="s">
        <v>3308</v>
      </c>
      <c r="O4706" t="s">
        <v>3359</v>
      </c>
      <c r="P4706" t="s">
        <v>3588</v>
      </c>
      <c r="Q4706" t="s">
        <v>4970</v>
      </c>
      <c r="R4706" t="s">
        <v>14394</v>
      </c>
    </row>
    <row r="4707" spans="1:18" x14ac:dyDescent="0.2">
      <c r="A4707">
        <v>156977</v>
      </c>
      <c r="B4707" t="s">
        <v>14395</v>
      </c>
      <c r="C4707">
        <v>0</v>
      </c>
      <c r="D4707">
        <v>0</v>
      </c>
      <c r="E4707">
        <v>0</v>
      </c>
      <c r="F4707">
        <v>0</v>
      </c>
      <c r="G4707">
        <v>1</v>
      </c>
      <c r="H4707">
        <v>0</v>
      </c>
      <c r="I4707">
        <v>0</v>
      </c>
      <c r="J4707">
        <v>0</v>
      </c>
      <c r="K4707">
        <v>0</v>
      </c>
      <c r="L4707" t="s">
        <v>3284</v>
      </c>
      <c r="M4707" t="s">
        <v>3307</v>
      </c>
      <c r="N4707" t="s">
        <v>3308</v>
      </c>
      <c r="O4707" t="s">
        <v>3359</v>
      </c>
      <c r="P4707" t="s">
        <v>3360</v>
      </c>
      <c r="Q4707" t="s">
        <v>3361</v>
      </c>
      <c r="R4707" t="s">
        <v>14396</v>
      </c>
    </row>
    <row r="4708" spans="1:18" x14ac:dyDescent="0.2">
      <c r="A4708">
        <v>156974</v>
      </c>
      <c r="B4708" t="s">
        <v>14397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1</v>
      </c>
      <c r="K4708">
        <v>0</v>
      </c>
      <c r="L4708" t="s">
        <v>3284</v>
      </c>
      <c r="M4708" t="s">
        <v>3391</v>
      </c>
      <c r="N4708" t="s">
        <v>3765</v>
      </c>
      <c r="O4708" t="s">
        <v>3766</v>
      </c>
      <c r="P4708" t="s">
        <v>6832</v>
      </c>
      <c r="Q4708" t="s">
        <v>6833</v>
      </c>
      <c r="R4708" t="s">
        <v>14398</v>
      </c>
    </row>
    <row r="4709" spans="1:18" x14ac:dyDescent="0.2">
      <c r="A4709">
        <v>155894</v>
      </c>
      <c r="B4709" t="s">
        <v>14399</v>
      </c>
      <c r="C4709">
        <v>0</v>
      </c>
      <c r="D4709">
        <v>1</v>
      </c>
      <c r="E4709">
        <v>0</v>
      </c>
      <c r="F4709">
        <v>0</v>
      </c>
      <c r="G4709">
        <v>1</v>
      </c>
      <c r="H4709">
        <v>0</v>
      </c>
      <c r="I4709">
        <v>0</v>
      </c>
      <c r="J4709">
        <v>0</v>
      </c>
      <c r="K4709">
        <v>0</v>
      </c>
      <c r="L4709" t="s">
        <v>3284</v>
      </c>
      <c r="M4709" t="s">
        <v>4022</v>
      </c>
      <c r="N4709" t="s">
        <v>4023</v>
      </c>
      <c r="O4709" t="s">
        <v>7790</v>
      </c>
      <c r="P4709" t="s">
        <v>7791</v>
      </c>
      <c r="Q4709" t="s">
        <v>7792</v>
      </c>
      <c r="R4709" t="s">
        <v>14400</v>
      </c>
    </row>
    <row r="4710" spans="1:18" x14ac:dyDescent="0.2">
      <c r="A4710">
        <v>155892</v>
      </c>
      <c r="B4710" t="s">
        <v>14401</v>
      </c>
      <c r="C4710">
        <v>1</v>
      </c>
      <c r="D4710">
        <v>0</v>
      </c>
      <c r="E4710">
        <v>0</v>
      </c>
      <c r="F4710">
        <v>4</v>
      </c>
      <c r="G4710">
        <v>1</v>
      </c>
      <c r="H4710">
        <v>0</v>
      </c>
      <c r="I4710">
        <v>0</v>
      </c>
      <c r="J4710">
        <v>0</v>
      </c>
      <c r="K4710">
        <v>0</v>
      </c>
      <c r="L4710" t="s">
        <v>3284</v>
      </c>
      <c r="M4710" t="s">
        <v>3296</v>
      </c>
      <c r="N4710" t="s">
        <v>3343</v>
      </c>
      <c r="O4710" t="s">
        <v>3402</v>
      </c>
      <c r="P4710" t="s">
        <v>3403</v>
      </c>
      <c r="Q4710" t="s">
        <v>3404</v>
      </c>
      <c r="R4710" t="s">
        <v>14402</v>
      </c>
    </row>
    <row r="4711" spans="1:18" x14ac:dyDescent="0.2">
      <c r="A4711">
        <v>155322</v>
      </c>
      <c r="B4711" t="s">
        <v>14403</v>
      </c>
      <c r="C4711">
        <v>1</v>
      </c>
      <c r="D4711">
        <v>2</v>
      </c>
      <c r="E4711">
        <v>10</v>
      </c>
      <c r="F4711">
        <v>0</v>
      </c>
      <c r="G4711">
        <v>0</v>
      </c>
      <c r="H4711">
        <v>0</v>
      </c>
      <c r="I4711">
        <v>23</v>
      </c>
      <c r="J4711">
        <v>15</v>
      </c>
      <c r="K4711">
        <v>16</v>
      </c>
      <c r="L4711" t="s">
        <v>3284</v>
      </c>
      <c r="M4711" t="s">
        <v>3327</v>
      </c>
      <c r="N4711" t="s">
        <v>3376</v>
      </c>
      <c r="O4711" t="s">
        <v>3377</v>
      </c>
      <c r="P4711" t="s">
        <v>3378</v>
      </c>
      <c r="Q4711" t="s">
        <v>3379</v>
      </c>
      <c r="R4711" t="s">
        <v>14404</v>
      </c>
    </row>
    <row r="4712" spans="1:18" x14ac:dyDescent="0.2">
      <c r="A4712">
        <v>154621</v>
      </c>
      <c r="B4712" t="s">
        <v>14405</v>
      </c>
      <c r="C4712">
        <v>1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 t="s">
        <v>3284</v>
      </c>
      <c r="M4712" t="s">
        <v>3327</v>
      </c>
      <c r="N4712" t="s">
        <v>3376</v>
      </c>
      <c r="O4712" t="s">
        <v>3718</v>
      </c>
      <c r="P4712" t="s">
        <v>6044</v>
      </c>
      <c r="Q4712" t="s">
        <v>6045</v>
      </c>
      <c r="R4712" t="s">
        <v>14406</v>
      </c>
    </row>
    <row r="4713" spans="1:18" x14ac:dyDescent="0.2">
      <c r="A4713">
        <v>154288</v>
      </c>
      <c r="B4713" t="s">
        <v>14407</v>
      </c>
      <c r="C4713">
        <v>1</v>
      </c>
      <c r="D4713">
        <v>1</v>
      </c>
      <c r="E4713">
        <v>1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 t="s">
        <v>3284</v>
      </c>
      <c r="M4713" t="s">
        <v>3327</v>
      </c>
      <c r="N4713" t="s">
        <v>6610</v>
      </c>
      <c r="O4713" t="s">
        <v>6611</v>
      </c>
      <c r="P4713" t="s">
        <v>6612</v>
      </c>
      <c r="Q4713" t="s">
        <v>6613</v>
      </c>
      <c r="R4713" t="s">
        <v>14408</v>
      </c>
    </row>
    <row r="4714" spans="1:18" x14ac:dyDescent="0.2">
      <c r="A4714">
        <v>153971</v>
      </c>
      <c r="B4714" t="s">
        <v>14409</v>
      </c>
      <c r="C4714">
        <v>0</v>
      </c>
      <c r="D4714">
        <v>0</v>
      </c>
      <c r="E4714">
        <v>0</v>
      </c>
      <c r="F4714">
        <v>1</v>
      </c>
      <c r="G4714">
        <v>0</v>
      </c>
      <c r="H4714">
        <v>0</v>
      </c>
      <c r="I4714">
        <v>0</v>
      </c>
      <c r="J4714">
        <v>0</v>
      </c>
      <c r="K4714">
        <v>0</v>
      </c>
      <c r="L4714" t="s">
        <v>3284</v>
      </c>
      <c r="M4714" t="s">
        <v>3307</v>
      </c>
      <c r="N4714" t="s">
        <v>3308</v>
      </c>
      <c r="O4714" t="s">
        <v>3635</v>
      </c>
      <c r="P4714" t="s">
        <v>4011</v>
      </c>
      <c r="Q4714" t="s">
        <v>4012</v>
      </c>
      <c r="R4714" t="s">
        <v>14410</v>
      </c>
    </row>
    <row r="4715" spans="1:18" x14ac:dyDescent="0.2">
      <c r="A4715">
        <v>153151</v>
      </c>
      <c r="B4715" t="s">
        <v>14411</v>
      </c>
      <c r="C4715">
        <v>1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 t="s">
        <v>3284</v>
      </c>
      <c r="M4715" t="s">
        <v>3327</v>
      </c>
      <c r="N4715" t="s">
        <v>3376</v>
      </c>
      <c r="O4715" t="s">
        <v>3377</v>
      </c>
      <c r="P4715" t="s">
        <v>14257</v>
      </c>
      <c r="Q4715" t="s">
        <v>14258</v>
      </c>
      <c r="R4715" t="s">
        <v>14412</v>
      </c>
    </row>
    <row r="4716" spans="1:18" x14ac:dyDescent="0.2">
      <c r="A4716">
        <v>152480</v>
      </c>
      <c r="B4716" t="s">
        <v>14413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1</v>
      </c>
      <c r="K4716">
        <v>0</v>
      </c>
      <c r="L4716" t="s">
        <v>3284</v>
      </c>
      <c r="M4716" t="s">
        <v>3296</v>
      </c>
      <c r="N4716" t="s">
        <v>3321</v>
      </c>
      <c r="O4716" t="s">
        <v>3322</v>
      </c>
      <c r="P4716" t="s">
        <v>3423</v>
      </c>
      <c r="Q4716" t="s">
        <v>4170</v>
      </c>
      <c r="R4716" t="s">
        <v>14414</v>
      </c>
    </row>
    <row r="4717" spans="1:18" x14ac:dyDescent="0.2">
      <c r="A4717">
        <v>152268</v>
      </c>
      <c r="B4717" t="s">
        <v>14415</v>
      </c>
      <c r="C4717">
        <v>0</v>
      </c>
      <c r="D4717">
        <v>1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 t="s">
        <v>3284</v>
      </c>
      <c r="M4717" t="s">
        <v>3327</v>
      </c>
      <c r="N4717" t="s">
        <v>3376</v>
      </c>
      <c r="O4717" t="s">
        <v>3377</v>
      </c>
      <c r="P4717" t="s">
        <v>3378</v>
      </c>
      <c r="Q4717" t="s">
        <v>6184</v>
      </c>
      <c r="R4717" t="s">
        <v>14416</v>
      </c>
    </row>
    <row r="4718" spans="1:18" x14ac:dyDescent="0.2">
      <c r="A4718">
        <v>151894</v>
      </c>
      <c r="B4718" t="s">
        <v>14417</v>
      </c>
      <c r="C4718">
        <v>0</v>
      </c>
      <c r="D4718">
        <v>0</v>
      </c>
      <c r="E4718">
        <v>0</v>
      </c>
      <c r="F4718">
        <v>3</v>
      </c>
      <c r="G4718">
        <v>1</v>
      </c>
      <c r="H4718">
        <v>0</v>
      </c>
      <c r="I4718">
        <v>27</v>
      </c>
      <c r="J4718">
        <v>14</v>
      </c>
      <c r="K4718">
        <v>1</v>
      </c>
      <c r="L4718" t="s">
        <v>3284</v>
      </c>
      <c r="M4718" t="s">
        <v>3391</v>
      </c>
      <c r="N4718" t="s">
        <v>3392</v>
      </c>
      <c r="O4718" t="s">
        <v>3393</v>
      </c>
      <c r="P4718" t="s">
        <v>3394</v>
      </c>
      <c r="Q4718" t="s">
        <v>3395</v>
      </c>
      <c r="R4718" t="s">
        <v>14418</v>
      </c>
    </row>
    <row r="4719" spans="1:18" x14ac:dyDescent="0.2">
      <c r="A4719">
        <v>151784</v>
      </c>
      <c r="B4719" t="s">
        <v>14419</v>
      </c>
      <c r="C4719">
        <v>0</v>
      </c>
      <c r="D4719">
        <v>0</v>
      </c>
      <c r="E4719">
        <v>0</v>
      </c>
      <c r="F4719">
        <v>0</v>
      </c>
      <c r="G4719">
        <v>1</v>
      </c>
      <c r="H4719">
        <v>0</v>
      </c>
      <c r="I4719">
        <v>0</v>
      </c>
      <c r="J4719">
        <v>0</v>
      </c>
      <c r="K4719">
        <v>0</v>
      </c>
      <c r="L4719" t="s">
        <v>3284</v>
      </c>
      <c r="M4719" t="s">
        <v>3296</v>
      </c>
      <c r="N4719" t="s">
        <v>3321</v>
      </c>
      <c r="O4719" t="s">
        <v>3322</v>
      </c>
      <c r="P4719" t="s">
        <v>4143</v>
      </c>
      <c r="Q4719" t="s">
        <v>8587</v>
      </c>
      <c r="R4719" t="s">
        <v>14420</v>
      </c>
    </row>
    <row r="4720" spans="1:18" x14ac:dyDescent="0.2">
      <c r="A4720">
        <v>151654</v>
      </c>
      <c r="B4720" t="s">
        <v>14421</v>
      </c>
      <c r="C4720">
        <v>0</v>
      </c>
      <c r="D4720">
        <v>0</v>
      </c>
      <c r="E4720">
        <v>0</v>
      </c>
      <c r="F4720">
        <v>1</v>
      </c>
      <c r="G4720">
        <v>0</v>
      </c>
      <c r="H4720">
        <v>0</v>
      </c>
      <c r="I4720">
        <v>0</v>
      </c>
      <c r="J4720">
        <v>0</v>
      </c>
      <c r="K4720">
        <v>0</v>
      </c>
      <c r="L4720" t="s">
        <v>3284</v>
      </c>
      <c r="M4720" t="s">
        <v>3296</v>
      </c>
      <c r="N4720" t="s">
        <v>3321</v>
      </c>
      <c r="O4720" t="s">
        <v>3322</v>
      </c>
      <c r="P4720" t="s">
        <v>3423</v>
      </c>
      <c r="Q4720" t="s">
        <v>3424</v>
      </c>
      <c r="R4720" t="s">
        <v>14422</v>
      </c>
    </row>
    <row r="4721" spans="1:18" x14ac:dyDescent="0.2">
      <c r="A4721">
        <v>151454</v>
      </c>
      <c r="B4721" t="s">
        <v>14423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1</v>
      </c>
      <c r="J4721">
        <v>0</v>
      </c>
      <c r="K4721">
        <v>0</v>
      </c>
      <c r="L4721" t="s">
        <v>3284</v>
      </c>
      <c r="M4721" t="s">
        <v>3296</v>
      </c>
      <c r="N4721" t="s">
        <v>3343</v>
      </c>
      <c r="O4721" t="s">
        <v>3344</v>
      </c>
      <c r="P4721" t="s">
        <v>3367</v>
      </c>
      <c r="Q4721" t="s">
        <v>3368</v>
      </c>
      <c r="R4721" t="s">
        <v>14424</v>
      </c>
    </row>
    <row r="4722" spans="1:18" x14ac:dyDescent="0.2">
      <c r="A4722">
        <v>151419</v>
      </c>
      <c r="B4722" t="s">
        <v>14425</v>
      </c>
      <c r="C4722">
        <v>1</v>
      </c>
      <c r="D4722">
        <v>1</v>
      </c>
      <c r="E4722">
        <v>0</v>
      </c>
      <c r="F4722">
        <v>0</v>
      </c>
      <c r="G4722">
        <v>0</v>
      </c>
      <c r="H4722">
        <v>0</v>
      </c>
      <c r="I4722">
        <v>1</v>
      </c>
      <c r="J4722">
        <v>0</v>
      </c>
      <c r="K4722">
        <v>0</v>
      </c>
      <c r="L4722" t="s">
        <v>3284</v>
      </c>
      <c r="M4722" t="s">
        <v>3296</v>
      </c>
      <c r="N4722" t="s">
        <v>3343</v>
      </c>
      <c r="O4722" t="s">
        <v>3344</v>
      </c>
      <c r="P4722" t="s">
        <v>3367</v>
      </c>
      <c r="Q4722" t="s">
        <v>3368</v>
      </c>
      <c r="R4722" t="s">
        <v>14426</v>
      </c>
    </row>
    <row r="4723" spans="1:18" x14ac:dyDescent="0.2">
      <c r="A4723">
        <v>151416</v>
      </c>
      <c r="B4723" t="s">
        <v>14427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1</v>
      </c>
      <c r="J4723">
        <v>2</v>
      </c>
      <c r="K4723">
        <v>0</v>
      </c>
      <c r="L4723" t="s">
        <v>3284</v>
      </c>
      <c r="M4723" t="s">
        <v>3296</v>
      </c>
      <c r="N4723" t="s">
        <v>3343</v>
      </c>
      <c r="O4723" t="s">
        <v>3344</v>
      </c>
      <c r="P4723" t="s">
        <v>3367</v>
      </c>
      <c r="Q4723" t="s">
        <v>3368</v>
      </c>
      <c r="R4723" t="s">
        <v>14428</v>
      </c>
    </row>
    <row r="4724" spans="1:18" x14ac:dyDescent="0.2">
      <c r="A4724">
        <v>150121</v>
      </c>
      <c r="B4724" t="s">
        <v>14429</v>
      </c>
      <c r="C4724">
        <v>0</v>
      </c>
      <c r="D4724">
        <v>0</v>
      </c>
      <c r="E4724">
        <v>0</v>
      </c>
      <c r="F4724">
        <v>1</v>
      </c>
      <c r="G4724">
        <v>0</v>
      </c>
      <c r="H4724">
        <v>0</v>
      </c>
      <c r="I4724">
        <v>0</v>
      </c>
      <c r="J4724">
        <v>0</v>
      </c>
      <c r="K4724">
        <v>0</v>
      </c>
      <c r="L4724" t="s">
        <v>3284</v>
      </c>
      <c r="M4724" t="s">
        <v>3307</v>
      </c>
      <c r="N4724" t="s">
        <v>3308</v>
      </c>
      <c r="O4724" t="s">
        <v>3359</v>
      </c>
      <c r="P4724" t="s">
        <v>3360</v>
      </c>
      <c r="Q4724" t="s">
        <v>10161</v>
      </c>
      <c r="R4724" t="s">
        <v>14430</v>
      </c>
    </row>
    <row r="4725" spans="1:18" x14ac:dyDescent="0.2">
      <c r="A4725">
        <v>150060</v>
      </c>
      <c r="B4725" t="s">
        <v>14431</v>
      </c>
      <c r="C4725">
        <v>1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 t="s">
        <v>3284</v>
      </c>
      <c r="M4725" t="s">
        <v>3327</v>
      </c>
      <c r="N4725" t="s">
        <v>3328</v>
      </c>
      <c r="O4725" t="s">
        <v>11667</v>
      </c>
      <c r="P4725" t="s">
        <v>12298</v>
      </c>
      <c r="Q4725" t="s">
        <v>14432</v>
      </c>
      <c r="R4725" t="s">
        <v>14433</v>
      </c>
    </row>
    <row r="4726" spans="1:18" x14ac:dyDescent="0.2">
      <c r="A4726">
        <v>150026</v>
      </c>
      <c r="B4726" t="s">
        <v>14434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1</v>
      </c>
      <c r="J4726">
        <v>0</v>
      </c>
      <c r="K4726">
        <v>0</v>
      </c>
      <c r="L4726" t="s">
        <v>3284</v>
      </c>
      <c r="M4726" t="s">
        <v>3307</v>
      </c>
      <c r="N4726" t="s">
        <v>3308</v>
      </c>
      <c r="O4726" t="s">
        <v>3359</v>
      </c>
      <c r="P4726" t="s">
        <v>3360</v>
      </c>
      <c r="Q4726" t="s">
        <v>3515</v>
      </c>
      <c r="R4726" t="s">
        <v>14435</v>
      </c>
    </row>
    <row r="4727" spans="1:18" x14ac:dyDescent="0.2">
      <c r="A4727">
        <v>146940</v>
      </c>
      <c r="B4727" t="s">
        <v>14436</v>
      </c>
      <c r="C4727">
        <v>0</v>
      </c>
      <c r="D4727">
        <v>0</v>
      </c>
      <c r="E4727">
        <v>0</v>
      </c>
      <c r="F4727">
        <v>0</v>
      </c>
      <c r="G4727">
        <v>1</v>
      </c>
      <c r="H4727">
        <v>0</v>
      </c>
      <c r="I4727">
        <v>0</v>
      </c>
      <c r="J4727">
        <v>0</v>
      </c>
      <c r="K4727">
        <v>0</v>
      </c>
      <c r="L4727" t="s">
        <v>3284</v>
      </c>
      <c r="M4727" t="s">
        <v>3296</v>
      </c>
      <c r="N4727" t="s">
        <v>3321</v>
      </c>
      <c r="O4727" t="s">
        <v>4147</v>
      </c>
      <c r="P4727" t="s">
        <v>7177</v>
      </c>
      <c r="Q4727" t="s">
        <v>7178</v>
      </c>
      <c r="R4727" t="s">
        <v>14437</v>
      </c>
    </row>
    <row r="4728" spans="1:18" x14ac:dyDescent="0.2">
      <c r="A4728">
        <v>146939</v>
      </c>
      <c r="B4728" t="s">
        <v>14438</v>
      </c>
      <c r="C4728">
        <v>0</v>
      </c>
      <c r="D4728">
        <v>1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 t="s">
        <v>3284</v>
      </c>
      <c r="M4728" t="s">
        <v>3296</v>
      </c>
      <c r="N4728" t="s">
        <v>3321</v>
      </c>
      <c r="O4728" t="s">
        <v>4147</v>
      </c>
      <c r="P4728" t="s">
        <v>4164</v>
      </c>
      <c r="Q4728" t="s">
        <v>14439</v>
      </c>
      <c r="R4728" t="s">
        <v>14440</v>
      </c>
    </row>
    <row r="4729" spans="1:18" x14ac:dyDescent="0.2">
      <c r="A4729">
        <v>146806</v>
      </c>
      <c r="B4729" t="s">
        <v>14441</v>
      </c>
      <c r="C4729">
        <v>0</v>
      </c>
      <c r="D4729">
        <v>1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 t="s">
        <v>3284</v>
      </c>
      <c r="M4729" t="s">
        <v>3296</v>
      </c>
      <c r="N4729" t="s">
        <v>3297</v>
      </c>
      <c r="O4729" t="s">
        <v>8067</v>
      </c>
      <c r="P4729" t="s">
        <v>8068</v>
      </c>
      <c r="Q4729" t="s">
        <v>14442</v>
      </c>
      <c r="R4729" t="s">
        <v>14443</v>
      </c>
    </row>
    <row r="4730" spans="1:18" x14ac:dyDescent="0.2">
      <c r="A4730">
        <v>145483</v>
      </c>
      <c r="B4730" t="s">
        <v>14444</v>
      </c>
      <c r="C4730">
        <v>0</v>
      </c>
      <c r="D4730">
        <v>0</v>
      </c>
      <c r="E4730">
        <v>0</v>
      </c>
      <c r="F4730">
        <v>0</v>
      </c>
      <c r="G4730">
        <v>1</v>
      </c>
      <c r="H4730">
        <v>0</v>
      </c>
      <c r="I4730">
        <v>0</v>
      </c>
      <c r="J4730">
        <v>0</v>
      </c>
      <c r="K4730">
        <v>0</v>
      </c>
      <c r="L4730" t="s">
        <v>3284</v>
      </c>
      <c r="M4730" t="s">
        <v>3307</v>
      </c>
      <c r="N4730" t="s">
        <v>3308</v>
      </c>
      <c r="O4730" t="s">
        <v>3359</v>
      </c>
      <c r="P4730" t="s">
        <v>3360</v>
      </c>
      <c r="Q4730" t="s">
        <v>6760</v>
      </c>
      <c r="R4730" t="s">
        <v>14445</v>
      </c>
    </row>
    <row r="4731" spans="1:18" x14ac:dyDescent="0.2">
      <c r="A4731">
        <v>145458</v>
      </c>
      <c r="B4731" t="s">
        <v>14446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1</v>
      </c>
      <c r="J4731">
        <v>0</v>
      </c>
      <c r="K4731">
        <v>0</v>
      </c>
      <c r="L4731" t="s">
        <v>3284</v>
      </c>
      <c r="M4731" t="s">
        <v>3307</v>
      </c>
      <c r="N4731" t="s">
        <v>3308</v>
      </c>
      <c r="O4731" t="s">
        <v>3359</v>
      </c>
      <c r="P4731" t="s">
        <v>3360</v>
      </c>
      <c r="Q4731" t="s">
        <v>4062</v>
      </c>
      <c r="R4731" t="s">
        <v>14447</v>
      </c>
    </row>
    <row r="4732" spans="1:18" x14ac:dyDescent="0.2">
      <c r="A4732">
        <v>145287</v>
      </c>
      <c r="B4732" t="s">
        <v>14448</v>
      </c>
      <c r="C4732">
        <v>0</v>
      </c>
      <c r="D4732">
        <v>0</v>
      </c>
      <c r="E4732">
        <v>0</v>
      </c>
      <c r="F4732">
        <v>2</v>
      </c>
      <c r="G4732">
        <v>0</v>
      </c>
      <c r="H4732">
        <v>0</v>
      </c>
      <c r="I4732">
        <v>0</v>
      </c>
      <c r="J4732">
        <v>0</v>
      </c>
      <c r="K4732">
        <v>0</v>
      </c>
      <c r="L4732" t="s">
        <v>3284</v>
      </c>
      <c r="M4732" t="s">
        <v>3296</v>
      </c>
      <c r="N4732" t="s">
        <v>3343</v>
      </c>
      <c r="O4732" t="s">
        <v>3349</v>
      </c>
      <c r="P4732" t="s">
        <v>3350</v>
      </c>
      <c r="Q4732" t="s">
        <v>3351</v>
      </c>
      <c r="R4732" t="s">
        <v>14449</v>
      </c>
    </row>
    <row r="4733" spans="1:18" x14ac:dyDescent="0.2">
      <c r="A4733">
        <v>144185</v>
      </c>
      <c r="B4733" t="s">
        <v>14450</v>
      </c>
      <c r="C4733">
        <v>1</v>
      </c>
      <c r="D4733">
        <v>0</v>
      </c>
      <c r="E4733">
        <v>0</v>
      </c>
      <c r="F4733">
        <v>1</v>
      </c>
      <c r="G4733">
        <v>0</v>
      </c>
      <c r="H4733">
        <v>0</v>
      </c>
      <c r="I4733">
        <v>3</v>
      </c>
      <c r="J4733">
        <v>2</v>
      </c>
      <c r="K4733">
        <v>0</v>
      </c>
      <c r="L4733" t="s">
        <v>3284</v>
      </c>
      <c r="M4733" t="s">
        <v>3307</v>
      </c>
      <c r="N4733" t="s">
        <v>3308</v>
      </c>
      <c r="O4733" t="s">
        <v>3359</v>
      </c>
      <c r="P4733" t="s">
        <v>3360</v>
      </c>
      <c r="Q4733" t="s">
        <v>3515</v>
      </c>
      <c r="R4733" t="s">
        <v>14451</v>
      </c>
    </row>
    <row r="4734" spans="1:18" x14ac:dyDescent="0.2">
      <c r="A4734">
        <v>142877</v>
      </c>
      <c r="B4734" t="s">
        <v>14452</v>
      </c>
      <c r="C4734">
        <v>1</v>
      </c>
      <c r="D4734">
        <v>0</v>
      </c>
      <c r="E4734">
        <v>2</v>
      </c>
      <c r="F4734">
        <v>0</v>
      </c>
      <c r="G4734">
        <v>0</v>
      </c>
      <c r="H4734">
        <v>0</v>
      </c>
      <c r="I4734">
        <v>1</v>
      </c>
      <c r="J4734">
        <v>0</v>
      </c>
      <c r="K4734">
        <v>0</v>
      </c>
      <c r="L4734" t="s">
        <v>3284</v>
      </c>
      <c r="M4734" t="s">
        <v>3327</v>
      </c>
      <c r="N4734" t="s">
        <v>3328</v>
      </c>
      <c r="O4734" t="s">
        <v>3329</v>
      </c>
      <c r="P4734" t="s">
        <v>4329</v>
      </c>
      <c r="Q4734" t="s">
        <v>14453</v>
      </c>
      <c r="R4734" t="s">
        <v>14454</v>
      </c>
    </row>
    <row r="4735" spans="1:18" x14ac:dyDescent="0.2">
      <c r="A4735">
        <v>142864</v>
      </c>
      <c r="B4735" t="s">
        <v>14455</v>
      </c>
      <c r="C4735">
        <v>0</v>
      </c>
      <c r="D4735">
        <v>0</v>
      </c>
      <c r="E4735">
        <v>0</v>
      </c>
      <c r="F4735">
        <v>1</v>
      </c>
      <c r="G4735">
        <v>0</v>
      </c>
      <c r="H4735">
        <v>0</v>
      </c>
      <c r="I4735">
        <v>0</v>
      </c>
      <c r="J4735">
        <v>0</v>
      </c>
      <c r="K4735">
        <v>0</v>
      </c>
      <c r="L4735" t="s">
        <v>3284</v>
      </c>
      <c r="M4735" t="s">
        <v>4022</v>
      </c>
      <c r="N4735" t="s">
        <v>4023</v>
      </c>
      <c r="O4735" t="s">
        <v>4289</v>
      </c>
      <c r="P4735" t="s">
        <v>4563</v>
      </c>
      <c r="Q4735" t="s">
        <v>14456</v>
      </c>
      <c r="R4735" t="s">
        <v>14457</v>
      </c>
    </row>
    <row r="4736" spans="1:18" x14ac:dyDescent="0.2">
      <c r="A4736">
        <v>141349</v>
      </c>
      <c r="B4736" t="s">
        <v>14458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1</v>
      </c>
      <c r="J4736">
        <v>0</v>
      </c>
      <c r="K4736">
        <v>0</v>
      </c>
      <c r="L4736" t="s">
        <v>3284</v>
      </c>
      <c r="M4736" t="s">
        <v>3307</v>
      </c>
      <c r="N4736" t="s">
        <v>3308</v>
      </c>
      <c r="O4736" t="s">
        <v>3635</v>
      </c>
      <c r="P4736" t="s">
        <v>4011</v>
      </c>
      <c r="Q4736" t="s">
        <v>4012</v>
      </c>
      <c r="R4736" t="s">
        <v>14459</v>
      </c>
    </row>
    <row r="4737" spans="1:18" x14ac:dyDescent="0.2">
      <c r="A4737">
        <v>138563</v>
      </c>
      <c r="B4737" t="s">
        <v>14460</v>
      </c>
      <c r="C4737">
        <v>0</v>
      </c>
      <c r="D4737">
        <v>2</v>
      </c>
      <c r="E4737">
        <v>3</v>
      </c>
      <c r="F4737">
        <v>2</v>
      </c>
      <c r="G4737">
        <v>3</v>
      </c>
      <c r="H4737">
        <v>0</v>
      </c>
      <c r="I4737">
        <v>0</v>
      </c>
      <c r="J4737">
        <v>0</v>
      </c>
      <c r="K4737">
        <v>6</v>
      </c>
      <c r="L4737" t="s">
        <v>3284</v>
      </c>
      <c r="M4737" t="s">
        <v>4226</v>
      </c>
      <c r="N4737" t="s">
        <v>4227</v>
      </c>
      <c r="O4737" t="s">
        <v>4228</v>
      </c>
      <c r="P4737" t="s">
        <v>14461</v>
      </c>
      <c r="Q4737" t="s">
        <v>14462</v>
      </c>
      <c r="R4737" t="s">
        <v>14463</v>
      </c>
    </row>
    <row r="4738" spans="1:18" x14ac:dyDescent="0.2">
      <c r="A4738">
        <v>138118</v>
      </c>
      <c r="B4738" t="s">
        <v>14464</v>
      </c>
      <c r="C4738">
        <v>0</v>
      </c>
      <c r="D4738">
        <v>0</v>
      </c>
      <c r="E4738">
        <v>0</v>
      </c>
      <c r="F4738">
        <v>1</v>
      </c>
      <c r="G4738">
        <v>0</v>
      </c>
      <c r="H4738">
        <v>0</v>
      </c>
      <c r="I4738">
        <v>0</v>
      </c>
      <c r="J4738">
        <v>0</v>
      </c>
      <c r="K4738">
        <v>0</v>
      </c>
      <c r="L4738" t="s">
        <v>3284</v>
      </c>
      <c r="M4738" t="s">
        <v>3296</v>
      </c>
      <c r="N4738" t="s">
        <v>3321</v>
      </c>
      <c r="O4738" t="s">
        <v>4147</v>
      </c>
      <c r="P4738" t="s">
        <v>7177</v>
      </c>
      <c r="Q4738" t="s">
        <v>14465</v>
      </c>
      <c r="R4738" t="s">
        <v>14466</v>
      </c>
    </row>
    <row r="4739" spans="1:18" x14ac:dyDescent="0.2">
      <c r="A4739">
        <v>138074</v>
      </c>
      <c r="B4739" t="s">
        <v>14467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2</v>
      </c>
      <c r="K4739">
        <v>0</v>
      </c>
      <c r="L4739" t="s">
        <v>3284</v>
      </c>
      <c r="M4739" t="s">
        <v>3296</v>
      </c>
      <c r="N4739" t="s">
        <v>3297</v>
      </c>
      <c r="O4739" t="s">
        <v>3298</v>
      </c>
      <c r="P4739" t="s">
        <v>3299</v>
      </c>
      <c r="Q4739" t="s">
        <v>3300</v>
      </c>
      <c r="R4739" t="s">
        <v>14468</v>
      </c>
    </row>
    <row r="4740" spans="1:18" x14ac:dyDescent="0.2">
      <c r="A4740">
        <v>137993</v>
      </c>
      <c r="B4740" t="s">
        <v>14469</v>
      </c>
      <c r="C4740">
        <v>10</v>
      </c>
      <c r="D4740">
        <v>5</v>
      </c>
      <c r="E4740">
        <v>3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 t="s">
        <v>3284</v>
      </c>
      <c r="M4740" t="s">
        <v>3327</v>
      </c>
      <c r="N4740" t="s">
        <v>3376</v>
      </c>
      <c r="O4740" t="s">
        <v>3377</v>
      </c>
      <c r="P4740" t="s">
        <v>3378</v>
      </c>
      <c r="Q4740" t="s">
        <v>3750</v>
      </c>
      <c r="R4740" t="s">
        <v>14470</v>
      </c>
    </row>
    <row r="4741" spans="1:18" x14ac:dyDescent="0.2">
      <c r="A4741">
        <v>137716</v>
      </c>
      <c r="B4741" t="s">
        <v>14471</v>
      </c>
      <c r="C4741">
        <v>0</v>
      </c>
      <c r="D4741">
        <v>0</v>
      </c>
      <c r="E4741">
        <v>1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 t="s">
        <v>3284</v>
      </c>
      <c r="M4741" t="s">
        <v>3296</v>
      </c>
      <c r="N4741" t="s">
        <v>3321</v>
      </c>
      <c r="O4741" t="s">
        <v>3322</v>
      </c>
      <c r="P4741" t="s">
        <v>3671</v>
      </c>
      <c r="Q4741" t="s">
        <v>4354</v>
      </c>
      <c r="R4741" t="s">
        <v>14472</v>
      </c>
    </row>
    <row r="4742" spans="1:18" x14ac:dyDescent="0.2">
      <c r="A4742">
        <v>137658</v>
      </c>
      <c r="B4742" t="s">
        <v>14473</v>
      </c>
      <c r="C4742">
        <v>0</v>
      </c>
      <c r="D4742">
        <v>0</v>
      </c>
      <c r="E4742">
        <v>0</v>
      </c>
      <c r="F4742">
        <v>1</v>
      </c>
      <c r="G4742">
        <v>0</v>
      </c>
      <c r="H4742">
        <v>1</v>
      </c>
      <c r="I4742">
        <v>0</v>
      </c>
      <c r="J4742">
        <v>0</v>
      </c>
      <c r="K4742">
        <v>0</v>
      </c>
      <c r="L4742" t="s">
        <v>3284</v>
      </c>
      <c r="M4742" t="s">
        <v>3296</v>
      </c>
      <c r="N4742" t="s">
        <v>3297</v>
      </c>
      <c r="O4742" t="s">
        <v>3434</v>
      </c>
      <c r="P4742" t="s">
        <v>3435</v>
      </c>
      <c r="Q4742" t="s">
        <v>3436</v>
      </c>
      <c r="R4742" t="s">
        <v>14474</v>
      </c>
    </row>
    <row r="4743" spans="1:18" x14ac:dyDescent="0.2">
      <c r="A4743">
        <v>137584</v>
      </c>
      <c r="B4743" t="s">
        <v>14475</v>
      </c>
      <c r="C4743">
        <v>1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 t="s">
        <v>3284</v>
      </c>
      <c r="M4743" t="s">
        <v>3296</v>
      </c>
      <c r="N4743" t="s">
        <v>3297</v>
      </c>
      <c r="O4743" t="s">
        <v>4556</v>
      </c>
      <c r="P4743" t="s">
        <v>14476</v>
      </c>
      <c r="Q4743" t="s">
        <v>14477</v>
      </c>
      <c r="R4743" t="s">
        <v>14478</v>
      </c>
    </row>
    <row r="4744" spans="1:18" x14ac:dyDescent="0.2">
      <c r="A4744">
        <v>135719</v>
      </c>
      <c r="B4744" t="s">
        <v>14479</v>
      </c>
      <c r="C4744">
        <v>0</v>
      </c>
      <c r="D4744">
        <v>0</v>
      </c>
      <c r="E4744">
        <v>0</v>
      </c>
      <c r="F4744">
        <v>1</v>
      </c>
      <c r="G4744">
        <v>0</v>
      </c>
      <c r="H4744">
        <v>0</v>
      </c>
      <c r="I4744">
        <v>0</v>
      </c>
      <c r="J4744">
        <v>0</v>
      </c>
      <c r="K4744">
        <v>0</v>
      </c>
      <c r="L4744" t="s">
        <v>3284</v>
      </c>
      <c r="M4744" t="s">
        <v>3296</v>
      </c>
      <c r="N4744" t="s">
        <v>3343</v>
      </c>
      <c r="O4744" t="s">
        <v>3349</v>
      </c>
      <c r="P4744" t="s">
        <v>3350</v>
      </c>
      <c r="Q4744" t="s">
        <v>4175</v>
      </c>
      <c r="R4744" t="s">
        <v>14480</v>
      </c>
    </row>
    <row r="4745" spans="1:18" x14ac:dyDescent="0.2">
      <c r="A4745">
        <v>134601</v>
      </c>
      <c r="B4745" t="s">
        <v>14481</v>
      </c>
      <c r="C4745">
        <v>0</v>
      </c>
      <c r="D4745">
        <v>0</v>
      </c>
      <c r="E4745">
        <v>0</v>
      </c>
      <c r="F4745">
        <v>1</v>
      </c>
      <c r="G4745">
        <v>0</v>
      </c>
      <c r="H4745">
        <v>0</v>
      </c>
      <c r="I4745">
        <v>0</v>
      </c>
      <c r="J4745">
        <v>0</v>
      </c>
      <c r="K4745">
        <v>0</v>
      </c>
      <c r="L4745" t="s">
        <v>3284</v>
      </c>
      <c r="M4745" t="s">
        <v>3307</v>
      </c>
      <c r="N4745" t="s">
        <v>3308</v>
      </c>
      <c r="O4745" t="s">
        <v>3635</v>
      </c>
      <c r="P4745" t="s">
        <v>4011</v>
      </c>
      <c r="Q4745" t="s">
        <v>4471</v>
      </c>
      <c r="R4745" t="s">
        <v>14482</v>
      </c>
    </row>
    <row r="4746" spans="1:18" x14ac:dyDescent="0.2">
      <c r="A4746">
        <v>133549</v>
      </c>
      <c r="B4746" t="s">
        <v>14483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1</v>
      </c>
      <c r="K4746">
        <v>0</v>
      </c>
      <c r="L4746" t="s">
        <v>3284</v>
      </c>
      <c r="M4746" t="s">
        <v>3307</v>
      </c>
      <c r="N4746" t="s">
        <v>3308</v>
      </c>
      <c r="O4746" t="s">
        <v>3635</v>
      </c>
      <c r="P4746" t="s">
        <v>4011</v>
      </c>
      <c r="Q4746" t="s">
        <v>4012</v>
      </c>
      <c r="R4746" t="s">
        <v>14484</v>
      </c>
    </row>
    <row r="4747" spans="1:18" x14ac:dyDescent="0.2">
      <c r="A4747">
        <v>133190</v>
      </c>
      <c r="B4747" t="s">
        <v>14485</v>
      </c>
      <c r="C4747">
        <v>0</v>
      </c>
      <c r="D4747">
        <v>0</v>
      </c>
      <c r="E4747">
        <v>0</v>
      </c>
      <c r="F4747">
        <v>1</v>
      </c>
      <c r="G4747">
        <v>1</v>
      </c>
      <c r="H4747">
        <v>0</v>
      </c>
      <c r="I4747">
        <v>0</v>
      </c>
      <c r="J4747">
        <v>0</v>
      </c>
      <c r="K4747">
        <v>0</v>
      </c>
      <c r="L4747" t="s">
        <v>3284</v>
      </c>
      <c r="M4747" t="s">
        <v>3296</v>
      </c>
      <c r="N4747" t="s">
        <v>3343</v>
      </c>
      <c r="O4747" t="s">
        <v>3349</v>
      </c>
      <c r="P4747" t="s">
        <v>3350</v>
      </c>
      <c r="Q4747" t="s">
        <v>3580</v>
      </c>
      <c r="R4747" t="s">
        <v>14486</v>
      </c>
    </row>
    <row r="4748" spans="1:18" x14ac:dyDescent="0.2">
      <c r="A4748">
        <v>132932</v>
      </c>
      <c r="B4748" t="s">
        <v>14487</v>
      </c>
      <c r="C4748">
        <v>0</v>
      </c>
      <c r="D4748">
        <v>0</v>
      </c>
      <c r="E4748">
        <v>1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 t="s">
        <v>3284</v>
      </c>
      <c r="M4748" t="s">
        <v>3327</v>
      </c>
      <c r="N4748" t="s">
        <v>3328</v>
      </c>
      <c r="O4748" t="s">
        <v>3329</v>
      </c>
      <c r="P4748" t="s">
        <v>3339</v>
      </c>
      <c r="Q4748" t="s">
        <v>14488</v>
      </c>
      <c r="R4748" t="s">
        <v>14489</v>
      </c>
    </row>
    <row r="4749" spans="1:18" x14ac:dyDescent="0.2">
      <c r="A4749">
        <v>132926</v>
      </c>
      <c r="B4749" t="s">
        <v>14490</v>
      </c>
      <c r="C4749">
        <v>1</v>
      </c>
      <c r="D4749">
        <v>2</v>
      </c>
      <c r="E4749">
        <v>1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 t="s">
        <v>3284</v>
      </c>
      <c r="M4749" t="s">
        <v>3327</v>
      </c>
      <c r="N4749" t="s">
        <v>3328</v>
      </c>
      <c r="O4749" t="s">
        <v>3329</v>
      </c>
      <c r="P4749" t="s">
        <v>3330</v>
      </c>
      <c r="Q4749" t="s">
        <v>3331</v>
      </c>
      <c r="R4749" t="s">
        <v>14491</v>
      </c>
    </row>
    <row r="4750" spans="1:18" x14ac:dyDescent="0.2">
      <c r="A4750">
        <v>132925</v>
      </c>
      <c r="B4750" t="s">
        <v>14492</v>
      </c>
      <c r="C4750">
        <v>2</v>
      </c>
      <c r="D4750">
        <v>1</v>
      </c>
      <c r="E4750">
        <v>1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 t="s">
        <v>3284</v>
      </c>
      <c r="M4750" t="s">
        <v>3327</v>
      </c>
      <c r="N4750" t="s">
        <v>3328</v>
      </c>
      <c r="O4750" t="s">
        <v>3329</v>
      </c>
      <c r="P4750" t="s">
        <v>3330</v>
      </c>
      <c r="Q4750" t="s">
        <v>3331</v>
      </c>
      <c r="R4750" t="s">
        <v>14493</v>
      </c>
    </row>
    <row r="4751" spans="1:18" x14ac:dyDescent="0.2">
      <c r="A4751">
        <v>132920</v>
      </c>
      <c r="B4751" t="s">
        <v>14494</v>
      </c>
      <c r="C4751">
        <v>0</v>
      </c>
      <c r="D4751">
        <v>1</v>
      </c>
      <c r="E4751">
        <v>1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 t="s">
        <v>3284</v>
      </c>
      <c r="M4751" t="s">
        <v>3327</v>
      </c>
      <c r="N4751" t="s">
        <v>3376</v>
      </c>
      <c r="O4751" t="s">
        <v>3377</v>
      </c>
      <c r="P4751" t="s">
        <v>3271</v>
      </c>
      <c r="Q4751" t="s">
        <v>3648</v>
      </c>
      <c r="R4751" t="s">
        <v>14495</v>
      </c>
    </row>
    <row r="4752" spans="1:18" x14ac:dyDescent="0.2">
      <c r="A4752">
        <v>132919</v>
      </c>
      <c r="B4752" t="s">
        <v>14496</v>
      </c>
      <c r="C4752">
        <v>0</v>
      </c>
      <c r="D4752">
        <v>0</v>
      </c>
      <c r="E4752">
        <v>0</v>
      </c>
      <c r="F4752">
        <v>0</v>
      </c>
      <c r="G4752">
        <v>1</v>
      </c>
      <c r="H4752">
        <v>0</v>
      </c>
      <c r="I4752">
        <v>0</v>
      </c>
      <c r="J4752">
        <v>0</v>
      </c>
      <c r="K4752">
        <v>0</v>
      </c>
      <c r="L4752" t="s">
        <v>3284</v>
      </c>
      <c r="M4752" t="s">
        <v>3307</v>
      </c>
      <c r="N4752" t="s">
        <v>3308</v>
      </c>
      <c r="O4752" t="s">
        <v>3635</v>
      </c>
      <c r="P4752" t="s">
        <v>3636</v>
      </c>
      <c r="Q4752" t="s">
        <v>3637</v>
      </c>
      <c r="R4752" t="s">
        <v>14497</v>
      </c>
    </row>
    <row r="4753" spans="1:18" x14ac:dyDescent="0.2">
      <c r="A4753">
        <v>132132</v>
      </c>
      <c r="B4753" t="s">
        <v>14498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1</v>
      </c>
      <c r="K4753">
        <v>0</v>
      </c>
      <c r="L4753" t="s">
        <v>3284</v>
      </c>
      <c r="M4753" t="s">
        <v>6718</v>
      </c>
      <c r="N4753" t="s">
        <v>6719</v>
      </c>
      <c r="O4753" t="s">
        <v>6720</v>
      </c>
      <c r="P4753" t="s">
        <v>14499</v>
      </c>
      <c r="Q4753" t="s">
        <v>14500</v>
      </c>
      <c r="R4753" t="s">
        <v>14501</v>
      </c>
    </row>
    <row r="4754" spans="1:18" x14ac:dyDescent="0.2">
      <c r="A4754">
        <v>130788</v>
      </c>
      <c r="B4754" t="s">
        <v>14502</v>
      </c>
      <c r="C4754">
        <v>0</v>
      </c>
      <c r="D4754">
        <v>1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 t="s">
        <v>3284</v>
      </c>
      <c r="M4754" t="s">
        <v>3327</v>
      </c>
      <c r="N4754" t="s">
        <v>4384</v>
      </c>
      <c r="O4754" t="s">
        <v>3271</v>
      </c>
      <c r="P4754" t="s">
        <v>3271</v>
      </c>
      <c r="Q4754" t="s">
        <v>4385</v>
      </c>
      <c r="R4754" t="s">
        <v>14503</v>
      </c>
    </row>
    <row r="4755" spans="1:18" x14ac:dyDescent="0.2">
      <c r="A4755">
        <v>128782</v>
      </c>
      <c r="B4755" t="s">
        <v>14504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1</v>
      </c>
      <c r="I4755">
        <v>0</v>
      </c>
      <c r="J4755">
        <v>0</v>
      </c>
      <c r="K4755">
        <v>0</v>
      </c>
      <c r="L4755" t="s">
        <v>3284</v>
      </c>
      <c r="M4755" t="s">
        <v>3296</v>
      </c>
      <c r="N4755" t="s">
        <v>3343</v>
      </c>
      <c r="O4755" t="s">
        <v>3344</v>
      </c>
      <c r="P4755" t="s">
        <v>3367</v>
      </c>
      <c r="Q4755" t="s">
        <v>3368</v>
      </c>
      <c r="R4755" t="s">
        <v>14505</v>
      </c>
    </row>
    <row r="4756" spans="1:18" x14ac:dyDescent="0.2">
      <c r="A4756">
        <v>128780</v>
      </c>
      <c r="B4756" t="s">
        <v>14506</v>
      </c>
      <c r="C4756">
        <v>0</v>
      </c>
      <c r="D4756">
        <v>0</v>
      </c>
      <c r="E4756">
        <v>0</v>
      </c>
      <c r="F4756">
        <v>0</v>
      </c>
      <c r="G4756">
        <v>1</v>
      </c>
      <c r="H4756">
        <v>0</v>
      </c>
      <c r="I4756">
        <v>0</v>
      </c>
      <c r="J4756">
        <v>0</v>
      </c>
      <c r="K4756">
        <v>0</v>
      </c>
      <c r="L4756" t="s">
        <v>3284</v>
      </c>
      <c r="M4756" t="s">
        <v>3296</v>
      </c>
      <c r="N4756" t="s">
        <v>3297</v>
      </c>
      <c r="O4756" t="s">
        <v>3469</v>
      </c>
      <c r="P4756" t="s">
        <v>3470</v>
      </c>
      <c r="Q4756" t="s">
        <v>3471</v>
      </c>
      <c r="R4756" t="s">
        <v>14507</v>
      </c>
    </row>
    <row r="4757" spans="1:18" x14ac:dyDescent="0.2">
      <c r="A4757">
        <v>126569</v>
      </c>
      <c r="B4757" t="s">
        <v>14508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1</v>
      </c>
      <c r="K4757">
        <v>0</v>
      </c>
      <c r="L4757" t="s">
        <v>3284</v>
      </c>
      <c r="M4757" t="s">
        <v>3327</v>
      </c>
      <c r="N4757" t="s">
        <v>3376</v>
      </c>
      <c r="O4757" t="s">
        <v>3377</v>
      </c>
      <c r="P4757" t="s">
        <v>3604</v>
      </c>
      <c r="Q4757" t="s">
        <v>3668</v>
      </c>
      <c r="R4757" t="s">
        <v>14509</v>
      </c>
    </row>
    <row r="4758" spans="1:18" x14ac:dyDescent="0.2">
      <c r="A4758">
        <v>123899</v>
      </c>
      <c r="B4758" t="s">
        <v>14510</v>
      </c>
      <c r="C4758">
        <v>0</v>
      </c>
      <c r="D4758">
        <v>0</v>
      </c>
      <c r="E4758">
        <v>0</v>
      </c>
      <c r="F4758">
        <v>1</v>
      </c>
      <c r="G4758">
        <v>0</v>
      </c>
      <c r="H4758">
        <v>0</v>
      </c>
      <c r="I4758">
        <v>0</v>
      </c>
      <c r="J4758">
        <v>0</v>
      </c>
      <c r="K4758">
        <v>0</v>
      </c>
      <c r="L4758" t="s">
        <v>3284</v>
      </c>
      <c r="M4758" t="s">
        <v>3296</v>
      </c>
      <c r="N4758" t="s">
        <v>3321</v>
      </c>
      <c r="O4758" t="s">
        <v>3322</v>
      </c>
      <c r="P4758" t="s">
        <v>4143</v>
      </c>
      <c r="Q4758" t="s">
        <v>6285</v>
      </c>
      <c r="R4758" t="s">
        <v>14511</v>
      </c>
    </row>
    <row r="4759" spans="1:18" x14ac:dyDescent="0.2">
      <c r="A4759">
        <v>121428</v>
      </c>
      <c r="B4759" t="s">
        <v>14512</v>
      </c>
      <c r="C4759">
        <v>0</v>
      </c>
      <c r="D4759">
        <v>0</v>
      </c>
      <c r="E4759">
        <v>0</v>
      </c>
      <c r="F4759">
        <v>1</v>
      </c>
      <c r="G4759">
        <v>1</v>
      </c>
      <c r="H4759">
        <v>0</v>
      </c>
      <c r="I4759">
        <v>0</v>
      </c>
      <c r="J4759">
        <v>0</v>
      </c>
      <c r="K4759">
        <v>0</v>
      </c>
      <c r="L4759" t="s">
        <v>3284</v>
      </c>
      <c r="M4759" t="s">
        <v>3296</v>
      </c>
      <c r="N4759" t="s">
        <v>3343</v>
      </c>
      <c r="O4759" t="s">
        <v>3349</v>
      </c>
      <c r="P4759" t="s">
        <v>3350</v>
      </c>
      <c r="Q4759" t="s">
        <v>4175</v>
      </c>
      <c r="R4759" t="s">
        <v>14513</v>
      </c>
    </row>
    <row r="4760" spans="1:18" x14ac:dyDescent="0.2">
      <c r="A4760">
        <v>121292</v>
      </c>
      <c r="B4760" t="s">
        <v>14514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1</v>
      </c>
      <c r="J4760">
        <v>0</v>
      </c>
      <c r="K4760">
        <v>0</v>
      </c>
      <c r="L4760" t="s">
        <v>3284</v>
      </c>
      <c r="M4760" t="s">
        <v>3307</v>
      </c>
      <c r="N4760" t="s">
        <v>3308</v>
      </c>
      <c r="O4760" t="s">
        <v>3359</v>
      </c>
      <c r="P4760" t="s">
        <v>3407</v>
      </c>
      <c r="Q4760" t="s">
        <v>5530</v>
      </c>
      <c r="R4760" t="s">
        <v>14515</v>
      </c>
    </row>
    <row r="4761" spans="1:18" x14ac:dyDescent="0.2">
      <c r="A4761">
        <v>121039</v>
      </c>
      <c r="B4761" t="s">
        <v>14516</v>
      </c>
      <c r="C4761">
        <v>0</v>
      </c>
      <c r="D4761">
        <v>0</v>
      </c>
      <c r="E4761">
        <v>0</v>
      </c>
      <c r="F4761">
        <v>0</v>
      </c>
      <c r="G4761">
        <v>2</v>
      </c>
      <c r="H4761">
        <v>0</v>
      </c>
      <c r="I4761">
        <v>0</v>
      </c>
      <c r="J4761">
        <v>0</v>
      </c>
      <c r="K4761">
        <v>0</v>
      </c>
      <c r="L4761" t="s">
        <v>3284</v>
      </c>
      <c r="M4761" t="s">
        <v>3307</v>
      </c>
      <c r="N4761" t="s">
        <v>5924</v>
      </c>
      <c r="O4761" t="s">
        <v>5925</v>
      </c>
      <c r="P4761" t="s">
        <v>14517</v>
      </c>
      <c r="Q4761" t="s">
        <v>14518</v>
      </c>
      <c r="R4761" t="s">
        <v>14519</v>
      </c>
    </row>
    <row r="4762" spans="1:18" x14ac:dyDescent="0.2">
      <c r="A4762">
        <v>120959</v>
      </c>
      <c r="B4762" t="s">
        <v>14520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1</v>
      </c>
      <c r="L4762" t="s">
        <v>3284</v>
      </c>
      <c r="M4762" t="s">
        <v>3307</v>
      </c>
      <c r="N4762" t="s">
        <v>3308</v>
      </c>
      <c r="O4762" t="s">
        <v>3635</v>
      </c>
      <c r="P4762" t="s">
        <v>4011</v>
      </c>
      <c r="Q4762" t="s">
        <v>4012</v>
      </c>
      <c r="R4762" t="s">
        <v>14521</v>
      </c>
    </row>
    <row r="4763" spans="1:18" x14ac:dyDescent="0.2">
      <c r="A4763">
        <v>120213</v>
      </c>
      <c r="B4763" t="s">
        <v>14522</v>
      </c>
      <c r="C4763">
        <v>0</v>
      </c>
      <c r="D4763">
        <v>0</v>
      </c>
      <c r="E4763">
        <v>0</v>
      </c>
      <c r="F4763">
        <v>1</v>
      </c>
      <c r="G4763">
        <v>2</v>
      </c>
      <c r="H4763">
        <v>0</v>
      </c>
      <c r="I4763">
        <v>1</v>
      </c>
      <c r="J4763">
        <v>3</v>
      </c>
      <c r="K4763">
        <v>0</v>
      </c>
      <c r="L4763" t="s">
        <v>3284</v>
      </c>
      <c r="M4763" t="s">
        <v>3307</v>
      </c>
      <c r="N4763" t="s">
        <v>3308</v>
      </c>
      <c r="O4763" t="s">
        <v>3359</v>
      </c>
      <c r="P4763" t="s">
        <v>3360</v>
      </c>
      <c r="Q4763" t="s">
        <v>4311</v>
      </c>
      <c r="R4763" t="s">
        <v>14523</v>
      </c>
    </row>
    <row r="4764" spans="1:18" x14ac:dyDescent="0.2">
      <c r="A4764">
        <v>120107</v>
      </c>
      <c r="B4764" t="s">
        <v>14524</v>
      </c>
      <c r="C4764">
        <v>0</v>
      </c>
      <c r="D4764">
        <v>0</v>
      </c>
      <c r="E4764">
        <v>0</v>
      </c>
      <c r="F4764">
        <v>0</v>
      </c>
      <c r="G4764">
        <v>1</v>
      </c>
      <c r="H4764">
        <v>0</v>
      </c>
      <c r="I4764">
        <v>0</v>
      </c>
      <c r="J4764">
        <v>0</v>
      </c>
      <c r="K4764">
        <v>0</v>
      </c>
      <c r="L4764" t="s">
        <v>3284</v>
      </c>
      <c r="M4764" t="s">
        <v>3296</v>
      </c>
      <c r="N4764" t="s">
        <v>3343</v>
      </c>
      <c r="O4764" t="s">
        <v>3349</v>
      </c>
      <c r="P4764" t="s">
        <v>3350</v>
      </c>
      <c r="Q4764" t="s">
        <v>4175</v>
      </c>
      <c r="R4764" t="s">
        <v>14525</v>
      </c>
    </row>
    <row r="4765" spans="1:18" x14ac:dyDescent="0.2">
      <c r="A4765">
        <v>119864</v>
      </c>
      <c r="B4765" t="s">
        <v>14526</v>
      </c>
      <c r="C4765">
        <v>0</v>
      </c>
      <c r="D4765">
        <v>1</v>
      </c>
      <c r="E4765">
        <v>0</v>
      </c>
      <c r="F4765">
        <v>9</v>
      </c>
      <c r="G4765">
        <v>4</v>
      </c>
      <c r="H4765">
        <v>0</v>
      </c>
      <c r="I4765">
        <v>5</v>
      </c>
      <c r="J4765">
        <v>4</v>
      </c>
      <c r="K4765">
        <v>1</v>
      </c>
      <c r="L4765" t="s">
        <v>3284</v>
      </c>
      <c r="M4765" t="s">
        <v>3296</v>
      </c>
      <c r="N4765" t="s">
        <v>3297</v>
      </c>
      <c r="O4765" t="s">
        <v>4500</v>
      </c>
      <c r="P4765" t="s">
        <v>5719</v>
      </c>
      <c r="Q4765" t="s">
        <v>8258</v>
      </c>
      <c r="R4765" t="s">
        <v>14527</v>
      </c>
    </row>
    <row r="4766" spans="1:18" x14ac:dyDescent="0.2">
      <c r="A4766">
        <v>119858</v>
      </c>
      <c r="B4766" t="s">
        <v>14528</v>
      </c>
      <c r="C4766">
        <v>0</v>
      </c>
      <c r="D4766">
        <v>0</v>
      </c>
      <c r="E4766">
        <v>1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 t="s">
        <v>3284</v>
      </c>
      <c r="M4766" t="s">
        <v>3327</v>
      </c>
      <c r="N4766" t="s">
        <v>3376</v>
      </c>
      <c r="O4766" t="s">
        <v>3377</v>
      </c>
      <c r="P4766" t="s">
        <v>3378</v>
      </c>
      <c r="Q4766" t="s">
        <v>3379</v>
      </c>
      <c r="R4766" t="s">
        <v>14529</v>
      </c>
    </row>
    <row r="4767" spans="1:18" x14ac:dyDescent="0.2">
      <c r="A4767">
        <v>119641</v>
      </c>
      <c r="B4767" t="s">
        <v>14530</v>
      </c>
      <c r="C4767">
        <v>16</v>
      </c>
      <c r="D4767">
        <v>11</v>
      </c>
      <c r="E4767">
        <v>11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 t="s">
        <v>3284</v>
      </c>
      <c r="M4767" t="s">
        <v>3327</v>
      </c>
      <c r="N4767" t="s">
        <v>3328</v>
      </c>
      <c r="O4767" t="s">
        <v>3329</v>
      </c>
      <c r="P4767" t="s">
        <v>3330</v>
      </c>
      <c r="Q4767" t="s">
        <v>3331</v>
      </c>
      <c r="R4767" t="s">
        <v>14531</v>
      </c>
    </row>
    <row r="4768" spans="1:18" x14ac:dyDescent="0.2">
      <c r="A4768">
        <v>118967</v>
      </c>
      <c r="B4768" t="s">
        <v>14532</v>
      </c>
      <c r="C4768">
        <v>1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 t="s">
        <v>3284</v>
      </c>
      <c r="M4768" t="s">
        <v>3327</v>
      </c>
      <c r="N4768" t="s">
        <v>6610</v>
      </c>
      <c r="O4768" t="s">
        <v>6611</v>
      </c>
      <c r="P4768" t="s">
        <v>13979</v>
      </c>
      <c r="Q4768" t="s">
        <v>14533</v>
      </c>
      <c r="R4768" t="s">
        <v>14534</v>
      </c>
    </row>
    <row r="4769" spans="1:18" x14ac:dyDescent="0.2">
      <c r="A4769">
        <v>117681</v>
      </c>
      <c r="B4769" t="s">
        <v>14535</v>
      </c>
      <c r="C4769">
        <v>0</v>
      </c>
      <c r="D4769">
        <v>0</v>
      </c>
      <c r="E4769">
        <v>0</v>
      </c>
      <c r="F4769">
        <v>1</v>
      </c>
      <c r="G4769">
        <v>0</v>
      </c>
      <c r="H4769">
        <v>0</v>
      </c>
      <c r="I4769">
        <v>0</v>
      </c>
      <c r="J4769">
        <v>1</v>
      </c>
      <c r="K4769">
        <v>0</v>
      </c>
      <c r="L4769" t="s">
        <v>3284</v>
      </c>
      <c r="M4769" t="s">
        <v>3296</v>
      </c>
      <c r="N4769" t="s">
        <v>3297</v>
      </c>
      <c r="O4769" t="s">
        <v>3434</v>
      </c>
      <c r="P4769" t="s">
        <v>3435</v>
      </c>
      <c r="Q4769" t="s">
        <v>3436</v>
      </c>
      <c r="R4769" t="s">
        <v>14536</v>
      </c>
    </row>
    <row r="4770" spans="1:18" x14ac:dyDescent="0.2">
      <c r="A4770">
        <v>117567</v>
      </c>
      <c r="B4770" t="s">
        <v>14537</v>
      </c>
      <c r="C4770">
        <v>0</v>
      </c>
      <c r="D4770">
        <v>0</v>
      </c>
      <c r="E4770">
        <v>1</v>
      </c>
      <c r="F4770">
        <v>0</v>
      </c>
      <c r="G4770">
        <v>0</v>
      </c>
      <c r="H4770">
        <v>0</v>
      </c>
      <c r="I4770">
        <v>1</v>
      </c>
      <c r="J4770">
        <v>0</v>
      </c>
      <c r="K4770">
        <v>0</v>
      </c>
      <c r="L4770" t="s">
        <v>3284</v>
      </c>
      <c r="M4770" t="s">
        <v>3307</v>
      </c>
      <c r="N4770" t="s">
        <v>3308</v>
      </c>
      <c r="O4770" t="s">
        <v>3635</v>
      </c>
      <c r="P4770" t="s">
        <v>4011</v>
      </c>
      <c r="Q4770" t="s">
        <v>4471</v>
      </c>
      <c r="R4770" t="s">
        <v>14538</v>
      </c>
    </row>
    <row r="4771" spans="1:18" x14ac:dyDescent="0.2">
      <c r="A4771">
        <v>115544</v>
      </c>
      <c r="B4771" t="s">
        <v>14539</v>
      </c>
      <c r="C4771">
        <v>1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 t="s">
        <v>3284</v>
      </c>
      <c r="M4771" t="s">
        <v>3327</v>
      </c>
      <c r="N4771" t="s">
        <v>3328</v>
      </c>
      <c r="O4771" t="s">
        <v>4017</v>
      </c>
      <c r="P4771" t="s">
        <v>4018</v>
      </c>
      <c r="Q4771" t="s">
        <v>14540</v>
      </c>
      <c r="R4771" t="s">
        <v>14541</v>
      </c>
    </row>
    <row r="4772" spans="1:18" x14ac:dyDescent="0.2">
      <c r="A4772">
        <v>114710</v>
      </c>
      <c r="B4772" t="s">
        <v>14542</v>
      </c>
      <c r="C4772">
        <v>1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 t="s">
        <v>3284</v>
      </c>
      <c r="M4772" t="s">
        <v>3296</v>
      </c>
      <c r="N4772" t="s">
        <v>3321</v>
      </c>
      <c r="O4772" t="s">
        <v>3322</v>
      </c>
      <c r="P4772" t="s">
        <v>3398</v>
      </c>
      <c r="Q4772" t="s">
        <v>3806</v>
      </c>
      <c r="R4772" t="s">
        <v>14543</v>
      </c>
    </row>
    <row r="4773" spans="1:18" x14ac:dyDescent="0.2">
      <c r="A4773">
        <v>114708</v>
      </c>
      <c r="B4773" t="s">
        <v>14544</v>
      </c>
      <c r="C4773">
        <v>0</v>
      </c>
      <c r="D4773">
        <v>0</v>
      </c>
      <c r="E4773">
        <v>0</v>
      </c>
      <c r="F4773">
        <v>2</v>
      </c>
      <c r="G4773">
        <v>0</v>
      </c>
      <c r="H4773">
        <v>0</v>
      </c>
      <c r="I4773">
        <v>0</v>
      </c>
      <c r="J4773">
        <v>0</v>
      </c>
      <c r="K4773">
        <v>0</v>
      </c>
      <c r="L4773" t="s">
        <v>3284</v>
      </c>
      <c r="M4773" t="s">
        <v>3296</v>
      </c>
      <c r="N4773" t="s">
        <v>3321</v>
      </c>
      <c r="O4773" t="s">
        <v>3322</v>
      </c>
      <c r="P4773" t="s">
        <v>3398</v>
      </c>
      <c r="Q4773" t="s">
        <v>3399</v>
      </c>
      <c r="R4773" t="s">
        <v>14545</v>
      </c>
    </row>
    <row r="4774" spans="1:18" x14ac:dyDescent="0.2">
      <c r="A4774">
        <v>114707</v>
      </c>
      <c r="B4774" t="s">
        <v>14546</v>
      </c>
      <c r="C4774">
        <v>0</v>
      </c>
      <c r="D4774">
        <v>0</v>
      </c>
      <c r="E4774">
        <v>0</v>
      </c>
      <c r="F4774">
        <v>1</v>
      </c>
      <c r="G4774">
        <v>0</v>
      </c>
      <c r="H4774">
        <v>0</v>
      </c>
      <c r="I4774">
        <v>0</v>
      </c>
      <c r="J4774">
        <v>0</v>
      </c>
      <c r="K4774">
        <v>0</v>
      </c>
      <c r="L4774" t="s">
        <v>3284</v>
      </c>
      <c r="M4774" t="s">
        <v>3296</v>
      </c>
      <c r="N4774" t="s">
        <v>3297</v>
      </c>
      <c r="O4774" t="s">
        <v>3434</v>
      </c>
      <c r="P4774" t="s">
        <v>3435</v>
      </c>
      <c r="Q4774" t="s">
        <v>3436</v>
      </c>
      <c r="R4774" t="s">
        <v>14547</v>
      </c>
    </row>
    <row r="4775" spans="1:18" x14ac:dyDescent="0.2">
      <c r="A4775">
        <v>114628</v>
      </c>
      <c r="B4775" t="s">
        <v>14548</v>
      </c>
      <c r="C4775">
        <v>2</v>
      </c>
      <c r="D4775">
        <v>1</v>
      </c>
      <c r="E4775">
        <v>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 t="s">
        <v>3284</v>
      </c>
      <c r="M4775" t="s">
        <v>3327</v>
      </c>
      <c r="N4775" t="s">
        <v>3328</v>
      </c>
      <c r="O4775" t="s">
        <v>4184</v>
      </c>
      <c r="P4775" t="s">
        <v>6312</v>
      </c>
      <c r="Q4775" t="s">
        <v>6313</v>
      </c>
      <c r="R4775" t="s">
        <v>14549</v>
      </c>
    </row>
    <row r="4776" spans="1:18" x14ac:dyDescent="0.2">
      <c r="A4776">
        <v>113571</v>
      </c>
      <c r="B4776" t="s">
        <v>14550</v>
      </c>
      <c r="C4776">
        <v>0</v>
      </c>
      <c r="D4776">
        <v>0</v>
      </c>
      <c r="E4776">
        <v>0</v>
      </c>
      <c r="F4776">
        <v>1</v>
      </c>
      <c r="G4776">
        <v>0</v>
      </c>
      <c r="H4776">
        <v>0</v>
      </c>
      <c r="I4776">
        <v>0</v>
      </c>
      <c r="J4776">
        <v>0</v>
      </c>
      <c r="K4776">
        <v>0</v>
      </c>
      <c r="L4776" t="s">
        <v>3284</v>
      </c>
      <c r="M4776" t="s">
        <v>3307</v>
      </c>
      <c r="N4776" t="s">
        <v>3308</v>
      </c>
      <c r="O4776" t="s">
        <v>3494</v>
      </c>
      <c r="P4776" t="s">
        <v>3495</v>
      </c>
      <c r="Q4776" t="s">
        <v>3553</v>
      </c>
      <c r="R4776" t="s">
        <v>14551</v>
      </c>
    </row>
    <row r="4777" spans="1:18" x14ac:dyDescent="0.2">
      <c r="A4777">
        <v>112903</v>
      </c>
      <c r="B4777" t="s">
        <v>14552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1</v>
      </c>
      <c r="K4777">
        <v>0</v>
      </c>
      <c r="L4777" t="s">
        <v>3284</v>
      </c>
      <c r="M4777" t="s">
        <v>3327</v>
      </c>
      <c r="N4777" t="s">
        <v>3753</v>
      </c>
      <c r="O4777" t="s">
        <v>3754</v>
      </c>
      <c r="P4777" t="s">
        <v>3755</v>
      </c>
      <c r="Q4777" t="s">
        <v>14553</v>
      </c>
      <c r="R4777" t="s">
        <v>14554</v>
      </c>
    </row>
    <row r="4778" spans="1:18" x14ac:dyDescent="0.2">
      <c r="A4778">
        <v>112901</v>
      </c>
      <c r="B4778" t="s">
        <v>14555</v>
      </c>
      <c r="C4778">
        <v>0</v>
      </c>
      <c r="D4778">
        <v>1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 t="s">
        <v>3284</v>
      </c>
      <c r="M4778" t="s">
        <v>3327</v>
      </c>
      <c r="N4778" t="s">
        <v>3753</v>
      </c>
      <c r="O4778" t="s">
        <v>3754</v>
      </c>
      <c r="P4778" t="s">
        <v>3755</v>
      </c>
      <c r="Q4778" t="s">
        <v>9122</v>
      </c>
      <c r="R4778" t="s">
        <v>14556</v>
      </c>
    </row>
    <row r="4779" spans="1:18" x14ac:dyDescent="0.2">
      <c r="A4779">
        <v>110935</v>
      </c>
      <c r="B4779" t="s">
        <v>14557</v>
      </c>
      <c r="C4779">
        <v>0</v>
      </c>
      <c r="D4779">
        <v>0</v>
      </c>
      <c r="E4779">
        <v>0</v>
      </c>
      <c r="F4779">
        <v>1</v>
      </c>
      <c r="G4779">
        <v>0</v>
      </c>
      <c r="H4779">
        <v>0</v>
      </c>
      <c r="I4779">
        <v>0</v>
      </c>
      <c r="J4779">
        <v>0</v>
      </c>
      <c r="K4779">
        <v>1</v>
      </c>
      <c r="L4779" t="s">
        <v>3284</v>
      </c>
      <c r="M4779" t="s">
        <v>3307</v>
      </c>
      <c r="N4779" t="s">
        <v>3308</v>
      </c>
      <c r="O4779" t="s">
        <v>3359</v>
      </c>
      <c r="P4779" t="s">
        <v>3360</v>
      </c>
      <c r="Q4779" t="s">
        <v>10161</v>
      </c>
      <c r="R4779" t="s">
        <v>14558</v>
      </c>
    </row>
    <row r="4780" spans="1:18" x14ac:dyDescent="0.2">
      <c r="A4780">
        <v>110933</v>
      </c>
      <c r="B4780" t="s">
        <v>14559</v>
      </c>
      <c r="C4780">
        <v>0</v>
      </c>
      <c r="D4780">
        <v>1</v>
      </c>
      <c r="E4780">
        <v>0</v>
      </c>
      <c r="F4780">
        <v>1</v>
      </c>
      <c r="G4780">
        <v>0</v>
      </c>
      <c r="H4780">
        <v>0</v>
      </c>
      <c r="I4780">
        <v>4</v>
      </c>
      <c r="J4780">
        <v>0</v>
      </c>
      <c r="K4780">
        <v>0</v>
      </c>
      <c r="L4780" t="s">
        <v>3284</v>
      </c>
      <c r="M4780" t="s">
        <v>3307</v>
      </c>
      <c r="N4780" t="s">
        <v>3308</v>
      </c>
      <c r="O4780" t="s">
        <v>3359</v>
      </c>
      <c r="P4780" t="s">
        <v>3360</v>
      </c>
      <c r="Q4780" t="s">
        <v>3515</v>
      </c>
      <c r="R4780" t="s">
        <v>14560</v>
      </c>
    </row>
    <row r="4781" spans="1:18" x14ac:dyDescent="0.2">
      <c r="A4781">
        <v>110322</v>
      </c>
      <c r="B4781" t="s">
        <v>14561</v>
      </c>
      <c r="C4781">
        <v>0</v>
      </c>
      <c r="D4781">
        <v>1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 t="s">
        <v>3284</v>
      </c>
      <c r="M4781" t="s">
        <v>3296</v>
      </c>
      <c r="N4781" t="s">
        <v>3343</v>
      </c>
      <c r="O4781" t="s">
        <v>3344</v>
      </c>
      <c r="P4781" t="s">
        <v>3355</v>
      </c>
      <c r="Q4781" t="s">
        <v>7835</v>
      </c>
      <c r="R4781" t="s">
        <v>14562</v>
      </c>
    </row>
    <row r="4782" spans="1:18" x14ac:dyDescent="0.2">
      <c r="A4782">
        <v>110321</v>
      </c>
      <c r="B4782" t="s">
        <v>14563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2</v>
      </c>
      <c r="J4782">
        <v>0</v>
      </c>
      <c r="K4782">
        <v>0</v>
      </c>
      <c r="L4782" t="s">
        <v>3284</v>
      </c>
      <c r="M4782" t="s">
        <v>3296</v>
      </c>
      <c r="N4782" t="s">
        <v>3343</v>
      </c>
      <c r="O4782" t="s">
        <v>3344</v>
      </c>
      <c r="P4782" t="s">
        <v>3355</v>
      </c>
      <c r="Q4782" t="s">
        <v>7835</v>
      </c>
      <c r="R4782" t="s">
        <v>14564</v>
      </c>
    </row>
    <row r="4783" spans="1:18" x14ac:dyDescent="0.2">
      <c r="A4783">
        <v>109327</v>
      </c>
      <c r="B4783" t="s">
        <v>14565</v>
      </c>
      <c r="C4783">
        <v>2</v>
      </c>
      <c r="D4783">
        <v>2</v>
      </c>
      <c r="E4783">
        <v>3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 t="s">
        <v>3284</v>
      </c>
      <c r="M4783" t="s">
        <v>3327</v>
      </c>
      <c r="N4783" t="s">
        <v>3328</v>
      </c>
      <c r="O4783" t="s">
        <v>4184</v>
      </c>
      <c r="P4783" t="s">
        <v>7513</v>
      </c>
      <c r="Q4783" t="s">
        <v>14566</v>
      </c>
      <c r="R4783" t="s">
        <v>14567</v>
      </c>
    </row>
    <row r="4784" spans="1:18" x14ac:dyDescent="0.2">
      <c r="A4784">
        <v>108437</v>
      </c>
      <c r="B4784" t="s">
        <v>14568</v>
      </c>
      <c r="C4784">
        <v>1</v>
      </c>
      <c r="D4784">
        <v>1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1</v>
      </c>
      <c r="K4784">
        <v>0</v>
      </c>
      <c r="L4784" t="s">
        <v>3284</v>
      </c>
      <c r="M4784" t="s">
        <v>3296</v>
      </c>
      <c r="N4784" t="s">
        <v>3321</v>
      </c>
      <c r="O4784" t="s">
        <v>3322</v>
      </c>
      <c r="P4784" t="s">
        <v>3398</v>
      </c>
      <c r="Q4784" t="s">
        <v>3806</v>
      </c>
      <c r="R4784" t="s">
        <v>14569</v>
      </c>
    </row>
    <row r="4785" spans="1:18" x14ac:dyDescent="0.2">
      <c r="A4785">
        <v>108328</v>
      </c>
      <c r="B4785" t="s">
        <v>14570</v>
      </c>
      <c r="C4785">
        <v>0</v>
      </c>
      <c r="D4785">
        <v>1</v>
      </c>
      <c r="E4785">
        <v>1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 t="s">
        <v>3284</v>
      </c>
      <c r="M4785" t="s">
        <v>3327</v>
      </c>
      <c r="N4785" t="s">
        <v>3328</v>
      </c>
      <c r="O4785" t="s">
        <v>3329</v>
      </c>
      <c r="P4785" t="s">
        <v>7245</v>
      </c>
      <c r="Q4785" t="s">
        <v>14571</v>
      </c>
      <c r="R4785" t="s">
        <v>14572</v>
      </c>
    </row>
    <row r="4786" spans="1:18" x14ac:dyDescent="0.2">
      <c r="A4786">
        <v>107400</v>
      </c>
      <c r="B4786" t="s">
        <v>14573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1</v>
      </c>
      <c r="K4786">
        <v>0</v>
      </c>
      <c r="L4786" t="s">
        <v>3284</v>
      </c>
      <c r="M4786" t="s">
        <v>3296</v>
      </c>
      <c r="N4786" t="s">
        <v>3343</v>
      </c>
      <c r="O4786" t="s">
        <v>3344</v>
      </c>
      <c r="P4786" t="s">
        <v>6089</v>
      </c>
      <c r="Q4786" t="s">
        <v>7900</v>
      </c>
      <c r="R4786" t="s">
        <v>14574</v>
      </c>
    </row>
    <row r="4787" spans="1:18" x14ac:dyDescent="0.2">
      <c r="A4787">
        <v>107327</v>
      </c>
      <c r="B4787" t="s">
        <v>14575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2</v>
      </c>
      <c r="J4787">
        <v>0</v>
      </c>
      <c r="K4787">
        <v>0</v>
      </c>
      <c r="L4787" t="s">
        <v>3284</v>
      </c>
      <c r="M4787" t="s">
        <v>3296</v>
      </c>
      <c r="N4787" t="s">
        <v>3297</v>
      </c>
      <c r="O4787" t="s">
        <v>4556</v>
      </c>
      <c r="P4787" t="s">
        <v>11249</v>
      </c>
      <c r="Q4787" t="s">
        <v>11250</v>
      </c>
      <c r="R4787" t="s">
        <v>14576</v>
      </c>
    </row>
    <row r="4788" spans="1:18" x14ac:dyDescent="0.2">
      <c r="A4788">
        <v>106649</v>
      </c>
      <c r="B4788" t="s">
        <v>14577</v>
      </c>
      <c r="C4788">
        <v>2</v>
      </c>
      <c r="D4788">
        <v>3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 t="s">
        <v>3284</v>
      </c>
      <c r="M4788" t="s">
        <v>3296</v>
      </c>
      <c r="N4788" t="s">
        <v>3297</v>
      </c>
      <c r="O4788" t="s">
        <v>4037</v>
      </c>
      <c r="P4788" t="s">
        <v>4038</v>
      </c>
      <c r="Q4788" t="s">
        <v>5556</v>
      </c>
      <c r="R4788" t="s">
        <v>14578</v>
      </c>
    </row>
    <row r="4789" spans="1:18" x14ac:dyDescent="0.2">
      <c r="A4789">
        <v>106592</v>
      </c>
      <c r="B4789" t="s">
        <v>14579</v>
      </c>
      <c r="C4789">
        <v>3</v>
      </c>
      <c r="D4789">
        <v>1</v>
      </c>
      <c r="E4789">
        <v>1</v>
      </c>
      <c r="F4789">
        <v>0</v>
      </c>
      <c r="G4789">
        <v>0</v>
      </c>
      <c r="H4789">
        <v>2</v>
      </c>
      <c r="I4789">
        <v>0</v>
      </c>
      <c r="J4789">
        <v>0</v>
      </c>
      <c r="K4789">
        <v>0</v>
      </c>
      <c r="L4789" t="s">
        <v>3284</v>
      </c>
      <c r="M4789" t="s">
        <v>3296</v>
      </c>
      <c r="N4789" t="s">
        <v>3343</v>
      </c>
      <c r="O4789" t="s">
        <v>3344</v>
      </c>
      <c r="P4789" t="s">
        <v>3355</v>
      </c>
      <c r="Q4789" t="s">
        <v>3525</v>
      </c>
      <c r="R4789" t="s">
        <v>14580</v>
      </c>
    </row>
    <row r="4790" spans="1:18" x14ac:dyDescent="0.2">
      <c r="A4790">
        <v>106590</v>
      </c>
      <c r="B4790" t="s">
        <v>14581</v>
      </c>
      <c r="C4790">
        <v>0</v>
      </c>
      <c r="D4790">
        <v>0</v>
      </c>
      <c r="E4790">
        <v>1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 t="s">
        <v>3284</v>
      </c>
      <c r="M4790" t="s">
        <v>3296</v>
      </c>
      <c r="N4790" t="s">
        <v>3321</v>
      </c>
      <c r="O4790" t="s">
        <v>3322</v>
      </c>
      <c r="P4790" t="s">
        <v>3423</v>
      </c>
      <c r="Q4790" t="s">
        <v>3424</v>
      </c>
      <c r="R4790" t="s">
        <v>14582</v>
      </c>
    </row>
    <row r="4791" spans="1:18" x14ac:dyDescent="0.2">
      <c r="A4791">
        <v>106147</v>
      </c>
      <c r="B4791" t="s">
        <v>14583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1</v>
      </c>
      <c r="J4791">
        <v>0</v>
      </c>
      <c r="K4791">
        <v>0</v>
      </c>
      <c r="L4791" t="s">
        <v>3284</v>
      </c>
      <c r="M4791" t="s">
        <v>3296</v>
      </c>
      <c r="N4791" t="s">
        <v>3321</v>
      </c>
      <c r="O4791" t="s">
        <v>3322</v>
      </c>
      <c r="P4791" t="s">
        <v>4143</v>
      </c>
      <c r="Q4791" t="s">
        <v>7810</v>
      </c>
      <c r="R4791" t="s">
        <v>14584</v>
      </c>
    </row>
    <row r="4792" spans="1:18" x14ac:dyDescent="0.2">
      <c r="A4792">
        <v>105751</v>
      </c>
      <c r="B4792" t="s">
        <v>14585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4</v>
      </c>
      <c r="J4792">
        <v>0</v>
      </c>
      <c r="K4792">
        <v>2</v>
      </c>
      <c r="L4792" t="s">
        <v>3284</v>
      </c>
      <c r="M4792" t="s">
        <v>3296</v>
      </c>
      <c r="N4792" t="s">
        <v>3297</v>
      </c>
      <c r="O4792" t="s">
        <v>4112</v>
      </c>
      <c r="P4792" t="s">
        <v>4113</v>
      </c>
      <c r="Q4792" t="s">
        <v>4114</v>
      </c>
      <c r="R4792" t="s">
        <v>14586</v>
      </c>
    </row>
    <row r="4793" spans="1:18" x14ac:dyDescent="0.2">
      <c r="A4793">
        <v>105560</v>
      </c>
      <c r="B4793" t="s">
        <v>14587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1</v>
      </c>
      <c r="J4793">
        <v>0</v>
      </c>
      <c r="K4793">
        <v>0</v>
      </c>
      <c r="L4793" t="s">
        <v>3284</v>
      </c>
      <c r="M4793" t="s">
        <v>3296</v>
      </c>
      <c r="N4793" t="s">
        <v>3321</v>
      </c>
      <c r="O4793" t="s">
        <v>3322</v>
      </c>
      <c r="P4793" t="s">
        <v>3671</v>
      </c>
      <c r="Q4793" t="s">
        <v>8149</v>
      </c>
      <c r="R4793" t="s">
        <v>14588</v>
      </c>
    </row>
    <row r="4794" spans="1:18" x14ac:dyDescent="0.2">
      <c r="A4794">
        <v>105219</v>
      </c>
      <c r="B4794" t="s">
        <v>14589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1</v>
      </c>
      <c r="J4794">
        <v>0</v>
      </c>
      <c r="K4794">
        <v>0</v>
      </c>
      <c r="L4794" t="s">
        <v>3284</v>
      </c>
      <c r="M4794" t="s">
        <v>3296</v>
      </c>
      <c r="N4794" t="s">
        <v>3321</v>
      </c>
      <c r="O4794" t="s">
        <v>3322</v>
      </c>
      <c r="P4794" t="s">
        <v>3423</v>
      </c>
      <c r="Q4794" t="s">
        <v>11682</v>
      </c>
      <c r="R4794" t="s">
        <v>14590</v>
      </c>
    </row>
    <row r="4795" spans="1:18" x14ac:dyDescent="0.2">
      <c r="A4795">
        <v>104628</v>
      </c>
      <c r="B4795" t="s">
        <v>14591</v>
      </c>
      <c r="C4795">
        <v>0</v>
      </c>
      <c r="D4795">
        <v>0</v>
      </c>
      <c r="E4795">
        <v>0</v>
      </c>
      <c r="F4795">
        <v>1</v>
      </c>
      <c r="G4795">
        <v>0</v>
      </c>
      <c r="H4795">
        <v>1</v>
      </c>
      <c r="I4795">
        <v>1</v>
      </c>
      <c r="J4795">
        <v>1</v>
      </c>
      <c r="K4795">
        <v>3</v>
      </c>
      <c r="L4795" t="s">
        <v>3284</v>
      </c>
      <c r="M4795" t="s">
        <v>4226</v>
      </c>
      <c r="N4795" t="s">
        <v>4227</v>
      </c>
      <c r="O4795" t="s">
        <v>4228</v>
      </c>
      <c r="P4795" t="s">
        <v>14461</v>
      </c>
      <c r="Q4795" t="s">
        <v>14462</v>
      </c>
      <c r="R4795" t="s">
        <v>14592</v>
      </c>
    </row>
    <row r="4796" spans="1:18" x14ac:dyDescent="0.2">
      <c r="A4796">
        <v>104102</v>
      </c>
      <c r="B4796" t="s">
        <v>14593</v>
      </c>
      <c r="C4796">
        <v>0</v>
      </c>
      <c r="D4796">
        <v>0</v>
      </c>
      <c r="E4796">
        <v>0</v>
      </c>
      <c r="F4796">
        <v>2</v>
      </c>
      <c r="G4796">
        <v>0</v>
      </c>
      <c r="H4796">
        <v>1</v>
      </c>
      <c r="I4796">
        <v>0</v>
      </c>
      <c r="J4796">
        <v>0</v>
      </c>
      <c r="K4796">
        <v>0</v>
      </c>
      <c r="L4796" t="s">
        <v>3284</v>
      </c>
      <c r="M4796" t="s">
        <v>3296</v>
      </c>
      <c r="N4796" t="s">
        <v>3343</v>
      </c>
      <c r="O4796" t="s">
        <v>3429</v>
      </c>
      <c r="P4796" t="s">
        <v>4336</v>
      </c>
      <c r="Q4796" t="s">
        <v>11639</v>
      </c>
      <c r="R4796" t="s">
        <v>14594</v>
      </c>
    </row>
    <row r="4797" spans="1:18" x14ac:dyDescent="0.2">
      <c r="A4797">
        <v>103836</v>
      </c>
      <c r="B4797" t="s">
        <v>14595</v>
      </c>
      <c r="C4797">
        <v>1</v>
      </c>
      <c r="D4797">
        <v>0</v>
      </c>
      <c r="E4797">
        <v>0</v>
      </c>
      <c r="F4797">
        <v>1</v>
      </c>
      <c r="G4797">
        <v>0</v>
      </c>
      <c r="H4797">
        <v>0</v>
      </c>
      <c r="I4797">
        <v>1</v>
      </c>
      <c r="J4797">
        <v>0</v>
      </c>
      <c r="K4797">
        <v>0</v>
      </c>
      <c r="L4797" t="s">
        <v>3284</v>
      </c>
      <c r="M4797" t="s">
        <v>3307</v>
      </c>
      <c r="N4797" t="s">
        <v>3308</v>
      </c>
      <c r="O4797" t="s">
        <v>3949</v>
      </c>
      <c r="P4797" t="s">
        <v>3950</v>
      </c>
      <c r="Q4797" t="s">
        <v>14596</v>
      </c>
      <c r="R4797" t="s">
        <v>14597</v>
      </c>
    </row>
    <row r="4798" spans="1:18" x14ac:dyDescent="0.2">
      <c r="A4798">
        <v>101571</v>
      </c>
      <c r="B4798" t="s">
        <v>14598</v>
      </c>
      <c r="C4798">
        <v>3</v>
      </c>
      <c r="D4798">
        <v>0</v>
      </c>
      <c r="E4798">
        <v>0</v>
      </c>
      <c r="F4798">
        <v>1</v>
      </c>
      <c r="G4798">
        <v>0</v>
      </c>
      <c r="H4798">
        <v>0</v>
      </c>
      <c r="I4798">
        <v>0</v>
      </c>
      <c r="J4798">
        <v>0</v>
      </c>
      <c r="K4798">
        <v>0</v>
      </c>
      <c r="L4798" t="s">
        <v>3284</v>
      </c>
      <c r="M4798" t="s">
        <v>3296</v>
      </c>
      <c r="N4798" t="s">
        <v>3321</v>
      </c>
      <c r="O4798" t="s">
        <v>3322</v>
      </c>
      <c r="P4798" t="s">
        <v>3423</v>
      </c>
      <c r="Q4798" t="s">
        <v>4170</v>
      </c>
      <c r="R4798" t="s">
        <v>14599</v>
      </c>
    </row>
    <row r="4799" spans="1:18" x14ac:dyDescent="0.2">
      <c r="A4799">
        <v>100225</v>
      </c>
      <c r="B4799" t="s">
        <v>14600</v>
      </c>
      <c r="C4799">
        <v>0</v>
      </c>
      <c r="D4799">
        <v>0</v>
      </c>
      <c r="E4799">
        <v>1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 t="s">
        <v>3284</v>
      </c>
      <c r="M4799" t="s">
        <v>3307</v>
      </c>
      <c r="N4799" t="s">
        <v>3308</v>
      </c>
      <c r="O4799" t="s">
        <v>3359</v>
      </c>
      <c r="P4799" t="s">
        <v>6382</v>
      </c>
      <c r="Q4799" t="s">
        <v>6383</v>
      </c>
      <c r="R4799" t="s">
        <v>14601</v>
      </c>
    </row>
    <row r="4800" spans="1:18" x14ac:dyDescent="0.2">
      <c r="A4800">
        <v>100176</v>
      </c>
      <c r="B4800" t="s">
        <v>14602</v>
      </c>
      <c r="C4800">
        <v>1</v>
      </c>
      <c r="D4800">
        <v>1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 t="s">
        <v>3284</v>
      </c>
      <c r="M4800" t="s">
        <v>3327</v>
      </c>
      <c r="N4800" t="s">
        <v>3328</v>
      </c>
      <c r="O4800" t="s">
        <v>3329</v>
      </c>
      <c r="P4800" t="s">
        <v>4620</v>
      </c>
      <c r="Q4800" t="s">
        <v>14603</v>
      </c>
      <c r="R4800" t="s">
        <v>14604</v>
      </c>
    </row>
    <row r="4801" spans="1:18" x14ac:dyDescent="0.2">
      <c r="A4801">
        <v>100174</v>
      </c>
      <c r="B4801" t="s">
        <v>14605</v>
      </c>
      <c r="C4801">
        <v>9</v>
      </c>
      <c r="D4801">
        <v>3</v>
      </c>
      <c r="E4801">
        <v>3</v>
      </c>
      <c r="F4801">
        <v>1</v>
      </c>
      <c r="G4801">
        <v>0</v>
      </c>
      <c r="H4801">
        <v>0</v>
      </c>
      <c r="I4801">
        <v>0</v>
      </c>
      <c r="J4801">
        <v>0</v>
      </c>
      <c r="K4801">
        <v>0</v>
      </c>
      <c r="L4801" t="s">
        <v>3284</v>
      </c>
      <c r="M4801" t="s">
        <v>3327</v>
      </c>
      <c r="N4801" t="s">
        <v>3328</v>
      </c>
      <c r="O4801" t="s">
        <v>3329</v>
      </c>
      <c r="P4801" t="s">
        <v>3330</v>
      </c>
      <c r="Q4801" t="s">
        <v>3331</v>
      </c>
      <c r="R4801" t="s">
        <v>14606</v>
      </c>
    </row>
    <row r="4802" spans="1:18" x14ac:dyDescent="0.2">
      <c r="A4802">
        <v>100134</v>
      </c>
      <c r="B4802" t="s">
        <v>14607</v>
      </c>
      <c r="C4802">
        <v>0</v>
      </c>
      <c r="D4802">
        <v>0</v>
      </c>
      <c r="E4802">
        <v>0</v>
      </c>
      <c r="F4802">
        <v>1</v>
      </c>
      <c r="G4802">
        <v>0</v>
      </c>
      <c r="H4802">
        <v>0</v>
      </c>
      <c r="I4802">
        <v>2</v>
      </c>
      <c r="J4802">
        <v>1</v>
      </c>
      <c r="K4802">
        <v>0</v>
      </c>
      <c r="L4802" t="s">
        <v>3284</v>
      </c>
      <c r="M4802" t="s">
        <v>3327</v>
      </c>
      <c r="N4802" t="s">
        <v>3328</v>
      </c>
      <c r="O4802" t="s">
        <v>4017</v>
      </c>
      <c r="P4802" t="s">
        <v>4018</v>
      </c>
      <c r="Q4802" t="s">
        <v>4507</v>
      </c>
      <c r="R4802" t="s">
        <v>14608</v>
      </c>
    </row>
    <row r="4803" spans="1:18" x14ac:dyDescent="0.2">
      <c r="A4803">
        <v>99675</v>
      </c>
      <c r="B4803" t="s">
        <v>14609</v>
      </c>
      <c r="C4803">
        <v>2</v>
      </c>
      <c r="D4803">
        <v>6</v>
      </c>
      <c r="E4803">
        <v>1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 t="s">
        <v>3284</v>
      </c>
      <c r="M4803" t="s">
        <v>3327</v>
      </c>
      <c r="N4803" t="s">
        <v>3328</v>
      </c>
      <c r="O4803" t="s">
        <v>3329</v>
      </c>
      <c r="P4803" t="s">
        <v>3330</v>
      </c>
      <c r="Q4803" t="s">
        <v>3331</v>
      </c>
      <c r="R4803" t="s">
        <v>14610</v>
      </c>
    </row>
    <row r="4804" spans="1:18" x14ac:dyDescent="0.2">
      <c r="A4804">
        <v>99656</v>
      </c>
      <c r="B4804" t="s">
        <v>14611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1</v>
      </c>
      <c r="J4804">
        <v>0</v>
      </c>
      <c r="K4804">
        <v>0</v>
      </c>
      <c r="L4804" t="s">
        <v>3284</v>
      </c>
      <c r="M4804" t="s">
        <v>3327</v>
      </c>
      <c r="N4804" t="s">
        <v>3328</v>
      </c>
      <c r="O4804" t="s">
        <v>4017</v>
      </c>
      <c r="P4804" t="s">
        <v>4018</v>
      </c>
      <c r="Q4804" t="s">
        <v>9353</v>
      </c>
      <c r="R4804" t="s">
        <v>14612</v>
      </c>
    </row>
    <row r="4805" spans="1:18" x14ac:dyDescent="0.2">
      <c r="A4805">
        <v>99594</v>
      </c>
      <c r="B4805" t="s">
        <v>14613</v>
      </c>
      <c r="C4805">
        <v>2</v>
      </c>
      <c r="D4805">
        <v>0</v>
      </c>
      <c r="E4805">
        <v>1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 t="s">
        <v>3284</v>
      </c>
      <c r="M4805" t="s">
        <v>3327</v>
      </c>
      <c r="N4805" t="s">
        <v>4384</v>
      </c>
      <c r="O4805" t="s">
        <v>4605</v>
      </c>
      <c r="P4805" t="s">
        <v>11671</v>
      </c>
      <c r="Q4805" t="s">
        <v>14614</v>
      </c>
      <c r="R4805" t="s">
        <v>14615</v>
      </c>
    </row>
    <row r="4806" spans="1:18" x14ac:dyDescent="0.2">
      <c r="A4806">
        <v>99481</v>
      </c>
      <c r="B4806" t="s">
        <v>14616</v>
      </c>
      <c r="C4806">
        <v>0</v>
      </c>
      <c r="D4806">
        <v>1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 t="s">
        <v>3284</v>
      </c>
      <c r="M4806" t="s">
        <v>3307</v>
      </c>
      <c r="N4806" t="s">
        <v>3308</v>
      </c>
      <c r="O4806" t="s">
        <v>3359</v>
      </c>
      <c r="P4806" t="s">
        <v>3965</v>
      </c>
      <c r="Q4806" t="s">
        <v>14617</v>
      </c>
      <c r="R4806" t="s">
        <v>14618</v>
      </c>
    </row>
    <row r="4807" spans="1:18" x14ac:dyDescent="0.2">
      <c r="A4807">
        <v>98513</v>
      </c>
      <c r="B4807" t="s">
        <v>14619</v>
      </c>
      <c r="C4807">
        <v>0</v>
      </c>
      <c r="D4807">
        <v>0</v>
      </c>
      <c r="E4807">
        <v>0</v>
      </c>
      <c r="F4807">
        <v>1</v>
      </c>
      <c r="G4807">
        <v>0</v>
      </c>
      <c r="H4807">
        <v>0</v>
      </c>
      <c r="I4807">
        <v>0</v>
      </c>
      <c r="J4807">
        <v>0</v>
      </c>
      <c r="K4807">
        <v>0</v>
      </c>
      <c r="L4807" t="s">
        <v>3284</v>
      </c>
      <c r="M4807" t="s">
        <v>3296</v>
      </c>
      <c r="N4807" t="s">
        <v>3343</v>
      </c>
      <c r="O4807" t="s">
        <v>3402</v>
      </c>
      <c r="P4807" t="s">
        <v>3403</v>
      </c>
      <c r="Q4807" t="s">
        <v>5337</v>
      </c>
      <c r="R4807" t="s">
        <v>14620</v>
      </c>
    </row>
    <row r="4808" spans="1:18" x14ac:dyDescent="0.2">
      <c r="A4808">
        <v>97481</v>
      </c>
      <c r="B4808" t="s">
        <v>14621</v>
      </c>
      <c r="C4808">
        <v>0</v>
      </c>
      <c r="D4808">
        <v>1</v>
      </c>
      <c r="E4808">
        <v>7</v>
      </c>
      <c r="F4808">
        <v>0</v>
      </c>
      <c r="G4808">
        <v>0</v>
      </c>
      <c r="H4808">
        <v>1</v>
      </c>
      <c r="I4808">
        <v>0</v>
      </c>
      <c r="J4808">
        <v>0</v>
      </c>
      <c r="K4808">
        <v>3</v>
      </c>
      <c r="L4808" t="s">
        <v>3284</v>
      </c>
      <c r="M4808" t="s">
        <v>3296</v>
      </c>
      <c r="N4808" t="s">
        <v>3297</v>
      </c>
      <c r="O4808" t="s">
        <v>8067</v>
      </c>
      <c r="P4808" t="s">
        <v>8068</v>
      </c>
      <c r="Q4808" t="s">
        <v>14622</v>
      </c>
      <c r="R4808" t="s">
        <v>14623</v>
      </c>
    </row>
    <row r="4809" spans="1:18" x14ac:dyDescent="0.2">
      <c r="A4809">
        <v>96941</v>
      </c>
      <c r="B4809" t="s">
        <v>14624</v>
      </c>
      <c r="C4809">
        <v>4</v>
      </c>
      <c r="D4809">
        <v>5</v>
      </c>
      <c r="E4809">
        <v>109</v>
      </c>
      <c r="F4809">
        <v>5</v>
      </c>
      <c r="G4809">
        <v>7</v>
      </c>
      <c r="H4809">
        <v>52</v>
      </c>
      <c r="I4809">
        <v>23</v>
      </c>
      <c r="J4809">
        <v>13</v>
      </c>
      <c r="K4809">
        <v>151</v>
      </c>
      <c r="L4809" t="s">
        <v>3284</v>
      </c>
      <c r="M4809" t="s">
        <v>3296</v>
      </c>
      <c r="N4809" t="s">
        <v>3297</v>
      </c>
      <c r="O4809" t="s">
        <v>6324</v>
      </c>
      <c r="P4809" t="s">
        <v>6325</v>
      </c>
      <c r="Q4809" t="s">
        <v>6326</v>
      </c>
      <c r="R4809" t="s">
        <v>14625</v>
      </c>
    </row>
    <row r="4810" spans="1:18" x14ac:dyDescent="0.2">
      <c r="A4810">
        <v>96765</v>
      </c>
      <c r="B4810" t="s">
        <v>14626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1</v>
      </c>
      <c r="J4810">
        <v>0</v>
      </c>
      <c r="K4810">
        <v>0</v>
      </c>
      <c r="L4810" t="s">
        <v>3284</v>
      </c>
      <c r="M4810" t="s">
        <v>3307</v>
      </c>
      <c r="N4810" t="s">
        <v>3308</v>
      </c>
      <c r="O4810" t="s">
        <v>3359</v>
      </c>
      <c r="P4810" t="s">
        <v>3360</v>
      </c>
      <c r="Q4810" t="s">
        <v>3361</v>
      </c>
      <c r="R4810" t="s">
        <v>14627</v>
      </c>
    </row>
    <row r="4811" spans="1:18" x14ac:dyDescent="0.2">
      <c r="A4811">
        <v>96345</v>
      </c>
      <c r="B4811" t="s">
        <v>14628</v>
      </c>
      <c r="C4811">
        <v>0</v>
      </c>
      <c r="D4811">
        <v>1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 t="s">
        <v>3284</v>
      </c>
      <c r="M4811" t="s">
        <v>3391</v>
      </c>
      <c r="N4811" t="s">
        <v>3411</v>
      </c>
      <c r="O4811" t="s">
        <v>3412</v>
      </c>
      <c r="P4811" t="s">
        <v>3413</v>
      </c>
      <c r="Q4811" t="s">
        <v>3414</v>
      </c>
      <c r="R4811" t="s">
        <v>14629</v>
      </c>
    </row>
    <row r="4812" spans="1:18" x14ac:dyDescent="0.2">
      <c r="A4812">
        <v>95641</v>
      </c>
      <c r="B4812" t="s">
        <v>14630</v>
      </c>
      <c r="C4812">
        <v>0</v>
      </c>
      <c r="D4812">
        <v>0</v>
      </c>
      <c r="E4812">
        <v>1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 t="s">
        <v>3284</v>
      </c>
      <c r="M4812" t="s">
        <v>3296</v>
      </c>
      <c r="N4812" t="s">
        <v>3297</v>
      </c>
      <c r="O4812" t="s">
        <v>6324</v>
      </c>
      <c r="P4812" t="s">
        <v>6325</v>
      </c>
      <c r="Q4812" t="s">
        <v>14631</v>
      </c>
      <c r="R4812" t="s">
        <v>14632</v>
      </c>
    </row>
    <row r="4813" spans="1:18" x14ac:dyDescent="0.2">
      <c r="A4813">
        <v>95605</v>
      </c>
      <c r="B4813" t="s">
        <v>14633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1</v>
      </c>
      <c r="K4813">
        <v>0</v>
      </c>
      <c r="L4813" t="s">
        <v>3284</v>
      </c>
      <c r="M4813" t="s">
        <v>3296</v>
      </c>
      <c r="N4813" t="s">
        <v>3343</v>
      </c>
      <c r="O4813" t="s">
        <v>3861</v>
      </c>
      <c r="P4813" t="s">
        <v>3862</v>
      </c>
      <c r="Q4813" t="s">
        <v>3863</v>
      </c>
      <c r="R4813" t="s">
        <v>14634</v>
      </c>
    </row>
    <row r="4814" spans="1:18" x14ac:dyDescent="0.2">
      <c r="A4814">
        <v>94869</v>
      </c>
      <c r="B4814" t="s">
        <v>14635</v>
      </c>
      <c r="C4814">
        <v>29</v>
      </c>
      <c r="D4814">
        <v>26</v>
      </c>
      <c r="E4814">
        <v>27</v>
      </c>
      <c r="F4814">
        <v>0</v>
      </c>
      <c r="G4814">
        <v>0</v>
      </c>
      <c r="H4814">
        <v>0</v>
      </c>
      <c r="I4814">
        <v>1</v>
      </c>
      <c r="J4814">
        <v>0</v>
      </c>
      <c r="K4814">
        <v>0</v>
      </c>
      <c r="L4814" t="s">
        <v>3284</v>
      </c>
      <c r="M4814" t="s">
        <v>3327</v>
      </c>
      <c r="N4814" t="s">
        <v>3328</v>
      </c>
      <c r="O4814" t="s">
        <v>3329</v>
      </c>
      <c r="P4814" t="s">
        <v>3330</v>
      </c>
      <c r="Q4814" t="s">
        <v>3331</v>
      </c>
      <c r="R4814" t="s">
        <v>14636</v>
      </c>
    </row>
    <row r="4815" spans="1:18" x14ac:dyDescent="0.2">
      <c r="A4815">
        <v>94625</v>
      </c>
      <c r="B4815" t="s">
        <v>14637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2</v>
      </c>
      <c r="J4815">
        <v>0</v>
      </c>
      <c r="K4815">
        <v>0</v>
      </c>
      <c r="L4815" t="s">
        <v>3284</v>
      </c>
      <c r="M4815" t="s">
        <v>3296</v>
      </c>
      <c r="N4815" t="s">
        <v>3343</v>
      </c>
      <c r="O4815" t="s">
        <v>3344</v>
      </c>
      <c r="P4815" t="s">
        <v>4076</v>
      </c>
      <c r="Q4815" t="s">
        <v>4077</v>
      </c>
      <c r="R4815" t="s">
        <v>14638</v>
      </c>
    </row>
    <row r="4816" spans="1:18" x14ac:dyDescent="0.2">
      <c r="A4816">
        <v>94255</v>
      </c>
      <c r="B4816" t="s">
        <v>14639</v>
      </c>
      <c r="C4816">
        <v>1</v>
      </c>
      <c r="D4816">
        <v>2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 t="s">
        <v>3284</v>
      </c>
      <c r="M4816" t="s">
        <v>3391</v>
      </c>
      <c r="N4816" t="s">
        <v>3740</v>
      </c>
      <c r="O4816" t="s">
        <v>3741</v>
      </c>
      <c r="P4816" t="s">
        <v>3742</v>
      </c>
      <c r="Q4816" t="s">
        <v>4997</v>
      </c>
      <c r="R4816" t="s">
        <v>14640</v>
      </c>
    </row>
    <row r="4817" spans="1:18" x14ac:dyDescent="0.2">
      <c r="A4817">
        <v>94132</v>
      </c>
      <c r="B4817" t="s">
        <v>14641</v>
      </c>
      <c r="C4817">
        <v>2</v>
      </c>
      <c r="D4817">
        <v>1</v>
      </c>
      <c r="E4817">
        <v>0</v>
      </c>
      <c r="F4817">
        <v>0</v>
      </c>
      <c r="G4817">
        <v>1</v>
      </c>
      <c r="H4817">
        <v>0</v>
      </c>
      <c r="I4817">
        <v>0</v>
      </c>
      <c r="J4817">
        <v>0</v>
      </c>
      <c r="K4817">
        <v>0</v>
      </c>
      <c r="L4817" t="s">
        <v>3284</v>
      </c>
      <c r="M4817" t="s">
        <v>3296</v>
      </c>
      <c r="N4817" t="s">
        <v>3321</v>
      </c>
      <c r="O4817" t="s">
        <v>3322</v>
      </c>
      <c r="P4817" t="s">
        <v>3398</v>
      </c>
      <c r="Q4817" t="s">
        <v>3696</v>
      </c>
      <c r="R4817" t="s">
        <v>14642</v>
      </c>
    </row>
    <row r="4818" spans="1:18" x14ac:dyDescent="0.2">
      <c r="A4818">
        <v>93219</v>
      </c>
      <c r="B4818" t="s">
        <v>14643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1</v>
      </c>
      <c r="J4818">
        <v>0</v>
      </c>
      <c r="K4818">
        <v>0</v>
      </c>
      <c r="L4818" t="s">
        <v>3284</v>
      </c>
      <c r="M4818" t="s">
        <v>3296</v>
      </c>
      <c r="N4818" t="s">
        <v>3321</v>
      </c>
      <c r="O4818" t="s">
        <v>3322</v>
      </c>
      <c r="P4818" t="s">
        <v>3423</v>
      </c>
      <c r="Q4818" t="s">
        <v>10071</v>
      </c>
      <c r="R4818" t="s">
        <v>14644</v>
      </c>
    </row>
    <row r="4819" spans="1:18" x14ac:dyDescent="0.2">
      <c r="A4819">
        <v>93064</v>
      </c>
      <c r="B4819" t="s">
        <v>14645</v>
      </c>
      <c r="C4819">
        <v>0</v>
      </c>
      <c r="D4819">
        <v>0</v>
      </c>
      <c r="E4819">
        <v>0</v>
      </c>
      <c r="F4819">
        <v>0</v>
      </c>
      <c r="G4819">
        <v>1</v>
      </c>
      <c r="H4819">
        <v>0</v>
      </c>
      <c r="I4819">
        <v>1</v>
      </c>
      <c r="J4819">
        <v>0</v>
      </c>
      <c r="K4819">
        <v>0</v>
      </c>
      <c r="L4819" t="s">
        <v>3284</v>
      </c>
      <c r="M4819" t="s">
        <v>3296</v>
      </c>
      <c r="N4819" t="s">
        <v>3343</v>
      </c>
      <c r="O4819" t="s">
        <v>3349</v>
      </c>
      <c r="P4819" t="s">
        <v>3350</v>
      </c>
      <c r="Q4819" t="s">
        <v>3580</v>
      </c>
      <c r="R4819" t="s">
        <v>14646</v>
      </c>
    </row>
    <row r="4820" spans="1:18" x14ac:dyDescent="0.2">
      <c r="A4820">
        <v>92945</v>
      </c>
      <c r="B4820" t="s">
        <v>14647</v>
      </c>
      <c r="C4820">
        <v>0</v>
      </c>
      <c r="D4820">
        <v>0</v>
      </c>
      <c r="E4820">
        <v>0</v>
      </c>
      <c r="F4820">
        <v>1</v>
      </c>
      <c r="G4820">
        <v>0</v>
      </c>
      <c r="H4820">
        <v>0</v>
      </c>
      <c r="I4820">
        <v>0</v>
      </c>
      <c r="J4820">
        <v>0</v>
      </c>
      <c r="K4820">
        <v>0</v>
      </c>
      <c r="L4820" t="s">
        <v>3284</v>
      </c>
      <c r="M4820" t="s">
        <v>3296</v>
      </c>
      <c r="N4820" t="s">
        <v>3343</v>
      </c>
      <c r="O4820" t="s">
        <v>3371</v>
      </c>
      <c r="P4820" t="s">
        <v>3372</v>
      </c>
      <c r="Q4820" t="s">
        <v>14648</v>
      </c>
      <c r="R4820" t="s">
        <v>14649</v>
      </c>
    </row>
    <row r="4821" spans="1:18" x14ac:dyDescent="0.2">
      <c r="A4821">
        <v>92942</v>
      </c>
      <c r="B4821" t="s">
        <v>14650</v>
      </c>
      <c r="C4821">
        <v>2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 t="s">
        <v>3284</v>
      </c>
      <c r="M4821" t="s">
        <v>4022</v>
      </c>
      <c r="N4821" t="s">
        <v>4023</v>
      </c>
      <c r="O4821" t="s">
        <v>4289</v>
      </c>
      <c r="P4821" t="s">
        <v>4563</v>
      </c>
      <c r="Q4821" t="s">
        <v>4564</v>
      </c>
      <c r="R4821" t="s">
        <v>14651</v>
      </c>
    </row>
    <row r="4822" spans="1:18" x14ac:dyDescent="0.2">
      <c r="A4822">
        <v>92933</v>
      </c>
      <c r="B4822" t="s">
        <v>14652</v>
      </c>
      <c r="C4822">
        <v>0</v>
      </c>
      <c r="D4822">
        <v>0</v>
      </c>
      <c r="E4822">
        <v>0</v>
      </c>
      <c r="F4822">
        <v>2</v>
      </c>
      <c r="G4822">
        <v>0</v>
      </c>
      <c r="H4822">
        <v>0</v>
      </c>
      <c r="I4822">
        <v>0</v>
      </c>
      <c r="J4822">
        <v>0</v>
      </c>
      <c r="K4822">
        <v>0</v>
      </c>
      <c r="L4822" t="s">
        <v>3284</v>
      </c>
      <c r="M4822" t="s">
        <v>3296</v>
      </c>
      <c r="N4822" t="s">
        <v>3343</v>
      </c>
      <c r="O4822" t="s">
        <v>3861</v>
      </c>
      <c r="P4822" t="s">
        <v>3862</v>
      </c>
      <c r="Q4822" t="s">
        <v>3863</v>
      </c>
      <c r="R4822" t="s">
        <v>14653</v>
      </c>
    </row>
    <row r="4823" spans="1:18" x14ac:dyDescent="0.2">
      <c r="A4823">
        <v>92488</v>
      </c>
      <c r="B4823" t="s">
        <v>14654</v>
      </c>
      <c r="C4823">
        <v>0</v>
      </c>
      <c r="D4823">
        <v>0</v>
      </c>
      <c r="E4823">
        <v>1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 t="s">
        <v>3284</v>
      </c>
      <c r="M4823" t="s">
        <v>3296</v>
      </c>
      <c r="N4823" t="s">
        <v>3297</v>
      </c>
      <c r="O4823" t="s">
        <v>3298</v>
      </c>
      <c r="P4823" t="s">
        <v>3873</v>
      </c>
      <c r="Q4823" t="s">
        <v>5063</v>
      </c>
      <c r="R4823" t="s">
        <v>14655</v>
      </c>
    </row>
    <row r="4824" spans="1:18" x14ac:dyDescent="0.2">
      <c r="A4824">
        <v>92487</v>
      </c>
      <c r="B4824" t="s">
        <v>14656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1</v>
      </c>
      <c r="J4824">
        <v>0</v>
      </c>
      <c r="K4824">
        <v>0</v>
      </c>
      <c r="L4824" t="s">
        <v>3284</v>
      </c>
      <c r="M4824" t="s">
        <v>3296</v>
      </c>
      <c r="N4824" t="s">
        <v>3297</v>
      </c>
      <c r="O4824" t="s">
        <v>8743</v>
      </c>
      <c r="P4824" t="s">
        <v>12906</v>
      </c>
      <c r="Q4824" t="s">
        <v>12907</v>
      </c>
      <c r="R4824" t="s">
        <v>14657</v>
      </c>
    </row>
    <row r="4825" spans="1:18" x14ac:dyDescent="0.2">
      <c r="A4825">
        <v>92003</v>
      </c>
      <c r="B4825" t="s">
        <v>14658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1</v>
      </c>
      <c r="I4825">
        <v>0</v>
      </c>
      <c r="J4825">
        <v>0</v>
      </c>
      <c r="K4825">
        <v>0</v>
      </c>
      <c r="L4825" t="s">
        <v>3284</v>
      </c>
      <c r="M4825" t="s">
        <v>3296</v>
      </c>
      <c r="N4825" t="s">
        <v>3321</v>
      </c>
      <c r="O4825" t="s">
        <v>4147</v>
      </c>
      <c r="P4825" t="s">
        <v>4164</v>
      </c>
      <c r="Q4825" t="s">
        <v>14281</v>
      </c>
      <c r="R4825" t="s">
        <v>14659</v>
      </c>
    </row>
    <row r="4826" spans="1:18" x14ac:dyDescent="0.2">
      <c r="A4826">
        <v>91624</v>
      </c>
      <c r="B4826" t="s">
        <v>14660</v>
      </c>
      <c r="C4826">
        <v>2</v>
      </c>
      <c r="D4826">
        <v>4</v>
      </c>
      <c r="E4826">
        <v>1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 t="s">
        <v>3284</v>
      </c>
      <c r="M4826" t="s">
        <v>3327</v>
      </c>
      <c r="N4826" t="s">
        <v>3328</v>
      </c>
      <c r="O4826" t="s">
        <v>3329</v>
      </c>
      <c r="P4826" t="s">
        <v>3330</v>
      </c>
      <c r="Q4826" t="s">
        <v>3331</v>
      </c>
      <c r="R4826" t="s">
        <v>14661</v>
      </c>
    </row>
    <row r="4827" spans="1:18" x14ac:dyDescent="0.2">
      <c r="A4827">
        <v>91623</v>
      </c>
      <c r="B4827" t="s">
        <v>14662</v>
      </c>
      <c r="C4827">
        <v>1</v>
      </c>
      <c r="D4827">
        <v>3</v>
      </c>
      <c r="E4827">
        <v>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 t="s">
        <v>3284</v>
      </c>
      <c r="M4827" t="s">
        <v>3327</v>
      </c>
      <c r="N4827" t="s">
        <v>3328</v>
      </c>
      <c r="O4827" t="s">
        <v>3329</v>
      </c>
      <c r="P4827" t="s">
        <v>3330</v>
      </c>
      <c r="Q4827" t="s">
        <v>3331</v>
      </c>
      <c r="R4827" t="s">
        <v>14663</v>
      </c>
    </row>
    <row r="4828" spans="1:18" x14ac:dyDescent="0.2">
      <c r="A4828">
        <v>91465</v>
      </c>
      <c r="B4828" t="s">
        <v>14664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1</v>
      </c>
      <c r="J4828">
        <v>0</v>
      </c>
      <c r="K4828">
        <v>0</v>
      </c>
      <c r="L4828" t="s">
        <v>3284</v>
      </c>
      <c r="M4828" t="s">
        <v>3296</v>
      </c>
      <c r="N4828" t="s">
        <v>3297</v>
      </c>
      <c r="O4828" t="s">
        <v>3434</v>
      </c>
      <c r="P4828" t="s">
        <v>3435</v>
      </c>
      <c r="Q4828" t="s">
        <v>3436</v>
      </c>
      <c r="R4828" t="s">
        <v>14665</v>
      </c>
    </row>
    <row r="4829" spans="1:18" x14ac:dyDescent="0.2">
      <c r="A4829">
        <v>90730</v>
      </c>
      <c r="B4829" t="s">
        <v>14666</v>
      </c>
      <c r="C4829">
        <v>0</v>
      </c>
      <c r="D4829">
        <v>1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 t="s">
        <v>3284</v>
      </c>
      <c r="M4829" t="s">
        <v>6718</v>
      </c>
      <c r="N4829" t="s">
        <v>9362</v>
      </c>
      <c r="O4829" t="s">
        <v>9363</v>
      </c>
      <c r="P4829" t="s">
        <v>9364</v>
      </c>
      <c r="Q4829" t="s">
        <v>9365</v>
      </c>
      <c r="R4829" t="s">
        <v>14667</v>
      </c>
    </row>
    <row r="4830" spans="1:18" x14ac:dyDescent="0.2">
      <c r="A4830">
        <v>88688</v>
      </c>
      <c r="B4830" t="s">
        <v>14668</v>
      </c>
      <c r="C4830">
        <v>0</v>
      </c>
      <c r="D4830">
        <v>0</v>
      </c>
      <c r="E4830">
        <v>0</v>
      </c>
      <c r="F4830">
        <v>21</v>
      </c>
      <c r="G4830">
        <v>12</v>
      </c>
      <c r="H4830">
        <v>1</v>
      </c>
      <c r="I4830">
        <v>4</v>
      </c>
      <c r="J4830">
        <v>2</v>
      </c>
      <c r="K4830">
        <v>1</v>
      </c>
      <c r="L4830" t="s">
        <v>3284</v>
      </c>
      <c r="M4830" t="s">
        <v>3296</v>
      </c>
      <c r="N4830" t="s">
        <v>3343</v>
      </c>
      <c r="O4830" t="s">
        <v>3402</v>
      </c>
      <c r="P4830" t="s">
        <v>3403</v>
      </c>
      <c r="Q4830" t="s">
        <v>3404</v>
      </c>
      <c r="R4830" t="s">
        <v>14669</v>
      </c>
    </row>
    <row r="4831" spans="1:18" x14ac:dyDescent="0.2">
      <c r="A4831">
        <v>88374</v>
      </c>
      <c r="B4831" t="s">
        <v>14670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1</v>
      </c>
      <c r="J4831">
        <v>0</v>
      </c>
      <c r="K4831">
        <v>0</v>
      </c>
      <c r="L4831" t="s">
        <v>3284</v>
      </c>
      <c r="M4831" t="s">
        <v>3307</v>
      </c>
      <c r="N4831" t="s">
        <v>3308</v>
      </c>
      <c r="O4831" t="s">
        <v>3359</v>
      </c>
      <c r="P4831" t="s">
        <v>3360</v>
      </c>
      <c r="Q4831" t="s">
        <v>3364</v>
      </c>
      <c r="R4831" t="s">
        <v>14671</v>
      </c>
    </row>
    <row r="4832" spans="1:18" x14ac:dyDescent="0.2">
      <c r="A4832">
        <v>87883</v>
      </c>
      <c r="B4832" t="s">
        <v>14672</v>
      </c>
      <c r="C4832">
        <v>0</v>
      </c>
      <c r="D4832">
        <v>0</v>
      </c>
      <c r="E4832">
        <v>0</v>
      </c>
      <c r="F4832">
        <v>1</v>
      </c>
      <c r="G4832">
        <v>0</v>
      </c>
      <c r="H4832">
        <v>0</v>
      </c>
      <c r="I4832">
        <v>0</v>
      </c>
      <c r="J4832">
        <v>0</v>
      </c>
      <c r="K4832">
        <v>0</v>
      </c>
      <c r="L4832" t="s">
        <v>3284</v>
      </c>
      <c r="M4832" t="s">
        <v>3296</v>
      </c>
      <c r="N4832" t="s">
        <v>3321</v>
      </c>
      <c r="O4832" t="s">
        <v>3322</v>
      </c>
      <c r="P4832" t="s">
        <v>3423</v>
      </c>
      <c r="Q4832" t="s">
        <v>4170</v>
      </c>
      <c r="R4832" t="s">
        <v>14673</v>
      </c>
    </row>
    <row r="4833" spans="1:18" x14ac:dyDescent="0.2">
      <c r="A4833">
        <v>87172</v>
      </c>
      <c r="B4833" t="s">
        <v>14674</v>
      </c>
      <c r="C4833">
        <v>1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 t="s">
        <v>3284</v>
      </c>
      <c r="M4833" t="s">
        <v>3296</v>
      </c>
      <c r="N4833" t="s">
        <v>3343</v>
      </c>
      <c r="O4833" t="s">
        <v>3371</v>
      </c>
      <c r="P4833" t="s">
        <v>3688</v>
      </c>
      <c r="Q4833" t="s">
        <v>14675</v>
      </c>
      <c r="R4833" t="s">
        <v>14676</v>
      </c>
    </row>
    <row r="4834" spans="1:18" x14ac:dyDescent="0.2">
      <c r="A4834">
        <v>86667</v>
      </c>
      <c r="B4834" t="s">
        <v>14677</v>
      </c>
      <c r="C4834">
        <v>0</v>
      </c>
      <c r="D4834">
        <v>0</v>
      </c>
      <c r="E4834">
        <v>1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 t="s">
        <v>3284</v>
      </c>
      <c r="M4834" t="s">
        <v>3327</v>
      </c>
      <c r="N4834" t="s">
        <v>3376</v>
      </c>
      <c r="O4834" t="s">
        <v>3377</v>
      </c>
      <c r="P4834" t="s">
        <v>5514</v>
      </c>
      <c r="Q4834" t="s">
        <v>12384</v>
      </c>
      <c r="R4834" t="s">
        <v>14678</v>
      </c>
    </row>
    <row r="4835" spans="1:18" x14ac:dyDescent="0.2">
      <c r="A4835">
        <v>86188</v>
      </c>
      <c r="B4835" t="s">
        <v>14679</v>
      </c>
      <c r="C4835">
        <v>0</v>
      </c>
      <c r="D4835">
        <v>0</v>
      </c>
      <c r="E4835">
        <v>0</v>
      </c>
      <c r="F4835">
        <v>1</v>
      </c>
      <c r="G4835">
        <v>1</v>
      </c>
      <c r="H4835">
        <v>1</v>
      </c>
      <c r="I4835">
        <v>0</v>
      </c>
      <c r="J4835">
        <v>1</v>
      </c>
      <c r="K4835">
        <v>0</v>
      </c>
      <c r="L4835" t="s">
        <v>3284</v>
      </c>
      <c r="M4835" t="s">
        <v>3296</v>
      </c>
      <c r="N4835" t="s">
        <v>3297</v>
      </c>
      <c r="O4835" t="s">
        <v>3469</v>
      </c>
      <c r="P4835" t="s">
        <v>3470</v>
      </c>
      <c r="Q4835" t="s">
        <v>3471</v>
      </c>
      <c r="R4835" t="s">
        <v>14680</v>
      </c>
    </row>
    <row r="4836" spans="1:18" x14ac:dyDescent="0.2">
      <c r="A4836">
        <v>86184</v>
      </c>
      <c r="B4836" t="s">
        <v>14681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1</v>
      </c>
      <c r="J4836">
        <v>0</v>
      </c>
      <c r="K4836">
        <v>0</v>
      </c>
      <c r="L4836" t="s">
        <v>3284</v>
      </c>
      <c r="M4836" t="s">
        <v>3296</v>
      </c>
      <c r="N4836" t="s">
        <v>3297</v>
      </c>
      <c r="O4836" t="s">
        <v>3469</v>
      </c>
      <c r="P4836" t="s">
        <v>3470</v>
      </c>
      <c r="Q4836" t="s">
        <v>3471</v>
      </c>
      <c r="R4836" t="s">
        <v>14682</v>
      </c>
    </row>
    <row r="4837" spans="1:18" x14ac:dyDescent="0.2">
      <c r="A4837">
        <v>86182</v>
      </c>
      <c r="B4837" t="s">
        <v>14683</v>
      </c>
      <c r="C4837">
        <v>2</v>
      </c>
      <c r="D4837">
        <v>1</v>
      </c>
      <c r="E4837">
        <v>0</v>
      </c>
      <c r="F4837">
        <v>0</v>
      </c>
      <c r="G4837">
        <v>0</v>
      </c>
      <c r="H4837">
        <v>0</v>
      </c>
      <c r="I4837">
        <v>60</v>
      </c>
      <c r="J4837">
        <v>22</v>
      </c>
      <c r="K4837">
        <v>13</v>
      </c>
      <c r="L4837" t="s">
        <v>3284</v>
      </c>
      <c r="M4837" t="s">
        <v>3296</v>
      </c>
      <c r="N4837" t="s">
        <v>3321</v>
      </c>
      <c r="O4837" t="s">
        <v>3322</v>
      </c>
      <c r="P4837" t="s">
        <v>3398</v>
      </c>
      <c r="Q4837" t="s">
        <v>4542</v>
      </c>
      <c r="R4837" t="s">
        <v>14684</v>
      </c>
    </row>
    <row r="4838" spans="1:18" x14ac:dyDescent="0.2">
      <c r="A4838">
        <v>86180</v>
      </c>
      <c r="B4838" t="s">
        <v>14685</v>
      </c>
      <c r="C4838">
        <v>1</v>
      </c>
      <c r="D4838">
        <v>4</v>
      </c>
      <c r="E4838">
        <v>1</v>
      </c>
      <c r="F4838">
        <v>1</v>
      </c>
      <c r="G4838">
        <v>0</v>
      </c>
      <c r="H4838">
        <v>0</v>
      </c>
      <c r="I4838">
        <v>0</v>
      </c>
      <c r="J4838">
        <v>0</v>
      </c>
      <c r="K4838">
        <v>0</v>
      </c>
      <c r="L4838" t="s">
        <v>3284</v>
      </c>
      <c r="M4838" t="s">
        <v>3296</v>
      </c>
      <c r="N4838" t="s">
        <v>3321</v>
      </c>
      <c r="O4838" t="s">
        <v>3322</v>
      </c>
      <c r="P4838" t="s">
        <v>3398</v>
      </c>
      <c r="Q4838" t="s">
        <v>9142</v>
      </c>
      <c r="R4838" t="s">
        <v>14686</v>
      </c>
    </row>
    <row r="4839" spans="1:18" x14ac:dyDescent="0.2">
      <c r="A4839">
        <v>86175</v>
      </c>
      <c r="B4839" t="s">
        <v>14687</v>
      </c>
      <c r="C4839">
        <v>1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 t="s">
        <v>3284</v>
      </c>
      <c r="M4839" t="s">
        <v>3296</v>
      </c>
      <c r="N4839" t="s">
        <v>3297</v>
      </c>
      <c r="O4839" t="s">
        <v>3434</v>
      </c>
      <c r="P4839" t="s">
        <v>3435</v>
      </c>
      <c r="Q4839" t="s">
        <v>6386</v>
      </c>
      <c r="R4839" t="s">
        <v>14688</v>
      </c>
    </row>
    <row r="4840" spans="1:18" x14ac:dyDescent="0.2">
      <c r="A4840">
        <v>85698</v>
      </c>
      <c r="B4840" t="s">
        <v>14689</v>
      </c>
      <c r="C4840">
        <v>0</v>
      </c>
      <c r="D4840">
        <v>0</v>
      </c>
      <c r="E4840">
        <v>0</v>
      </c>
      <c r="F4840">
        <v>1</v>
      </c>
      <c r="G4840">
        <v>0</v>
      </c>
      <c r="H4840">
        <v>1</v>
      </c>
      <c r="I4840">
        <v>0</v>
      </c>
      <c r="J4840">
        <v>1</v>
      </c>
      <c r="K4840">
        <v>0</v>
      </c>
      <c r="L4840" t="s">
        <v>3284</v>
      </c>
      <c r="M4840" t="s">
        <v>3296</v>
      </c>
      <c r="N4840" t="s">
        <v>3321</v>
      </c>
      <c r="O4840" t="s">
        <v>3322</v>
      </c>
      <c r="P4840" t="s">
        <v>4143</v>
      </c>
      <c r="Q4840" t="s">
        <v>4539</v>
      </c>
      <c r="R4840" t="s">
        <v>14690</v>
      </c>
    </row>
    <row r="4841" spans="1:18" x14ac:dyDescent="0.2">
      <c r="A4841">
        <v>84962</v>
      </c>
      <c r="B4841" t="s">
        <v>14691</v>
      </c>
      <c r="C4841">
        <v>0</v>
      </c>
      <c r="D4841">
        <v>0</v>
      </c>
      <c r="E4841">
        <v>0</v>
      </c>
      <c r="F4841">
        <v>1</v>
      </c>
      <c r="G4841">
        <v>0</v>
      </c>
      <c r="H4841">
        <v>0</v>
      </c>
      <c r="I4841">
        <v>0</v>
      </c>
      <c r="J4841">
        <v>0</v>
      </c>
      <c r="K4841">
        <v>0</v>
      </c>
      <c r="L4841" t="s">
        <v>3284</v>
      </c>
      <c r="M4841" t="s">
        <v>3307</v>
      </c>
      <c r="N4841" t="s">
        <v>3308</v>
      </c>
      <c r="O4841" t="s">
        <v>3635</v>
      </c>
      <c r="P4841" t="s">
        <v>4011</v>
      </c>
      <c r="Q4841" t="s">
        <v>4012</v>
      </c>
      <c r="R4841" t="s">
        <v>14692</v>
      </c>
    </row>
    <row r="4842" spans="1:18" x14ac:dyDescent="0.2">
      <c r="A4842">
        <v>84698</v>
      </c>
      <c r="B4842" t="s">
        <v>14693</v>
      </c>
      <c r="C4842">
        <v>123</v>
      </c>
      <c r="D4842">
        <v>93</v>
      </c>
      <c r="E4842">
        <v>109</v>
      </c>
      <c r="F4842">
        <v>0</v>
      </c>
      <c r="G4842">
        <v>0</v>
      </c>
      <c r="H4842">
        <v>0</v>
      </c>
      <c r="I4842">
        <v>2</v>
      </c>
      <c r="J4842">
        <v>1</v>
      </c>
      <c r="K4842">
        <v>0</v>
      </c>
      <c r="L4842" t="s">
        <v>3284</v>
      </c>
      <c r="M4842" t="s">
        <v>3327</v>
      </c>
      <c r="N4842" t="s">
        <v>3328</v>
      </c>
      <c r="O4842" t="s">
        <v>3329</v>
      </c>
      <c r="P4842" t="s">
        <v>3330</v>
      </c>
      <c r="Q4842" t="s">
        <v>3331</v>
      </c>
      <c r="R4842" t="s">
        <v>14694</v>
      </c>
    </row>
    <row r="4843" spans="1:18" x14ac:dyDescent="0.2">
      <c r="A4843">
        <v>84635</v>
      </c>
      <c r="B4843" t="s">
        <v>14695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5</v>
      </c>
      <c r="J4843">
        <v>5</v>
      </c>
      <c r="K4843">
        <v>5</v>
      </c>
      <c r="L4843" t="s">
        <v>3284</v>
      </c>
      <c r="M4843" t="s">
        <v>3327</v>
      </c>
      <c r="N4843" t="s">
        <v>3376</v>
      </c>
      <c r="O4843" t="s">
        <v>3377</v>
      </c>
      <c r="P4843" t="s">
        <v>3378</v>
      </c>
      <c r="Q4843" t="s">
        <v>3379</v>
      </c>
      <c r="R4843" t="s">
        <v>14696</v>
      </c>
    </row>
    <row r="4844" spans="1:18" x14ac:dyDescent="0.2">
      <c r="A4844">
        <v>84407</v>
      </c>
      <c r="B4844" t="s">
        <v>14697</v>
      </c>
      <c r="C4844">
        <v>0</v>
      </c>
      <c r="D4844">
        <v>1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 t="s">
        <v>3284</v>
      </c>
      <c r="M4844" t="s">
        <v>3327</v>
      </c>
      <c r="N4844" t="s">
        <v>3376</v>
      </c>
      <c r="O4844" t="s">
        <v>3377</v>
      </c>
      <c r="P4844" t="s">
        <v>3378</v>
      </c>
      <c r="Q4844" t="s">
        <v>7727</v>
      </c>
      <c r="R4844" t="s">
        <v>14698</v>
      </c>
    </row>
    <row r="4845" spans="1:18" x14ac:dyDescent="0.2">
      <c r="A4845">
        <v>84405</v>
      </c>
      <c r="B4845" t="s">
        <v>14699</v>
      </c>
      <c r="C4845">
        <v>0</v>
      </c>
      <c r="D4845">
        <v>0</v>
      </c>
      <c r="E4845">
        <v>1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 t="s">
        <v>3284</v>
      </c>
      <c r="M4845" t="s">
        <v>4226</v>
      </c>
      <c r="N4845" t="s">
        <v>14700</v>
      </c>
      <c r="O4845" t="s">
        <v>14701</v>
      </c>
      <c r="P4845" t="s">
        <v>14702</v>
      </c>
      <c r="Q4845" t="s">
        <v>14703</v>
      </c>
      <c r="R4845" t="s">
        <v>14704</v>
      </c>
    </row>
    <row r="4846" spans="1:18" x14ac:dyDescent="0.2">
      <c r="A4846">
        <v>84292</v>
      </c>
      <c r="B4846" t="s">
        <v>14705</v>
      </c>
      <c r="C4846">
        <v>1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 t="s">
        <v>3284</v>
      </c>
      <c r="M4846" t="s">
        <v>3307</v>
      </c>
      <c r="N4846" t="s">
        <v>3308</v>
      </c>
      <c r="O4846" t="s">
        <v>3359</v>
      </c>
      <c r="P4846" t="s">
        <v>3360</v>
      </c>
      <c r="Q4846" t="s">
        <v>3361</v>
      </c>
      <c r="R4846" t="s">
        <v>14706</v>
      </c>
    </row>
    <row r="4847" spans="1:18" x14ac:dyDescent="0.2">
      <c r="A4847">
        <v>84032</v>
      </c>
      <c r="B4847" t="s">
        <v>14707</v>
      </c>
      <c r="C4847">
        <v>0</v>
      </c>
      <c r="D4847">
        <v>2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 t="s">
        <v>3284</v>
      </c>
      <c r="M4847" t="s">
        <v>3327</v>
      </c>
      <c r="N4847" t="s">
        <v>3328</v>
      </c>
      <c r="O4847" t="s">
        <v>3329</v>
      </c>
      <c r="P4847" t="s">
        <v>3330</v>
      </c>
      <c r="Q4847" t="s">
        <v>3331</v>
      </c>
      <c r="R4847" t="s">
        <v>14708</v>
      </c>
    </row>
    <row r="4848" spans="1:18" x14ac:dyDescent="0.2">
      <c r="A4848">
        <v>84031</v>
      </c>
      <c r="B4848" t="s">
        <v>14709</v>
      </c>
      <c r="C4848">
        <v>0</v>
      </c>
      <c r="D4848">
        <v>2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 t="s">
        <v>3284</v>
      </c>
      <c r="M4848" t="s">
        <v>3327</v>
      </c>
      <c r="N4848" t="s">
        <v>3328</v>
      </c>
      <c r="O4848" t="s">
        <v>3329</v>
      </c>
      <c r="P4848" t="s">
        <v>3330</v>
      </c>
      <c r="Q4848" t="s">
        <v>3331</v>
      </c>
      <c r="R4848" t="s">
        <v>14710</v>
      </c>
    </row>
    <row r="4849" spans="1:18" x14ac:dyDescent="0.2">
      <c r="A4849">
        <v>84025</v>
      </c>
      <c r="B4849" t="s">
        <v>14711</v>
      </c>
      <c r="C4849">
        <v>1</v>
      </c>
      <c r="D4849">
        <v>0</v>
      </c>
      <c r="E4849">
        <v>1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 t="s">
        <v>3284</v>
      </c>
      <c r="M4849" t="s">
        <v>3327</v>
      </c>
      <c r="N4849" t="s">
        <v>3328</v>
      </c>
      <c r="O4849" t="s">
        <v>3329</v>
      </c>
      <c r="P4849" t="s">
        <v>3330</v>
      </c>
      <c r="Q4849" t="s">
        <v>3331</v>
      </c>
      <c r="R4849" t="s">
        <v>14712</v>
      </c>
    </row>
    <row r="4850" spans="1:18" x14ac:dyDescent="0.2">
      <c r="A4850">
        <v>84024</v>
      </c>
      <c r="B4850" t="s">
        <v>14713</v>
      </c>
      <c r="C4850">
        <v>3</v>
      </c>
      <c r="D4850">
        <v>2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 t="s">
        <v>3284</v>
      </c>
      <c r="M4850" t="s">
        <v>3327</v>
      </c>
      <c r="N4850" t="s">
        <v>3328</v>
      </c>
      <c r="O4850" t="s">
        <v>3329</v>
      </c>
      <c r="P4850" t="s">
        <v>3330</v>
      </c>
      <c r="Q4850" t="s">
        <v>3331</v>
      </c>
      <c r="R4850" t="s">
        <v>14714</v>
      </c>
    </row>
    <row r="4851" spans="1:18" x14ac:dyDescent="0.2">
      <c r="A4851">
        <v>84023</v>
      </c>
      <c r="B4851" t="s">
        <v>14715</v>
      </c>
      <c r="C4851">
        <v>1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 t="s">
        <v>3284</v>
      </c>
      <c r="M4851" t="s">
        <v>3327</v>
      </c>
      <c r="N4851" t="s">
        <v>3328</v>
      </c>
      <c r="O4851" t="s">
        <v>3329</v>
      </c>
      <c r="P4851" t="s">
        <v>3330</v>
      </c>
      <c r="Q4851" t="s">
        <v>3331</v>
      </c>
      <c r="R4851" t="s">
        <v>14716</v>
      </c>
    </row>
    <row r="4852" spans="1:18" x14ac:dyDescent="0.2">
      <c r="A4852">
        <v>84022</v>
      </c>
      <c r="B4852" t="s">
        <v>14717</v>
      </c>
      <c r="C4852">
        <v>1</v>
      </c>
      <c r="D4852">
        <v>1</v>
      </c>
      <c r="E4852">
        <v>0</v>
      </c>
      <c r="F4852">
        <v>0</v>
      </c>
      <c r="G4852">
        <v>0</v>
      </c>
      <c r="H4852">
        <v>0</v>
      </c>
      <c r="I4852">
        <v>1</v>
      </c>
      <c r="J4852">
        <v>0</v>
      </c>
      <c r="K4852">
        <v>0</v>
      </c>
      <c r="L4852" t="s">
        <v>3284</v>
      </c>
      <c r="M4852" t="s">
        <v>3327</v>
      </c>
      <c r="N4852" t="s">
        <v>3328</v>
      </c>
      <c r="O4852" t="s">
        <v>3329</v>
      </c>
      <c r="P4852" t="s">
        <v>3330</v>
      </c>
      <c r="Q4852" t="s">
        <v>3331</v>
      </c>
      <c r="R4852" t="s">
        <v>14718</v>
      </c>
    </row>
    <row r="4853" spans="1:18" x14ac:dyDescent="0.2">
      <c r="A4853">
        <v>83771</v>
      </c>
      <c r="B4853" t="s">
        <v>14719</v>
      </c>
      <c r="C4853">
        <v>0</v>
      </c>
      <c r="D4853">
        <v>1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 t="s">
        <v>3284</v>
      </c>
      <c r="M4853" t="s">
        <v>3296</v>
      </c>
      <c r="N4853" t="s">
        <v>3297</v>
      </c>
      <c r="O4853" t="s">
        <v>4112</v>
      </c>
      <c r="P4853" t="s">
        <v>14720</v>
      </c>
      <c r="Q4853" t="s">
        <v>14721</v>
      </c>
      <c r="R4853" t="s">
        <v>14722</v>
      </c>
    </row>
    <row r="4854" spans="1:18" x14ac:dyDescent="0.2">
      <c r="A4854">
        <v>83339</v>
      </c>
      <c r="B4854" t="s">
        <v>14723</v>
      </c>
      <c r="C4854">
        <v>2</v>
      </c>
      <c r="D4854">
        <v>2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 t="s">
        <v>3284</v>
      </c>
      <c r="M4854" t="s">
        <v>3327</v>
      </c>
      <c r="N4854" t="s">
        <v>3328</v>
      </c>
      <c r="O4854" t="s">
        <v>3329</v>
      </c>
      <c r="P4854" t="s">
        <v>3339</v>
      </c>
      <c r="Q4854" t="s">
        <v>3340</v>
      </c>
      <c r="R4854" t="s">
        <v>14724</v>
      </c>
    </row>
    <row r="4855" spans="1:18" x14ac:dyDescent="0.2">
      <c r="A4855">
        <v>82996</v>
      </c>
      <c r="B4855" t="s">
        <v>14725</v>
      </c>
      <c r="C4855">
        <v>2</v>
      </c>
      <c r="D4855">
        <v>0</v>
      </c>
      <c r="E4855">
        <v>0</v>
      </c>
      <c r="F4855">
        <v>1</v>
      </c>
      <c r="G4855">
        <v>0</v>
      </c>
      <c r="H4855">
        <v>0</v>
      </c>
      <c r="I4855">
        <v>0</v>
      </c>
      <c r="J4855">
        <v>0</v>
      </c>
      <c r="K4855">
        <v>0</v>
      </c>
      <c r="L4855" t="s">
        <v>3284</v>
      </c>
      <c r="M4855" t="s">
        <v>3296</v>
      </c>
      <c r="N4855" t="s">
        <v>3297</v>
      </c>
      <c r="O4855" t="s">
        <v>3298</v>
      </c>
      <c r="P4855" t="s">
        <v>3299</v>
      </c>
      <c r="Q4855" t="s">
        <v>3300</v>
      </c>
      <c r="R4855" t="s">
        <v>14726</v>
      </c>
    </row>
    <row r="4856" spans="1:18" x14ac:dyDescent="0.2">
      <c r="A4856">
        <v>82991</v>
      </c>
      <c r="B4856" t="s">
        <v>14727</v>
      </c>
      <c r="C4856">
        <v>0</v>
      </c>
      <c r="D4856">
        <v>0</v>
      </c>
      <c r="E4856">
        <v>0</v>
      </c>
      <c r="F4856">
        <v>0</v>
      </c>
      <c r="G4856">
        <v>1</v>
      </c>
      <c r="H4856">
        <v>0</v>
      </c>
      <c r="I4856">
        <v>0</v>
      </c>
      <c r="J4856">
        <v>0</v>
      </c>
      <c r="K4856">
        <v>0</v>
      </c>
      <c r="L4856" t="s">
        <v>3284</v>
      </c>
      <c r="M4856" t="s">
        <v>3296</v>
      </c>
      <c r="N4856" t="s">
        <v>3297</v>
      </c>
      <c r="O4856" t="s">
        <v>3298</v>
      </c>
      <c r="P4856" t="s">
        <v>3826</v>
      </c>
      <c r="Q4856" t="s">
        <v>14728</v>
      </c>
      <c r="R4856" t="s">
        <v>14729</v>
      </c>
    </row>
    <row r="4857" spans="1:18" x14ac:dyDescent="0.2">
      <c r="A4857">
        <v>82989</v>
      </c>
      <c r="B4857" t="s">
        <v>14730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1</v>
      </c>
      <c r="J4857">
        <v>0</v>
      </c>
      <c r="K4857">
        <v>0</v>
      </c>
      <c r="L4857" t="s">
        <v>3284</v>
      </c>
      <c r="M4857" t="s">
        <v>3296</v>
      </c>
      <c r="N4857" t="s">
        <v>3297</v>
      </c>
      <c r="O4857" t="s">
        <v>3298</v>
      </c>
      <c r="P4857" t="s">
        <v>3826</v>
      </c>
      <c r="Q4857" t="s">
        <v>14728</v>
      </c>
      <c r="R4857" t="s">
        <v>14731</v>
      </c>
    </row>
    <row r="4858" spans="1:18" x14ac:dyDescent="0.2">
      <c r="A4858">
        <v>82985</v>
      </c>
      <c r="B4858" t="s">
        <v>14732</v>
      </c>
      <c r="C4858">
        <v>0</v>
      </c>
      <c r="D4858">
        <v>1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 t="s">
        <v>3284</v>
      </c>
      <c r="M4858" t="s">
        <v>3296</v>
      </c>
      <c r="N4858" t="s">
        <v>3297</v>
      </c>
      <c r="O4858" t="s">
        <v>3298</v>
      </c>
      <c r="P4858" t="s">
        <v>8920</v>
      </c>
      <c r="Q4858" t="s">
        <v>14733</v>
      </c>
      <c r="R4858" t="s">
        <v>14734</v>
      </c>
    </row>
    <row r="4859" spans="1:18" x14ac:dyDescent="0.2">
      <c r="A4859">
        <v>82983</v>
      </c>
      <c r="B4859" t="s">
        <v>14735</v>
      </c>
      <c r="C4859">
        <v>0</v>
      </c>
      <c r="D4859">
        <v>3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 t="s">
        <v>3284</v>
      </c>
      <c r="M4859" t="s">
        <v>3296</v>
      </c>
      <c r="N4859" t="s">
        <v>3297</v>
      </c>
      <c r="O4859" t="s">
        <v>3298</v>
      </c>
      <c r="P4859" t="s">
        <v>11321</v>
      </c>
      <c r="Q4859" t="s">
        <v>14736</v>
      </c>
      <c r="R4859" t="s">
        <v>14737</v>
      </c>
    </row>
    <row r="4860" spans="1:18" x14ac:dyDescent="0.2">
      <c r="A4860">
        <v>82977</v>
      </c>
      <c r="B4860" t="s">
        <v>14738</v>
      </c>
      <c r="C4860">
        <v>1</v>
      </c>
      <c r="D4860">
        <v>3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 t="s">
        <v>3284</v>
      </c>
      <c r="M4860" t="s">
        <v>3296</v>
      </c>
      <c r="N4860" t="s">
        <v>3297</v>
      </c>
      <c r="O4860" t="s">
        <v>3298</v>
      </c>
      <c r="P4860" t="s">
        <v>3826</v>
      </c>
      <c r="Q4860" t="s">
        <v>14728</v>
      </c>
      <c r="R4860" t="s">
        <v>14739</v>
      </c>
    </row>
    <row r="4861" spans="1:18" x14ac:dyDescent="0.2">
      <c r="A4861">
        <v>82541</v>
      </c>
      <c r="B4861" t="s">
        <v>14740</v>
      </c>
      <c r="C4861">
        <v>0</v>
      </c>
      <c r="D4861">
        <v>0</v>
      </c>
      <c r="E4861">
        <v>0</v>
      </c>
      <c r="F4861">
        <v>1</v>
      </c>
      <c r="G4861">
        <v>0</v>
      </c>
      <c r="H4861">
        <v>0</v>
      </c>
      <c r="I4861">
        <v>0</v>
      </c>
      <c r="J4861">
        <v>0</v>
      </c>
      <c r="K4861">
        <v>0</v>
      </c>
      <c r="L4861" t="s">
        <v>3284</v>
      </c>
      <c r="M4861" t="s">
        <v>3296</v>
      </c>
      <c r="N4861" t="s">
        <v>3321</v>
      </c>
      <c r="O4861" t="s">
        <v>3322</v>
      </c>
      <c r="P4861" t="s">
        <v>3423</v>
      </c>
      <c r="Q4861" t="s">
        <v>3424</v>
      </c>
      <c r="R4861" t="s">
        <v>14741</v>
      </c>
    </row>
    <row r="4862" spans="1:18" x14ac:dyDescent="0.2">
      <c r="A4862">
        <v>82380</v>
      </c>
      <c r="B4862" t="s">
        <v>14742</v>
      </c>
      <c r="C4862">
        <v>0</v>
      </c>
      <c r="D4862">
        <v>0</v>
      </c>
      <c r="E4862">
        <v>0</v>
      </c>
      <c r="F4862">
        <v>1</v>
      </c>
      <c r="G4862">
        <v>0</v>
      </c>
      <c r="H4862">
        <v>0</v>
      </c>
      <c r="I4862">
        <v>1</v>
      </c>
      <c r="J4862">
        <v>1</v>
      </c>
      <c r="K4862">
        <v>2</v>
      </c>
      <c r="L4862" t="s">
        <v>3284</v>
      </c>
      <c r="M4862" t="s">
        <v>3307</v>
      </c>
      <c r="N4862" t="s">
        <v>3308</v>
      </c>
      <c r="O4862" t="s">
        <v>3359</v>
      </c>
      <c r="P4862" t="s">
        <v>3360</v>
      </c>
      <c r="Q4862" t="s">
        <v>3361</v>
      </c>
      <c r="R4862" t="s">
        <v>14743</v>
      </c>
    </row>
    <row r="4863" spans="1:18" x14ac:dyDescent="0.2">
      <c r="A4863">
        <v>81895</v>
      </c>
      <c r="B4863" t="s">
        <v>14744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1</v>
      </c>
      <c r="J4863">
        <v>3</v>
      </c>
      <c r="K4863">
        <v>0</v>
      </c>
      <c r="L4863" t="s">
        <v>3284</v>
      </c>
      <c r="M4863" t="s">
        <v>3296</v>
      </c>
      <c r="N4863" t="s">
        <v>3343</v>
      </c>
      <c r="O4863" t="s">
        <v>3344</v>
      </c>
      <c r="P4863" t="s">
        <v>3387</v>
      </c>
      <c r="Q4863" t="s">
        <v>4235</v>
      </c>
      <c r="R4863" t="s">
        <v>14745</v>
      </c>
    </row>
    <row r="4864" spans="1:18" x14ac:dyDescent="0.2">
      <c r="A4864">
        <v>81408</v>
      </c>
      <c r="B4864" t="s">
        <v>14746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2</v>
      </c>
      <c r="J4864">
        <v>0</v>
      </c>
      <c r="K4864">
        <v>1</v>
      </c>
      <c r="L4864" t="s">
        <v>3284</v>
      </c>
      <c r="M4864" t="s">
        <v>3327</v>
      </c>
      <c r="N4864" t="s">
        <v>3376</v>
      </c>
      <c r="O4864" t="s">
        <v>3377</v>
      </c>
      <c r="P4864" t="s">
        <v>14257</v>
      </c>
      <c r="Q4864" t="s">
        <v>14747</v>
      </c>
      <c r="R4864" t="s">
        <v>14748</v>
      </c>
    </row>
    <row r="4865" spans="1:18" x14ac:dyDescent="0.2">
      <c r="A4865">
        <v>80882</v>
      </c>
      <c r="B4865" t="s">
        <v>14749</v>
      </c>
      <c r="C4865">
        <v>2</v>
      </c>
      <c r="D4865">
        <v>1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 t="s">
        <v>3284</v>
      </c>
      <c r="M4865" t="s">
        <v>3296</v>
      </c>
      <c r="N4865" t="s">
        <v>3321</v>
      </c>
      <c r="O4865" t="s">
        <v>3322</v>
      </c>
      <c r="P4865" t="s">
        <v>3398</v>
      </c>
      <c r="Q4865" t="s">
        <v>5801</v>
      </c>
      <c r="R4865" t="s">
        <v>14750</v>
      </c>
    </row>
    <row r="4866" spans="1:18" x14ac:dyDescent="0.2">
      <c r="A4866">
        <v>80880</v>
      </c>
      <c r="B4866" t="s">
        <v>14751</v>
      </c>
      <c r="C4866">
        <v>0</v>
      </c>
      <c r="D4866">
        <v>2</v>
      </c>
      <c r="E4866">
        <v>0</v>
      </c>
      <c r="F4866">
        <v>1</v>
      </c>
      <c r="G4866">
        <v>0</v>
      </c>
      <c r="H4866">
        <v>0</v>
      </c>
      <c r="I4866">
        <v>0</v>
      </c>
      <c r="J4866">
        <v>0</v>
      </c>
      <c r="K4866">
        <v>0</v>
      </c>
      <c r="L4866" t="s">
        <v>3284</v>
      </c>
      <c r="M4866" t="s">
        <v>3296</v>
      </c>
      <c r="N4866" t="s">
        <v>3321</v>
      </c>
      <c r="O4866" t="s">
        <v>3322</v>
      </c>
      <c r="P4866" t="s">
        <v>3398</v>
      </c>
      <c r="Q4866" t="s">
        <v>9168</v>
      </c>
      <c r="R4866" t="s">
        <v>14752</v>
      </c>
    </row>
    <row r="4867" spans="1:18" x14ac:dyDescent="0.2">
      <c r="A4867">
        <v>80879</v>
      </c>
      <c r="B4867" t="s">
        <v>14753</v>
      </c>
      <c r="C4867">
        <v>0</v>
      </c>
      <c r="D4867">
        <v>1</v>
      </c>
      <c r="E4867">
        <v>3</v>
      </c>
      <c r="F4867">
        <v>0</v>
      </c>
      <c r="G4867">
        <v>1</v>
      </c>
      <c r="H4867">
        <v>0</v>
      </c>
      <c r="I4867">
        <v>0</v>
      </c>
      <c r="J4867">
        <v>0</v>
      </c>
      <c r="K4867">
        <v>0</v>
      </c>
      <c r="L4867" t="s">
        <v>3284</v>
      </c>
      <c r="M4867" t="s">
        <v>3296</v>
      </c>
      <c r="N4867" t="s">
        <v>3321</v>
      </c>
      <c r="O4867" t="s">
        <v>3322</v>
      </c>
      <c r="P4867" t="s">
        <v>3398</v>
      </c>
      <c r="Q4867" t="s">
        <v>4542</v>
      </c>
      <c r="R4867" t="s">
        <v>14754</v>
      </c>
    </row>
    <row r="4868" spans="1:18" x14ac:dyDescent="0.2">
      <c r="A4868">
        <v>80878</v>
      </c>
      <c r="B4868" t="s">
        <v>14755</v>
      </c>
      <c r="C4868">
        <v>1</v>
      </c>
      <c r="D4868">
        <v>1</v>
      </c>
      <c r="E4868">
        <v>1</v>
      </c>
      <c r="F4868">
        <v>0</v>
      </c>
      <c r="G4868">
        <v>0</v>
      </c>
      <c r="H4868">
        <v>1</v>
      </c>
      <c r="I4868">
        <v>0</v>
      </c>
      <c r="J4868">
        <v>0</v>
      </c>
      <c r="K4868">
        <v>0</v>
      </c>
      <c r="L4868" t="s">
        <v>3284</v>
      </c>
      <c r="M4868" t="s">
        <v>3296</v>
      </c>
      <c r="N4868" t="s">
        <v>3321</v>
      </c>
      <c r="O4868" t="s">
        <v>3322</v>
      </c>
      <c r="P4868" t="s">
        <v>3398</v>
      </c>
      <c r="Q4868" t="s">
        <v>3556</v>
      </c>
      <c r="R4868" t="s">
        <v>14756</v>
      </c>
    </row>
    <row r="4869" spans="1:18" x14ac:dyDescent="0.2">
      <c r="A4869">
        <v>80867</v>
      </c>
      <c r="B4869" t="s">
        <v>14757</v>
      </c>
      <c r="C4869">
        <v>0</v>
      </c>
      <c r="D4869">
        <v>0</v>
      </c>
      <c r="E4869">
        <v>0</v>
      </c>
      <c r="F4869">
        <v>1</v>
      </c>
      <c r="G4869">
        <v>0</v>
      </c>
      <c r="H4869">
        <v>0</v>
      </c>
      <c r="I4869">
        <v>0</v>
      </c>
      <c r="J4869">
        <v>0</v>
      </c>
      <c r="K4869">
        <v>0</v>
      </c>
      <c r="L4869" t="s">
        <v>3284</v>
      </c>
      <c r="M4869" t="s">
        <v>3296</v>
      </c>
      <c r="N4869" t="s">
        <v>3321</v>
      </c>
      <c r="O4869" t="s">
        <v>3322</v>
      </c>
      <c r="P4869" t="s">
        <v>3398</v>
      </c>
      <c r="Q4869" t="s">
        <v>11961</v>
      </c>
      <c r="R4869" t="s">
        <v>14758</v>
      </c>
    </row>
    <row r="4870" spans="1:18" x14ac:dyDescent="0.2">
      <c r="A4870">
        <v>80866</v>
      </c>
      <c r="B4870" t="s">
        <v>14759</v>
      </c>
      <c r="C4870">
        <v>3</v>
      </c>
      <c r="D4870">
        <v>1</v>
      </c>
      <c r="E4870">
        <v>4</v>
      </c>
      <c r="F4870">
        <v>144</v>
      </c>
      <c r="G4870">
        <v>84</v>
      </c>
      <c r="H4870">
        <v>125</v>
      </c>
      <c r="I4870">
        <v>597</v>
      </c>
      <c r="J4870">
        <v>261</v>
      </c>
      <c r="K4870">
        <v>423</v>
      </c>
      <c r="L4870" t="s">
        <v>3284</v>
      </c>
      <c r="M4870" t="s">
        <v>3296</v>
      </c>
      <c r="N4870" t="s">
        <v>3321</v>
      </c>
      <c r="O4870" t="s">
        <v>3322</v>
      </c>
      <c r="P4870" t="s">
        <v>3398</v>
      </c>
      <c r="Q4870" t="s">
        <v>3439</v>
      </c>
      <c r="R4870" t="s">
        <v>14760</v>
      </c>
    </row>
    <row r="4871" spans="1:18" x14ac:dyDescent="0.2">
      <c r="A4871">
        <v>80816</v>
      </c>
      <c r="B4871" t="s">
        <v>14761</v>
      </c>
      <c r="C4871">
        <v>0</v>
      </c>
      <c r="D4871">
        <v>1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 t="s">
        <v>3284</v>
      </c>
      <c r="M4871" t="s">
        <v>5163</v>
      </c>
      <c r="N4871" t="s">
        <v>3271</v>
      </c>
      <c r="O4871" t="s">
        <v>14762</v>
      </c>
      <c r="P4871" t="s">
        <v>14763</v>
      </c>
      <c r="Q4871" t="s">
        <v>14764</v>
      </c>
      <c r="R4871" t="s">
        <v>14765</v>
      </c>
    </row>
    <row r="4872" spans="1:18" x14ac:dyDescent="0.2">
      <c r="A4872">
        <v>79883</v>
      </c>
      <c r="B4872" t="s">
        <v>14766</v>
      </c>
      <c r="C4872">
        <v>2</v>
      </c>
      <c r="D4872">
        <v>1</v>
      </c>
      <c r="E4872">
        <v>1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 t="s">
        <v>3284</v>
      </c>
      <c r="M4872" t="s">
        <v>3327</v>
      </c>
      <c r="N4872" t="s">
        <v>3376</v>
      </c>
      <c r="O4872" t="s">
        <v>3377</v>
      </c>
      <c r="P4872" t="s">
        <v>3378</v>
      </c>
      <c r="Q4872" t="s">
        <v>6057</v>
      </c>
      <c r="R4872" t="s">
        <v>14767</v>
      </c>
    </row>
    <row r="4873" spans="1:18" x14ac:dyDescent="0.2">
      <c r="A4873">
        <v>79209</v>
      </c>
      <c r="B4873" t="s">
        <v>14768</v>
      </c>
      <c r="C4873">
        <v>1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 t="s">
        <v>3284</v>
      </c>
      <c r="M4873" t="s">
        <v>3327</v>
      </c>
      <c r="N4873" t="s">
        <v>3328</v>
      </c>
      <c r="O4873" t="s">
        <v>3329</v>
      </c>
      <c r="P4873" t="s">
        <v>4329</v>
      </c>
      <c r="Q4873" t="s">
        <v>4330</v>
      </c>
      <c r="R4873" t="s">
        <v>14769</v>
      </c>
    </row>
    <row r="4874" spans="1:18" x14ac:dyDescent="0.2">
      <c r="A4874">
        <v>78327</v>
      </c>
      <c r="B4874" t="s">
        <v>14770</v>
      </c>
      <c r="C4874">
        <v>2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 t="s">
        <v>3284</v>
      </c>
      <c r="M4874" t="s">
        <v>3296</v>
      </c>
      <c r="N4874" t="s">
        <v>3297</v>
      </c>
      <c r="O4874" t="s">
        <v>3434</v>
      </c>
      <c r="P4874" t="s">
        <v>3435</v>
      </c>
      <c r="Q4874" t="s">
        <v>3436</v>
      </c>
      <c r="R4874" t="s">
        <v>14771</v>
      </c>
    </row>
    <row r="4875" spans="1:18" x14ac:dyDescent="0.2">
      <c r="A4875">
        <v>78229</v>
      </c>
      <c r="B4875" t="s">
        <v>14772</v>
      </c>
      <c r="C4875">
        <v>0</v>
      </c>
      <c r="D4875">
        <v>2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 t="s">
        <v>3284</v>
      </c>
      <c r="M4875" t="s">
        <v>3296</v>
      </c>
      <c r="N4875" t="s">
        <v>3321</v>
      </c>
      <c r="O4875" t="s">
        <v>3322</v>
      </c>
      <c r="P4875" t="s">
        <v>3398</v>
      </c>
      <c r="Q4875" t="s">
        <v>11961</v>
      </c>
      <c r="R4875" t="s">
        <v>14773</v>
      </c>
    </row>
    <row r="4876" spans="1:18" x14ac:dyDescent="0.2">
      <c r="A4876">
        <v>77675</v>
      </c>
      <c r="B4876" t="s">
        <v>14774</v>
      </c>
      <c r="C4876">
        <v>0</v>
      </c>
      <c r="D4876">
        <v>1</v>
      </c>
      <c r="E4876">
        <v>0</v>
      </c>
      <c r="F4876">
        <v>0</v>
      </c>
      <c r="G4876">
        <v>0</v>
      </c>
      <c r="H4876">
        <v>0</v>
      </c>
      <c r="I4876">
        <v>1</v>
      </c>
      <c r="J4876">
        <v>1</v>
      </c>
      <c r="K4876">
        <v>0</v>
      </c>
      <c r="L4876" t="s">
        <v>3284</v>
      </c>
      <c r="M4876" t="s">
        <v>3296</v>
      </c>
      <c r="N4876" t="s">
        <v>3343</v>
      </c>
      <c r="O4876" t="s">
        <v>3429</v>
      </c>
      <c r="P4876" t="s">
        <v>3430</v>
      </c>
      <c r="Q4876" t="s">
        <v>4656</v>
      </c>
      <c r="R4876" t="s">
        <v>14775</v>
      </c>
    </row>
    <row r="4877" spans="1:18" x14ac:dyDescent="0.2">
      <c r="A4877">
        <v>77608</v>
      </c>
      <c r="B4877" t="s">
        <v>14776</v>
      </c>
      <c r="C4877">
        <v>1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 t="s">
        <v>3284</v>
      </c>
      <c r="M4877" t="s">
        <v>3296</v>
      </c>
      <c r="N4877" t="s">
        <v>3297</v>
      </c>
      <c r="O4877" t="s">
        <v>4556</v>
      </c>
      <c r="P4877" t="s">
        <v>11249</v>
      </c>
      <c r="Q4877" t="s">
        <v>11250</v>
      </c>
      <c r="R4877" t="s">
        <v>14777</v>
      </c>
    </row>
    <row r="4878" spans="1:18" x14ac:dyDescent="0.2">
      <c r="A4878">
        <v>77585</v>
      </c>
      <c r="B4878" t="s">
        <v>14778</v>
      </c>
      <c r="C4878">
        <v>1</v>
      </c>
      <c r="D4878">
        <v>4</v>
      </c>
      <c r="E4878">
        <v>0</v>
      </c>
      <c r="F4878">
        <v>0</v>
      </c>
      <c r="G4878">
        <v>0</v>
      </c>
      <c r="H4878">
        <v>0</v>
      </c>
      <c r="I4878">
        <v>2</v>
      </c>
      <c r="J4878">
        <v>1</v>
      </c>
      <c r="K4878">
        <v>0</v>
      </c>
      <c r="L4878" t="s">
        <v>3284</v>
      </c>
      <c r="M4878" t="s">
        <v>3296</v>
      </c>
      <c r="N4878" t="s">
        <v>3343</v>
      </c>
      <c r="O4878" t="s">
        <v>3429</v>
      </c>
      <c r="P4878" t="s">
        <v>4336</v>
      </c>
      <c r="Q4878" t="s">
        <v>14779</v>
      </c>
      <c r="R4878" t="s">
        <v>14780</v>
      </c>
    </row>
    <row r="4879" spans="1:18" x14ac:dyDescent="0.2">
      <c r="A4879">
        <v>77008</v>
      </c>
      <c r="B4879" t="s">
        <v>14781</v>
      </c>
      <c r="C4879">
        <v>1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 t="s">
        <v>3284</v>
      </c>
      <c r="M4879" t="s">
        <v>3296</v>
      </c>
      <c r="N4879" t="s">
        <v>3343</v>
      </c>
      <c r="O4879" t="s">
        <v>3371</v>
      </c>
      <c r="P4879" t="s">
        <v>3688</v>
      </c>
      <c r="Q4879" t="s">
        <v>14782</v>
      </c>
      <c r="R4879" t="s">
        <v>14783</v>
      </c>
    </row>
    <row r="4880" spans="1:18" x14ac:dyDescent="0.2">
      <c r="A4880">
        <v>76978</v>
      </c>
      <c r="B4880" t="s">
        <v>14784</v>
      </c>
      <c r="C4880">
        <v>0</v>
      </c>
      <c r="D4880">
        <v>0</v>
      </c>
      <c r="E4880">
        <v>0</v>
      </c>
      <c r="F4880">
        <v>1</v>
      </c>
      <c r="G4880">
        <v>2</v>
      </c>
      <c r="H4880">
        <v>0</v>
      </c>
      <c r="I4880">
        <v>1</v>
      </c>
      <c r="J4880">
        <v>0</v>
      </c>
      <c r="K4880">
        <v>0</v>
      </c>
      <c r="L4880" t="s">
        <v>3284</v>
      </c>
      <c r="M4880" t="s">
        <v>3296</v>
      </c>
      <c r="N4880" t="s">
        <v>3343</v>
      </c>
      <c r="O4880" t="s">
        <v>3349</v>
      </c>
      <c r="P4880" t="s">
        <v>3350</v>
      </c>
      <c r="Q4880" t="s">
        <v>3351</v>
      </c>
      <c r="R4880" t="s">
        <v>14785</v>
      </c>
    </row>
    <row r="4881" spans="1:18" x14ac:dyDescent="0.2">
      <c r="A4881">
        <v>76862</v>
      </c>
      <c r="B4881" t="s">
        <v>14786</v>
      </c>
      <c r="C4881">
        <v>0</v>
      </c>
      <c r="D4881">
        <v>0</v>
      </c>
      <c r="E4881">
        <v>0</v>
      </c>
      <c r="F4881">
        <v>1</v>
      </c>
      <c r="G4881">
        <v>0</v>
      </c>
      <c r="H4881">
        <v>0</v>
      </c>
      <c r="I4881">
        <v>0</v>
      </c>
      <c r="J4881">
        <v>0</v>
      </c>
      <c r="K4881">
        <v>0</v>
      </c>
      <c r="L4881" t="s">
        <v>3284</v>
      </c>
      <c r="M4881" t="s">
        <v>3307</v>
      </c>
      <c r="N4881" t="s">
        <v>3308</v>
      </c>
      <c r="O4881" t="s">
        <v>3359</v>
      </c>
      <c r="P4881" t="s">
        <v>3588</v>
      </c>
      <c r="Q4881" t="s">
        <v>4970</v>
      </c>
      <c r="R4881" t="s">
        <v>14787</v>
      </c>
    </row>
    <row r="4882" spans="1:18" x14ac:dyDescent="0.2">
      <c r="A4882">
        <v>76759</v>
      </c>
      <c r="B4882" t="s">
        <v>14788</v>
      </c>
      <c r="C4882">
        <v>0</v>
      </c>
      <c r="D4882">
        <v>0</v>
      </c>
      <c r="E4882">
        <v>0</v>
      </c>
      <c r="F4882">
        <v>1</v>
      </c>
      <c r="G4882">
        <v>0</v>
      </c>
      <c r="H4882">
        <v>0</v>
      </c>
      <c r="I4882">
        <v>0</v>
      </c>
      <c r="J4882">
        <v>0</v>
      </c>
      <c r="K4882">
        <v>0</v>
      </c>
      <c r="L4882" t="s">
        <v>3284</v>
      </c>
      <c r="M4882" t="s">
        <v>3296</v>
      </c>
      <c r="N4882" t="s">
        <v>3297</v>
      </c>
      <c r="O4882" t="s">
        <v>3434</v>
      </c>
      <c r="P4882" t="s">
        <v>3435</v>
      </c>
      <c r="Q4882" t="s">
        <v>3436</v>
      </c>
      <c r="R4882" t="s">
        <v>14789</v>
      </c>
    </row>
    <row r="4883" spans="1:18" x14ac:dyDescent="0.2">
      <c r="A4883">
        <v>76747</v>
      </c>
      <c r="B4883" t="s">
        <v>14790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1</v>
      </c>
      <c r="I4883">
        <v>0</v>
      </c>
      <c r="J4883">
        <v>0</v>
      </c>
      <c r="K4883">
        <v>0</v>
      </c>
      <c r="L4883" t="s">
        <v>3284</v>
      </c>
      <c r="M4883" t="s">
        <v>3296</v>
      </c>
      <c r="N4883" t="s">
        <v>3343</v>
      </c>
      <c r="O4883" t="s">
        <v>3344</v>
      </c>
      <c r="P4883" t="s">
        <v>3355</v>
      </c>
      <c r="Q4883" t="s">
        <v>7835</v>
      </c>
      <c r="R4883" t="s">
        <v>14791</v>
      </c>
    </row>
    <row r="4884" spans="1:18" x14ac:dyDescent="0.2">
      <c r="A4884">
        <v>76731</v>
      </c>
      <c r="B4884" t="s">
        <v>14792</v>
      </c>
      <c r="C4884">
        <v>0</v>
      </c>
      <c r="D4884">
        <v>1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 t="s">
        <v>3284</v>
      </c>
      <c r="M4884" t="s">
        <v>3296</v>
      </c>
      <c r="N4884" t="s">
        <v>3321</v>
      </c>
      <c r="O4884" t="s">
        <v>3322</v>
      </c>
      <c r="P4884" t="s">
        <v>3671</v>
      </c>
      <c r="Q4884" t="s">
        <v>3672</v>
      </c>
      <c r="R4884" t="s">
        <v>14793</v>
      </c>
    </row>
    <row r="4885" spans="1:18" x14ac:dyDescent="0.2">
      <c r="A4885">
        <v>76489</v>
      </c>
      <c r="B4885" t="s">
        <v>14794</v>
      </c>
      <c r="C4885">
        <v>2</v>
      </c>
      <c r="D4885">
        <v>4</v>
      </c>
      <c r="E4885">
        <v>1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 t="s">
        <v>3284</v>
      </c>
      <c r="M4885" t="s">
        <v>3327</v>
      </c>
      <c r="N4885" t="s">
        <v>3328</v>
      </c>
      <c r="O4885" t="s">
        <v>3329</v>
      </c>
      <c r="P4885" t="s">
        <v>3330</v>
      </c>
      <c r="Q4885" t="s">
        <v>3331</v>
      </c>
      <c r="R4885" t="s">
        <v>14795</v>
      </c>
    </row>
    <row r="4886" spans="1:18" x14ac:dyDescent="0.2">
      <c r="A4886">
        <v>76259</v>
      </c>
      <c r="B4886" t="s">
        <v>14796</v>
      </c>
      <c r="C4886">
        <v>1</v>
      </c>
      <c r="D4886">
        <v>2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 t="s">
        <v>3284</v>
      </c>
      <c r="M4886" t="s">
        <v>3296</v>
      </c>
      <c r="N4886" t="s">
        <v>3321</v>
      </c>
      <c r="O4886" t="s">
        <v>4147</v>
      </c>
      <c r="P4886" t="s">
        <v>7177</v>
      </c>
      <c r="Q4886" t="s">
        <v>14797</v>
      </c>
      <c r="R4886" t="s">
        <v>14798</v>
      </c>
    </row>
    <row r="4887" spans="1:18" x14ac:dyDescent="0.2">
      <c r="A4887">
        <v>76116</v>
      </c>
      <c r="B4887" t="s">
        <v>14799</v>
      </c>
      <c r="C4887">
        <v>0</v>
      </c>
      <c r="D4887">
        <v>0</v>
      </c>
      <c r="E4887">
        <v>0</v>
      </c>
      <c r="F4887">
        <v>2</v>
      </c>
      <c r="G4887">
        <v>0</v>
      </c>
      <c r="H4887">
        <v>0</v>
      </c>
      <c r="I4887">
        <v>0</v>
      </c>
      <c r="J4887">
        <v>0</v>
      </c>
      <c r="K4887">
        <v>0</v>
      </c>
      <c r="L4887" t="s">
        <v>3284</v>
      </c>
      <c r="M4887" t="s">
        <v>3296</v>
      </c>
      <c r="N4887" t="s">
        <v>3321</v>
      </c>
      <c r="O4887" t="s">
        <v>4147</v>
      </c>
      <c r="P4887" t="s">
        <v>4164</v>
      </c>
      <c r="Q4887" t="s">
        <v>14281</v>
      </c>
      <c r="R4887" t="s">
        <v>14800</v>
      </c>
    </row>
    <row r="4888" spans="1:18" x14ac:dyDescent="0.2">
      <c r="A4888">
        <v>75659</v>
      </c>
      <c r="B4888" t="s">
        <v>14801</v>
      </c>
      <c r="C4888">
        <v>0</v>
      </c>
      <c r="D4888">
        <v>0</v>
      </c>
      <c r="E4888">
        <v>0</v>
      </c>
      <c r="F4888">
        <v>0</v>
      </c>
      <c r="G4888">
        <v>1</v>
      </c>
      <c r="H4888">
        <v>0</v>
      </c>
      <c r="I4888">
        <v>0</v>
      </c>
      <c r="J4888">
        <v>0</v>
      </c>
      <c r="K4888">
        <v>0</v>
      </c>
      <c r="L4888" t="s">
        <v>3284</v>
      </c>
      <c r="M4888" t="s">
        <v>3296</v>
      </c>
      <c r="N4888" t="s">
        <v>3321</v>
      </c>
      <c r="O4888" t="s">
        <v>3322</v>
      </c>
      <c r="P4888" t="s">
        <v>3323</v>
      </c>
      <c r="Q4888" t="s">
        <v>5058</v>
      </c>
      <c r="R4888" t="s">
        <v>14802</v>
      </c>
    </row>
    <row r="4889" spans="1:18" x14ac:dyDescent="0.2">
      <c r="A4889">
        <v>75385</v>
      </c>
      <c r="B4889" t="s">
        <v>14803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1</v>
      </c>
      <c r="K4889">
        <v>0</v>
      </c>
      <c r="L4889" t="s">
        <v>3284</v>
      </c>
      <c r="M4889" t="s">
        <v>3307</v>
      </c>
      <c r="N4889" t="s">
        <v>3308</v>
      </c>
      <c r="O4889" t="s">
        <v>3309</v>
      </c>
      <c r="P4889" t="s">
        <v>3310</v>
      </c>
      <c r="Q4889" t="s">
        <v>14804</v>
      </c>
      <c r="R4889" t="s">
        <v>14805</v>
      </c>
    </row>
    <row r="4890" spans="1:18" x14ac:dyDescent="0.2">
      <c r="A4890">
        <v>74829</v>
      </c>
      <c r="B4890" t="s">
        <v>14806</v>
      </c>
      <c r="C4890">
        <v>0</v>
      </c>
      <c r="D4890">
        <v>0</v>
      </c>
      <c r="E4890">
        <v>0</v>
      </c>
      <c r="F4890">
        <v>2</v>
      </c>
      <c r="G4890">
        <v>0</v>
      </c>
      <c r="H4890">
        <v>0</v>
      </c>
      <c r="I4890">
        <v>0</v>
      </c>
      <c r="J4890">
        <v>0</v>
      </c>
      <c r="K4890">
        <v>0</v>
      </c>
      <c r="L4890" t="s">
        <v>3284</v>
      </c>
      <c r="M4890" t="s">
        <v>3296</v>
      </c>
      <c r="N4890" t="s">
        <v>3297</v>
      </c>
      <c r="O4890" t="s">
        <v>3434</v>
      </c>
      <c r="P4890" t="s">
        <v>3435</v>
      </c>
      <c r="Q4890" t="s">
        <v>5438</v>
      </c>
      <c r="R4890" t="s">
        <v>14807</v>
      </c>
    </row>
    <row r="4891" spans="1:18" x14ac:dyDescent="0.2">
      <c r="A4891">
        <v>74326</v>
      </c>
      <c r="B4891" t="s">
        <v>14808</v>
      </c>
      <c r="C4891">
        <v>0</v>
      </c>
      <c r="D4891">
        <v>0</v>
      </c>
      <c r="E4891">
        <v>0</v>
      </c>
      <c r="F4891">
        <v>8</v>
      </c>
      <c r="G4891">
        <v>6</v>
      </c>
      <c r="H4891">
        <v>0</v>
      </c>
      <c r="I4891">
        <v>0</v>
      </c>
      <c r="J4891">
        <v>0</v>
      </c>
      <c r="K4891">
        <v>0</v>
      </c>
      <c r="L4891" t="s">
        <v>3284</v>
      </c>
      <c r="M4891" t="s">
        <v>3296</v>
      </c>
      <c r="N4891" t="s">
        <v>3343</v>
      </c>
      <c r="O4891" t="s">
        <v>3402</v>
      </c>
      <c r="P4891" t="s">
        <v>3403</v>
      </c>
      <c r="Q4891" t="s">
        <v>3536</v>
      </c>
      <c r="R4891" t="s">
        <v>14809</v>
      </c>
    </row>
    <row r="4892" spans="1:18" x14ac:dyDescent="0.2">
      <c r="A4892">
        <v>74316</v>
      </c>
      <c r="B4892" t="s">
        <v>14810</v>
      </c>
      <c r="C4892">
        <v>0</v>
      </c>
      <c r="D4892">
        <v>0</v>
      </c>
      <c r="E4892">
        <v>0</v>
      </c>
      <c r="F4892">
        <v>2</v>
      </c>
      <c r="G4892">
        <v>3</v>
      </c>
      <c r="H4892">
        <v>0</v>
      </c>
      <c r="I4892">
        <v>0</v>
      </c>
      <c r="J4892">
        <v>0</v>
      </c>
      <c r="K4892">
        <v>0</v>
      </c>
      <c r="L4892" t="s">
        <v>3284</v>
      </c>
      <c r="M4892" t="s">
        <v>3296</v>
      </c>
      <c r="N4892" t="s">
        <v>3343</v>
      </c>
      <c r="O4892" t="s">
        <v>3402</v>
      </c>
      <c r="P4892" t="s">
        <v>3403</v>
      </c>
      <c r="Q4892" t="s">
        <v>3536</v>
      </c>
      <c r="R4892" t="s">
        <v>14811</v>
      </c>
    </row>
    <row r="4893" spans="1:18" x14ac:dyDescent="0.2">
      <c r="A4893">
        <v>74315</v>
      </c>
      <c r="B4893" t="s">
        <v>14812</v>
      </c>
      <c r="C4893">
        <v>0</v>
      </c>
      <c r="D4893">
        <v>0</v>
      </c>
      <c r="E4893">
        <v>0</v>
      </c>
      <c r="F4893">
        <v>8</v>
      </c>
      <c r="G4893">
        <v>4</v>
      </c>
      <c r="H4893">
        <v>9</v>
      </c>
      <c r="I4893">
        <v>0</v>
      </c>
      <c r="J4893">
        <v>0</v>
      </c>
      <c r="K4893">
        <v>0</v>
      </c>
      <c r="L4893" t="s">
        <v>3284</v>
      </c>
      <c r="M4893" t="s">
        <v>3296</v>
      </c>
      <c r="N4893" t="s">
        <v>3343</v>
      </c>
      <c r="O4893" t="s">
        <v>3402</v>
      </c>
      <c r="P4893" t="s">
        <v>3403</v>
      </c>
      <c r="Q4893" t="s">
        <v>3536</v>
      </c>
      <c r="R4893" t="s">
        <v>14813</v>
      </c>
    </row>
    <row r="4894" spans="1:18" x14ac:dyDescent="0.2">
      <c r="A4894">
        <v>74314</v>
      </c>
      <c r="B4894" t="s">
        <v>14814</v>
      </c>
      <c r="C4894">
        <v>0</v>
      </c>
      <c r="D4894">
        <v>0</v>
      </c>
      <c r="E4894">
        <v>0</v>
      </c>
      <c r="F4894">
        <v>1</v>
      </c>
      <c r="G4894">
        <v>0</v>
      </c>
      <c r="H4894">
        <v>0</v>
      </c>
      <c r="I4894">
        <v>0</v>
      </c>
      <c r="J4894">
        <v>0</v>
      </c>
      <c r="K4894">
        <v>0</v>
      </c>
      <c r="L4894" t="s">
        <v>3284</v>
      </c>
      <c r="M4894" t="s">
        <v>3296</v>
      </c>
      <c r="N4894" t="s">
        <v>3343</v>
      </c>
      <c r="O4894" t="s">
        <v>3402</v>
      </c>
      <c r="P4894" t="s">
        <v>3403</v>
      </c>
      <c r="Q4894" t="s">
        <v>3536</v>
      </c>
      <c r="R4894" t="s">
        <v>14815</v>
      </c>
    </row>
    <row r="4895" spans="1:18" x14ac:dyDescent="0.2">
      <c r="A4895">
        <v>74313</v>
      </c>
      <c r="B4895" t="s">
        <v>14816</v>
      </c>
      <c r="C4895">
        <v>0</v>
      </c>
      <c r="D4895">
        <v>1</v>
      </c>
      <c r="E4895">
        <v>0</v>
      </c>
      <c r="F4895">
        <v>2</v>
      </c>
      <c r="G4895">
        <v>4</v>
      </c>
      <c r="H4895">
        <v>0</v>
      </c>
      <c r="I4895">
        <v>0</v>
      </c>
      <c r="J4895">
        <v>0</v>
      </c>
      <c r="K4895">
        <v>0</v>
      </c>
      <c r="L4895" t="s">
        <v>3284</v>
      </c>
      <c r="M4895" t="s">
        <v>3296</v>
      </c>
      <c r="N4895" t="s">
        <v>3343</v>
      </c>
      <c r="O4895" t="s">
        <v>3402</v>
      </c>
      <c r="P4895" t="s">
        <v>3403</v>
      </c>
      <c r="Q4895" t="s">
        <v>3536</v>
      </c>
      <c r="R4895" t="s">
        <v>14817</v>
      </c>
    </row>
    <row r="4896" spans="1:18" x14ac:dyDescent="0.2">
      <c r="A4896">
        <v>74312</v>
      </c>
      <c r="B4896" t="s">
        <v>14818</v>
      </c>
      <c r="C4896">
        <v>0</v>
      </c>
      <c r="D4896">
        <v>0</v>
      </c>
      <c r="E4896">
        <v>0</v>
      </c>
      <c r="F4896">
        <v>2</v>
      </c>
      <c r="G4896">
        <v>0</v>
      </c>
      <c r="H4896">
        <v>1</v>
      </c>
      <c r="I4896">
        <v>0</v>
      </c>
      <c r="J4896">
        <v>0</v>
      </c>
      <c r="K4896">
        <v>0</v>
      </c>
      <c r="L4896" t="s">
        <v>3284</v>
      </c>
      <c r="M4896" t="s">
        <v>3296</v>
      </c>
      <c r="N4896" t="s">
        <v>3343</v>
      </c>
      <c r="O4896" t="s">
        <v>3402</v>
      </c>
      <c r="P4896" t="s">
        <v>3403</v>
      </c>
      <c r="Q4896" t="s">
        <v>3536</v>
      </c>
      <c r="R4896" t="s">
        <v>14819</v>
      </c>
    </row>
    <row r="4897" spans="1:18" x14ac:dyDescent="0.2">
      <c r="A4897">
        <v>74311</v>
      </c>
      <c r="B4897" t="s">
        <v>14820</v>
      </c>
      <c r="C4897">
        <v>2</v>
      </c>
      <c r="D4897">
        <v>0</v>
      </c>
      <c r="E4897">
        <v>1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 t="s">
        <v>3284</v>
      </c>
      <c r="M4897" t="s">
        <v>3296</v>
      </c>
      <c r="N4897" t="s">
        <v>3343</v>
      </c>
      <c r="O4897" t="s">
        <v>3402</v>
      </c>
      <c r="P4897" t="s">
        <v>3403</v>
      </c>
      <c r="Q4897" t="s">
        <v>3536</v>
      </c>
      <c r="R4897" t="s">
        <v>14821</v>
      </c>
    </row>
    <row r="4898" spans="1:18" x14ac:dyDescent="0.2">
      <c r="A4898">
        <v>72806</v>
      </c>
      <c r="B4898" t="s">
        <v>14822</v>
      </c>
      <c r="C4898">
        <v>0</v>
      </c>
      <c r="D4898">
        <v>0</v>
      </c>
      <c r="E4898">
        <v>0</v>
      </c>
      <c r="F4898">
        <v>0</v>
      </c>
      <c r="G4898">
        <v>1</v>
      </c>
      <c r="H4898">
        <v>0</v>
      </c>
      <c r="I4898">
        <v>0</v>
      </c>
      <c r="J4898">
        <v>0</v>
      </c>
      <c r="K4898">
        <v>0</v>
      </c>
      <c r="L4898" t="s">
        <v>3284</v>
      </c>
      <c r="M4898" t="s">
        <v>3307</v>
      </c>
      <c r="N4898" t="s">
        <v>3308</v>
      </c>
      <c r="O4898" t="s">
        <v>3635</v>
      </c>
      <c r="P4898" t="s">
        <v>3636</v>
      </c>
      <c r="Q4898" t="s">
        <v>6345</v>
      </c>
      <c r="R4898" t="s">
        <v>14823</v>
      </c>
    </row>
    <row r="4899" spans="1:18" x14ac:dyDescent="0.2">
      <c r="A4899">
        <v>72174</v>
      </c>
      <c r="B4899" t="s">
        <v>14824</v>
      </c>
      <c r="C4899">
        <v>0</v>
      </c>
      <c r="D4899">
        <v>0</v>
      </c>
      <c r="E4899">
        <v>0</v>
      </c>
      <c r="F4899">
        <v>0</v>
      </c>
      <c r="G4899">
        <v>1</v>
      </c>
      <c r="H4899">
        <v>0</v>
      </c>
      <c r="I4899">
        <v>0</v>
      </c>
      <c r="J4899">
        <v>0</v>
      </c>
      <c r="K4899">
        <v>0</v>
      </c>
      <c r="L4899" t="s">
        <v>3284</v>
      </c>
      <c r="M4899" t="s">
        <v>3296</v>
      </c>
      <c r="N4899" t="s">
        <v>3343</v>
      </c>
      <c r="O4899" t="s">
        <v>3349</v>
      </c>
      <c r="P4899" t="s">
        <v>3350</v>
      </c>
      <c r="Q4899" t="s">
        <v>14825</v>
      </c>
      <c r="R4899" t="s">
        <v>14826</v>
      </c>
    </row>
    <row r="4900" spans="1:18" x14ac:dyDescent="0.2">
      <c r="A4900">
        <v>71451</v>
      </c>
      <c r="B4900" t="s">
        <v>14827</v>
      </c>
      <c r="C4900">
        <v>0</v>
      </c>
      <c r="D4900">
        <v>1</v>
      </c>
      <c r="E4900">
        <v>1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 t="s">
        <v>3284</v>
      </c>
      <c r="M4900" t="s">
        <v>3327</v>
      </c>
      <c r="N4900" t="s">
        <v>3376</v>
      </c>
      <c r="O4900" t="s">
        <v>3718</v>
      </c>
      <c r="P4900" t="s">
        <v>6044</v>
      </c>
      <c r="Q4900" t="s">
        <v>6045</v>
      </c>
      <c r="R4900" t="s">
        <v>14828</v>
      </c>
    </row>
    <row r="4901" spans="1:18" x14ac:dyDescent="0.2">
      <c r="A4901">
        <v>71235</v>
      </c>
      <c r="B4901" t="s">
        <v>14829</v>
      </c>
      <c r="C4901">
        <v>0</v>
      </c>
      <c r="D4901">
        <v>0</v>
      </c>
      <c r="E4901">
        <v>0</v>
      </c>
      <c r="F4901">
        <v>1</v>
      </c>
      <c r="G4901">
        <v>0</v>
      </c>
      <c r="H4901">
        <v>1</v>
      </c>
      <c r="I4901">
        <v>0</v>
      </c>
      <c r="J4901">
        <v>0</v>
      </c>
      <c r="K4901">
        <v>0</v>
      </c>
      <c r="L4901" t="s">
        <v>3284</v>
      </c>
      <c r="M4901" t="s">
        <v>3296</v>
      </c>
      <c r="N4901" t="s">
        <v>3343</v>
      </c>
      <c r="O4901" t="s">
        <v>3344</v>
      </c>
      <c r="P4901" t="s">
        <v>4785</v>
      </c>
      <c r="Q4901" t="s">
        <v>14830</v>
      </c>
      <c r="R4901" t="s">
        <v>14831</v>
      </c>
    </row>
    <row r="4902" spans="1:18" x14ac:dyDescent="0.2">
      <c r="A4902">
        <v>70993</v>
      </c>
      <c r="B4902" t="s">
        <v>14832</v>
      </c>
      <c r="C4902">
        <v>0</v>
      </c>
      <c r="D4902">
        <v>0</v>
      </c>
      <c r="E4902">
        <v>1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 t="s">
        <v>3284</v>
      </c>
      <c r="M4902" t="s">
        <v>3391</v>
      </c>
      <c r="N4902" t="s">
        <v>3740</v>
      </c>
      <c r="O4902" t="s">
        <v>3741</v>
      </c>
      <c r="P4902" t="s">
        <v>7260</v>
      </c>
      <c r="Q4902" t="s">
        <v>14833</v>
      </c>
      <c r="R4902" t="s">
        <v>14834</v>
      </c>
    </row>
    <row r="4903" spans="1:18" x14ac:dyDescent="0.2">
      <c r="A4903">
        <v>70586</v>
      </c>
      <c r="B4903" t="s">
        <v>14835</v>
      </c>
      <c r="C4903">
        <v>1</v>
      </c>
      <c r="D4903">
        <v>1</v>
      </c>
      <c r="E4903">
        <v>0</v>
      </c>
      <c r="F4903">
        <v>0</v>
      </c>
      <c r="G4903">
        <v>0</v>
      </c>
      <c r="H4903">
        <v>0</v>
      </c>
      <c r="I4903">
        <v>1</v>
      </c>
      <c r="J4903">
        <v>0</v>
      </c>
      <c r="K4903">
        <v>0</v>
      </c>
      <c r="L4903" t="s">
        <v>3284</v>
      </c>
      <c r="M4903" t="s">
        <v>3296</v>
      </c>
      <c r="N4903" t="s">
        <v>3321</v>
      </c>
      <c r="O4903" t="s">
        <v>3322</v>
      </c>
      <c r="P4903" t="s">
        <v>3271</v>
      </c>
      <c r="Q4903" t="s">
        <v>4214</v>
      </c>
      <c r="R4903" t="s">
        <v>14836</v>
      </c>
    </row>
    <row r="4904" spans="1:18" x14ac:dyDescent="0.2">
      <c r="A4904">
        <v>70584</v>
      </c>
      <c r="B4904" t="s">
        <v>14837</v>
      </c>
      <c r="C4904">
        <v>10</v>
      </c>
      <c r="D4904">
        <v>17</v>
      </c>
      <c r="E4904">
        <v>2</v>
      </c>
      <c r="F4904">
        <v>0</v>
      </c>
      <c r="G4904">
        <v>0</v>
      </c>
      <c r="H4904">
        <v>0</v>
      </c>
      <c r="I4904">
        <v>6</v>
      </c>
      <c r="J4904">
        <v>4</v>
      </c>
      <c r="K4904">
        <v>0</v>
      </c>
      <c r="L4904" t="s">
        <v>3284</v>
      </c>
      <c r="M4904" t="s">
        <v>3296</v>
      </c>
      <c r="N4904" t="s">
        <v>3321</v>
      </c>
      <c r="O4904" t="s">
        <v>3322</v>
      </c>
      <c r="P4904" t="s">
        <v>3271</v>
      </c>
      <c r="Q4904" t="s">
        <v>4214</v>
      </c>
      <c r="R4904" t="s">
        <v>14838</v>
      </c>
    </row>
    <row r="4905" spans="1:18" x14ac:dyDescent="0.2">
      <c r="A4905">
        <v>70348</v>
      </c>
      <c r="B4905" t="s">
        <v>14839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1</v>
      </c>
      <c r="J4905">
        <v>0</v>
      </c>
      <c r="K4905">
        <v>0</v>
      </c>
      <c r="L4905" t="s">
        <v>3284</v>
      </c>
      <c r="M4905" t="s">
        <v>3296</v>
      </c>
      <c r="N4905" t="s">
        <v>3297</v>
      </c>
      <c r="O4905" t="s">
        <v>4037</v>
      </c>
      <c r="P4905" t="s">
        <v>4038</v>
      </c>
      <c r="Q4905" t="s">
        <v>5556</v>
      </c>
      <c r="R4905" t="s">
        <v>14840</v>
      </c>
    </row>
    <row r="4906" spans="1:18" x14ac:dyDescent="0.2">
      <c r="A4906">
        <v>70347</v>
      </c>
      <c r="B4906" t="s">
        <v>14841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10</v>
      </c>
      <c r="J4906">
        <v>1</v>
      </c>
      <c r="K4906">
        <v>2</v>
      </c>
      <c r="L4906" t="s">
        <v>3284</v>
      </c>
      <c r="M4906" t="s">
        <v>3296</v>
      </c>
      <c r="N4906" t="s">
        <v>3297</v>
      </c>
      <c r="O4906" t="s">
        <v>4037</v>
      </c>
      <c r="P4906" t="s">
        <v>4038</v>
      </c>
      <c r="Q4906" t="s">
        <v>5556</v>
      </c>
      <c r="R4906" t="s">
        <v>14842</v>
      </c>
    </row>
    <row r="4907" spans="1:18" x14ac:dyDescent="0.2">
      <c r="A4907">
        <v>70346</v>
      </c>
      <c r="B4907" t="s">
        <v>14843</v>
      </c>
      <c r="C4907">
        <v>0</v>
      </c>
      <c r="D4907">
        <v>0</v>
      </c>
      <c r="E4907">
        <v>0</v>
      </c>
      <c r="F4907">
        <v>0</v>
      </c>
      <c r="G4907">
        <v>2</v>
      </c>
      <c r="H4907">
        <v>0</v>
      </c>
      <c r="I4907">
        <v>1</v>
      </c>
      <c r="J4907">
        <v>0</v>
      </c>
      <c r="K4907">
        <v>0</v>
      </c>
      <c r="L4907" t="s">
        <v>3284</v>
      </c>
      <c r="M4907" t="s">
        <v>3296</v>
      </c>
      <c r="N4907" t="s">
        <v>3297</v>
      </c>
      <c r="O4907" t="s">
        <v>4037</v>
      </c>
      <c r="P4907" t="s">
        <v>4038</v>
      </c>
      <c r="Q4907" t="s">
        <v>5556</v>
      </c>
      <c r="R4907" t="s">
        <v>14844</v>
      </c>
    </row>
    <row r="4908" spans="1:18" x14ac:dyDescent="0.2">
      <c r="A4908">
        <v>69964</v>
      </c>
      <c r="B4908" t="s">
        <v>14845</v>
      </c>
      <c r="C4908">
        <v>0</v>
      </c>
      <c r="D4908">
        <v>0</v>
      </c>
      <c r="E4908">
        <v>0</v>
      </c>
      <c r="F4908">
        <v>0</v>
      </c>
      <c r="G4908">
        <v>1</v>
      </c>
      <c r="H4908">
        <v>0</v>
      </c>
      <c r="I4908">
        <v>0</v>
      </c>
      <c r="J4908">
        <v>0</v>
      </c>
      <c r="K4908">
        <v>0</v>
      </c>
      <c r="L4908" t="s">
        <v>3284</v>
      </c>
      <c r="M4908" t="s">
        <v>3296</v>
      </c>
      <c r="N4908" t="s">
        <v>3297</v>
      </c>
      <c r="O4908" t="s">
        <v>3434</v>
      </c>
      <c r="P4908" t="s">
        <v>3435</v>
      </c>
      <c r="Q4908" t="s">
        <v>9499</v>
      </c>
      <c r="R4908" t="s">
        <v>14846</v>
      </c>
    </row>
    <row r="4909" spans="1:18" x14ac:dyDescent="0.2">
      <c r="A4909">
        <v>69963</v>
      </c>
      <c r="B4909" t="s">
        <v>14847</v>
      </c>
      <c r="C4909">
        <v>0</v>
      </c>
      <c r="D4909">
        <v>0</v>
      </c>
      <c r="E4909">
        <v>0</v>
      </c>
      <c r="F4909">
        <v>1</v>
      </c>
      <c r="G4909">
        <v>0</v>
      </c>
      <c r="H4909">
        <v>0</v>
      </c>
      <c r="I4909">
        <v>0</v>
      </c>
      <c r="J4909">
        <v>0</v>
      </c>
      <c r="K4909">
        <v>0</v>
      </c>
      <c r="L4909" t="s">
        <v>3284</v>
      </c>
      <c r="M4909" t="s">
        <v>3296</v>
      </c>
      <c r="N4909" t="s">
        <v>3297</v>
      </c>
      <c r="O4909" t="s">
        <v>3434</v>
      </c>
      <c r="P4909" t="s">
        <v>3435</v>
      </c>
      <c r="Q4909" t="s">
        <v>14848</v>
      </c>
      <c r="R4909" t="s">
        <v>14849</v>
      </c>
    </row>
    <row r="4910" spans="1:18" x14ac:dyDescent="0.2">
      <c r="A4910">
        <v>69895</v>
      </c>
      <c r="B4910" t="s">
        <v>14850</v>
      </c>
      <c r="C4910">
        <v>0</v>
      </c>
      <c r="D4910">
        <v>1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 t="s">
        <v>3284</v>
      </c>
      <c r="M4910" t="s">
        <v>3327</v>
      </c>
      <c r="N4910" t="s">
        <v>3328</v>
      </c>
      <c r="O4910" t="s">
        <v>4184</v>
      </c>
      <c r="P4910" t="s">
        <v>14851</v>
      </c>
      <c r="Q4910" t="s">
        <v>14852</v>
      </c>
      <c r="R4910" t="s">
        <v>14853</v>
      </c>
    </row>
    <row r="4911" spans="1:18" x14ac:dyDescent="0.2">
      <c r="A4911">
        <v>69666</v>
      </c>
      <c r="B4911" t="s">
        <v>14854</v>
      </c>
      <c r="C4911">
        <v>0</v>
      </c>
      <c r="D4911">
        <v>0</v>
      </c>
      <c r="E4911">
        <v>0</v>
      </c>
      <c r="F4911">
        <v>1</v>
      </c>
      <c r="G4911">
        <v>0</v>
      </c>
      <c r="H4911">
        <v>0</v>
      </c>
      <c r="I4911">
        <v>1</v>
      </c>
      <c r="J4911">
        <v>0</v>
      </c>
      <c r="K4911">
        <v>0</v>
      </c>
      <c r="L4911" t="s">
        <v>3284</v>
      </c>
      <c r="M4911" t="s">
        <v>3296</v>
      </c>
      <c r="N4911" t="s">
        <v>3343</v>
      </c>
      <c r="O4911" t="s">
        <v>3402</v>
      </c>
      <c r="P4911" t="s">
        <v>3403</v>
      </c>
      <c r="Q4911" t="s">
        <v>3404</v>
      </c>
      <c r="R4911" t="s">
        <v>14855</v>
      </c>
    </row>
    <row r="4912" spans="1:18" x14ac:dyDescent="0.2">
      <c r="A4912">
        <v>69665</v>
      </c>
      <c r="B4912" t="s">
        <v>14856</v>
      </c>
      <c r="C4912">
        <v>0</v>
      </c>
      <c r="D4912">
        <v>0</v>
      </c>
      <c r="E4912">
        <v>0</v>
      </c>
      <c r="F4912">
        <v>0</v>
      </c>
      <c r="G4912">
        <v>1</v>
      </c>
      <c r="H4912">
        <v>0</v>
      </c>
      <c r="I4912">
        <v>0</v>
      </c>
      <c r="J4912">
        <v>0</v>
      </c>
      <c r="K4912">
        <v>0</v>
      </c>
      <c r="L4912" t="s">
        <v>3284</v>
      </c>
      <c r="M4912" t="s">
        <v>3296</v>
      </c>
      <c r="N4912" t="s">
        <v>3343</v>
      </c>
      <c r="O4912" t="s">
        <v>3402</v>
      </c>
      <c r="P4912" t="s">
        <v>3403</v>
      </c>
      <c r="Q4912" t="s">
        <v>3404</v>
      </c>
      <c r="R4912" t="s">
        <v>14857</v>
      </c>
    </row>
    <row r="4913" spans="1:18" x14ac:dyDescent="0.2">
      <c r="A4913">
        <v>69664</v>
      </c>
      <c r="B4913" t="s">
        <v>14858</v>
      </c>
      <c r="C4913">
        <v>0</v>
      </c>
      <c r="D4913">
        <v>0</v>
      </c>
      <c r="E4913">
        <v>0</v>
      </c>
      <c r="F4913">
        <v>20</v>
      </c>
      <c r="G4913">
        <v>4</v>
      </c>
      <c r="H4913">
        <v>1</v>
      </c>
      <c r="I4913">
        <v>1</v>
      </c>
      <c r="J4913">
        <v>0</v>
      </c>
      <c r="K4913">
        <v>0</v>
      </c>
      <c r="L4913" t="s">
        <v>3284</v>
      </c>
      <c r="M4913" t="s">
        <v>3296</v>
      </c>
      <c r="N4913" t="s">
        <v>3343</v>
      </c>
      <c r="O4913" t="s">
        <v>3402</v>
      </c>
      <c r="P4913" t="s">
        <v>3403</v>
      </c>
      <c r="Q4913" t="s">
        <v>3404</v>
      </c>
      <c r="R4913" t="s">
        <v>14859</v>
      </c>
    </row>
    <row r="4914" spans="1:18" x14ac:dyDescent="0.2">
      <c r="A4914">
        <v>69395</v>
      </c>
      <c r="B4914" t="s">
        <v>14860</v>
      </c>
      <c r="C4914">
        <v>0</v>
      </c>
      <c r="D4914">
        <v>0</v>
      </c>
      <c r="E4914">
        <v>0</v>
      </c>
      <c r="F4914">
        <v>4</v>
      </c>
      <c r="G4914">
        <v>0</v>
      </c>
      <c r="H4914">
        <v>0</v>
      </c>
      <c r="I4914">
        <v>0</v>
      </c>
      <c r="J4914">
        <v>0</v>
      </c>
      <c r="K4914">
        <v>0</v>
      </c>
      <c r="L4914" t="s">
        <v>3284</v>
      </c>
      <c r="M4914" t="s">
        <v>3296</v>
      </c>
      <c r="N4914" t="s">
        <v>3343</v>
      </c>
      <c r="O4914" t="s">
        <v>3402</v>
      </c>
      <c r="P4914" t="s">
        <v>3403</v>
      </c>
      <c r="Q4914" t="s">
        <v>3404</v>
      </c>
      <c r="R4914" t="s">
        <v>14861</v>
      </c>
    </row>
    <row r="4915" spans="1:18" x14ac:dyDescent="0.2">
      <c r="A4915">
        <v>69393</v>
      </c>
      <c r="B4915" t="s">
        <v>14862</v>
      </c>
      <c r="C4915">
        <v>1</v>
      </c>
      <c r="D4915">
        <v>0</v>
      </c>
      <c r="E4915">
        <v>0</v>
      </c>
      <c r="F4915">
        <v>1</v>
      </c>
      <c r="G4915">
        <v>0</v>
      </c>
      <c r="H4915">
        <v>0</v>
      </c>
      <c r="I4915">
        <v>0</v>
      </c>
      <c r="J4915">
        <v>0</v>
      </c>
      <c r="K4915">
        <v>0</v>
      </c>
      <c r="L4915" t="s">
        <v>3284</v>
      </c>
      <c r="M4915" t="s">
        <v>3296</v>
      </c>
      <c r="N4915" t="s">
        <v>3297</v>
      </c>
      <c r="O4915" t="s">
        <v>3298</v>
      </c>
      <c r="P4915" t="s">
        <v>3873</v>
      </c>
      <c r="Q4915" t="s">
        <v>5063</v>
      </c>
      <c r="R4915" t="s">
        <v>14863</v>
      </c>
    </row>
    <row r="4916" spans="1:18" x14ac:dyDescent="0.2">
      <c r="A4916">
        <v>69392</v>
      </c>
      <c r="B4916" t="s">
        <v>14864</v>
      </c>
      <c r="C4916">
        <v>1</v>
      </c>
      <c r="D4916">
        <v>1</v>
      </c>
      <c r="E4916">
        <v>1</v>
      </c>
      <c r="F4916">
        <v>230</v>
      </c>
      <c r="G4916">
        <v>148</v>
      </c>
      <c r="H4916">
        <v>128</v>
      </c>
      <c r="I4916">
        <v>6</v>
      </c>
      <c r="J4916">
        <v>6</v>
      </c>
      <c r="K4916">
        <v>3</v>
      </c>
      <c r="L4916" t="s">
        <v>3284</v>
      </c>
      <c r="M4916" t="s">
        <v>3296</v>
      </c>
      <c r="N4916" t="s">
        <v>3297</v>
      </c>
      <c r="O4916" t="s">
        <v>3469</v>
      </c>
      <c r="P4916" t="s">
        <v>3470</v>
      </c>
      <c r="Q4916" t="s">
        <v>3471</v>
      </c>
      <c r="R4916" t="s">
        <v>14865</v>
      </c>
    </row>
    <row r="4917" spans="1:18" x14ac:dyDescent="0.2">
      <c r="A4917">
        <v>69373</v>
      </c>
      <c r="B4917" t="s">
        <v>14866</v>
      </c>
      <c r="C4917">
        <v>0</v>
      </c>
      <c r="D4917">
        <v>0</v>
      </c>
      <c r="E4917">
        <v>0</v>
      </c>
      <c r="F4917">
        <v>11</v>
      </c>
      <c r="G4917">
        <v>8</v>
      </c>
      <c r="H4917">
        <v>1</v>
      </c>
      <c r="I4917">
        <v>0</v>
      </c>
      <c r="J4917">
        <v>0</v>
      </c>
      <c r="K4917">
        <v>0</v>
      </c>
      <c r="L4917" t="s">
        <v>3284</v>
      </c>
      <c r="M4917" t="s">
        <v>3307</v>
      </c>
      <c r="N4917" t="s">
        <v>3308</v>
      </c>
      <c r="O4917" t="s">
        <v>3359</v>
      </c>
      <c r="P4917" t="s">
        <v>3360</v>
      </c>
      <c r="Q4917" t="s">
        <v>3528</v>
      </c>
      <c r="R4917" t="s">
        <v>14867</v>
      </c>
    </row>
    <row r="4918" spans="1:18" x14ac:dyDescent="0.2">
      <c r="A4918">
        <v>69372</v>
      </c>
      <c r="B4918" t="s">
        <v>14868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3</v>
      </c>
      <c r="J4918">
        <v>0</v>
      </c>
      <c r="K4918">
        <v>0</v>
      </c>
      <c r="L4918" t="s">
        <v>3284</v>
      </c>
      <c r="M4918" t="s">
        <v>3307</v>
      </c>
      <c r="N4918" t="s">
        <v>3308</v>
      </c>
      <c r="O4918" t="s">
        <v>3359</v>
      </c>
      <c r="P4918" t="s">
        <v>3360</v>
      </c>
      <c r="Q4918" t="s">
        <v>14869</v>
      </c>
      <c r="R4918" t="s">
        <v>14870</v>
      </c>
    </row>
    <row r="4919" spans="1:18" x14ac:dyDescent="0.2">
      <c r="A4919">
        <v>69370</v>
      </c>
      <c r="B4919" t="s">
        <v>14871</v>
      </c>
      <c r="C4919">
        <v>0</v>
      </c>
      <c r="D4919">
        <v>0</v>
      </c>
      <c r="E4919">
        <v>0</v>
      </c>
      <c r="F4919">
        <v>1</v>
      </c>
      <c r="G4919">
        <v>0</v>
      </c>
      <c r="H4919">
        <v>0</v>
      </c>
      <c r="I4919">
        <v>0</v>
      </c>
      <c r="J4919">
        <v>0</v>
      </c>
      <c r="K4919">
        <v>0</v>
      </c>
      <c r="L4919" t="s">
        <v>3284</v>
      </c>
      <c r="M4919" t="s">
        <v>3307</v>
      </c>
      <c r="N4919" t="s">
        <v>3308</v>
      </c>
      <c r="O4919" t="s">
        <v>3359</v>
      </c>
      <c r="P4919" t="s">
        <v>3360</v>
      </c>
      <c r="Q4919" t="s">
        <v>3361</v>
      </c>
      <c r="R4919" t="s">
        <v>14872</v>
      </c>
    </row>
    <row r="4920" spans="1:18" x14ac:dyDescent="0.2">
      <c r="A4920">
        <v>69366</v>
      </c>
      <c r="B4920" t="s">
        <v>14873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1</v>
      </c>
      <c r="K4920">
        <v>0</v>
      </c>
      <c r="L4920" t="s">
        <v>3284</v>
      </c>
      <c r="M4920" t="s">
        <v>3307</v>
      </c>
      <c r="N4920" t="s">
        <v>3308</v>
      </c>
      <c r="O4920" t="s">
        <v>3359</v>
      </c>
      <c r="P4920" t="s">
        <v>3360</v>
      </c>
      <c r="Q4920" t="s">
        <v>3361</v>
      </c>
      <c r="R4920" t="s">
        <v>14874</v>
      </c>
    </row>
    <row r="4921" spans="1:18" x14ac:dyDescent="0.2">
      <c r="A4921">
        <v>69365</v>
      </c>
      <c r="B4921" t="s">
        <v>14875</v>
      </c>
      <c r="C4921">
        <v>0</v>
      </c>
      <c r="D4921">
        <v>1</v>
      </c>
      <c r="E4921">
        <v>0</v>
      </c>
      <c r="F4921">
        <v>0</v>
      </c>
      <c r="G4921">
        <v>0</v>
      </c>
      <c r="H4921">
        <v>0</v>
      </c>
      <c r="I4921">
        <v>1</v>
      </c>
      <c r="J4921">
        <v>0</v>
      </c>
      <c r="K4921">
        <v>0</v>
      </c>
      <c r="L4921" t="s">
        <v>3284</v>
      </c>
      <c r="M4921" t="s">
        <v>3307</v>
      </c>
      <c r="N4921" t="s">
        <v>3308</v>
      </c>
      <c r="O4921" t="s">
        <v>3359</v>
      </c>
      <c r="P4921" t="s">
        <v>3360</v>
      </c>
      <c r="Q4921" t="s">
        <v>3361</v>
      </c>
      <c r="R4921" t="s">
        <v>14876</v>
      </c>
    </row>
    <row r="4922" spans="1:18" x14ac:dyDescent="0.2">
      <c r="A4922">
        <v>69363</v>
      </c>
      <c r="B4922" t="s">
        <v>14877</v>
      </c>
      <c r="C4922">
        <v>2</v>
      </c>
      <c r="D4922">
        <v>2</v>
      </c>
      <c r="E4922">
        <v>0</v>
      </c>
      <c r="F4922">
        <v>1</v>
      </c>
      <c r="G4922">
        <v>1</v>
      </c>
      <c r="H4922">
        <v>0</v>
      </c>
      <c r="I4922">
        <v>0</v>
      </c>
      <c r="J4922">
        <v>1</v>
      </c>
      <c r="K4922">
        <v>1</v>
      </c>
      <c r="L4922" t="s">
        <v>3284</v>
      </c>
      <c r="M4922" t="s">
        <v>3307</v>
      </c>
      <c r="N4922" t="s">
        <v>3308</v>
      </c>
      <c r="O4922" t="s">
        <v>3359</v>
      </c>
      <c r="P4922" t="s">
        <v>3360</v>
      </c>
      <c r="Q4922" t="s">
        <v>3361</v>
      </c>
      <c r="R4922" t="s">
        <v>14878</v>
      </c>
    </row>
    <row r="4923" spans="1:18" x14ac:dyDescent="0.2">
      <c r="A4923">
        <v>69279</v>
      </c>
      <c r="B4923" t="s">
        <v>14879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1</v>
      </c>
      <c r="J4923">
        <v>0</v>
      </c>
      <c r="K4923">
        <v>0</v>
      </c>
      <c r="L4923" t="s">
        <v>3284</v>
      </c>
      <c r="M4923" t="s">
        <v>3296</v>
      </c>
      <c r="N4923" t="s">
        <v>3343</v>
      </c>
      <c r="O4923" t="s">
        <v>3344</v>
      </c>
      <c r="P4923" t="s">
        <v>3898</v>
      </c>
      <c r="Q4923" t="s">
        <v>10458</v>
      </c>
      <c r="R4923" t="s">
        <v>14880</v>
      </c>
    </row>
    <row r="4924" spans="1:18" x14ac:dyDescent="0.2">
      <c r="A4924">
        <v>69220</v>
      </c>
      <c r="B4924" t="s">
        <v>14881</v>
      </c>
      <c r="C4924">
        <v>0</v>
      </c>
      <c r="D4924">
        <v>0</v>
      </c>
      <c r="E4924">
        <v>0</v>
      </c>
      <c r="F4924">
        <v>1</v>
      </c>
      <c r="G4924">
        <v>2</v>
      </c>
      <c r="H4924">
        <v>0</v>
      </c>
      <c r="I4924">
        <v>3</v>
      </c>
      <c r="J4924">
        <v>0</v>
      </c>
      <c r="K4924">
        <v>0</v>
      </c>
      <c r="L4924" t="s">
        <v>3284</v>
      </c>
      <c r="M4924" t="s">
        <v>3296</v>
      </c>
      <c r="N4924" t="s">
        <v>3297</v>
      </c>
      <c r="O4924" t="s">
        <v>3298</v>
      </c>
      <c r="P4924" t="s">
        <v>3826</v>
      </c>
      <c r="Q4924" t="s">
        <v>4379</v>
      </c>
      <c r="R4924" t="s">
        <v>14882</v>
      </c>
    </row>
    <row r="4925" spans="1:18" x14ac:dyDescent="0.2">
      <c r="A4925">
        <v>69218</v>
      </c>
      <c r="B4925" t="s">
        <v>14883</v>
      </c>
      <c r="C4925">
        <v>0</v>
      </c>
      <c r="D4925">
        <v>0</v>
      </c>
      <c r="E4925">
        <v>0</v>
      </c>
      <c r="F4925">
        <v>1</v>
      </c>
      <c r="G4925">
        <v>0</v>
      </c>
      <c r="H4925">
        <v>0</v>
      </c>
      <c r="I4925">
        <v>0</v>
      </c>
      <c r="J4925">
        <v>0</v>
      </c>
      <c r="K4925">
        <v>0</v>
      </c>
      <c r="L4925" t="s">
        <v>3284</v>
      </c>
      <c r="M4925" t="s">
        <v>3296</v>
      </c>
      <c r="N4925" t="s">
        <v>3297</v>
      </c>
      <c r="O4925" t="s">
        <v>3298</v>
      </c>
      <c r="P4925" t="s">
        <v>3826</v>
      </c>
      <c r="Q4925" t="s">
        <v>6074</v>
      </c>
      <c r="R4925" t="s">
        <v>14884</v>
      </c>
    </row>
    <row r="4926" spans="1:18" x14ac:dyDescent="0.2">
      <c r="A4926">
        <v>69208</v>
      </c>
      <c r="B4926" t="s">
        <v>14885</v>
      </c>
      <c r="C4926">
        <v>21</v>
      </c>
      <c r="D4926">
        <v>19</v>
      </c>
      <c r="E4926">
        <v>14</v>
      </c>
      <c r="F4926">
        <v>0</v>
      </c>
      <c r="G4926">
        <v>0</v>
      </c>
      <c r="H4926">
        <v>1</v>
      </c>
      <c r="I4926">
        <v>0</v>
      </c>
      <c r="J4926">
        <v>2</v>
      </c>
      <c r="K4926">
        <v>0</v>
      </c>
      <c r="L4926" t="s">
        <v>3284</v>
      </c>
      <c r="M4926" t="s">
        <v>3327</v>
      </c>
      <c r="N4926" t="s">
        <v>3328</v>
      </c>
      <c r="O4926" t="s">
        <v>3329</v>
      </c>
      <c r="P4926" t="s">
        <v>3330</v>
      </c>
      <c r="Q4926" t="s">
        <v>3331</v>
      </c>
      <c r="R4926" t="s">
        <v>14886</v>
      </c>
    </row>
    <row r="4927" spans="1:18" x14ac:dyDescent="0.2">
      <c r="A4927">
        <v>68895</v>
      </c>
      <c r="B4927" t="s">
        <v>14887</v>
      </c>
      <c r="C4927">
        <v>0</v>
      </c>
      <c r="D4927">
        <v>0</v>
      </c>
      <c r="E4927">
        <v>0</v>
      </c>
      <c r="F4927">
        <v>2</v>
      </c>
      <c r="G4927">
        <v>1</v>
      </c>
      <c r="H4927">
        <v>0</v>
      </c>
      <c r="I4927">
        <v>0</v>
      </c>
      <c r="J4927">
        <v>0</v>
      </c>
      <c r="K4927">
        <v>0</v>
      </c>
      <c r="L4927" t="s">
        <v>3284</v>
      </c>
      <c r="M4927" t="s">
        <v>3296</v>
      </c>
      <c r="N4927" t="s">
        <v>3321</v>
      </c>
      <c r="O4927" t="s">
        <v>3322</v>
      </c>
      <c r="P4927" t="s">
        <v>3423</v>
      </c>
      <c r="Q4927" t="s">
        <v>3424</v>
      </c>
      <c r="R4927" t="s">
        <v>14888</v>
      </c>
    </row>
    <row r="4928" spans="1:18" x14ac:dyDescent="0.2">
      <c r="A4928">
        <v>68891</v>
      </c>
      <c r="B4928" t="s">
        <v>14889</v>
      </c>
      <c r="C4928">
        <v>0</v>
      </c>
      <c r="D4928">
        <v>4</v>
      </c>
      <c r="E4928">
        <v>11</v>
      </c>
      <c r="F4928">
        <v>1</v>
      </c>
      <c r="G4928">
        <v>2</v>
      </c>
      <c r="H4928">
        <v>9</v>
      </c>
      <c r="I4928">
        <v>3</v>
      </c>
      <c r="J4928">
        <v>1</v>
      </c>
      <c r="K4928">
        <v>31</v>
      </c>
      <c r="L4928" t="s">
        <v>3284</v>
      </c>
      <c r="M4928" t="s">
        <v>3327</v>
      </c>
      <c r="N4928" t="s">
        <v>3376</v>
      </c>
      <c r="O4928" t="s">
        <v>3718</v>
      </c>
      <c r="P4928" t="s">
        <v>14890</v>
      </c>
      <c r="Q4928" t="s">
        <v>14891</v>
      </c>
      <c r="R4928" t="s">
        <v>14892</v>
      </c>
    </row>
    <row r="4929" spans="1:18" x14ac:dyDescent="0.2">
      <c r="A4929">
        <v>68569</v>
      </c>
      <c r="B4929" t="s">
        <v>14893</v>
      </c>
      <c r="C4929">
        <v>0</v>
      </c>
      <c r="D4929">
        <v>0</v>
      </c>
      <c r="E4929">
        <v>0</v>
      </c>
      <c r="F4929">
        <v>1</v>
      </c>
      <c r="G4929">
        <v>0</v>
      </c>
      <c r="H4929">
        <v>0</v>
      </c>
      <c r="I4929">
        <v>0</v>
      </c>
      <c r="J4929">
        <v>0</v>
      </c>
      <c r="K4929">
        <v>0</v>
      </c>
      <c r="L4929" t="s">
        <v>3284</v>
      </c>
      <c r="M4929" t="s">
        <v>3296</v>
      </c>
      <c r="N4929" t="s">
        <v>3343</v>
      </c>
      <c r="O4929" t="s">
        <v>3349</v>
      </c>
      <c r="P4929" t="s">
        <v>3350</v>
      </c>
      <c r="Q4929" t="s">
        <v>3580</v>
      </c>
      <c r="R4929" t="s">
        <v>14894</v>
      </c>
    </row>
    <row r="4930" spans="1:18" x14ac:dyDescent="0.2">
      <c r="A4930">
        <v>68285</v>
      </c>
      <c r="B4930" t="s">
        <v>14895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1</v>
      </c>
      <c r="J4930">
        <v>0</v>
      </c>
      <c r="K4930">
        <v>0</v>
      </c>
      <c r="L4930" t="s">
        <v>3284</v>
      </c>
      <c r="M4930" t="s">
        <v>3307</v>
      </c>
      <c r="N4930" t="s">
        <v>3308</v>
      </c>
      <c r="O4930" t="s">
        <v>3446</v>
      </c>
      <c r="P4930" t="s">
        <v>3447</v>
      </c>
      <c r="Q4930" t="s">
        <v>3448</v>
      </c>
      <c r="R4930" t="s">
        <v>14896</v>
      </c>
    </row>
    <row r="4931" spans="1:18" x14ac:dyDescent="0.2">
      <c r="A4931">
        <v>68282</v>
      </c>
      <c r="B4931" t="s">
        <v>14897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1</v>
      </c>
      <c r="J4931">
        <v>0</v>
      </c>
      <c r="K4931">
        <v>0</v>
      </c>
      <c r="L4931" t="s">
        <v>3284</v>
      </c>
      <c r="M4931" t="s">
        <v>3307</v>
      </c>
      <c r="N4931" t="s">
        <v>3308</v>
      </c>
      <c r="O4931" t="s">
        <v>3446</v>
      </c>
      <c r="P4931" t="s">
        <v>3447</v>
      </c>
      <c r="Q4931" t="s">
        <v>3448</v>
      </c>
      <c r="R4931" t="s">
        <v>14898</v>
      </c>
    </row>
    <row r="4932" spans="1:18" x14ac:dyDescent="0.2">
      <c r="A4932">
        <v>68239</v>
      </c>
      <c r="B4932" t="s">
        <v>14899</v>
      </c>
      <c r="C4932">
        <v>0</v>
      </c>
      <c r="D4932">
        <v>0</v>
      </c>
      <c r="E4932">
        <v>0</v>
      </c>
      <c r="F4932">
        <v>1</v>
      </c>
      <c r="G4932">
        <v>0</v>
      </c>
      <c r="H4932">
        <v>0</v>
      </c>
      <c r="I4932">
        <v>0</v>
      </c>
      <c r="J4932">
        <v>0</v>
      </c>
      <c r="K4932">
        <v>0</v>
      </c>
      <c r="L4932" t="s">
        <v>3284</v>
      </c>
      <c r="M4932" t="s">
        <v>3307</v>
      </c>
      <c r="N4932" t="s">
        <v>3308</v>
      </c>
      <c r="O4932" t="s">
        <v>3446</v>
      </c>
      <c r="P4932" t="s">
        <v>3447</v>
      </c>
      <c r="Q4932" t="s">
        <v>3448</v>
      </c>
      <c r="R4932" t="s">
        <v>14900</v>
      </c>
    </row>
    <row r="4933" spans="1:18" x14ac:dyDescent="0.2">
      <c r="A4933">
        <v>68193</v>
      </c>
      <c r="B4933" t="s">
        <v>14901</v>
      </c>
      <c r="C4933">
        <v>0</v>
      </c>
      <c r="D4933">
        <v>0</v>
      </c>
      <c r="E4933">
        <v>9</v>
      </c>
      <c r="F4933">
        <v>0</v>
      </c>
      <c r="G4933">
        <v>0</v>
      </c>
      <c r="H4933">
        <v>9</v>
      </c>
      <c r="I4933">
        <v>0</v>
      </c>
      <c r="J4933">
        <v>0</v>
      </c>
      <c r="K4933">
        <v>3</v>
      </c>
      <c r="L4933" t="s">
        <v>3284</v>
      </c>
      <c r="M4933" t="s">
        <v>3307</v>
      </c>
      <c r="N4933" t="s">
        <v>3308</v>
      </c>
      <c r="O4933" t="s">
        <v>3446</v>
      </c>
      <c r="P4933" t="s">
        <v>3447</v>
      </c>
      <c r="Q4933" t="s">
        <v>3448</v>
      </c>
      <c r="R4933" t="s">
        <v>14902</v>
      </c>
    </row>
    <row r="4934" spans="1:18" x14ac:dyDescent="0.2">
      <c r="A4934">
        <v>67827</v>
      </c>
      <c r="B4934" t="s">
        <v>14903</v>
      </c>
      <c r="C4934">
        <v>0</v>
      </c>
      <c r="D4934">
        <v>0</v>
      </c>
      <c r="E4934">
        <v>0</v>
      </c>
      <c r="F4934">
        <v>0</v>
      </c>
      <c r="G4934">
        <v>1</v>
      </c>
      <c r="H4934">
        <v>0</v>
      </c>
      <c r="I4934">
        <v>0</v>
      </c>
      <c r="J4934">
        <v>0</v>
      </c>
      <c r="K4934">
        <v>0</v>
      </c>
      <c r="L4934" t="s">
        <v>3284</v>
      </c>
      <c r="M4934" t="s">
        <v>3296</v>
      </c>
      <c r="N4934" t="s">
        <v>3297</v>
      </c>
      <c r="O4934" t="s">
        <v>3298</v>
      </c>
      <c r="P4934" t="s">
        <v>3826</v>
      </c>
      <c r="Q4934" t="s">
        <v>3927</v>
      </c>
      <c r="R4934" t="s">
        <v>14904</v>
      </c>
    </row>
    <row r="4935" spans="1:18" x14ac:dyDescent="0.2">
      <c r="A4935">
        <v>67574</v>
      </c>
      <c r="B4935" t="s">
        <v>14905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1</v>
      </c>
      <c r="J4935">
        <v>0</v>
      </c>
      <c r="K4935">
        <v>0</v>
      </c>
      <c r="L4935" t="s">
        <v>3284</v>
      </c>
      <c r="M4935" t="s">
        <v>3307</v>
      </c>
      <c r="N4935" t="s">
        <v>3308</v>
      </c>
      <c r="O4935" t="s">
        <v>3359</v>
      </c>
      <c r="P4935" t="s">
        <v>3360</v>
      </c>
      <c r="Q4935" t="s">
        <v>3361</v>
      </c>
      <c r="R4935" t="s">
        <v>14906</v>
      </c>
    </row>
    <row r="4936" spans="1:18" x14ac:dyDescent="0.2">
      <c r="A4936">
        <v>67333</v>
      </c>
      <c r="B4936" t="s">
        <v>14907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1</v>
      </c>
      <c r="J4936">
        <v>0</v>
      </c>
      <c r="K4936">
        <v>0</v>
      </c>
      <c r="L4936" t="s">
        <v>3284</v>
      </c>
      <c r="M4936" t="s">
        <v>3307</v>
      </c>
      <c r="N4936" t="s">
        <v>3308</v>
      </c>
      <c r="O4936" t="s">
        <v>3446</v>
      </c>
      <c r="P4936" t="s">
        <v>3447</v>
      </c>
      <c r="Q4936" t="s">
        <v>3448</v>
      </c>
      <c r="R4936" t="s">
        <v>14908</v>
      </c>
    </row>
    <row r="4937" spans="1:18" x14ac:dyDescent="0.2">
      <c r="A4937">
        <v>67280</v>
      </c>
      <c r="B4937" t="s">
        <v>14909</v>
      </c>
      <c r="C4937">
        <v>0</v>
      </c>
      <c r="D4937">
        <v>0</v>
      </c>
      <c r="E4937">
        <v>0</v>
      </c>
      <c r="F4937">
        <v>1</v>
      </c>
      <c r="G4937">
        <v>0</v>
      </c>
      <c r="H4937">
        <v>0</v>
      </c>
      <c r="I4937">
        <v>0</v>
      </c>
      <c r="J4937">
        <v>0</v>
      </c>
      <c r="K4937">
        <v>0</v>
      </c>
      <c r="L4937" t="s">
        <v>3284</v>
      </c>
      <c r="M4937" t="s">
        <v>3307</v>
      </c>
      <c r="N4937" t="s">
        <v>3308</v>
      </c>
      <c r="O4937" t="s">
        <v>3446</v>
      </c>
      <c r="P4937" t="s">
        <v>3447</v>
      </c>
      <c r="Q4937" t="s">
        <v>3448</v>
      </c>
      <c r="R4937" t="s">
        <v>14910</v>
      </c>
    </row>
    <row r="4938" spans="1:18" x14ac:dyDescent="0.2">
      <c r="A4938">
        <v>67081</v>
      </c>
      <c r="B4938" t="s">
        <v>14911</v>
      </c>
      <c r="C4938">
        <v>0</v>
      </c>
      <c r="D4938">
        <v>0</v>
      </c>
      <c r="E4938">
        <v>0</v>
      </c>
      <c r="F4938">
        <v>0</v>
      </c>
      <c r="G4938">
        <v>1</v>
      </c>
      <c r="H4938">
        <v>0</v>
      </c>
      <c r="I4938">
        <v>0</v>
      </c>
      <c r="J4938">
        <v>0</v>
      </c>
      <c r="K4938">
        <v>0</v>
      </c>
      <c r="L4938" t="s">
        <v>3284</v>
      </c>
      <c r="M4938" t="s">
        <v>3307</v>
      </c>
      <c r="N4938" t="s">
        <v>3308</v>
      </c>
      <c r="O4938" t="s">
        <v>3635</v>
      </c>
      <c r="P4938" t="s">
        <v>4011</v>
      </c>
      <c r="Q4938" t="s">
        <v>4471</v>
      </c>
      <c r="R4938" t="s">
        <v>14912</v>
      </c>
    </row>
    <row r="4939" spans="1:18" x14ac:dyDescent="0.2">
      <c r="A4939">
        <v>66875</v>
      </c>
      <c r="B4939" t="s">
        <v>14913</v>
      </c>
      <c r="C4939">
        <v>0</v>
      </c>
      <c r="D4939">
        <v>1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 t="s">
        <v>3284</v>
      </c>
      <c r="M4939" t="s">
        <v>3307</v>
      </c>
      <c r="N4939" t="s">
        <v>3308</v>
      </c>
      <c r="O4939" t="s">
        <v>3446</v>
      </c>
      <c r="P4939" t="s">
        <v>3447</v>
      </c>
      <c r="Q4939" t="s">
        <v>3448</v>
      </c>
      <c r="R4939" t="s">
        <v>14914</v>
      </c>
    </row>
    <row r="4940" spans="1:18" x14ac:dyDescent="0.2">
      <c r="A4940">
        <v>66269</v>
      </c>
      <c r="B4940" t="s">
        <v>14915</v>
      </c>
      <c r="C4940">
        <v>0</v>
      </c>
      <c r="D4940">
        <v>1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 t="s">
        <v>3284</v>
      </c>
      <c r="M4940" t="s">
        <v>3296</v>
      </c>
      <c r="N4940" t="s">
        <v>3297</v>
      </c>
      <c r="O4940" t="s">
        <v>3298</v>
      </c>
      <c r="P4940" t="s">
        <v>3873</v>
      </c>
      <c r="Q4940" t="s">
        <v>5063</v>
      </c>
      <c r="R4940" t="s">
        <v>14916</v>
      </c>
    </row>
    <row r="4941" spans="1:18" x14ac:dyDescent="0.2">
      <c r="A4941">
        <v>66219</v>
      </c>
      <c r="B4941" t="s">
        <v>14917</v>
      </c>
      <c r="C4941">
        <v>0</v>
      </c>
      <c r="D4941">
        <v>1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 t="s">
        <v>3284</v>
      </c>
      <c r="M4941" t="s">
        <v>3327</v>
      </c>
      <c r="N4941" t="s">
        <v>3328</v>
      </c>
      <c r="O4941" t="s">
        <v>4017</v>
      </c>
      <c r="P4941" t="s">
        <v>4018</v>
      </c>
      <c r="Q4941" t="s">
        <v>9353</v>
      </c>
      <c r="R4941" t="s">
        <v>14918</v>
      </c>
    </row>
    <row r="4942" spans="1:18" x14ac:dyDescent="0.2">
      <c r="A4942">
        <v>65786</v>
      </c>
      <c r="B4942" t="s">
        <v>14919</v>
      </c>
      <c r="C4942">
        <v>8</v>
      </c>
      <c r="D4942">
        <v>8</v>
      </c>
      <c r="E4942">
        <v>1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 t="s">
        <v>3284</v>
      </c>
      <c r="M4942" t="s">
        <v>3296</v>
      </c>
      <c r="N4942" t="s">
        <v>3321</v>
      </c>
      <c r="O4942" t="s">
        <v>3322</v>
      </c>
      <c r="P4942" t="s">
        <v>3398</v>
      </c>
      <c r="Q4942" t="s">
        <v>3841</v>
      </c>
      <c r="R4942" t="s">
        <v>14920</v>
      </c>
    </row>
    <row r="4943" spans="1:18" x14ac:dyDescent="0.2">
      <c r="A4943">
        <v>65700</v>
      </c>
      <c r="B4943" t="s">
        <v>14921</v>
      </c>
      <c r="C4943">
        <v>1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 t="s">
        <v>3284</v>
      </c>
      <c r="M4943" t="s">
        <v>3296</v>
      </c>
      <c r="N4943" t="s">
        <v>3297</v>
      </c>
      <c r="O4943" t="s">
        <v>3298</v>
      </c>
      <c r="P4943" t="s">
        <v>3873</v>
      </c>
      <c r="Q4943" t="s">
        <v>4087</v>
      </c>
      <c r="R4943" t="s">
        <v>14922</v>
      </c>
    </row>
    <row r="4944" spans="1:18" x14ac:dyDescent="0.2">
      <c r="A4944">
        <v>65657</v>
      </c>
      <c r="B4944" t="s">
        <v>14923</v>
      </c>
      <c r="C4944">
        <v>5</v>
      </c>
      <c r="D4944">
        <v>8</v>
      </c>
      <c r="E4944">
        <v>3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 t="s">
        <v>3284</v>
      </c>
      <c r="M4944" t="s">
        <v>3296</v>
      </c>
      <c r="N4944" t="s">
        <v>3321</v>
      </c>
      <c r="O4944" t="s">
        <v>3322</v>
      </c>
      <c r="P4944" t="s">
        <v>3398</v>
      </c>
      <c r="Q4944" t="s">
        <v>3841</v>
      </c>
      <c r="R4944" t="s">
        <v>14924</v>
      </c>
    </row>
    <row r="4945" spans="1:18" x14ac:dyDescent="0.2">
      <c r="A4945">
        <v>65656</v>
      </c>
      <c r="B4945" t="s">
        <v>14925</v>
      </c>
      <c r="C4945">
        <v>4</v>
      </c>
      <c r="D4945">
        <v>17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 t="s">
        <v>3284</v>
      </c>
      <c r="M4945" t="s">
        <v>3296</v>
      </c>
      <c r="N4945" t="s">
        <v>3321</v>
      </c>
      <c r="O4945" t="s">
        <v>3322</v>
      </c>
      <c r="P4945" t="s">
        <v>3398</v>
      </c>
      <c r="Q4945" t="s">
        <v>3841</v>
      </c>
      <c r="R4945" t="s">
        <v>14926</v>
      </c>
    </row>
    <row r="4946" spans="1:18" x14ac:dyDescent="0.2">
      <c r="A4946">
        <v>65655</v>
      </c>
      <c r="B4946" t="s">
        <v>14927</v>
      </c>
      <c r="C4946">
        <v>9</v>
      </c>
      <c r="D4946">
        <v>7</v>
      </c>
      <c r="E4946">
        <v>3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 t="s">
        <v>3284</v>
      </c>
      <c r="M4946" t="s">
        <v>3296</v>
      </c>
      <c r="N4946" t="s">
        <v>3321</v>
      </c>
      <c r="O4946" t="s">
        <v>3322</v>
      </c>
      <c r="P4946" t="s">
        <v>3398</v>
      </c>
      <c r="Q4946" t="s">
        <v>3841</v>
      </c>
      <c r="R4946" t="s">
        <v>14928</v>
      </c>
    </row>
    <row r="4947" spans="1:18" x14ac:dyDescent="0.2">
      <c r="A4947">
        <v>65555</v>
      </c>
      <c r="B4947" t="s">
        <v>14929</v>
      </c>
      <c r="C4947">
        <v>0</v>
      </c>
      <c r="D4947">
        <v>0</v>
      </c>
      <c r="E4947">
        <v>0</v>
      </c>
      <c r="F4947">
        <v>1</v>
      </c>
      <c r="G4947">
        <v>0</v>
      </c>
      <c r="H4947">
        <v>0</v>
      </c>
      <c r="I4947">
        <v>0</v>
      </c>
      <c r="J4947">
        <v>0</v>
      </c>
      <c r="K4947">
        <v>0</v>
      </c>
      <c r="L4947" t="s">
        <v>3284</v>
      </c>
      <c r="M4947" t="s">
        <v>6718</v>
      </c>
      <c r="N4947" t="s">
        <v>6916</v>
      </c>
      <c r="O4947" t="s">
        <v>6917</v>
      </c>
      <c r="P4947" t="s">
        <v>8152</v>
      </c>
      <c r="Q4947" t="s">
        <v>14930</v>
      </c>
      <c r="R4947" t="s">
        <v>14931</v>
      </c>
    </row>
    <row r="4948" spans="1:18" x14ac:dyDescent="0.2">
      <c r="A4948">
        <v>65403</v>
      </c>
      <c r="B4948" t="s">
        <v>14932</v>
      </c>
      <c r="C4948">
        <v>0</v>
      </c>
      <c r="D4948">
        <v>1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 t="s">
        <v>3284</v>
      </c>
      <c r="M4948" t="s">
        <v>3327</v>
      </c>
      <c r="N4948" t="s">
        <v>3328</v>
      </c>
      <c r="O4948" t="s">
        <v>4184</v>
      </c>
      <c r="P4948" t="s">
        <v>10171</v>
      </c>
      <c r="Q4948" t="s">
        <v>10172</v>
      </c>
      <c r="R4948" t="s">
        <v>14933</v>
      </c>
    </row>
    <row r="4949" spans="1:18" x14ac:dyDescent="0.2">
      <c r="A4949">
        <v>64104</v>
      </c>
      <c r="B4949" t="s">
        <v>14934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1</v>
      </c>
      <c r="J4949">
        <v>1</v>
      </c>
      <c r="K4949">
        <v>1</v>
      </c>
      <c r="L4949" t="s">
        <v>3284</v>
      </c>
      <c r="M4949" t="s">
        <v>3327</v>
      </c>
      <c r="N4949" t="s">
        <v>3376</v>
      </c>
      <c r="O4949" t="s">
        <v>3377</v>
      </c>
      <c r="P4949" t="s">
        <v>3378</v>
      </c>
      <c r="Q4949" t="s">
        <v>3379</v>
      </c>
      <c r="R4949" t="s">
        <v>14935</v>
      </c>
    </row>
    <row r="4950" spans="1:18" x14ac:dyDescent="0.2">
      <c r="A4950">
        <v>61651</v>
      </c>
      <c r="B4950" t="s">
        <v>14936</v>
      </c>
      <c r="C4950">
        <v>0</v>
      </c>
      <c r="D4950">
        <v>0</v>
      </c>
      <c r="E4950">
        <v>1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 t="s">
        <v>3284</v>
      </c>
      <c r="M4950" t="s">
        <v>3296</v>
      </c>
      <c r="N4950" t="s">
        <v>3297</v>
      </c>
      <c r="O4950" t="s">
        <v>3298</v>
      </c>
      <c r="P4950" t="s">
        <v>3299</v>
      </c>
      <c r="Q4950" t="s">
        <v>3300</v>
      </c>
      <c r="R4950" t="s">
        <v>14937</v>
      </c>
    </row>
    <row r="4951" spans="1:18" x14ac:dyDescent="0.2">
      <c r="A4951">
        <v>61645</v>
      </c>
      <c r="B4951" t="s">
        <v>14938</v>
      </c>
      <c r="C4951">
        <v>0</v>
      </c>
      <c r="D4951">
        <v>0</v>
      </c>
      <c r="E4951">
        <v>3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 t="s">
        <v>3284</v>
      </c>
      <c r="M4951" t="s">
        <v>3296</v>
      </c>
      <c r="N4951" t="s">
        <v>3297</v>
      </c>
      <c r="O4951" t="s">
        <v>3298</v>
      </c>
      <c r="P4951" t="s">
        <v>3826</v>
      </c>
      <c r="Q4951" t="s">
        <v>6074</v>
      </c>
      <c r="R4951" t="s">
        <v>14939</v>
      </c>
    </row>
    <row r="4952" spans="1:18" x14ac:dyDescent="0.2">
      <c r="A4952">
        <v>61644</v>
      </c>
      <c r="B4952" t="s">
        <v>14940</v>
      </c>
      <c r="C4952">
        <v>0</v>
      </c>
      <c r="D4952">
        <v>2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 t="s">
        <v>3284</v>
      </c>
      <c r="M4952" t="s">
        <v>3296</v>
      </c>
      <c r="N4952" t="s">
        <v>3297</v>
      </c>
      <c r="O4952" t="s">
        <v>4124</v>
      </c>
      <c r="P4952" t="s">
        <v>4125</v>
      </c>
      <c r="Q4952" t="s">
        <v>14941</v>
      </c>
      <c r="R4952" t="s">
        <v>14942</v>
      </c>
    </row>
    <row r="4953" spans="1:18" x14ac:dyDescent="0.2">
      <c r="A4953">
        <v>60912</v>
      </c>
      <c r="B4953" t="s">
        <v>14943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1</v>
      </c>
      <c r="J4953">
        <v>0</v>
      </c>
      <c r="K4953">
        <v>0</v>
      </c>
      <c r="L4953" t="s">
        <v>3284</v>
      </c>
      <c r="M4953" t="s">
        <v>3307</v>
      </c>
      <c r="N4953" t="s">
        <v>3308</v>
      </c>
      <c r="O4953" t="s">
        <v>3382</v>
      </c>
      <c r="P4953" t="s">
        <v>3383</v>
      </c>
      <c r="Q4953" t="s">
        <v>6353</v>
      </c>
      <c r="R4953" t="s">
        <v>14944</v>
      </c>
    </row>
    <row r="4954" spans="1:18" x14ac:dyDescent="0.2">
      <c r="A4954">
        <v>60550</v>
      </c>
      <c r="B4954" t="s">
        <v>14945</v>
      </c>
      <c r="C4954">
        <v>0</v>
      </c>
      <c r="D4954">
        <v>0</v>
      </c>
      <c r="E4954">
        <v>0</v>
      </c>
      <c r="F4954">
        <v>1</v>
      </c>
      <c r="G4954">
        <v>0</v>
      </c>
      <c r="H4954">
        <v>0</v>
      </c>
      <c r="I4954">
        <v>0</v>
      </c>
      <c r="J4954">
        <v>0</v>
      </c>
      <c r="K4954">
        <v>0</v>
      </c>
      <c r="L4954" t="s">
        <v>3284</v>
      </c>
      <c r="M4954" t="s">
        <v>3296</v>
      </c>
      <c r="N4954" t="s">
        <v>3321</v>
      </c>
      <c r="O4954" t="s">
        <v>3322</v>
      </c>
      <c r="P4954" t="s">
        <v>3423</v>
      </c>
      <c r="Q4954" t="s">
        <v>4170</v>
      </c>
      <c r="R4954" t="s">
        <v>14946</v>
      </c>
    </row>
    <row r="4955" spans="1:18" x14ac:dyDescent="0.2">
      <c r="A4955">
        <v>60489</v>
      </c>
      <c r="B4955" t="s">
        <v>14947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1</v>
      </c>
      <c r="K4955">
        <v>0</v>
      </c>
      <c r="L4955" t="s">
        <v>3284</v>
      </c>
      <c r="M4955" t="s">
        <v>3307</v>
      </c>
      <c r="N4955" t="s">
        <v>3308</v>
      </c>
      <c r="O4955" t="s">
        <v>3309</v>
      </c>
      <c r="P4955" t="s">
        <v>3310</v>
      </c>
      <c r="Q4955" t="s">
        <v>3311</v>
      </c>
      <c r="R4955" t="s">
        <v>14948</v>
      </c>
    </row>
    <row r="4956" spans="1:18" x14ac:dyDescent="0.2">
      <c r="A4956">
        <v>60442</v>
      </c>
      <c r="B4956" t="s">
        <v>14949</v>
      </c>
      <c r="C4956">
        <v>0</v>
      </c>
      <c r="D4956">
        <v>2</v>
      </c>
      <c r="E4956">
        <v>1</v>
      </c>
      <c r="F4956">
        <v>4</v>
      </c>
      <c r="G4956">
        <v>2</v>
      </c>
      <c r="H4956">
        <v>1</v>
      </c>
      <c r="I4956">
        <v>3</v>
      </c>
      <c r="J4956">
        <v>3</v>
      </c>
      <c r="K4956">
        <v>6</v>
      </c>
      <c r="L4956" t="s">
        <v>3284</v>
      </c>
      <c r="M4956" t="s">
        <v>3296</v>
      </c>
      <c r="N4956" t="s">
        <v>3297</v>
      </c>
      <c r="O4956" t="s">
        <v>4037</v>
      </c>
      <c r="P4956" t="s">
        <v>4038</v>
      </c>
      <c r="Q4956" t="s">
        <v>4039</v>
      </c>
      <c r="R4956" t="s">
        <v>14950</v>
      </c>
    </row>
    <row r="4957" spans="1:18" x14ac:dyDescent="0.2">
      <c r="A4957">
        <v>59813</v>
      </c>
      <c r="B4957" t="s">
        <v>14951</v>
      </c>
      <c r="C4957">
        <v>1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 t="s">
        <v>3284</v>
      </c>
      <c r="M4957" t="s">
        <v>3307</v>
      </c>
      <c r="N4957" t="s">
        <v>3308</v>
      </c>
      <c r="O4957" t="s">
        <v>3635</v>
      </c>
      <c r="P4957" t="s">
        <v>4011</v>
      </c>
      <c r="Q4957" t="s">
        <v>4471</v>
      </c>
      <c r="R4957" t="s">
        <v>14952</v>
      </c>
    </row>
    <row r="4958" spans="1:18" x14ac:dyDescent="0.2">
      <c r="A4958">
        <v>59620</v>
      </c>
      <c r="B4958" t="s">
        <v>14953</v>
      </c>
      <c r="C4958">
        <v>42</v>
      </c>
      <c r="D4958">
        <v>54</v>
      </c>
      <c r="E4958">
        <v>27</v>
      </c>
      <c r="F4958">
        <v>0</v>
      </c>
      <c r="G4958">
        <v>0</v>
      </c>
      <c r="H4958">
        <v>0</v>
      </c>
      <c r="I4958">
        <v>2</v>
      </c>
      <c r="J4958">
        <v>0</v>
      </c>
      <c r="K4958">
        <v>0</v>
      </c>
      <c r="L4958" t="s">
        <v>3284</v>
      </c>
      <c r="M4958" t="s">
        <v>3327</v>
      </c>
      <c r="N4958" t="s">
        <v>3328</v>
      </c>
      <c r="O4958" t="s">
        <v>3329</v>
      </c>
      <c r="P4958" t="s">
        <v>3330</v>
      </c>
      <c r="Q4958" t="s">
        <v>3331</v>
      </c>
      <c r="R4958" t="s">
        <v>14954</v>
      </c>
    </row>
    <row r="4959" spans="1:18" x14ac:dyDescent="0.2">
      <c r="A4959">
        <v>59610</v>
      </c>
      <c r="B4959" t="s">
        <v>14955</v>
      </c>
      <c r="C4959">
        <v>1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 t="s">
        <v>3284</v>
      </c>
      <c r="M4959" t="s">
        <v>3327</v>
      </c>
      <c r="N4959" t="s">
        <v>3328</v>
      </c>
      <c r="O4959" t="s">
        <v>3329</v>
      </c>
      <c r="P4959" t="s">
        <v>10616</v>
      </c>
      <c r="Q4959" t="s">
        <v>11500</v>
      </c>
      <c r="R4959" t="s">
        <v>14956</v>
      </c>
    </row>
    <row r="4960" spans="1:18" x14ac:dyDescent="0.2">
      <c r="A4960">
        <v>58109</v>
      </c>
      <c r="B4960" t="s">
        <v>14957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1</v>
      </c>
      <c r="J4960">
        <v>0</v>
      </c>
      <c r="K4960">
        <v>0</v>
      </c>
      <c r="L4960" t="s">
        <v>3284</v>
      </c>
      <c r="M4960" t="s">
        <v>3307</v>
      </c>
      <c r="N4960" t="s">
        <v>3308</v>
      </c>
      <c r="O4960" t="s">
        <v>3949</v>
      </c>
      <c r="P4960" t="s">
        <v>8780</v>
      </c>
      <c r="Q4960" t="s">
        <v>14958</v>
      </c>
      <c r="R4960" t="s">
        <v>14959</v>
      </c>
    </row>
    <row r="4961" spans="1:18" x14ac:dyDescent="0.2">
      <c r="A4961">
        <v>57706</v>
      </c>
      <c r="B4961" t="s">
        <v>14960</v>
      </c>
      <c r="C4961">
        <v>0</v>
      </c>
      <c r="D4961">
        <v>1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 t="s">
        <v>3284</v>
      </c>
      <c r="M4961" t="s">
        <v>3296</v>
      </c>
      <c r="N4961" t="s">
        <v>3297</v>
      </c>
      <c r="O4961" t="s">
        <v>3298</v>
      </c>
      <c r="P4961" t="s">
        <v>3826</v>
      </c>
      <c r="Q4961" t="s">
        <v>3927</v>
      </c>
      <c r="R4961" t="s">
        <v>14961</v>
      </c>
    </row>
    <row r="4962" spans="1:18" x14ac:dyDescent="0.2">
      <c r="A4962">
        <v>57043</v>
      </c>
      <c r="B4962" t="s">
        <v>14962</v>
      </c>
      <c r="C4962">
        <v>0</v>
      </c>
      <c r="D4962">
        <v>0</v>
      </c>
      <c r="E4962">
        <v>0</v>
      </c>
      <c r="F4962">
        <v>0</v>
      </c>
      <c r="G4962">
        <v>1</v>
      </c>
      <c r="H4962">
        <v>0</v>
      </c>
      <c r="I4962">
        <v>0</v>
      </c>
      <c r="J4962">
        <v>0</v>
      </c>
      <c r="K4962">
        <v>0</v>
      </c>
      <c r="L4962" t="s">
        <v>3284</v>
      </c>
      <c r="M4962" t="s">
        <v>3307</v>
      </c>
      <c r="N4962" t="s">
        <v>3308</v>
      </c>
      <c r="O4962" t="s">
        <v>3359</v>
      </c>
      <c r="P4962" t="s">
        <v>3360</v>
      </c>
      <c r="Q4962" t="s">
        <v>3361</v>
      </c>
      <c r="R4962" t="s">
        <v>14963</v>
      </c>
    </row>
    <row r="4963" spans="1:18" x14ac:dyDescent="0.2">
      <c r="A4963">
        <v>56454</v>
      </c>
      <c r="B4963" t="s">
        <v>14964</v>
      </c>
      <c r="C4963">
        <v>0</v>
      </c>
      <c r="D4963">
        <v>0</v>
      </c>
      <c r="E4963">
        <v>0</v>
      </c>
      <c r="F4963">
        <v>0</v>
      </c>
      <c r="G4963">
        <v>1</v>
      </c>
      <c r="H4963">
        <v>0</v>
      </c>
      <c r="I4963">
        <v>2</v>
      </c>
      <c r="J4963">
        <v>0</v>
      </c>
      <c r="K4963">
        <v>0</v>
      </c>
      <c r="L4963" t="s">
        <v>3284</v>
      </c>
      <c r="M4963" t="s">
        <v>3296</v>
      </c>
      <c r="N4963" t="s">
        <v>3297</v>
      </c>
      <c r="O4963" t="s">
        <v>3469</v>
      </c>
      <c r="P4963" t="s">
        <v>3470</v>
      </c>
      <c r="Q4963" t="s">
        <v>5246</v>
      </c>
      <c r="R4963" t="s">
        <v>14965</v>
      </c>
    </row>
    <row r="4964" spans="1:18" x14ac:dyDescent="0.2">
      <c r="A4964">
        <v>56448</v>
      </c>
      <c r="B4964" t="s">
        <v>14966</v>
      </c>
      <c r="C4964">
        <v>0</v>
      </c>
      <c r="D4964">
        <v>0</v>
      </c>
      <c r="E4964">
        <v>0</v>
      </c>
      <c r="F4964">
        <v>1</v>
      </c>
      <c r="G4964">
        <v>0</v>
      </c>
      <c r="H4964">
        <v>0</v>
      </c>
      <c r="I4964">
        <v>0</v>
      </c>
      <c r="J4964">
        <v>0</v>
      </c>
      <c r="K4964">
        <v>0</v>
      </c>
      <c r="L4964" t="s">
        <v>3284</v>
      </c>
      <c r="M4964" t="s">
        <v>3296</v>
      </c>
      <c r="N4964" t="s">
        <v>3297</v>
      </c>
      <c r="O4964" t="s">
        <v>3469</v>
      </c>
      <c r="P4964" t="s">
        <v>3470</v>
      </c>
      <c r="Q4964" t="s">
        <v>5246</v>
      </c>
      <c r="R4964" t="s">
        <v>14967</v>
      </c>
    </row>
    <row r="4965" spans="1:18" x14ac:dyDescent="0.2">
      <c r="A4965">
        <v>56361</v>
      </c>
      <c r="B4965" t="s">
        <v>14968</v>
      </c>
      <c r="C4965">
        <v>2</v>
      </c>
      <c r="D4965">
        <v>4</v>
      </c>
      <c r="E4965">
        <v>1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 t="s">
        <v>3284</v>
      </c>
      <c r="M4965" t="s">
        <v>3296</v>
      </c>
      <c r="N4965" t="s">
        <v>3343</v>
      </c>
      <c r="O4965" t="s">
        <v>3349</v>
      </c>
      <c r="P4965" t="s">
        <v>3350</v>
      </c>
      <c r="Q4965" t="s">
        <v>3580</v>
      </c>
      <c r="R4965" t="s">
        <v>14969</v>
      </c>
    </row>
    <row r="4966" spans="1:18" x14ac:dyDescent="0.2">
      <c r="A4966">
        <v>55601</v>
      </c>
      <c r="B4966" t="s">
        <v>14970</v>
      </c>
      <c r="C4966">
        <v>1</v>
      </c>
      <c r="D4966">
        <v>0</v>
      </c>
      <c r="E4966">
        <v>0</v>
      </c>
      <c r="F4966">
        <v>1</v>
      </c>
      <c r="G4966">
        <v>0</v>
      </c>
      <c r="H4966">
        <v>0</v>
      </c>
      <c r="I4966">
        <v>2</v>
      </c>
      <c r="J4966">
        <v>2</v>
      </c>
      <c r="K4966">
        <v>1</v>
      </c>
      <c r="L4966" t="s">
        <v>3284</v>
      </c>
      <c r="M4966" t="s">
        <v>3296</v>
      </c>
      <c r="N4966" t="s">
        <v>3297</v>
      </c>
      <c r="O4966" t="s">
        <v>8851</v>
      </c>
      <c r="P4966" t="s">
        <v>8852</v>
      </c>
      <c r="Q4966" t="s">
        <v>10605</v>
      </c>
      <c r="R4966" t="s">
        <v>14971</v>
      </c>
    </row>
    <row r="4967" spans="1:18" x14ac:dyDescent="0.2">
      <c r="A4967">
        <v>55565</v>
      </c>
      <c r="B4967" t="s">
        <v>14972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1</v>
      </c>
      <c r="L4967" t="s">
        <v>3284</v>
      </c>
      <c r="M4967" t="s">
        <v>3307</v>
      </c>
      <c r="N4967" t="s">
        <v>3308</v>
      </c>
      <c r="O4967" t="s">
        <v>13077</v>
      </c>
      <c r="P4967" t="s">
        <v>13078</v>
      </c>
      <c r="Q4967" t="s">
        <v>13079</v>
      </c>
      <c r="R4967" t="s">
        <v>14973</v>
      </c>
    </row>
    <row r="4968" spans="1:18" x14ac:dyDescent="0.2">
      <c r="A4968">
        <v>55211</v>
      </c>
      <c r="B4968" t="s">
        <v>14974</v>
      </c>
      <c r="C4968">
        <v>3</v>
      </c>
      <c r="D4968">
        <v>1</v>
      </c>
      <c r="E4968">
        <v>4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 t="s">
        <v>3284</v>
      </c>
      <c r="M4968" t="s">
        <v>3296</v>
      </c>
      <c r="N4968" t="s">
        <v>3297</v>
      </c>
      <c r="O4968" t="s">
        <v>3298</v>
      </c>
      <c r="P4968" t="s">
        <v>3873</v>
      </c>
      <c r="Q4968" t="s">
        <v>4087</v>
      </c>
      <c r="R4968" t="s">
        <v>14975</v>
      </c>
    </row>
    <row r="4969" spans="1:18" x14ac:dyDescent="0.2">
      <c r="A4969">
        <v>55205</v>
      </c>
      <c r="B4969" t="s">
        <v>14976</v>
      </c>
      <c r="C4969">
        <v>1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 t="s">
        <v>3284</v>
      </c>
      <c r="M4969" t="s">
        <v>3327</v>
      </c>
      <c r="N4969" t="s">
        <v>3271</v>
      </c>
      <c r="O4969" t="s">
        <v>14977</v>
      </c>
      <c r="P4969" t="s">
        <v>14978</v>
      </c>
      <c r="Q4969" t="s">
        <v>14979</v>
      </c>
      <c r="R4969" t="s">
        <v>14980</v>
      </c>
    </row>
    <row r="4970" spans="1:18" x14ac:dyDescent="0.2">
      <c r="A4970">
        <v>55197</v>
      </c>
      <c r="B4970" t="s">
        <v>14981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1</v>
      </c>
      <c r="K4970">
        <v>0</v>
      </c>
      <c r="L4970" t="s">
        <v>3284</v>
      </c>
      <c r="M4970" t="s">
        <v>3391</v>
      </c>
      <c r="N4970" t="s">
        <v>3411</v>
      </c>
      <c r="O4970" t="s">
        <v>3412</v>
      </c>
      <c r="P4970" t="s">
        <v>3413</v>
      </c>
      <c r="Q4970" t="s">
        <v>3414</v>
      </c>
      <c r="R4970" t="s">
        <v>14982</v>
      </c>
    </row>
    <row r="4971" spans="1:18" x14ac:dyDescent="0.2">
      <c r="A4971">
        <v>54910</v>
      </c>
      <c r="B4971" t="s">
        <v>14983</v>
      </c>
      <c r="C4971">
        <v>0</v>
      </c>
      <c r="D4971">
        <v>1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 t="s">
        <v>3284</v>
      </c>
      <c r="M4971" t="s">
        <v>3327</v>
      </c>
      <c r="N4971" t="s">
        <v>3376</v>
      </c>
      <c r="O4971" t="s">
        <v>3377</v>
      </c>
      <c r="P4971" t="s">
        <v>3604</v>
      </c>
      <c r="Q4971" t="s">
        <v>3605</v>
      </c>
      <c r="R4971" t="s">
        <v>14984</v>
      </c>
    </row>
    <row r="4972" spans="1:18" x14ac:dyDescent="0.2">
      <c r="A4972">
        <v>54294</v>
      </c>
      <c r="B4972" t="s">
        <v>14985</v>
      </c>
      <c r="C4972">
        <v>1</v>
      </c>
      <c r="D4972">
        <v>1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 t="s">
        <v>3284</v>
      </c>
      <c r="M4972" t="s">
        <v>3327</v>
      </c>
      <c r="N4972" t="s">
        <v>3328</v>
      </c>
      <c r="O4972" t="s">
        <v>3329</v>
      </c>
      <c r="P4972" t="s">
        <v>14986</v>
      </c>
      <c r="Q4972" t="s">
        <v>14987</v>
      </c>
      <c r="R4972" t="s">
        <v>14988</v>
      </c>
    </row>
    <row r="4973" spans="1:18" x14ac:dyDescent="0.2">
      <c r="A4973">
        <v>54067</v>
      </c>
      <c r="B4973" t="s">
        <v>14989</v>
      </c>
      <c r="C4973">
        <v>0</v>
      </c>
      <c r="D4973">
        <v>0</v>
      </c>
      <c r="E4973">
        <v>0</v>
      </c>
      <c r="F4973">
        <v>1</v>
      </c>
      <c r="G4973">
        <v>1</v>
      </c>
      <c r="H4973">
        <v>0</v>
      </c>
      <c r="I4973">
        <v>0</v>
      </c>
      <c r="J4973">
        <v>0</v>
      </c>
      <c r="K4973">
        <v>0</v>
      </c>
      <c r="L4973" t="s">
        <v>3284</v>
      </c>
      <c r="M4973" t="s">
        <v>3296</v>
      </c>
      <c r="N4973" t="s">
        <v>3321</v>
      </c>
      <c r="O4973" t="s">
        <v>3322</v>
      </c>
      <c r="P4973" t="s">
        <v>3271</v>
      </c>
      <c r="Q4973" t="s">
        <v>4474</v>
      </c>
      <c r="R4973" t="s">
        <v>14990</v>
      </c>
    </row>
    <row r="4974" spans="1:18" x14ac:dyDescent="0.2">
      <c r="A4974">
        <v>54010</v>
      </c>
      <c r="B4974" t="s">
        <v>14991</v>
      </c>
      <c r="C4974">
        <v>0</v>
      </c>
      <c r="D4974">
        <v>0</v>
      </c>
      <c r="E4974">
        <v>0</v>
      </c>
      <c r="F4974">
        <v>1</v>
      </c>
      <c r="G4974">
        <v>0</v>
      </c>
      <c r="H4974">
        <v>0</v>
      </c>
      <c r="I4974">
        <v>0</v>
      </c>
      <c r="J4974">
        <v>0</v>
      </c>
      <c r="K4974">
        <v>0</v>
      </c>
      <c r="L4974" t="s">
        <v>3284</v>
      </c>
      <c r="M4974" t="s">
        <v>3307</v>
      </c>
      <c r="N4974" t="s">
        <v>3308</v>
      </c>
      <c r="O4974" t="s">
        <v>3382</v>
      </c>
      <c r="P4974" t="s">
        <v>3383</v>
      </c>
      <c r="Q4974" t="s">
        <v>6353</v>
      </c>
      <c r="R4974" t="s">
        <v>14992</v>
      </c>
    </row>
    <row r="4975" spans="1:18" x14ac:dyDescent="0.2">
      <c r="A4975">
        <v>53461</v>
      </c>
      <c r="B4975" t="s">
        <v>14993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1</v>
      </c>
      <c r="J4975">
        <v>0</v>
      </c>
      <c r="K4975">
        <v>1</v>
      </c>
      <c r="L4975" t="s">
        <v>3284</v>
      </c>
      <c r="M4975" t="s">
        <v>3307</v>
      </c>
      <c r="N4975" t="s">
        <v>3308</v>
      </c>
      <c r="O4975" t="s">
        <v>13569</v>
      </c>
      <c r="P4975" t="s">
        <v>13570</v>
      </c>
      <c r="Q4975" t="s">
        <v>13571</v>
      </c>
      <c r="R4975" t="s">
        <v>14994</v>
      </c>
    </row>
    <row r="4976" spans="1:18" x14ac:dyDescent="0.2">
      <c r="A4976">
        <v>53458</v>
      </c>
      <c r="B4976" t="s">
        <v>14995</v>
      </c>
      <c r="C4976">
        <v>0</v>
      </c>
      <c r="D4976">
        <v>1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 t="s">
        <v>3284</v>
      </c>
      <c r="M4976" t="s">
        <v>3307</v>
      </c>
      <c r="N4976" t="s">
        <v>3308</v>
      </c>
      <c r="O4976" t="s">
        <v>3359</v>
      </c>
      <c r="P4976" t="s">
        <v>3965</v>
      </c>
      <c r="Q4976" t="s">
        <v>13538</v>
      </c>
      <c r="R4976" t="s">
        <v>14996</v>
      </c>
    </row>
    <row r="4977" spans="1:18" x14ac:dyDescent="0.2">
      <c r="A4977">
        <v>53422</v>
      </c>
      <c r="B4977" t="s">
        <v>14997</v>
      </c>
      <c r="C4977">
        <v>5</v>
      </c>
      <c r="D4977">
        <v>0</v>
      </c>
      <c r="E4977">
        <v>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 t="s">
        <v>3284</v>
      </c>
      <c r="M4977" t="s">
        <v>3327</v>
      </c>
      <c r="N4977" t="s">
        <v>3328</v>
      </c>
      <c r="O4977" t="s">
        <v>3329</v>
      </c>
      <c r="P4977" t="s">
        <v>3330</v>
      </c>
      <c r="Q4977" t="s">
        <v>14998</v>
      </c>
      <c r="R4977" t="s">
        <v>14999</v>
      </c>
    </row>
    <row r="4978" spans="1:18" x14ac:dyDescent="0.2">
      <c r="A4978">
        <v>53414</v>
      </c>
      <c r="B4978" t="s">
        <v>15000</v>
      </c>
      <c r="C4978">
        <v>0</v>
      </c>
      <c r="D4978">
        <v>0</v>
      </c>
      <c r="E4978">
        <v>0</v>
      </c>
      <c r="F4978">
        <v>0</v>
      </c>
      <c r="G4978">
        <v>1</v>
      </c>
      <c r="H4978">
        <v>0</v>
      </c>
      <c r="I4978">
        <v>0</v>
      </c>
      <c r="J4978">
        <v>0</v>
      </c>
      <c r="K4978">
        <v>0</v>
      </c>
      <c r="L4978" t="s">
        <v>3284</v>
      </c>
      <c r="M4978" t="s">
        <v>3296</v>
      </c>
      <c r="N4978" t="s">
        <v>3297</v>
      </c>
      <c r="O4978" t="s">
        <v>3469</v>
      </c>
      <c r="P4978" t="s">
        <v>3470</v>
      </c>
      <c r="Q4978" t="s">
        <v>5246</v>
      </c>
      <c r="R4978" t="s">
        <v>15001</v>
      </c>
    </row>
    <row r="4979" spans="1:18" x14ac:dyDescent="0.2">
      <c r="A4979">
        <v>53406</v>
      </c>
      <c r="B4979" t="s">
        <v>15002</v>
      </c>
      <c r="C4979">
        <v>0</v>
      </c>
      <c r="D4979">
        <v>0</v>
      </c>
      <c r="E4979">
        <v>0</v>
      </c>
      <c r="F4979">
        <v>1</v>
      </c>
      <c r="G4979">
        <v>0</v>
      </c>
      <c r="H4979">
        <v>0</v>
      </c>
      <c r="I4979">
        <v>0</v>
      </c>
      <c r="J4979">
        <v>0</v>
      </c>
      <c r="K4979">
        <v>0</v>
      </c>
      <c r="L4979" t="s">
        <v>3284</v>
      </c>
      <c r="M4979" t="s">
        <v>3296</v>
      </c>
      <c r="N4979" t="s">
        <v>3297</v>
      </c>
      <c r="O4979" t="s">
        <v>3434</v>
      </c>
      <c r="P4979" t="s">
        <v>3435</v>
      </c>
      <c r="Q4979" t="s">
        <v>3436</v>
      </c>
      <c r="R4979" t="s">
        <v>15003</v>
      </c>
    </row>
    <row r="4980" spans="1:18" x14ac:dyDescent="0.2">
      <c r="A4980">
        <v>53388</v>
      </c>
      <c r="B4980" t="s">
        <v>15004</v>
      </c>
      <c r="C4980">
        <v>0</v>
      </c>
      <c r="D4980">
        <v>0</v>
      </c>
      <c r="E4980">
        <v>0</v>
      </c>
      <c r="F4980">
        <v>2</v>
      </c>
      <c r="G4980">
        <v>1</v>
      </c>
      <c r="H4980">
        <v>0</v>
      </c>
      <c r="I4980">
        <v>0</v>
      </c>
      <c r="J4980">
        <v>0</v>
      </c>
      <c r="K4980">
        <v>0</v>
      </c>
      <c r="L4980" t="s">
        <v>3284</v>
      </c>
      <c r="M4980" t="s">
        <v>3307</v>
      </c>
      <c r="N4980" t="s">
        <v>3308</v>
      </c>
      <c r="O4980" t="s">
        <v>3309</v>
      </c>
      <c r="P4980" t="s">
        <v>6036</v>
      </c>
      <c r="Q4980" t="s">
        <v>7956</v>
      </c>
      <c r="R4980" t="s">
        <v>15005</v>
      </c>
    </row>
    <row r="4981" spans="1:18" x14ac:dyDescent="0.2">
      <c r="A4981">
        <v>53378</v>
      </c>
      <c r="B4981" t="s">
        <v>15006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1</v>
      </c>
      <c r="J4981">
        <v>0</v>
      </c>
      <c r="K4981">
        <v>0</v>
      </c>
      <c r="L4981" t="s">
        <v>3284</v>
      </c>
      <c r="M4981" t="s">
        <v>3307</v>
      </c>
      <c r="N4981" t="s">
        <v>3308</v>
      </c>
      <c r="O4981" t="s">
        <v>3635</v>
      </c>
      <c r="P4981" t="s">
        <v>4011</v>
      </c>
      <c r="Q4981" t="s">
        <v>4012</v>
      </c>
      <c r="R4981" t="s">
        <v>15007</v>
      </c>
    </row>
    <row r="4982" spans="1:18" x14ac:dyDescent="0.2">
      <c r="A4982">
        <v>53358</v>
      </c>
      <c r="B4982" t="s">
        <v>15008</v>
      </c>
      <c r="C4982">
        <v>0</v>
      </c>
      <c r="D4982">
        <v>1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 t="s">
        <v>3284</v>
      </c>
      <c r="M4982" t="s">
        <v>3307</v>
      </c>
      <c r="N4982" t="s">
        <v>3308</v>
      </c>
      <c r="O4982" t="s">
        <v>3359</v>
      </c>
      <c r="P4982" t="s">
        <v>3965</v>
      </c>
      <c r="Q4982" t="s">
        <v>15009</v>
      </c>
      <c r="R4982" t="s">
        <v>15010</v>
      </c>
    </row>
    <row r="4983" spans="1:18" x14ac:dyDescent="0.2">
      <c r="A4983">
        <v>53329</v>
      </c>
      <c r="B4983" t="s">
        <v>15011</v>
      </c>
      <c r="C4983">
        <v>0</v>
      </c>
      <c r="D4983">
        <v>0</v>
      </c>
      <c r="E4983">
        <v>1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 t="s">
        <v>3284</v>
      </c>
      <c r="M4983" t="s">
        <v>6718</v>
      </c>
      <c r="N4983" t="s">
        <v>9362</v>
      </c>
      <c r="O4983" t="s">
        <v>9363</v>
      </c>
      <c r="P4983" t="s">
        <v>15012</v>
      </c>
      <c r="Q4983" t="s">
        <v>15013</v>
      </c>
      <c r="R4983" t="s">
        <v>15014</v>
      </c>
    </row>
    <row r="4984" spans="1:18" x14ac:dyDescent="0.2">
      <c r="A4984">
        <v>53317</v>
      </c>
      <c r="B4984" t="s">
        <v>15015</v>
      </c>
      <c r="C4984">
        <v>0</v>
      </c>
      <c r="D4984">
        <v>0</v>
      </c>
      <c r="E4984">
        <v>0</v>
      </c>
      <c r="F4984">
        <v>1</v>
      </c>
      <c r="G4984">
        <v>0</v>
      </c>
      <c r="H4984">
        <v>0</v>
      </c>
      <c r="I4984">
        <v>0</v>
      </c>
      <c r="J4984">
        <v>0</v>
      </c>
      <c r="K4984">
        <v>0</v>
      </c>
      <c r="L4984" t="s">
        <v>3284</v>
      </c>
      <c r="M4984" t="s">
        <v>3296</v>
      </c>
      <c r="N4984" t="s">
        <v>3343</v>
      </c>
      <c r="O4984" t="s">
        <v>3349</v>
      </c>
      <c r="P4984" t="s">
        <v>3350</v>
      </c>
      <c r="Q4984" t="s">
        <v>3580</v>
      </c>
      <c r="R4984" t="s">
        <v>15016</v>
      </c>
    </row>
    <row r="4985" spans="1:18" x14ac:dyDescent="0.2">
      <c r="A4985">
        <v>53254</v>
      </c>
      <c r="B4985" t="s">
        <v>15017</v>
      </c>
      <c r="C4985">
        <v>0</v>
      </c>
      <c r="D4985">
        <v>0</v>
      </c>
      <c r="E4985">
        <v>0</v>
      </c>
      <c r="F4985">
        <v>0</v>
      </c>
      <c r="G4985">
        <v>2</v>
      </c>
      <c r="H4985">
        <v>1</v>
      </c>
      <c r="I4985">
        <v>0</v>
      </c>
      <c r="J4985">
        <v>0</v>
      </c>
      <c r="K4985">
        <v>0</v>
      </c>
      <c r="L4985" t="s">
        <v>3284</v>
      </c>
      <c r="M4985" t="s">
        <v>3296</v>
      </c>
      <c r="N4985" t="s">
        <v>3343</v>
      </c>
      <c r="O4985" t="s">
        <v>3344</v>
      </c>
      <c r="P4985" t="s">
        <v>3367</v>
      </c>
      <c r="Q4985" t="s">
        <v>3368</v>
      </c>
      <c r="R4985" t="s">
        <v>15018</v>
      </c>
    </row>
    <row r="4986" spans="1:18" x14ac:dyDescent="0.2">
      <c r="A4986">
        <v>52704</v>
      </c>
      <c r="B4986" t="s">
        <v>15019</v>
      </c>
      <c r="C4986">
        <v>3</v>
      </c>
      <c r="D4986">
        <v>4</v>
      </c>
      <c r="E4986">
        <v>5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 t="s">
        <v>3284</v>
      </c>
      <c r="M4986" t="s">
        <v>3327</v>
      </c>
      <c r="N4986" t="s">
        <v>3328</v>
      </c>
      <c r="O4986" t="s">
        <v>3329</v>
      </c>
      <c r="P4986" t="s">
        <v>3330</v>
      </c>
      <c r="Q4986" t="s">
        <v>3331</v>
      </c>
      <c r="R4986" t="s">
        <v>15020</v>
      </c>
    </row>
    <row r="4987" spans="1:18" x14ac:dyDescent="0.2">
      <c r="A4987">
        <v>52699</v>
      </c>
      <c r="B4987" t="s">
        <v>15021</v>
      </c>
      <c r="C4987">
        <v>0</v>
      </c>
      <c r="D4987">
        <v>0</v>
      </c>
      <c r="E4987">
        <v>0</v>
      </c>
      <c r="F4987">
        <v>1</v>
      </c>
      <c r="G4987">
        <v>0</v>
      </c>
      <c r="H4987">
        <v>0</v>
      </c>
      <c r="I4987">
        <v>0</v>
      </c>
      <c r="J4987">
        <v>0</v>
      </c>
      <c r="K4987">
        <v>0</v>
      </c>
      <c r="L4987" t="s">
        <v>3284</v>
      </c>
      <c r="M4987" t="s">
        <v>3307</v>
      </c>
      <c r="N4987" t="s">
        <v>3308</v>
      </c>
      <c r="O4987" t="s">
        <v>3309</v>
      </c>
      <c r="P4987" t="s">
        <v>3310</v>
      </c>
      <c r="Q4987" t="s">
        <v>7210</v>
      </c>
      <c r="R4987" t="s">
        <v>15022</v>
      </c>
    </row>
    <row r="4988" spans="1:18" x14ac:dyDescent="0.2">
      <c r="A4988">
        <v>52698</v>
      </c>
      <c r="B4988" t="s">
        <v>15023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1</v>
      </c>
      <c r="J4988">
        <v>0</v>
      </c>
      <c r="K4988">
        <v>0</v>
      </c>
      <c r="L4988" t="s">
        <v>3284</v>
      </c>
      <c r="M4988" t="s">
        <v>3307</v>
      </c>
      <c r="N4988" t="s">
        <v>3308</v>
      </c>
      <c r="O4988" t="s">
        <v>3382</v>
      </c>
      <c r="P4988" t="s">
        <v>3383</v>
      </c>
      <c r="Q4988" t="s">
        <v>15024</v>
      </c>
      <c r="R4988" t="s">
        <v>15025</v>
      </c>
    </row>
    <row r="4989" spans="1:18" x14ac:dyDescent="0.2">
      <c r="A4989">
        <v>52693</v>
      </c>
      <c r="B4989" t="s">
        <v>15026</v>
      </c>
      <c r="C4989">
        <v>1</v>
      </c>
      <c r="D4989">
        <v>0</v>
      </c>
      <c r="E4989">
        <v>1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 t="s">
        <v>3284</v>
      </c>
      <c r="M4989" t="s">
        <v>3327</v>
      </c>
      <c r="N4989" t="s">
        <v>3328</v>
      </c>
      <c r="O4989" t="s">
        <v>3329</v>
      </c>
      <c r="P4989" t="s">
        <v>3339</v>
      </c>
      <c r="Q4989" t="s">
        <v>14488</v>
      </c>
      <c r="R4989" t="s">
        <v>15027</v>
      </c>
    </row>
    <row r="4990" spans="1:18" x14ac:dyDescent="0.2">
      <c r="A4990">
        <v>51671</v>
      </c>
      <c r="B4990" t="s">
        <v>15028</v>
      </c>
      <c r="C4990">
        <v>1</v>
      </c>
      <c r="D4990">
        <v>5</v>
      </c>
      <c r="E4990">
        <v>2</v>
      </c>
      <c r="F4990">
        <v>6</v>
      </c>
      <c r="G4990">
        <v>5</v>
      </c>
      <c r="H4990">
        <v>0</v>
      </c>
      <c r="I4990">
        <v>7</v>
      </c>
      <c r="J4990">
        <v>3</v>
      </c>
      <c r="K4990">
        <v>2</v>
      </c>
      <c r="L4990" t="s">
        <v>3284</v>
      </c>
      <c r="M4990" t="s">
        <v>3307</v>
      </c>
      <c r="N4990" t="s">
        <v>3308</v>
      </c>
      <c r="O4990" t="s">
        <v>3359</v>
      </c>
      <c r="P4990" t="s">
        <v>3360</v>
      </c>
      <c r="Q4990" t="s">
        <v>3361</v>
      </c>
      <c r="R4990" t="s">
        <v>15029</v>
      </c>
    </row>
    <row r="4991" spans="1:18" x14ac:dyDescent="0.2">
      <c r="A4991">
        <v>51048</v>
      </c>
      <c r="B4991" t="s">
        <v>15030</v>
      </c>
      <c r="C4991">
        <v>0</v>
      </c>
      <c r="D4991">
        <v>0</v>
      </c>
      <c r="E4991">
        <v>1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 t="s">
        <v>3284</v>
      </c>
      <c r="M4991" t="s">
        <v>3296</v>
      </c>
      <c r="N4991" t="s">
        <v>3297</v>
      </c>
      <c r="O4991" t="s">
        <v>8067</v>
      </c>
      <c r="P4991" t="s">
        <v>8068</v>
      </c>
      <c r="Q4991" t="s">
        <v>15031</v>
      </c>
      <c r="R4991" t="s">
        <v>15032</v>
      </c>
    </row>
    <row r="4992" spans="1:18" x14ac:dyDescent="0.2">
      <c r="A4992">
        <v>50421</v>
      </c>
      <c r="B4992" t="s">
        <v>15033</v>
      </c>
      <c r="C4992">
        <v>18</v>
      </c>
      <c r="D4992">
        <v>12</v>
      </c>
      <c r="E4992">
        <v>3</v>
      </c>
      <c r="F4992">
        <v>8</v>
      </c>
      <c r="G4992">
        <v>3</v>
      </c>
      <c r="H4992">
        <v>0</v>
      </c>
      <c r="I4992">
        <v>2</v>
      </c>
      <c r="J4992">
        <v>2</v>
      </c>
      <c r="K4992">
        <v>0</v>
      </c>
      <c r="L4992" t="s">
        <v>3284</v>
      </c>
      <c r="M4992" t="s">
        <v>3296</v>
      </c>
      <c r="N4992" t="s">
        <v>3321</v>
      </c>
      <c r="O4992" t="s">
        <v>3322</v>
      </c>
      <c r="P4992" t="s">
        <v>3398</v>
      </c>
      <c r="Q4992" t="s">
        <v>3788</v>
      </c>
      <c r="R4992" t="s">
        <v>15034</v>
      </c>
    </row>
    <row r="4993" spans="1:18" x14ac:dyDescent="0.2">
      <c r="A4993">
        <v>50338</v>
      </c>
      <c r="B4993" t="s">
        <v>15035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1</v>
      </c>
      <c r="I4993">
        <v>0</v>
      </c>
      <c r="J4993">
        <v>0</v>
      </c>
      <c r="K4993">
        <v>0</v>
      </c>
      <c r="L4993" t="s">
        <v>3284</v>
      </c>
      <c r="M4993" t="s">
        <v>3296</v>
      </c>
      <c r="N4993" t="s">
        <v>3343</v>
      </c>
      <c r="O4993" t="s">
        <v>3344</v>
      </c>
      <c r="P4993" t="s">
        <v>3355</v>
      </c>
      <c r="Q4993" t="s">
        <v>3356</v>
      </c>
      <c r="R4993" t="s">
        <v>15036</v>
      </c>
    </row>
    <row r="4994" spans="1:18" x14ac:dyDescent="0.2">
      <c r="A4994">
        <v>49981</v>
      </c>
      <c r="B4994" t="s">
        <v>15037</v>
      </c>
      <c r="C4994">
        <v>0</v>
      </c>
      <c r="D4994">
        <v>1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 t="s">
        <v>3284</v>
      </c>
      <c r="M4994" t="s">
        <v>3327</v>
      </c>
      <c r="N4994" t="s">
        <v>3328</v>
      </c>
      <c r="O4994" t="s">
        <v>3329</v>
      </c>
      <c r="P4994" t="s">
        <v>4329</v>
      </c>
      <c r="Q4994" t="s">
        <v>14453</v>
      </c>
      <c r="R4994" t="s">
        <v>15038</v>
      </c>
    </row>
    <row r="4995" spans="1:18" x14ac:dyDescent="0.2">
      <c r="A4995">
        <v>49338</v>
      </c>
      <c r="B4995" t="s">
        <v>15039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1</v>
      </c>
      <c r="J4995">
        <v>0</v>
      </c>
      <c r="K4995">
        <v>0</v>
      </c>
      <c r="L4995" t="s">
        <v>3284</v>
      </c>
      <c r="M4995" t="s">
        <v>3327</v>
      </c>
      <c r="N4995" t="s">
        <v>3328</v>
      </c>
      <c r="O4995" t="s">
        <v>3329</v>
      </c>
      <c r="P4995" t="s">
        <v>4329</v>
      </c>
      <c r="Q4995" t="s">
        <v>14453</v>
      </c>
      <c r="R4995" t="s">
        <v>15040</v>
      </c>
    </row>
    <row r="4996" spans="1:18" x14ac:dyDescent="0.2">
      <c r="A4996">
        <v>49181</v>
      </c>
      <c r="B4996" t="s">
        <v>15041</v>
      </c>
      <c r="C4996">
        <v>1</v>
      </c>
      <c r="D4996">
        <v>0</v>
      </c>
      <c r="E4996">
        <v>0</v>
      </c>
      <c r="F4996">
        <v>1</v>
      </c>
      <c r="G4996">
        <v>0</v>
      </c>
      <c r="H4996">
        <v>0</v>
      </c>
      <c r="I4996">
        <v>0</v>
      </c>
      <c r="J4996">
        <v>0</v>
      </c>
      <c r="K4996">
        <v>0</v>
      </c>
      <c r="L4996" t="s">
        <v>3284</v>
      </c>
      <c r="M4996" t="s">
        <v>3296</v>
      </c>
      <c r="N4996" t="s">
        <v>3321</v>
      </c>
      <c r="O4996" t="s">
        <v>4147</v>
      </c>
      <c r="P4996" t="s">
        <v>4148</v>
      </c>
      <c r="Q4996" t="s">
        <v>15042</v>
      </c>
      <c r="R4996" t="s">
        <v>15043</v>
      </c>
    </row>
    <row r="4997" spans="1:18" x14ac:dyDescent="0.2">
      <c r="A4997">
        <v>48935</v>
      </c>
      <c r="B4997" t="s">
        <v>15044</v>
      </c>
      <c r="C4997">
        <v>0</v>
      </c>
      <c r="D4997">
        <v>1</v>
      </c>
      <c r="E4997">
        <v>0</v>
      </c>
      <c r="F4997">
        <v>1</v>
      </c>
      <c r="G4997">
        <v>0</v>
      </c>
      <c r="H4997">
        <v>0</v>
      </c>
      <c r="I4997">
        <v>0</v>
      </c>
      <c r="J4997">
        <v>0</v>
      </c>
      <c r="K4997">
        <v>0</v>
      </c>
      <c r="L4997" t="s">
        <v>3284</v>
      </c>
      <c r="M4997" t="s">
        <v>3296</v>
      </c>
      <c r="N4997" t="s">
        <v>3343</v>
      </c>
      <c r="O4997" t="s">
        <v>3349</v>
      </c>
      <c r="P4997" t="s">
        <v>3350</v>
      </c>
      <c r="Q4997" t="s">
        <v>3351</v>
      </c>
      <c r="R4997" t="s">
        <v>15045</v>
      </c>
    </row>
    <row r="4998" spans="1:18" x14ac:dyDescent="0.2">
      <c r="A4998">
        <v>48466</v>
      </c>
      <c r="B4998" t="s">
        <v>15046</v>
      </c>
      <c r="C4998">
        <v>0</v>
      </c>
      <c r="D4998">
        <v>0</v>
      </c>
      <c r="E4998">
        <v>0</v>
      </c>
      <c r="F4998">
        <v>1</v>
      </c>
      <c r="G4998">
        <v>0</v>
      </c>
      <c r="H4998">
        <v>0</v>
      </c>
      <c r="I4998">
        <v>0</v>
      </c>
      <c r="J4998">
        <v>0</v>
      </c>
      <c r="K4998">
        <v>0</v>
      </c>
      <c r="L4998" t="s">
        <v>3284</v>
      </c>
      <c r="M4998" t="s">
        <v>3816</v>
      </c>
      <c r="N4998" t="s">
        <v>3817</v>
      </c>
      <c r="O4998" t="s">
        <v>3818</v>
      </c>
      <c r="P4998" t="s">
        <v>3819</v>
      </c>
      <c r="Q4998" t="s">
        <v>9611</v>
      </c>
      <c r="R4998" t="s">
        <v>15047</v>
      </c>
    </row>
    <row r="4999" spans="1:18" x14ac:dyDescent="0.2">
      <c r="A4999">
        <v>48256</v>
      </c>
      <c r="B4999" t="s">
        <v>15048</v>
      </c>
      <c r="C4999">
        <v>0</v>
      </c>
      <c r="D4999">
        <v>1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 t="s">
        <v>3284</v>
      </c>
      <c r="M4999" t="s">
        <v>3327</v>
      </c>
      <c r="N4999" t="s">
        <v>3328</v>
      </c>
      <c r="O4999" t="s">
        <v>3329</v>
      </c>
      <c r="P4999" t="s">
        <v>4620</v>
      </c>
      <c r="Q4999" t="s">
        <v>8515</v>
      </c>
      <c r="R4999" t="s">
        <v>15049</v>
      </c>
    </row>
    <row r="5000" spans="1:18" x14ac:dyDescent="0.2">
      <c r="A5000">
        <v>47951</v>
      </c>
      <c r="B5000" t="s">
        <v>15050</v>
      </c>
      <c r="C5000">
        <v>0</v>
      </c>
      <c r="D5000">
        <v>0</v>
      </c>
      <c r="E5000">
        <v>1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 t="s">
        <v>3284</v>
      </c>
      <c r="M5000" t="s">
        <v>3296</v>
      </c>
      <c r="N5000" t="s">
        <v>3297</v>
      </c>
      <c r="O5000" t="s">
        <v>8851</v>
      </c>
      <c r="P5000" t="s">
        <v>8852</v>
      </c>
      <c r="Q5000" t="s">
        <v>10605</v>
      </c>
      <c r="R5000" t="s">
        <v>15051</v>
      </c>
    </row>
    <row r="5001" spans="1:18" x14ac:dyDescent="0.2">
      <c r="A5001">
        <v>47920</v>
      </c>
      <c r="B5001" t="s">
        <v>15052</v>
      </c>
      <c r="C5001">
        <v>1</v>
      </c>
      <c r="D5001">
        <v>6</v>
      </c>
      <c r="E5001">
        <v>1</v>
      </c>
      <c r="F5001">
        <v>0</v>
      </c>
      <c r="G5001">
        <v>0</v>
      </c>
      <c r="H5001">
        <v>0</v>
      </c>
      <c r="I5001">
        <v>14</v>
      </c>
      <c r="J5001">
        <v>11</v>
      </c>
      <c r="K5001">
        <v>6</v>
      </c>
      <c r="L5001" t="s">
        <v>3284</v>
      </c>
      <c r="M5001" t="s">
        <v>3296</v>
      </c>
      <c r="N5001" t="s">
        <v>3321</v>
      </c>
      <c r="O5001" t="s">
        <v>3322</v>
      </c>
      <c r="P5001" t="s">
        <v>3398</v>
      </c>
      <c r="Q5001" t="s">
        <v>3556</v>
      </c>
      <c r="R5001" t="s">
        <v>15053</v>
      </c>
    </row>
    <row r="5002" spans="1:18" x14ac:dyDescent="0.2">
      <c r="A5002">
        <v>47917</v>
      </c>
      <c r="B5002" t="s">
        <v>15054</v>
      </c>
      <c r="C5002">
        <v>24</v>
      </c>
      <c r="D5002">
        <v>14</v>
      </c>
      <c r="E5002">
        <v>41</v>
      </c>
      <c r="F5002">
        <v>0</v>
      </c>
      <c r="G5002">
        <v>0</v>
      </c>
      <c r="H5002">
        <v>0</v>
      </c>
      <c r="I5002">
        <v>234</v>
      </c>
      <c r="J5002">
        <v>113</v>
      </c>
      <c r="K5002">
        <v>143</v>
      </c>
      <c r="L5002" t="s">
        <v>3284</v>
      </c>
      <c r="M5002" t="s">
        <v>3296</v>
      </c>
      <c r="N5002" t="s">
        <v>3297</v>
      </c>
      <c r="O5002" t="s">
        <v>3298</v>
      </c>
      <c r="P5002" t="s">
        <v>3299</v>
      </c>
      <c r="Q5002" t="s">
        <v>3300</v>
      </c>
      <c r="R5002" t="s">
        <v>15055</v>
      </c>
    </row>
    <row r="5003" spans="1:18" x14ac:dyDescent="0.2">
      <c r="A5003">
        <v>47885</v>
      </c>
      <c r="B5003" t="s">
        <v>15056</v>
      </c>
      <c r="C5003">
        <v>0</v>
      </c>
      <c r="D5003">
        <v>0</v>
      </c>
      <c r="E5003">
        <v>0</v>
      </c>
      <c r="F5003">
        <v>1</v>
      </c>
      <c r="G5003">
        <v>0</v>
      </c>
      <c r="H5003">
        <v>0</v>
      </c>
      <c r="I5003">
        <v>0</v>
      </c>
      <c r="J5003">
        <v>1</v>
      </c>
      <c r="K5003">
        <v>0</v>
      </c>
      <c r="L5003" t="s">
        <v>3284</v>
      </c>
      <c r="M5003" t="s">
        <v>3296</v>
      </c>
      <c r="N5003" t="s">
        <v>3297</v>
      </c>
      <c r="O5003" t="s">
        <v>3434</v>
      </c>
      <c r="P5003" t="s">
        <v>3435</v>
      </c>
      <c r="Q5003" t="s">
        <v>3436</v>
      </c>
      <c r="R5003" t="s">
        <v>15057</v>
      </c>
    </row>
    <row r="5004" spans="1:18" x14ac:dyDescent="0.2">
      <c r="A5004">
        <v>47884</v>
      </c>
      <c r="B5004" t="s">
        <v>15058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1</v>
      </c>
      <c r="I5004">
        <v>0</v>
      </c>
      <c r="J5004">
        <v>0</v>
      </c>
      <c r="K5004">
        <v>0</v>
      </c>
      <c r="L5004" t="s">
        <v>3284</v>
      </c>
      <c r="M5004" t="s">
        <v>3296</v>
      </c>
      <c r="N5004" t="s">
        <v>3297</v>
      </c>
      <c r="O5004" t="s">
        <v>3434</v>
      </c>
      <c r="P5004" t="s">
        <v>3435</v>
      </c>
      <c r="Q5004" t="s">
        <v>3436</v>
      </c>
      <c r="R5004" t="s">
        <v>15059</v>
      </c>
    </row>
    <row r="5005" spans="1:18" x14ac:dyDescent="0.2">
      <c r="A5005">
        <v>47880</v>
      </c>
      <c r="B5005" t="s">
        <v>15060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1</v>
      </c>
      <c r="J5005">
        <v>0</v>
      </c>
      <c r="K5005">
        <v>0</v>
      </c>
      <c r="L5005" t="s">
        <v>3284</v>
      </c>
      <c r="M5005" t="s">
        <v>3296</v>
      </c>
      <c r="N5005" t="s">
        <v>3297</v>
      </c>
      <c r="O5005" t="s">
        <v>3434</v>
      </c>
      <c r="P5005" t="s">
        <v>3435</v>
      </c>
      <c r="Q5005" t="s">
        <v>3436</v>
      </c>
      <c r="R5005" t="s">
        <v>15061</v>
      </c>
    </row>
    <row r="5006" spans="1:18" x14ac:dyDescent="0.2">
      <c r="A5006">
        <v>47878</v>
      </c>
      <c r="B5006" t="s">
        <v>15062</v>
      </c>
      <c r="C5006">
        <v>0</v>
      </c>
      <c r="D5006">
        <v>0</v>
      </c>
      <c r="E5006">
        <v>0</v>
      </c>
      <c r="F5006">
        <v>1</v>
      </c>
      <c r="G5006">
        <v>0</v>
      </c>
      <c r="H5006">
        <v>0</v>
      </c>
      <c r="I5006">
        <v>1</v>
      </c>
      <c r="J5006">
        <v>0</v>
      </c>
      <c r="K5006">
        <v>0</v>
      </c>
      <c r="L5006" t="s">
        <v>3284</v>
      </c>
      <c r="M5006" t="s">
        <v>3296</v>
      </c>
      <c r="N5006" t="s">
        <v>3297</v>
      </c>
      <c r="O5006" t="s">
        <v>3434</v>
      </c>
      <c r="P5006" t="s">
        <v>3435</v>
      </c>
      <c r="Q5006" t="s">
        <v>3436</v>
      </c>
      <c r="R5006" t="s">
        <v>15063</v>
      </c>
    </row>
    <row r="5007" spans="1:18" x14ac:dyDescent="0.2">
      <c r="A5007">
        <v>47858</v>
      </c>
      <c r="B5007" t="s">
        <v>15064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1</v>
      </c>
      <c r="L5007" t="s">
        <v>3284</v>
      </c>
      <c r="M5007" t="s">
        <v>3307</v>
      </c>
      <c r="N5007" t="s">
        <v>3308</v>
      </c>
      <c r="O5007" t="s">
        <v>3494</v>
      </c>
      <c r="P5007" t="s">
        <v>3495</v>
      </c>
      <c r="Q5007" t="s">
        <v>3496</v>
      </c>
      <c r="R5007" t="s">
        <v>15065</v>
      </c>
    </row>
    <row r="5008" spans="1:18" x14ac:dyDescent="0.2">
      <c r="A5008">
        <v>47857</v>
      </c>
      <c r="B5008" t="s">
        <v>15066</v>
      </c>
      <c r="C5008">
        <v>0</v>
      </c>
      <c r="D5008">
        <v>0</v>
      </c>
      <c r="E5008">
        <v>1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 t="s">
        <v>3284</v>
      </c>
      <c r="M5008" t="s">
        <v>3307</v>
      </c>
      <c r="N5008" t="s">
        <v>3308</v>
      </c>
      <c r="O5008" t="s">
        <v>3494</v>
      </c>
      <c r="P5008" t="s">
        <v>3495</v>
      </c>
      <c r="Q5008" t="s">
        <v>3496</v>
      </c>
      <c r="R5008" t="s">
        <v>15067</v>
      </c>
    </row>
    <row r="5009" spans="1:18" x14ac:dyDescent="0.2">
      <c r="A5009">
        <v>47760</v>
      </c>
      <c r="B5009" t="s">
        <v>15068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1</v>
      </c>
      <c r="J5009">
        <v>0</v>
      </c>
      <c r="K5009">
        <v>0</v>
      </c>
      <c r="L5009" t="s">
        <v>3284</v>
      </c>
      <c r="M5009" t="s">
        <v>3307</v>
      </c>
      <c r="N5009" t="s">
        <v>3308</v>
      </c>
      <c r="O5009" t="s">
        <v>3446</v>
      </c>
      <c r="P5009" t="s">
        <v>3447</v>
      </c>
      <c r="Q5009" t="s">
        <v>3448</v>
      </c>
      <c r="R5009" t="s">
        <v>15069</v>
      </c>
    </row>
    <row r="5010" spans="1:18" x14ac:dyDescent="0.2">
      <c r="A5010">
        <v>47421</v>
      </c>
      <c r="B5010" t="s">
        <v>15070</v>
      </c>
      <c r="C5010">
        <v>11</v>
      </c>
      <c r="D5010">
        <v>12</v>
      </c>
      <c r="E5010">
        <v>7</v>
      </c>
      <c r="F5010">
        <v>0</v>
      </c>
      <c r="G5010">
        <v>0</v>
      </c>
      <c r="H5010">
        <v>0</v>
      </c>
      <c r="I5010">
        <v>0</v>
      </c>
      <c r="J5010">
        <v>1</v>
      </c>
      <c r="K5010">
        <v>0</v>
      </c>
      <c r="L5010" t="s">
        <v>3284</v>
      </c>
      <c r="M5010" t="s">
        <v>3296</v>
      </c>
      <c r="N5010" t="s">
        <v>3321</v>
      </c>
      <c r="O5010" t="s">
        <v>3322</v>
      </c>
      <c r="P5010" t="s">
        <v>3398</v>
      </c>
      <c r="Q5010" t="s">
        <v>3841</v>
      </c>
      <c r="R5010" t="s">
        <v>15071</v>
      </c>
    </row>
    <row r="5011" spans="1:18" x14ac:dyDescent="0.2">
      <c r="A5011">
        <v>47157</v>
      </c>
      <c r="B5011" t="s">
        <v>15072</v>
      </c>
      <c r="C5011">
        <v>1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 t="s">
        <v>3284</v>
      </c>
      <c r="M5011" t="s">
        <v>6718</v>
      </c>
      <c r="N5011" t="s">
        <v>6719</v>
      </c>
      <c r="O5011" t="s">
        <v>6720</v>
      </c>
      <c r="P5011" t="s">
        <v>6721</v>
      </c>
      <c r="Q5011" t="s">
        <v>6722</v>
      </c>
      <c r="R5011" t="s">
        <v>15073</v>
      </c>
    </row>
    <row r="5012" spans="1:18" x14ac:dyDescent="0.2">
      <c r="A5012">
        <v>46914</v>
      </c>
      <c r="B5012" t="s">
        <v>15074</v>
      </c>
      <c r="C5012">
        <v>0</v>
      </c>
      <c r="D5012">
        <v>1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 t="s">
        <v>3284</v>
      </c>
      <c r="M5012" t="s">
        <v>3296</v>
      </c>
      <c r="N5012" t="s">
        <v>3343</v>
      </c>
      <c r="O5012" t="s">
        <v>3344</v>
      </c>
      <c r="P5012" t="s">
        <v>3345</v>
      </c>
      <c r="Q5012" t="s">
        <v>3346</v>
      </c>
      <c r="R5012" t="s">
        <v>15075</v>
      </c>
    </row>
    <row r="5013" spans="1:18" x14ac:dyDescent="0.2">
      <c r="A5013">
        <v>46867</v>
      </c>
      <c r="B5013" t="s">
        <v>15076</v>
      </c>
      <c r="C5013">
        <v>7</v>
      </c>
      <c r="D5013">
        <v>5</v>
      </c>
      <c r="E5013">
        <v>6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 t="s">
        <v>3284</v>
      </c>
      <c r="M5013" t="s">
        <v>3327</v>
      </c>
      <c r="N5013" t="s">
        <v>3328</v>
      </c>
      <c r="O5013" t="s">
        <v>3329</v>
      </c>
      <c r="P5013" t="s">
        <v>3330</v>
      </c>
      <c r="Q5013" t="s">
        <v>3331</v>
      </c>
      <c r="R5013" t="s">
        <v>15077</v>
      </c>
    </row>
    <row r="5014" spans="1:18" x14ac:dyDescent="0.2">
      <c r="A5014">
        <v>46679</v>
      </c>
      <c r="B5014" t="s">
        <v>15078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1</v>
      </c>
      <c r="I5014">
        <v>0</v>
      </c>
      <c r="J5014">
        <v>0</v>
      </c>
      <c r="K5014">
        <v>0</v>
      </c>
      <c r="L5014" t="s">
        <v>3284</v>
      </c>
      <c r="M5014" t="s">
        <v>3296</v>
      </c>
      <c r="N5014" t="s">
        <v>3297</v>
      </c>
      <c r="O5014" t="s">
        <v>3434</v>
      </c>
      <c r="P5014" t="s">
        <v>3435</v>
      </c>
      <c r="Q5014" t="s">
        <v>3436</v>
      </c>
      <c r="R5014" t="s">
        <v>15079</v>
      </c>
    </row>
    <row r="5015" spans="1:18" x14ac:dyDescent="0.2">
      <c r="A5015">
        <v>46609</v>
      </c>
      <c r="B5015" t="s">
        <v>15080</v>
      </c>
      <c r="C5015">
        <v>3</v>
      </c>
      <c r="D5015">
        <v>2</v>
      </c>
      <c r="E5015">
        <v>1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 t="s">
        <v>3284</v>
      </c>
      <c r="M5015" t="s">
        <v>3327</v>
      </c>
      <c r="N5015" t="s">
        <v>3328</v>
      </c>
      <c r="O5015" t="s">
        <v>3329</v>
      </c>
      <c r="P5015" t="s">
        <v>3330</v>
      </c>
      <c r="Q5015" t="s">
        <v>3331</v>
      </c>
      <c r="R5015" t="s">
        <v>15081</v>
      </c>
    </row>
    <row r="5016" spans="1:18" x14ac:dyDescent="0.2">
      <c r="A5016">
        <v>46351</v>
      </c>
      <c r="B5016" t="s">
        <v>15082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1</v>
      </c>
      <c r="J5016">
        <v>0</v>
      </c>
      <c r="K5016">
        <v>0</v>
      </c>
      <c r="L5016" t="s">
        <v>3284</v>
      </c>
      <c r="M5016" t="s">
        <v>3307</v>
      </c>
      <c r="N5016" t="s">
        <v>3308</v>
      </c>
      <c r="O5016" t="s">
        <v>3635</v>
      </c>
      <c r="P5016" t="s">
        <v>4011</v>
      </c>
      <c r="Q5016" t="s">
        <v>4471</v>
      </c>
      <c r="R5016" t="s">
        <v>15083</v>
      </c>
    </row>
    <row r="5017" spans="1:18" x14ac:dyDescent="0.2">
      <c r="A5017">
        <v>46224</v>
      </c>
      <c r="B5017" t="s">
        <v>15084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9</v>
      </c>
      <c r="J5017">
        <v>1</v>
      </c>
      <c r="K5017">
        <v>0</v>
      </c>
      <c r="L5017" t="s">
        <v>3284</v>
      </c>
      <c r="M5017" t="s">
        <v>3327</v>
      </c>
      <c r="N5017" t="s">
        <v>3376</v>
      </c>
      <c r="O5017" t="s">
        <v>3377</v>
      </c>
      <c r="P5017" t="s">
        <v>3378</v>
      </c>
      <c r="Q5017" t="s">
        <v>13550</v>
      </c>
      <c r="R5017" t="s">
        <v>15085</v>
      </c>
    </row>
    <row r="5018" spans="1:18" x14ac:dyDescent="0.2">
      <c r="A5018">
        <v>45677</v>
      </c>
      <c r="B5018" t="s">
        <v>15086</v>
      </c>
      <c r="C5018">
        <v>1</v>
      </c>
      <c r="D5018">
        <v>0</v>
      </c>
      <c r="E5018">
        <v>0</v>
      </c>
      <c r="F5018">
        <v>1</v>
      </c>
      <c r="G5018">
        <v>0</v>
      </c>
      <c r="H5018">
        <v>0</v>
      </c>
      <c r="I5018">
        <v>0</v>
      </c>
      <c r="J5018">
        <v>0</v>
      </c>
      <c r="K5018">
        <v>0</v>
      </c>
      <c r="L5018" t="s">
        <v>3284</v>
      </c>
      <c r="M5018" t="s">
        <v>3296</v>
      </c>
      <c r="N5018" t="s">
        <v>3321</v>
      </c>
      <c r="O5018" t="s">
        <v>3322</v>
      </c>
      <c r="P5018" t="s">
        <v>3671</v>
      </c>
      <c r="Q5018" t="s">
        <v>8007</v>
      </c>
      <c r="R5018" t="s">
        <v>15087</v>
      </c>
    </row>
    <row r="5019" spans="1:18" x14ac:dyDescent="0.2">
      <c r="A5019">
        <v>45663</v>
      </c>
      <c r="B5019" t="s">
        <v>15088</v>
      </c>
      <c r="C5019">
        <v>1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 t="s">
        <v>3284</v>
      </c>
      <c r="M5019" t="s">
        <v>6718</v>
      </c>
      <c r="N5019" t="s">
        <v>6719</v>
      </c>
      <c r="O5019" t="s">
        <v>6720</v>
      </c>
      <c r="P5019" t="s">
        <v>15089</v>
      </c>
      <c r="Q5019" t="s">
        <v>15090</v>
      </c>
      <c r="R5019" t="s">
        <v>15091</v>
      </c>
    </row>
    <row r="5020" spans="1:18" x14ac:dyDescent="0.2">
      <c r="A5020">
        <v>45655</v>
      </c>
      <c r="B5020" t="s">
        <v>15092</v>
      </c>
      <c r="C5020">
        <v>0</v>
      </c>
      <c r="D5020">
        <v>0</v>
      </c>
      <c r="E5020">
        <v>30</v>
      </c>
      <c r="F5020">
        <v>2</v>
      </c>
      <c r="G5020">
        <v>4</v>
      </c>
      <c r="H5020">
        <v>19</v>
      </c>
      <c r="I5020">
        <v>3</v>
      </c>
      <c r="J5020">
        <v>2</v>
      </c>
      <c r="K5020">
        <v>50</v>
      </c>
      <c r="L5020" t="s">
        <v>3284</v>
      </c>
      <c r="M5020" t="s">
        <v>6718</v>
      </c>
      <c r="N5020" t="s">
        <v>9362</v>
      </c>
      <c r="O5020" t="s">
        <v>9363</v>
      </c>
      <c r="P5020" t="s">
        <v>15093</v>
      </c>
      <c r="Q5020" t="s">
        <v>15094</v>
      </c>
      <c r="R5020" t="s">
        <v>15095</v>
      </c>
    </row>
    <row r="5021" spans="1:18" x14ac:dyDescent="0.2">
      <c r="A5021">
        <v>45622</v>
      </c>
      <c r="B5021" t="s">
        <v>15096</v>
      </c>
      <c r="C5021">
        <v>1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 t="s">
        <v>3284</v>
      </c>
      <c r="M5021" t="s">
        <v>4580</v>
      </c>
      <c r="N5021" t="s">
        <v>4581</v>
      </c>
      <c r="O5021" t="s">
        <v>4582</v>
      </c>
      <c r="P5021" t="s">
        <v>4583</v>
      </c>
      <c r="Q5021" t="s">
        <v>15097</v>
      </c>
      <c r="R5021" t="s">
        <v>15098</v>
      </c>
    </row>
    <row r="5022" spans="1:18" x14ac:dyDescent="0.2">
      <c r="A5022">
        <v>45497</v>
      </c>
      <c r="B5022" t="s">
        <v>15099</v>
      </c>
      <c r="C5022">
        <v>0</v>
      </c>
      <c r="D5022">
        <v>0</v>
      </c>
      <c r="E5022">
        <v>1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 t="s">
        <v>3284</v>
      </c>
      <c r="M5022" t="s">
        <v>3327</v>
      </c>
      <c r="N5022" t="s">
        <v>4384</v>
      </c>
      <c r="O5022" t="s">
        <v>4605</v>
      </c>
      <c r="P5022" t="s">
        <v>11765</v>
      </c>
      <c r="Q5022" t="s">
        <v>15100</v>
      </c>
      <c r="R5022" t="s">
        <v>15101</v>
      </c>
    </row>
    <row r="5023" spans="1:18" x14ac:dyDescent="0.2">
      <c r="A5023">
        <v>44749</v>
      </c>
      <c r="B5023" t="s">
        <v>15102</v>
      </c>
      <c r="C5023">
        <v>0</v>
      </c>
      <c r="D5023">
        <v>1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 t="s">
        <v>3284</v>
      </c>
      <c r="M5023" t="s">
        <v>3327</v>
      </c>
      <c r="N5023" t="s">
        <v>3328</v>
      </c>
      <c r="O5023" t="s">
        <v>3329</v>
      </c>
      <c r="P5023" t="s">
        <v>4620</v>
      </c>
      <c r="Q5023" t="s">
        <v>15103</v>
      </c>
      <c r="R5023" t="s">
        <v>15104</v>
      </c>
    </row>
    <row r="5024" spans="1:18" x14ac:dyDescent="0.2">
      <c r="A5024">
        <v>44472</v>
      </c>
      <c r="B5024" t="s">
        <v>15105</v>
      </c>
      <c r="C5024">
        <v>0</v>
      </c>
      <c r="D5024">
        <v>1</v>
      </c>
      <c r="E5024">
        <v>1</v>
      </c>
      <c r="F5024">
        <v>1</v>
      </c>
      <c r="G5024">
        <v>0</v>
      </c>
      <c r="H5024">
        <v>0</v>
      </c>
      <c r="I5024">
        <v>0</v>
      </c>
      <c r="J5024">
        <v>0</v>
      </c>
      <c r="K5024">
        <v>0</v>
      </c>
      <c r="L5024" t="s">
        <v>3284</v>
      </c>
      <c r="M5024" t="s">
        <v>4022</v>
      </c>
      <c r="N5024" t="s">
        <v>4023</v>
      </c>
      <c r="O5024" t="s">
        <v>6292</v>
      </c>
      <c r="P5024" t="s">
        <v>6293</v>
      </c>
      <c r="Q5024" t="s">
        <v>6294</v>
      </c>
      <c r="R5024" t="s">
        <v>15106</v>
      </c>
    </row>
    <row r="5025" spans="1:18" x14ac:dyDescent="0.2">
      <c r="A5025">
        <v>43992</v>
      </c>
      <c r="B5025" t="s">
        <v>15107</v>
      </c>
      <c r="C5025">
        <v>0</v>
      </c>
      <c r="D5025">
        <v>0</v>
      </c>
      <c r="E5025">
        <v>0</v>
      </c>
      <c r="F5025">
        <v>1</v>
      </c>
      <c r="G5025">
        <v>0</v>
      </c>
      <c r="H5025">
        <v>0</v>
      </c>
      <c r="I5025">
        <v>0</v>
      </c>
      <c r="J5025">
        <v>0</v>
      </c>
      <c r="K5025">
        <v>0</v>
      </c>
      <c r="L5025" t="s">
        <v>3284</v>
      </c>
      <c r="M5025" t="s">
        <v>3296</v>
      </c>
      <c r="N5025" t="s">
        <v>3343</v>
      </c>
      <c r="O5025" t="s">
        <v>3344</v>
      </c>
      <c r="P5025" t="s">
        <v>3937</v>
      </c>
      <c r="Q5025" t="s">
        <v>3938</v>
      </c>
      <c r="R5025" t="s">
        <v>15108</v>
      </c>
    </row>
    <row r="5026" spans="1:18" x14ac:dyDescent="0.2">
      <c r="A5026">
        <v>43767</v>
      </c>
      <c r="B5026" t="s">
        <v>15109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15</v>
      </c>
      <c r="J5026">
        <v>6</v>
      </c>
      <c r="K5026">
        <v>2</v>
      </c>
      <c r="L5026" t="s">
        <v>3284</v>
      </c>
      <c r="M5026" t="s">
        <v>3307</v>
      </c>
      <c r="N5026" t="s">
        <v>3308</v>
      </c>
      <c r="O5026" t="s">
        <v>3635</v>
      </c>
      <c r="P5026" t="s">
        <v>3636</v>
      </c>
      <c r="Q5026" t="s">
        <v>15110</v>
      </c>
      <c r="R5026" t="s">
        <v>15111</v>
      </c>
    </row>
    <row r="5027" spans="1:18" x14ac:dyDescent="0.2">
      <c r="A5027">
        <v>43666</v>
      </c>
      <c r="B5027" t="s">
        <v>15112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1</v>
      </c>
      <c r="K5027">
        <v>0</v>
      </c>
      <c r="L5027" t="s">
        <v>3284</v>
      </c>
      <c r="M5027" t="s">
        <v>3307</v>
      </c>
      <c r="N5027" t="s">
        <v>3308</v>
      </c>
      <c r="O5027" t="s">
        <v>3359</v>
      </c>
      <c r="P5027" t="s">
        <v>3407</v>
      </c>
      <c r="Q5027" t="s">
        <v>15113</v>
      </c>
      <c r="R5027" t="s">
        <v>15114</v>
      </c>
    </row>
    <row r="5028" spans="1:18" x14ac:dyDescent="0.2">
      <c r="A5028">
        <v>43656</v>
      </c>
      <c r="B5028" t="s">
        <v>15115</v>
      </c>
      <c r="C5028">
        <v>0</v>
      </c>
      <c r="D5028">
        <v>0</v>
      </c>
      <c r="E5028">
        <v>0</v>
      </c>
      <c r="F5028">
        <v>1</v>
      </c>
      <c r="G5028">
        <v>0</v>
      </c>
      <c r="H5028">
        <v>0</v>
      </c>
      <c r="I5028">
        <v>0</v>
      </c>
      <c r="J5028">
        <v>0</v>
      </c>
      <c r="K5028">
        <v>0</v>
      </c>
      <c r="L5028" t="s">
        <v>3284</v>
      </c>
      <c r="M5028" t="s">
        <v>3296</v>
      </c>
      <c r="N5028" t="s">
        <v>3297</v>
      </c>
      <c r="O5028" t="s">
        <v>4556</v>
      </c>
      <c r="P5028" t="s">
        <v>11249</v>
      </c>
      <c r="Q5028" t="s">
        <v>11250</v>
      </c>
      <c r="R5028" t="s">
        <v>15116</v>
      </c>
    </row>
    <row r="5029" spans="1:18" x14ac:dyDescent="0.2">
      <c r="A5029">
        <v>43654</v>
      </c>
      <c r="B5029" t="s">
        <v>15117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2</v>
      </c>
      <c r="J5029">
        <v>1</v>
      </c>
      <c r="K5029">
        <v>0</v>
      </c>
      <c r="L5029" t="s">
        <v>3284</v>
      </c>
      <c r="M5029" t="s">
        <v>3296</v>
      </c>
      <c r="N5029" t="s">
        <v>3297</v>
      </c>
      <c r="O5029" t="s">
        <v>4556</v>
      </c>
      <c r="P5029" t="s">
        <v>11249</v>
      </c>
      <c r="Q5029" t="s">
        <v>11250</v>
      </c>
      <c r="R5029" t="s">
        <v>15118</v>
      </c>
    </row>
    <row r="5030" spans="1:18" x14ac:dyDescent="0.2">
      <c r="A5030">
        <v>43304</v>
      </c>
      <c r="B5030" t="s">
        <v>15119</v>
      </c>
      <c r="C5030">
        <v>0</v>
      </c>
      <c r="D5030">
        <v>0</v>
      </c>
      <c r="E5030">
        <v>0</v>
      </c>
      <c r="F5030">
        <v>1</v>
      </c>
      <c r="G5030">
        <v>0</v>
      </c>
      <c r="H5030">
        <v>0</v>
      </c>
      <c r="I5030">
        <v>0</v>
      </c>
      <c r="J5030">
        <v>0</v>
      </c>
      <c r="K5030">
        <v>0</v>
      </c>
      <c r="L5030" t="s">
        <v>3284</v>
      </c>
      <c r="M5030" t="s">
        <v>3307</v>
      </c>
      <c r="N5030" t="s">
        <v>3308</v>
      </c>
      <c r="O5030" t="s">
        <v>3635</v>
      </c>
      <c r="P5030" t="s">
        <v>4011</v>
      </c>
      <c r="Q5030" t="s">
        <v>4471</v>
      </c>
      <c r="R5030" t="s">
        <v>15120</v>
      </c>
    </row>
    <row r="5031" spans="1:18" x14ac:dyDescent="0.2">
      <c r="A5031">
        <v>43263</v>
      </c>
      <c r="B5031" t="s">
        <v>15121</v>
      </c>
      <c r="C5031">
        <v>5</v>
      </c>
      <c r="D5031">
        <v>6</v>
      </c>
      <c r="E5031">
        <v>0</v>
      </c>
      <c r="F5031">
        <v>0</v>
      </c>
      <c r="G5031">
        <v>1</v>
      </c>
      <c r="H5031">
        <v>0</v>
      </c>
      <c r="I5031">
        <v>0</v>
      </c>
      <c r="J5031">
        <v>0</v>
      </c>
      <c r="K5031">
        <v>0</v>
      </c>
      <c r="L5031" t="s">
        <v>3284</v>
      </c>
      <c r="M5031" t="s">
        <v>3296</v>
      </c>
      <c r="N5031" t="s">
        <v>3297</v>
      </c>
      <c r="O5031" t="s">
        <v>3434</v>
      </c>
      <c r="P5031" t="s">
        <v>3435</v>
      </c>
      <c r="Q5031" t="s">
        <v>7075</v>
      </c>
      <c r="R5031" t="s">
        <v>15122</v>
      </c>
    </row>
    <row r="5032" spans="1:18" x14ac:dyDescent="0.2">
      <c r="A5032">
        <v>42906</v>
      </c>
      <c r="B5032" t="s">
        <v>15123</v>
      </c>
      <c r="C5032">
        <v>1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 t="s">
        <v>3284</v>
      </c>
      <c r="M5032" t="s">
        <v>3296</v>
      </c>
      <c r="N5032" t="s">
        <v>3297</v>
      </c>
      <c r="O5032" t="s">
        <v>3298</v>
      </c>
      <c r="P5032" t="s">
        <v>3299</v>
      </c>
      <c r="Q5032" t="s">
        <v>3300</v>
      </c>
      <c r="R5032" t="s">
        <v>15124</v>
      </c>
    </row>
    <row r="5033" spans="1:18" x14ac:dyDescent="0.2">
      <c r="A5033">
        <v>42092</v>
      </c>
      <c r="B5033" t="s">
        <v>15125</v>
      </c>
      <c r="C5033">
        <v>1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 t="s">
        <v>3284</v>
      </c>
      <c r="M5033" t="s">
        <v>13039</v>
      </c>
      <c r="N5033" t="s">
        <v>3271</v>
      </c>
      <c r="O5033" t="s">
        <v>15126</v>
      </c>
      <c r="P5033" t="s">
        <v>15127</v>
      </c>
      <c r="Q5033" t="s">
        <v>15128</v>
      </c>
      <c r="R5033" t="s">
        <v>15129</v>
      </c>
    </row>
    <row r="5034" spans="1:18" x14ac:dyDescent="0.2">
      <c r="A5034">
        <v>41988</v>
      </c>
      <c r="B5034" t="s">
        <v>15130</v>
      </c>
      <c r="C5034">
        <v>1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1</v>
      </c>
      <c r="J5034">
        <v>0</v>
      </c>
      <c r="K5034">
        <v>0</v>
      </c>
      <c r="L5034" t="s">
        <v>3284</v>
      </c>
      <c r="M5034" t="s">
        <v>3307</v>
      </c>
      <c r="N5034" t="s">
        <v>3308</v>
      </c>
      <c r="O5034" t="s">
        <v>3359</v>
      </c>
      <c r="P5034" t="s">
        <v>3360</v>
      </c>
      <c r="Q5034" t="s">
        <v>4793</v>
      </c>
      <c r="R5034" t="s">
        <v>15131</v>
      </c>
    </row>
    <row r="5035" spans="1:18" x14ac:dyDescent="0.2">
      <c r="A5035">
        <v>41986</v>
      </c>
      <c r="B5035" t="s">
        <v>15132</v>
      </c>
      <c r="C5035">
        <v>0</v>
      </c>
      <c r="D5035">
        <v>0</v>
      </c>
      <c r="E5035">
        <v>0</v>
      </c>
      <c r="F5035">
        <v>1</v>
      </c>
      <c r="G5035">
        <v>0</v>
      </c>
      <c r="H5035">
        <v>0</v>
      </c>
      <c r="I5035">
        <v>0</v>
      </c>
      <c r="J5035">
        <v>0</v>
      </c>
      <c r="K5035">
        <v>0</v>
      </c>
      <c r="L5035" t="s">
        <v>3284</v>
      </c>
      <c r="M5035" t="s">
        <v>3307</v>
      </c>
      <c r="N5035" t="s">
        <v>3308</v>
      </c>
      <c r="O5035" t="s">
        <v>3359</v>
      </c>
      <c r="P5035" t="s">
        <v>3360</v>
      </c>
      <c r="Q5035" t="s">
        <v>3364</v>
      </c>
      <c r="R5035" t="s">
        <v>15133</v>
      </c>
    </row>
    <row r="5036" spans="1:18" x14ac:dyDescent="0.2">
      <c r="A5036">
        <v>41978</v>
      </c>
      <c r="B5036" t="s">
        <v>15134</v>
      </c>
      <c r="C5036">
        <v>0</v>
      </c>
      <c r="D5036">
        <v>1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 t="s">
        <v>3284</v>
      </c>
      <c r="M5036" t="s">
        <v>3327</v>
      </c>
      <c r="N5036" t="s">
        <v>3328</v>
      </c>
      <c r="O5036" t="s">
        <v>3329</v>
      </c>
      <c r="P5036" t="s">
        <v>4620</v>
      </c>
      <c r="Q5036" t="s">
        <v>15135</v>
      </c>
      <c r="R5036" t="s">
        <v>15136</v>
      </c>
    </row>
    <row r="5037" spans="1:18" x14ac:dyDescent="0.2">
      <c r="A5037">
        <v>41276</v>
      </c>
      <c r="B5037" t="s">
        <v>15137</v>
      </c>
      <c r="C5037">
        <v>0</v>
      </c>
      <c r="D5037">
        <v>0</v>
      </c>
      <c r="E5037">
        <v>0</v>
      </c>
      <c r="F5037">
        <v>7</v>
      </c>
      <c r="G5037">
        <v>6</v>
      </c>
      <c r="H5037">
        <v>5</v>
      </c>
      <c r="I5037">
        <v>0</v>
      </c>
      <c r="J5037">
        <v>0</v>
      </c>
      <c r="K5037">
        <v>0</v>
      </c>
      <c r="L5037" t="s">
        <v>3284</v>
      </c>
      <c r="M5037" t="s">
        <v>3296</v>
      </c>
      <c r="N5037" t="s">
        <v>3343</v>
      </c>
      <c r="O5037" t="s">
        <v>3402</v>
      </c>
      <c r="P5037" t="s">
        <v>3403</v>
      </c>
      <c r="Q5037" t="s">
        <v>3536</v>
      </c>
      <c r="R5037" t="s">
        <v>15138</v>
      </c>
    </row>
    <row r="5038" spans="1:18" x14ac:dyDescent="0.2">
      <c r="A5038">
        <v>41274</v>
      </c>
      <c r="B5038" t="s">
        <v>15139</v>
      </c>
      <c r="C5038">
        <v>2</v>
      </c>
      <c r="D5038">
        <v>2</v>
      </c>
      <c r="E5038">
        <v>1</v>
      </c>
      <c r="F5038">
        <v>0</v>
      </c>
      <c r="G5038">
        <v>0</v>
      </c>
      <c r="H5038">
        <v>0</v>
      </c>
      <c r="I5038">
        <v>0</v>
      </c>
      <c r="J5038">
        <v>1</v>
      </c>
      <c r="K5038">
        <v>0</v>
      </c>
      <c r="L5038" t="s">
        <v>3284</v>
      </c>
      <c r="M5038" t="s">
        <v>3327</v>
      </c>
      <c r="N5038" t="s">
        <v>4384</v>
      </c>
      <c r="O5038" t="s">
        <v>4605</v>
      </c>
      <c r="P5038" t="s">
        <v>4606</v>
      </c>
      <c r="Q5038" t="s">
        <v>4607</v>
      </c>
      <c r="R5038" t="s">
        <v>15140</v>
      </c>
    </row>
    <row r="5039" spans="1:18" x14ac:dyDescent="0.2">
      <c r="A5039">
        <v>41170</v>
      </c>
      <c r="B5039" t="s">
        <v>15141</v>
      </c>
      <c r="C5039">
        <v>26</v>
      </c>
      <c r="D5039">
        <v>26</v>
      </c>
      <c r="E5039">
        <v>1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 t="s">
        <v>3284</v>
      </c>
      <c r="M5039" t="s">
        <v>3327</v>
      </c>
      <c r="N5039" t="s">
        <v>3376</v>
      </c>
      <c r="O5039" t="s">
        <v>3377</v>
      </c>
      <c r="P5039" t="s">
        <v>3271</v>
      </c>
      <c r="Q5039" t="s">
        <v>3648</v>
      </c>
      <c r="R5039" t="s">
        <v>15142</v>
      </c>
    </row>
    <row r="5040" spans="1:18" x14ac:dyDescent="0.2">
      <c r="A5040">
        <v>40682</v>
      </c>
      <c r="B5040" t="s">
        <v>15143</v>
      </c>
      <c r="C5040">
        <v>0</v>
      </c>
      <c r="D5040">
        <v>0</v>
      </c>
      <c r="E5040">
        <v>0</v>
      </c>
      <c r="F5040">
        <v>2</v>
      </c>
      <c r="G5040">
        <v>0</v>
      </c>
      <c r="H5040">
        <v>0</v>
      </c>
      <c r="I5040">
        <v>0</v>
      </c>
      <c r="J5040">
        <v>0</v>
      </c>
      <c r="K5040">
        <v>0</v>
      </c>
      <c r="L5040" t="s">
        <v>3284</v>
      </c>
      <c r="M5040" t="s">
        <v>3296</v>
      </c>
      <c r="N5040" t="s">
        <v>3343</v>
      </c>
      <c r="O5040" t="s">
        <v>3349</v>
      </c>
      <c r="P5040" t="s">
        <v>3350</v>
      </c>
      <c r="Q5040" t="s">
        <v>3580</v>
      </c>
      <c r="R5040" t="s">
        <v>15144</v>
      </c>
    </row>
    <row r="5041" spans="1:18" x14ac:dyDescent="0.2">
      <c r="A5041">
        <v>40576</v>
      </c>
      <c r="B5041" t="s">
        <v>15145</v>
      </c>
      <c r="C5041">
        <v>0</v>
      </c>
      <c r="D5041">
        <v>1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 t="s">
        <v>3284</v>
      </c>
      <c r="M5041" t="s">
        <v>3296</v>
      </c>
      <c r="N5041" t="s">
        <v>3297</v>
      </c>
      <c r="O5041" t="s">
        <v>3298</v>
      </c>
      <c r="P5041" t="s">
        <v>4399</v>
      </c>
      <c r="Q5041" t="s">
        <v>5043</v>
      </c>
      <c r="R5041" t="s">
        <v>15146</v>
      </c>
    </row>
    <row r="5042" spans="1:18" x14ac:dyDescent="0.2">
      <c r="A5042">
        <v>40575</v>
      </c>
      <c r="B5042" t="s">
        <v>15147</v>
      </c>
      <c r="C5042">
        <v>2</v>
      </c>
      <c r="D5042">
        <v>3</v>
      </c>
      <c r="E5042">
        <v>2</v>
      </c>
      <c r="F5042">
        <v>0</v>
      </c>
      <c r="G5042">
        <v>0</v>
      </c>
      <c r="H5042">
        <v>0</v>
      </c>
      <c r="I5042">
        <v>1</v>
      </c>
      <c r="J5042">
        <v>1</v>
      </c>
      <c r="K5042">
        <v>0</v>
      </c>
      <c r="L5042" t="s">
        <v>3284</v>
      </c>
      <c r="M5042" t="s">
        <v>3327</v>
      </c>
      <c r="N5042" t="s">
        <v>3328</v>
      </c>
      <c r="O5042" t="s">
        <v>3329</v>
      </c>
      <c r="P5042" t="s">
        <v>3330</v>
      </c>
      <c r="Q5042" t="s">
        <v>3331</v>
      </c>
      <c r="R5042" t="s">
        <v>15148</v>
      </c>
    </row>
    <row r="5043" spans="1:18" x14ac:dyDescent="0.2">
      <c r="A5043">
        <v>40543</v>
      </c>
      <c r="B5043" t="s">
        <v>15149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1</v>
      </c>
      <c r="L5043" t="s">
        <v>3284</v>
      </c>
      <c r="M5043" t="s">
        <v>4580</v>
      </c>
      <c r="N5043" t="s">
        <v>4581</v>
      </c>
      <c r="O5043" t="s">
        <v>4582</v>
      </c>
      <c r="P5043" t="s">
        <v>8503</v>
      </c>
      <c r="Q5043" t="s">
        <v>15150</v>
      </c>
      <c r="R5043" t="s">
        <v>15151</v>
      </c>
    </row>
    <row r="5044" spans="1:18" x14ac:dyDescent="0.2">
      <c r="A5044">
        <v>40519</v>
      </c>
      <c r="B5044" t="s">
        <v>15152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1</v>
      </c>
      <c r="J5044">
        <v>0</v>
      </c>
      <c r="K5044">
        <v>0</v>
      </c>
      <c r="L5044" t="s">
        <v>3284</v>
      </c>
      <c r="M5044" t="s">
        <v>3327</v>
      </c>
      <c r="N5044" t="s">
        <v>3328</v>
      </c>
      <c r="O5044" t="s">
        <v>3329</v>
      </c>
      <c r="P5044" t="s">
        <v>4620</v>
      </c>
      <c r="Q5044" t="s">
        <v>15135</v>
      </c>
      <c r="R5044" t="s">
        <v>15153</v>
      </c>
    </row>
    <row r="5045" spans="1:18" x14ac:dyDescent="0.2">
      <c r="A5045">
        <v>40516</v>
      </c>
      <c r="B5045" t="s">
        <v>15154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1</v>
      </c>
      <c r="J5045">
        <v>0</v>
      </c>
      <c r="K5045">
        <v>0</v>
      </c>
      <c r="L5045" t="s">
        <v>3284</v>
      </c>
      <c r="M5045" t="s">
        <v>3307</v>
      </c>
      <c r="N5045" t="s">
        <v>3308</v>
      </c>
      <c r="O5045" t="s">
        <v>3635</v>
      </c>
      <c r="P5045" t="s">
        <v>4321</v>
      </c>
      <c r="Q5045" t="s">
        <v>4322</v>
      </c>
      <c r="R5045" t="s">
        <v>15155</v>
      </c>
    </row>
    <row r="5046" spans="1:18" x14ac:dyDescent="0.2">
      <c r="A5046">
        <v>40324</v>
      </c>
      <c r="B5046" t="s">
        <v>15156</v>
      </c>
      <c r="C5046">
        <v>0</v>
      </c>
      <c r="D5046">
        <v>0</v>
      </c>
      <c r="E5046">
        <v>0</v>
      </c>
      <c r="F5046">
        <v>3</v>
      </c>
      <c r="G5046">
        <v>5</v>
      </c>
      <c r="H5046">
        <v>2</v>
      </c>
      <c r="I5046">
        <v>4</v>
      </c>
      <c r="J5046">
        <v>4</v>
      </c>
      <c r="K5046">
        <v>0</v>
      </c>
      <c r="L5046" t="s">
        <v>3284</v>
      </c>
      <c r="M5046" t="s">
        <v>3296</v>
      </c>
      <c r="N5046" t="s">
        <v>3297</v>
      </c>
      <c r="O5046" t="s">
        <v>3469</v>
      </c>
      <c r="P5046" t="s">
        <v>3470</v>
      </c>
      <c r="Q5046" t="s">
        <v>3471</v>
      </c>
      <c r="R5046" t="s">
        <v>15157</v>
      </c>
    </row>
    <row r="5047" spans="1:18" x14ac:dyDescent="0.2">
      <c r="A5047">
        <v>40214</v>
      </c>
      <c r="B5047" t="s">
        <v>15158</v>
      </c>
      <c r="C5047">
        <v>110</v>
      </c>
      <c r="D5047">
        <v>79</v>
      </c>
      <c r="E5047">
        <v>2748</v>
      </c>
      <c r="F5047">
        <v>193</v>
      </c>
      <c r="G5047">
        <v>172</v>
      </c>
      <c r="H5047">
        <v>2035</v>
      </c>
      <c r="I5047">
        <v>337</v>
      </c>
      <c r="J5047">
        <v>218</v>
      </c>
      <c r="K5047">
        <v>2636</v>
      </c>
      <c r="L5047" t="s">
        <v>3284</v>
      </c>
      <c r="M5047" t="s">
        <v>3296</v>
      </c>
      <c r="N5047" t="s">
        <v>3297</v>
      </c>
      <c r="O5047" t="s">
        <v>4037</v>
      </c>
      <c r="P5047" t="s">
        <v>4038</v>
      </c>
      <c r="Q5047" t="s">
        <v>5556</v>
      </c>
      <c r="R5047" t="s">
        <v>15159</v>
      </c>
    </row>
    <row r="5048" spans="1:18" x14ac:dyDescent="0.2">
      <c r="A5048">
        <v>40137</v>
      </c>
      <c r="B5048" t="s">
        <v>15160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1</v>
      </c>
      <c r="J5048">
        <v>0</v>
      </c>
      <c r="K5048">
        <v>0</v>
      </c>
      <c r="L5048" t="s">
        <v>3284</v>
      </c>
      <c r="M5048" t="s">
        <v>3296</v>
      </c>
      <c r="N5048" t="s">
        <v>3343</v>
      </c>
      <c r="O5048" t="s">
        <v>3344</v>
      </c>
      <c r="P5048" t="s">
        <v>3937</v>
      </c>
      <c r="Q5048" t="s">
        <v>15161</v>
      </c>
      <c r="R5048" t="s">
        <v>15162</v>
      </c>
    </row>
    <row r="5049" spans="1:18" x14ac:dyDescent="0.2">
      <c r="A5049">
        <v>39694</v>
      </c>
      <c r="B5049" t="s">
        <v>15163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1</v>
      </c>
      <c r="K5049">
        <v>0</v>
      </c>
      <c r="L5049" t="s">
        <v>3284</v>
      </c>
      <c r="M5049" t="s">
        <v>3307</v>
      </c>
      <c r="N5049" t="s">
        <v>3308</v>
      </c>
      <c r="O5049" t="s">
        <v>3635</v>
      </c>
      <c r="P5049" t="s">
        <v>4011</v>
      </c>
      <c r="Q5049" t="s">
        <v>4471</v>
      </c>
      <c r="R5049" t="s">
        <v>15164</v>
      </c>
    </row>
    <row r="5050" spans="1:18" x14ac:dyDescent="0.2">
      <c r="A5050">
        <v>39692</v>
      </c>
      <c r="B5050" t="s">
        <v>15165</v>
      </c>
      <c r="C5050">
        <v>0</v>
      </c>
      <c r="D5050">
        <v>0</v>
      </c>
      <c r="E5050">
        <v>0</v>
      </c>
      <c r="F5050">
        <v>1</v>
      </c>
      <c r="G5050">
        <v>0</v>
      </c>
      <c r="H5050">
        <v>0</v>
      </c>
      <c r="I5050">
        <v>0</v>
      </c>
      <c r="J5050">
        <v>0</v>
      </c>
      <c r="K5050">
        <v>0</v>
      </c>
      <c r="L5050" t="s">
        <v>3284</v>
      </c>
      <c r="M5050" t="s">
        <v>3307</v>
      </c>
      <c r="N5050" t="s">
        <v>3308</v>
      </c>
      <c r="O5050" t="s">
        <v>3635</v>
      </c>
      <c r="P5050" t="s">
        <v>4011</v>
      </c>
      <c r="Q5050" t="s">
        <v>4471</v>
      </c>
      <c r="R5050" t="s">
        <v>15166</v>
      </c>
    </row>
    <row r="5051" spans="1:18" x14ac:dyDescent="0.2">
      <c r="A5051">
        <v>39691</v>
      </c>
      <c r="B5051" t="s">
        <v>15167</v>
      </c>
      <c r="C5051">
        <v>0</v>
      </c>
      <c r="D5051">
        <v>0</v>
      </c>
      <c r="E5051">
        <v>0</v>
      </c>
      <c r="F5051">
        <v>1</v>
      </c>
      <c r="G5051">
        <v>0</v>
      </c>
      <c r="H5051">
        <v>0</v>
      </c>
      <c r="I5051">
        <v>0</v>
      </c>
      <c r="J5051">
        <v>0</v>
      </c>
      <c r="K5051">
        <v>0</v>
      </c>
      <c r="L5051" t="s">
        <v>3284</v>
      </c>
      <c r="M5051" t="s">
        <v>3307</v>
      </c>
      <c r="N5051" t="s">
        <v>3308</v>
      </c>
      <c r="O5051" t="s">
        <v>3635</v>
      </c>
      <c r="P5051" t="s">
        <v>4011</v>
      </c>
      <c r="Q5051" t="s">
        <v>4471</v>
      </c>
      <c r="R5051" t="s">
        <v>15168</v>
      </c>
    </row>
    <row r="5052" spans="1:18" x14ac:dyDescent="0.2">
      <c r="A5052">
        <v>39687</v>
      </c>
      <c r="B5052" t="s">
        <v>15169</v>
      </c>
      <c r="C5052">
        <v>0</v>
      </c>
      <c r="D5052">
        <v>0</v>
      </c>
      <c r="E5052">
        <v>0</v>
      </c>
      <c r="F5052">
        <v>0</v>
      </c>
      <c r="G5052">
        <v>1</v>
      </c>
      <c r="H5052">
        <v>0</v>
      </c>
      <c r="I5052">
        <v>1</v>
      </c>
      <c r="J5052">
        <v>0</v>
      </c>
      <c r="K5052">
        <v>0</v>
      </c>
      <c r="L5052" t="s">
        <v>3284</v>
      </c>
      <c r="M5052" t="s">
        <v>3307</v>
      </c>
      <c r="N5052" t="s">
        <v>3308</v>
      </c>
      <c r="O5052" t="s">
        <v>3635</v>
      </c>
      <c r="P5052" t="s">
        <v>4011</v>
      </c>
      <c r="Q5052" t="s">
        <v>4471</v>
      </c>
      <c r="R5052" t="s">
        <v>15170</v>
      </c>
    </row>
    <row r="5053" spans="1:18" x14ac:dyDescent="0.2">
      <c r="A5053">
        <v>39493</v>
      </c>
      <c r="B5053" t="s">
        <v>15171</v>
      </c>
      <c r="C5053">
        <v>6</v>
      </c>
      <c r="D5053">
        <v>7</v>
      </c>
      <c r="E5053">
        <v>4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 t="s">
        <v>3284</v>
      </c>
      <c r="M5053" t="s">
        <v>3327</v>
      </c>
      <c r="N5053" t="s">
        <v>3328</v>
      </c>
      <c r="O5053" t="s">
        <v>3329</v>
      </c>
      <c r="P5053" t="s">
        <v>3330</v>
      </c>
      <c r="Q5053" t="s">
        <v>3331</v>
      </c>
      <c r="R5053" t="s">
        <v>15172</v>
      </c>
    </row>
    <row r="5054" spans="1:18" x14ac:dyDescent="0.2">
      <c r="A5054">
        <v>39489</v>
      </c>
      <c r="B5054" t="s">
        <v>15173</v>
      </c>
      <c r="C5054">
        <v>2</v>
      </c>
      <c r="D5054">
        <v>2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 t="s">
        <v>3284</v>
      </c>
      <c r="M5054" t="s">
        <v>3327</v>
      </c>
      <c r="N5054" t="s">
        <v>3328</v>
      </c>
      <c r="O5054" t="s">
        <v>3329</v>
      </c>
      <c r="P5054" t="s">
        <v>3330</v>
      </c>
      <c r="Q5054" t="s">
        <v>3331</v>
      </c>
      <c r="R5054" t="s">
        <v>15174</v>
      </c>
    </row>
    <row r="5055" spans="1:18" x14ac:dyDescent="0.2">
      <c r="A5055">
        <v>39480</v>
      </c>
      <c r="B5055" t="s">
        <v>15175</v>
      </c>
      <c r="C5055">
        <v>0</v>
      </c>
      <c r="D5055">
        <v>1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 t="s">
        <v>3284</v>
      </c>
      <c r="M5055" t="s">
        <v>3327</v>
      </c>
      <c r="N5055" t="s">
        <v>4384</v>
      </c>
      <c r="O5055" t="s">
        <v>4605</v>
      </c>
      <c r="P5055" t="s">
        <v>15176</v>
      </c>
      <c r="Q5055" t="s">
        <v>15177</v>
      </c>
      <c r="R5055" t="s">
        <v>15178</v>
      </c>
    </row>
    <row r="5056" spans="1:18" x14ac:dyDescent="0.2">
      <c r="A5056">
        <v>38313</v>
      </c>
      <c r="B5056" t="s">
        <v>15179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1</v>
      </c>
      <c r="J5056">
        <v>0</v>
      </c>
      <c r="K5056">
        <v>0</v>
      </c>
      <c r="L5056" t="s">
        <v>3284</v>
      </c>
      <c r="M5056" t="s">
        <v>3296</v>
      </c>
      <c r="N5056" t="s">
        <v>3297</v>
      </c>
      <c r="O5056" t="s">
        <v>4556</v>
      </c>
      <c r="P5056" t="s">
        <v>6227</v>
      </c>
      <c r="Q5056" t="s">
        <v>6228</v>
      </c>
      <c r="R5056" t="s">
        <v>15180</v>
      </c>
    </row>
    <row r="5057" spans="1:18" x14ac:dyDescent="0.2">
      <c r="A5057">
        <v>37752</v>
      </c>
      <c r="B5057" t="s">
        <v>15181</v>
      </c>
      <c r="C5057">
        <v>1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 t="s">
        <v>3284</v>
      </c>
      <c r="M5057" t="s">
        <v>3391</v>
      </c>
      <c r="N5057" t="s">
        <v>3411</v>
      </c>
      <c r="O5057" t="s">
        <v>3412</v>
      </c>
      <c r="P5057" t="s">
        <v>3413</v>
      </c>
      <c r="Q5057" t="s">
        <v>3414</v>
      </c>
      <c r="R5057" t="s">
        <v>15182</v>
      </c>
    </row>
    <row r="5058" spans="1:18" x14ac:dyDescent="0.2">
      <c r="A5058">
        <v>37659</v>
      </c>
      <c r="B5058" t="s">
        <v>15183</v>
      </c>
      <c r="C5058">
        <v>23</v>
      </c>
      <c r="D5058">
        <v>20</v>
      </c>
      <c r="E5058">
        <v>14</v>
      </c>
      <c r="F5058">
        <v>0</v>
      </c>
      <c r="G5058">
        <v>0</v>
      </c>
      <c r="H5058">
        <v>0</v>
      </c>
      <c r="I5058">
        <v>2</v>
      </c>
      <c r="J5058">
        <v>0</v>
      </c>
      <c r="K5058">
        <v>0</v>
      </c>
      <c r="L5058" t="s">
        <v>3284</v>
      </c>
      <c r="M5058" t="s">
        <v>3327</v>
      </c>
      <c r="N5058" t="s">
        <v>3328</v>
      </c>
      <c r="O5058" t="s">
        <v>3329</v>
      </c>
      <c r="P5058" t="s">
        <v>3330</v>
      </c>
      <c r="Q5058" t="s">
        <v>3331</v>
      </c>
      <c r="R5058" t="s">
        <v>15184</v>
      </c>
    </row>
    <row r="5059" spans="1:18" x14ac:dyDescent="0.2">
      <c r="A5059">
        <v>37448</v>
      </c>
      <c r="B5059" t="s">
        <v>15185</v>
      </c>
      <c r="C5059">
        <v>0</v>
      </c>
      <c r="D5059">
        <v>2</v>
      </c>
      <c r="E5059">
        <v>0</v>
      </c>
      <c r="F5059">
        <v>1</v>
      </c>
      <c r="G5059">
        <v>0</v>
      </c>
      <c r="H5059">
        <v>0</v>
      </c>
      <c r="I5059">
        <v>0</v>
      </c>
      <c r="J5059">
        <v>0</v>
      </c>
      <c r="K5059">
        <v>0</v>
      </c>
      <c r="L5059" t="s">
        <v>3284</v>
      </c>
      <c r="M5059" t="s">
        <v>3296</v>
      </c>
      <c r="N5059" t="s">
        <v>3321</v>
      </c>
      <c r="O5059" t="s">
        <v>3322</v>
      </c>
      <c r="P5059" t="s">
        <v>3398</v>
      </c>
      <c r="Q5059" t="s">
        <v>4593</v>
      </c>
      <c r="R5059" t="s">
        <v>15186</v>
      </c>
    </row>
    <row r="5060" spans="1:18" x14ac:dyDescent="0.2">
      <c r="A5060">
        <v>37330</v>
      </c>
      <c r="B5060" t="s">
        <v>15187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1</v>
      </c>
      <c r="J5060">
        <v>0</v>
      </c>
      <c r="K5060">
        <v>0</v>
      </c>
      <c r="L5060" t="s">
        <v>3284</v>
      </c>
      <c r="M5060" t="s">
        <v>3307</v>
      </c>
      <c r="N5060" t="s">
        <v>3308</v>
      </c>
      <c r="O5060" t="s">
        <v>3635</v>
      </c>
      <c r="P5060" t="s">
        <v>3636</v>
      </c>
      <c r="Q5060" t="s">
        <v>3997</v>
      </c>
      <c r="R5060" t="s">
        <v>15188</v>
      </c>
    </row>
    <row r="5061" spans="1:18" x14ac:dyDescent="0.2">
      <c r="A5061">
        <v>37327</v>
      </c>
      <c r="B5061" t="s">
        <v>15189</v>
      </c>
      <c r="C5061">
        <v>0</v>
      </c>
      <c r="D5061">
        <v>1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 t="s">
        <v>3284</v>
      </c>
      <c r="M5061" t="s">
        <v>3307</v>
      </c>
      <c r="N5061" t="s">
        <v>3308</v>
      </c>
      <c r="O5061" t="s">
        <v>3635</v>
      </c>
      <c r="P5061" t="s">
        <v>3636</v>
      </c>
      <c r="Q5061" t="s">
        <v>3997</v>
      </c>
      <c r="R5061" t="s">
        <v>15190</v>
      </c>
    </row>
    <row r="5062" spans="1:18" x14ac:dyDescent="0.2">
      <c r="A5062">
        <v>36856</v>
      </c>
      <c r="B5062" t="s">
        <v>15191</v>
      </c>
      <c r="C5062">
        <v>0</v>
      </c>
      <c r="D5062">
        <v>0</v>
      </c>
      <c r="E5062">
        <v>0</v>
      </c>
      <c r="F5062">
        <v>0</v>
      </c>
      <c r="G5062">
        <v>1</v>
      </c>
      <c r="H5062">
        <v>0</v>
      </c>
      <c r="I5062">
        <v>0</v>
      </c>
      <c r="J5062">
        <v>0</v>
      </c>
      <c r="K5062">
        <v>0</v>
      </c>
      <c r="L5062" t="s">
        <v>3284</v>
      </c>
      <c r="M5062" t="s">
        <v>3296</v>
      </c>
      <c r="N5062" t="s">
        <v>3343</v>
      </c>
      <c r="O5062" t="s">
        <v>3344</v>
      </c>
      <c r="P5062" t="s">
        <v>3355</v>
      </c>
      <c r="Q5062" t="s">
        <v>7835</v>
      </c>
      <c r="R5062" t="s">
        <v>15192</v>
      </c>
    </row>
    <row r="5063" spans="1:18" x14ac:dyDescent="0.2">
      <c r="A5063">
        <v>36849</v>
      </c>
      <c r="B5063" t="s">
        <v>15193</v>
      </c>
      <c r="C5063">
        <v>2</v>
      </c>
      <c r="D5063">
        <v>0</v>
      </c>
      <c r="E5063">
        <v>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 t="s">
        <v>3284</v>
      </c>
      <c r="M5063" t="s">
        <v>3327</v>
      </c>
      <c r="N5063" t="s">
        <v>3328</v>
      </c>
      <c r="O5063" t="s">
        <v>3329</v>
      </c>
      <c r="P5063" t="s">
        <v>3330</v>
      </c>
      <c r="Q5063" t="s">
        <v>15194</v>
      </c>
      <c r="R5063" t="s">
        <v>15195</v>
      </c>
    </row>
    <row r="5064" spans="1:18" x14ac:dyDescent="0.2">
      <c r="A5064">
        <v>36845</v>
      </c>
      <c r="B5064" t="s">
        <v>15196</v>
      </c>
      <c r="C5064">
        <v>10</v>
      </c>
      <c r="D5064">
        <v>17</v>
      </c>
      <c r="E5064">
        <v>5</v>
      </c>
      <c r="F5064">
        <v>0</v>
      </c>
      <c r="G5064">
        <v>0</v>
      </c>
      <c r="H5064">
        <v>0</v>
      </c>
      <c r="I5064">
        <v>0</v>
      </c>
      <c r="J5064">
        <v>1</v>
      </c>
      <c r="K5064">
        <v>1</v>
      </c>
      <c r="L5064" t="s">
        <v>3284</v>
      </c>
      <c r="M5064" t="s">
        <v>3327</v>
      </c>
      <c r="N5064" t="s">
        <v>3328</v>
      </c>
      <c r="O5064" t="s">
        <v>3329</v>
      </c>
      <c r="P5064" t="s">
        <v>3330</v>
      </c>
      <c r="Q5064" t="s">
        <v>3331</v>
      </c>
      <c r="R5064" t="s">
        <v>15197</v>
      </c>
    </row>
    <row r="5065" spans="1:18" x14ac:dyDescent="0.2">
      <c r="A5065">
        <v>36844</v>
      </c>
      <c r="B5065" t="s">
        <v>15198</v>
      </c>
      <c r="C5065">
        <v>6</v>
      </c>
      <c r="D5065">
        <v>9</v>
      </c>
      <c r="E5065">
        <v>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 t="s">
        <v>3284</v>
      </c>
      <c r="M5065" t="s">
        <v>3327</v>
      </c>
      <c r="N5065" t="s">
        <v>3328</v>
      </c>
      <c r="O5065" t="s">
        <v>3329</v>
      </c>
      <c r="P5065" t="s">
        <v>3330</v>
      </c>
      <c r="Q5065" t="s">
        <v>3331</v>
      </c>
      <c r="R5065" t="s">
        <v>15199</v>
      </c>
    </row>
    <row r="5066" spans="1:18" x14ac:dyDescent="0.2">
      <c r="A5066">
        <v>36842</v>
      </c>
      <c r="B5066" t="s">
        <v>15200</v>
      </c>
      <c r="C5066">
        <v>1</v>
      </c>
      <c r="D5066">
        <v>2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 t="s">
        <v>3284</v>
      </c>
      <c r="M5066" t="s">
        <v>3327</v>
      </c>
      <c r="N5066" t="s">
        <v>3328</v>
      </c>
      <c r="O5066" t="s">
        <v>4184</v>
      </c>
      <c r="P5066" t="s">
        <v>14237</v>
      </c>
      <c r="Q5066" t="s">
        <v>15201</v>
      </c>
      <c r="R5066" t="s">
        <v>15202</v>
      </c>
    </row>
    <row r="5067" spans="1:18" x14ac:dyDescent="0.2">
      <c r="A5067">
        <v>36841</v>
      </c>
      <c r="B5067" t="s">
        <v>15203</v>
      </c>
      <c r="C5067">
        <v>1</v>
      </c>
      <c r="D5067">
        <v>2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 t="s">
        <v>3284</v>
      </c>
      <c r="M5067" t="s">
        <v>3327</v>
      </c>
      <c r="N5067" t="s">
        <v>3328</v>
      </c>
      <c r="O5067" t="s">
        <v>4184</v>
      </c>
      <c r="P5067" t="s">
        <v>4185</v>
      </c>
      <c r="Q5067" t="s">
        <v>9617</v>
      </c>
      <c r="R5067" t="s">
        <v>15204</v>
      </c>
    </row>
    <row r="5068" spans="1:18" x14ac:dyDescent="0.2">
      <c r="A5068">
        <v>36839</v>
      </c>
      <c r="B5068" t="s">
        <v>15205</v>
      </c>
      <c r="C5068">
        <v>5</v>
      </c>
      <c r="D5068">
        <v>2</v>
      </c>
      <c r="E5068">
        <v>3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 t="s">
        <v>3284</v>
      </c>
      <c r="M5068" t="s">
        <v>3327</v>
      </c>
      <c r="N5068" t="s">
        <v>3328</v>
      </c>
      <c r="O5068" t="s">
        <v>3329</v>
      </c>
      <c r="P5068" t="s">
        <v>3330</v>
      </c>
      <c r="Q5068" t="s">
        <v>3331</v>
      </c>
      <c r="R5068" t="s">
        <v>15206</v>
      </c>
    </row>
    <row r="5069" spans="1:18" x14ac:dyDescent="0.2">
      <c r="A5069">
        <v>36835</v>
      </c>
      <c r="B5069" t="s">
        <v>15207</v>
      </c>
      <c r="C5069">
        <v>0</v>
      </c>
      <c r="D5069">
        <v>1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 t="s">
        <v>3284</v>
      </c>
      <c r="M5069" t="s">
        <v>3327</v>
      </c>
      <c r="N5069" t="s">
        <v>3328</v>
      </c>
      <c r="O5069" t="s">
        <v>4017</v>
      </c>
      <c r="P5069" t="s">
        <v>4018</v>
      </c>
      <c r="Q5069" t="s">
        <v>15208</v>
      </c>
      <c r="R5069" t="s">
        <v>15209</v>
      </c>
    </row>
    <row r="5070" spans="1:18" x14ac:dyDescent="0.2">
      <c r="A5070">
        <v>36834</v>
      </c>
      <c r="B5070" t="s">
        <v>15210</v>
      </c>
      <c r="C5070">
        <v>9</v>
      </c>
      <c r="D5070">
        <v>7</v>
      </c>
      <c r="E5070">
        <v>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 t="s">
        <v>3284</v>
      </c>
      <c r="M5070" t="s">
        <v>3327</v>
      </c>
      <c r="N5070" t="s">
        <v>3328</v>
      </c>
      <c r="O5070" t="s">
        <v>3329</v>
      </c>
      <c r="P5070" t="s">
        <v>3330</v>
      </c>
      <c r="Q5070" t="s">
        <v>3331</v>
      </c>
      <c r="R5070" t="s">
        <v>15211</v>
      </c>
    </row>
    <row r="5071" spans="1:18" x14ac:dyDescent="0.2">
      <c r="A5071">
        <v>36814</v>
      </c>
      <c r="B5071" t="s">
        <v>15212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1</v>
      </c>
      <c r="K5071">
        <v>0</v>
      </c>
      <c r="L5071" t="s">
        <v>3284</v>
      </c>
      <c r="M5071" t="s">
        <v>3307</v>
      </c>
      <c r="N5071" t="s">
        <v>3308</v>
      </c>
      <c r="O5071" t="s">
        <v>3635</v>
      </c>
      <c r="P5071" t="s">
        <v>4011</v>
      </c>
      <c r="Q5071" t="s">
        <v>4471</v>
      </c>
      <c r="R5071" t="s">
        <v>15213</v>
      </c>
    </row>
    <row r="5072" spans="1:18" x14ac:dyDescent="0.2">
      <c r="A5072">
        <v>36809</v>
      </c>
      <c r="B5072" t="s">
        <v>15214</v>
      </c>
      <c r="C5072">
        <v>0</v>
      </c>
      <c r="D5072">
        <v>0</v>
      </c>
      <c r="E5072">
        <v>0</v>
      </c>
      <c r="F5072">
        <v>2</v>
      </c>
      <c r="G5072">
        <v>0</v>
      </c>
      <c r="H5072">
        <v>0</v>
      </c>
      <c r="I5072">
        <v>1</v>
      </c>
      <c r="J5072">
        <v>0</v>
      </c>
      <c r="K5072">
        <v>0</v>
      </c>
      <c r="L5072" t="s">
        <v>3284</v>
      </c>
      <c r="M5072" t="s">
        <v>3307</v>
      </c>
      <c r="N5072" t="s">
        <v>3308</v>
      </c>
      <c r="O5072" t="s">
        <v>3635</v>
      </c>
      <c r="P5072" t="s">
        <v>4011</v>
      </c>
      <c r="Q5072" t="s">
        <v>15215</v>
      </c>
      <c r="R5072" t="s">
        <v>15216</v>
      </c>
    </row>
    <row r="5073" spans="1:18" x14ac:dyDescent="0.2">
      <c r="A5073">
        <v>36805</v>
      </c>
      <c r="B5073" t="s">
        <v>15217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2</v>
      </c>
      <c r="J5073">
        <v>0</v>
      </c>
      <c r="K5073">
        <v>0</v>
      </c>
      <c r="L5073" t="s">
        <v>3284</v>
      </c>
      <c r="M5073" t="s">
        <v>3307</v>
      </c>
      <c r="N5073" t="s">
        <v>3308</v>
      </c>
      <c r="O5073" t="s">
        <v>3359</v>
      </c>
      <c r="P5073" t="s">
        <v>3360</v>
      </c>
      <c r="Q5073" t="s">
        <v>3361</v>
      </c>
      <c r="R5073" t="s">
        <v>15218</v>
      </c>
    </row>
    <row r="5074" spans="1:18" x14ac:dyDescent="0.2">
      <c r="A5074">
        <v>36746</v>
      </c>
      <c r="B5074" t="s">
        <v>15219</v>
      </c>
      <c r="C5074">
        <v>0</v>
      </c>
      <c r="D5074">
        <v>0</v>
      </c>
      <c r="E5074">
        <v>0</v>
      </c>
      <c r="F5074">
        <v>0</v>
      </c>
      <c r="G5074">
        <v>1</v>
      </c>
      <c r="H5074">
        <v>0</v>
      </c>
      <c r="I5074">
        <v>0</v>
      </c>
      <c r="J5074">
        <v>0</v>
      </c>
      <c r="K5074">
        <v>0</v>
      </c>
      <c r="L5074" t="s">
        <v>3284</v>
      </c>
      <c r="M5074" t="s">
        <v>3296</v>
      </c>
      <c r="N5074" t="s">
        <v>3297</v>
      </c>
      <c r="O5074" t="s">
        <v>3434</v>
      </c>
      <c r="P5074" t="s">
        <v>3435</v>
      </c>
      <c r="Q5074" t="s">
        <v>3436</v>
      </c>
      <c r="R5074" t="s">
        <v>15220</v>
      </c>
    </row>
    <row r="5075" spans="1:18" x14ac:dyDescent="0.2">
      <c r="A5075">
        <v>36745</v>
      </c>
      <c r="B5075" t="s">
        <v>15221</v>
      </c>
      <c r="C5075">
        <v>1</v>
      </c>
      <c r="D5075">
        <v>3</v>
      </c>
      <c r="E5075">
        <v>1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 t="s">
        <v>3284</v>
      </c>
      <c r="M5075" t="s">
        <v>3327</v>
      </c>
      <c r="N5075" t="s">
        <v>3328</v>
      </c>
      <c r="O5075" t="s">
        <v>3329</v>
      </c>
      <c r="P5075" t="s">
        <v>3330</v>
      </c>
      <c r="Q5075" t="s">
        <v>3331</v>
      </c>
      <c r="R5075" t="s">
        <v>15222</v>
      </c>
    </row>
    <row r="5076" spans="1:18" x14ac:dyDescent="0.2">
      <c r="A5076">
        <v>35830</v>
      </c>
      <c r="B5076" t="s">
        <v>15223</v>
      </c>
      <c r="C5076">
        <v>1</v>
      </c>
      <c r="D5076">
        <v>1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 t="s">
        <v>3284</v>
      </c>
      <c r="M5076" t="s">
        <v>3327</v>
      </c>
      <c r="N5076" t="s">
        <v>3328</v>
      </c>
      <c r="O5076" t="s">
        <v>3329</v>
      </c>
      <c r="P5076" t="s">
        <v>4620</v>
      </c>
      <c r="Q5076" t="s">
        <v>8537</v>
      </c>
      <c r="R5076" t="s">
        <v>15224</v>
      </c>
    </row>
    <row r="5077" spans="1:18" x14ac:dyDescent="0.2">
      <c r="A5077">
        <v>35825</v>
      </c>
      <c r="B5077" t="s">
        <v>15225</v>
      </c>
      <c r="C5077">
        <v>2</v>
      </c>
      <c r="D5077">
        <v>1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 t="s">
        <v>3284</v>
      </c>
      <c r="M5077" t="s">
        <v>3327</v>
      </c>
      <c r="N5077" t="s">
        <v>3328</v>
      </c>
      <c r="O5077" t="s">
        <v>3329</v>
      </c>
      <c r="P5077" t="s">
        <v>4620</v>
      </c>
      <c r="Q5077" t="s">
        <v>9592</v>
      </c>
      <c r="R5077" t="s">
        <v>15226</v>
      </c>
    </row>
    <row r="5078" spans="1:18" x14ac:dyDescent="0.2">
      <c r="A5078">
        <v>35813</v>
      </c>
      <c r="B5078" t="s">
        <v>15227</v>
      </c>
      <c r="C5078">
        <v>1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3</v>
      </c>
      <c r="J5078">
        <v>5</v>
      </c>
      <c r="K5078">
        <v>2</v>
      </c>
      <c r="L5078" t="s">
        <v>3284</v>
      </c>
      <c r="M5078" t="s">
        <v>3296</v>
      </c>
      <c r="N5078" t="s">
        <v>3343</v>
      </c>
      <c r="O5078" t="s">
        <v>3429</v>
      </c>
      <c r="P5078" t="s">
        <v>3430</v>
      </c>
      <c r="Q5078" t="s">
        <v>3431</v>
      </c>
      <c r="R5078" t="s">
        <v>15228</v>
      </c>
    </row>
    <row r="5079" spans="1:18" x14ac:dyDescent="0.2">
      <c r="A5079">
        <v>35761</v>
      </c>
      <c r="B5079" t="s">
        <v>15229</v>
      </c>
      <c r="C5079">
        <v>1</v>
      </c>
      <c r="D5079">
        <v>1</v>
      </c>
      <c r="E5079">
        <v>0</v>
      </c>
      <c r="F5079">
        <v>23</v>
      </c>
      <c r="G5079">
        <v>12</v>
      </c>
      <c r="H5079">
        <v>2</v>
      </c>
      <c r="I5079">
        <v>2</v>
      </c>
      <c r="J5079">
        <v>3</v>
      </c>
      <c r="K5079">
        <v>0</v>
      </c>
      <c r="L5079" t="s">
        <v>3284</v>
      </c>
      <c r="M5079" t="s">
        <v>3307</v>
      </c>
      <c r="N5079" t="s">
        <v>3308</v>
      </c>
      <c r="O5079" t="s">
        <v>3309</v>
      </c>
      <c r="P5079" t="s">
        <v>3310</v>
      </c>
      <c r="Q5079" t="s">
        <v>3311</v>
      </c>
      <c r="R5079" t="s">
        <v>15230</v>
      </c>
    </row>
    <row r="5080" spans="1:18" x14ac:dyDescent="0.2">
      <c r="A5080">
        <v>35703</v>
      </c>
      <c r="B5080" t="s">
        <v>15231</v>
      </c>
      <c r="C5080">
        <v>0</v>
      </c>
      <c r="D5080">
        <v>0</v>
      </c>
      <c r="E5080">
        <v>4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 t="s">
        <v>3284</v>
      </c>
      <c r="M5080" t="s">
        <v>3296</v>
      </c>
      <c r="N5080" t="s">
        <v>3297</v>
      </c>
      <c r="O5080" t="s">
        <v>3298</v>
      </c>
      <c r="P5080" t="s">
        <v>3826</v>
      </c>
      <c r="Q5080" t="s">
        <v>3927</v>
      </c>
      <c r="R5080" t="s">
        <v>15232</v>
      </c>
    </row>
    <row r="5081" spans="1:18" x14ac:dyDescent="0.2">
      <c r="A5081">
        <v>35700</v>
      </c>
      <c r="B5081" t="s">
        <v>15233</v>
      </c>
      <c r="C5081">
        <v>0</v>
      </c>
      <c r="D5081">
        <v>1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 t="s">
        <v>3284</v>
      </c>
      <c r="M5081" t="s">
        <v>3327</v>
      </c>
      <c r="N5081" t="s">
        <v>3328</v>
      </c>
      <c r="O5081" t="s">
        <v>3329</v>
      </c>
      <c r="P5081" t="s">
        <v>12847</v>
      </c>
      <c r="Q5081" t="s">
        <v>15234</v>
      </c>
      <c r="R5081" t="s">
        <v>15235</v>
      </c>
    </row>
    <row r="5082" spans="1:18" x14ac:dyDescent="0.2">
      <c r="A5082">
        <v>34103</v>
      </c>
      <c r="B5082" t="s">
        <v>15236</v>
      </c>
      <c r="C5082">
        <v>2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 t="s">
        <v>3284</v>
      </c>
      <c r="M5082" t="s">
        <v>3296</v>
      </c>
      <c r="N5082" t="s">
        <v>3321</v>
      </c>
      <c r="O5082" t="s">
        <v>3322</v>
      </c>
      <c r="P5082" t="s">
        <v>3671</v>
      </c>
      <c r="Q5082" t="s">
        <v>5824</v>
      </c>
      <c r="R5082" t="s">
        <v>15237</v>
      </c>
    </row>
    <row r="5083" spans="1:18" x14ac:dyDescent="0.2">
      <c r="A5083">
        <v>34086</v>
      </c>
      <c r="B5083" t="s">
        <v>15238</v>
      </c>
      <c r="C5083">
        <v>0</v>
      </c>
      <c r="D5083">
        <v>0</v>
      </c>
      <c r="E5083">
        <v>0</v>
      </c>
      <c r="F5083">
        <v>2</v>
      </c>
      <c r="G5083">
        <v>2</v>
      </c>
      <c r="H5083">
        <v>0</v>
      </c>
      <c r="I5083">
        <v>0</v>
      </c>
      <c r="J5083">
        <v>0</v>
      </c>
      <c r="K5083">
        <v>0</v>
      </c>
      <c r="L5083" t="s">
        <v>3284</v>
      </c>
      <c r="M5083" t="s">
        <v>3391</v>
      </c>
      <c r="N5083" t="s">
        <v>3392</v>
      </c>
      <c r="O5083" t="s">
        <v>3393</v>
      </c>
      <c r="P5083" t="s">
        <v>3394</v>
      </c>
      <c r="Q5083" t="s">
        <v>3395</v>
      </c>
      <c r="R5083" t="s">
        <v>15239</v>
      </c>
    </row>
    <row r="5084" spans="1:18" x14ac:dyDescent="0.2">
      <c r="A5084">
        <v>34078</v>
      </c>
      <c r="B5084" t="s">
        <v>15240</v>
      </c>
      <c r="C5084">
        <v>0</v>
      </c>
      <c r="D5084">
        <v>1</v>
      </c>
      <c r="E5084">
        <v>4</v>
      </c>
      <c r="F5084">
        <v>0</v>
      </c>
      <c r="G5084">
        <v>1</v>
      </c>
      <c r="H5084">
        <v>0</v>
      </c>
      <c r="I5084">
        <v>0</v>
      </c>
      <c r="J5084">
        <v>1</v>
      </c>
      <c r="K5084">
        <v>3</v>
      </c>
      <c r="L5084" t="s">
        <v>3284</v>
      </c>
      <c r="M5084" t="s">
        <v>4022</v>
      </c>
      <c r="N5084" t="s">
        <v>4023</v>
      </c>
      <c r="O5084" t="s">
        <v>4289</v>
      </c>
      <c r="P5084" t="s">
        <v>4290</v>
      </c>
      <c r="Q5084" t="s">
        <v>4291</v>
      </c>
      <c r="R5084" t="s">
        <v>15241</v>
      </c>
    </row>
    <row r="5085" spans="1:18" x14ac:dyDescent="0.2">
      <c r="A5085">
        <v>34073</v>
      </c>
      <c r="B5085" t="s">
        <v>15242</v>
      </c>
      <c r="C5085">
        <v>0</v>
      </c>
      <c r="D5085">
        <v>1</v>
      </c>
      <c r="E5085">
        <v>0</v>
      </c>
      <c r="F5085">
        <v>25</v>
      </c>
      <c r="G5085">
        <v>21</v>
      </c>
      <c r="H5085">
        <v>1</v>
      </c>
      <c r="I5085">
        <v>0</v>
      </c>
      <c r="J5085">
        <v>0</v>
      </c>
      <c r="K5085">
        <v>0</v>
      </c>
      <c r="L5085" t="s">
        <v>3284</v>
      </c>
      <c r="M5085" t="s">
        <v>3296</v>
      </c>
      <c r="N5085" t="s">
        <v>3321</v>
      </c>
      <c r="O5085" t="s">
        <v>3322</v>
      </c>
      <c r="P5085" t="s">
        <v>3398</v>
      </c>
      <c r="Q5085" t="s">
        <v>3399</v>
      </c>
      <c r="R5085" t="s">
        <v>15243</v>
      </c>
    </row>
    <row r="5086" spans="1:18" x14ac:dyDescent="0.2">
      <c r="A5086">
        <v>34032</v>
      </c>
      <c r="B5086" t="s">
        <v>15244</v>
      </c>
      <c r="C5086">
        <v>1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 t="s">
        <v>3284</v>
      </c>
      <c r="M5086" t="s">
        <v>6718</v>
      </c>
      <c r="N5086" t="s">
        <v>6916</v>
      </c>
      <c r="O5086" t="s">
        <v>6917</v>
      </c>
      <c r="P5086" t="s">
        <v>6918</v>
      </c>
      <c r="Q5086" t="s">
        <v>15245</v>
      </c>
      <c r="R5086" t="s">
        <v>15246</v>
      </c>
    </row>
    <row r="5087" spans="1:18" x14ac:dyDescent="0.2">
      <c r="A5087">
        <v>34028</v>
      </c>
      <c r="B5087" t="s">
        <v>15247</v>
      </c>
      <c r="C5087">
        <v>3</v>
      </c>
      <c r="D5087">
        <v>3</v>
      </c>
      <c r="E5087">
        <v>2</v>
      </c>
      <c r="F5087">
        <v>0</v>
      </c>
      <c r="G5087">
        <v>3</v>
      </c>
      <c r="H5087">
        <v>0</v>
      </c>
      <c r="I5087">
        <v>1</v>
      </c>
      <c r="J5087">
        <v>1</v>
      </c>
      <c r="K5087">
        <v>0</v>
      </c>
      <c r="L5087" t="s">
        <v>3284</v>
      </c>
      <c r="M5087" t="s">
        <v>3296</v>
      </c>
      <c r="N5087" t="s">
        <v>3321</v>
      </c>
      <c r="O5087" t="s">
        <v>3322</v>
      </c>
      <c r="P5087" t="s">
        <v>3398</v>
      </c>
      <c r="Q5087" t="s">
        <v>3806</v>
      </c>
      <c r="R5087" t="s">
        <v>15248</v>
      </c>
    </row>
    <row r="5088" spans="1:18" x14ac:dyDescent="0.2">
      <c r="A5088">
        <v>34015</v>
      </c>
      <c r="B5088" t="s">
        <v>15249</v>
      </c>
      <c r="C5088">
        <v>3</v>
      </c>
      <c r="D5088">
        <v>3</v>
      </c>
      <c r="E5088">
        <v>0</v>
      </c>
      <c r="F5088">
        <v>0</v>
      </c>
      <c r="G5088">
        <v>0</v>
      </c>
      <c r="H5088">
        <v>0</v>
      </c>
      <c r="I5088">
        <v>1</v>
      </c>
      <c r="J5088">
        <v>0</v>
      </c>
      <c r="K5088">
        <v>0</v>
      </c>
      <c r="L5088" t="s">
        <v>3284</v>
      </c>
      <c r="M5088" t="s">
        <v>3296</v>
      </c>
      <c r="N5088" t="s">
        <v>3343</v>
      </c>
      <c r="O5088" t="s">
        <v>3349</v>
      </c>
      <c r="P5088" t="s">
        <v>3350</v>
      </c>
      <c r="Q5088" t="s">
        <v>11136</v>
      </c>
      <c r="R5088" t="s">
        <v>15250</v>
      </c>
    </row>
    <row r="5089" spans="1:18" x14ac:dyDescent="0.2">
      <c r="A5089">
        <v>34014</v>
      </c>
      <c r="B5089" t="s">
        <v>15251</v>
      </c>
      <c r="C5089">
        <v>0</v>
      </c>
      <c r="D5089">
        <v>0</v>
      </c>
      <c r="E5089">
        <v>0</v>
      </c>
      <c r="F5089">
        <v>1</v>
      </c>
      <c r="G5089">
        <v>0</v>
      </c>
      <c r="H5089">
        <v>0</v>
      </c>
      <c r="I5089">
        <v>1</v>
      </c>
      <c r="J5089">
        <v>0</v>
      </c>
      <c r="K5089">
        <v>0</v>
      </c>
      <c r="L5089" t="s">
        <v>3284</v>
      </c>
      <c r="M5089" t="s">
        <v>3296</v>
      </c>
      <c r="N5089" t="s">
        <v>3343</v>
      </c>
      <c r="O5089" t="s">
        <v>3344</v>
      </c>
      <c r="P5089" t="s">
        <v>3355</v>
      </c>
      <c r="Q5089" t="s">
        <v>5273</v>
      </c>
      <c r="R5089" t="s">
        <v>15252</v>
      </c>
    </row>
    <row r="5090" spans="1:18" x14ac:dyDescent="0.2">
      <c r="A5090">
        <v>34013</v>
      </c>
      <c r="B5090" t="s">
        <v>15253</v>
      </c>
      <c r="C5090">
        <v>1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 t="s">
        <v>3284</v>
      </c>
      <c r="M5090" t="s">
        <v>3296</v>
      </c>
      <c r="N5090" t="s">
        <v>3343</v>
      </c>
      <c r="O5090" t="s">
        <v>3344</v>
      </c>
      <c r="P5090" t="s">
        <v>3355</v>
      </c>
      <c r="Q5090" t="s">
        <v>10442</v>
      </c>
      <c r="R5090" t="s">
        <v>15254</v>
      </c>
    </row>
    <row r="5091" spans="1:18" x14ac:dyDescent="0.2">
      <c r="A5091">
        <v>33996</v>
      </c>
      <c r="B5091" t="s">
        <v>15255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1</v>
      </c>
      <c r="K5091">
        <v>0</v>
      </c>
      <c r="L5091" t="s">
        <v>3284</v>
      </c>
      <c r="M5091" t="s">
        <v>3296</v>
      </c>
      <c r="N5091" t="s">
        <v>3343</v>
      </c>
      <c r="O5091" t="s">
        <v>3429</v>
      </c>
      <c r="P5091" t="s">
        <v>4336</v>
      </c>
      <c r="Q5091" t="s">
        <v>15256</v>
      </c>
      <c r="R5091" t="s">
        <v>15257</v>
      </c>
    </row>
    <row r="5092" spans="1:18" x14ac:dyDescent="0.2">
      <c r="A5092">
        <v>33987</v>
      </c>
      <c r="B5092" t="s">
        <v>15258</v>
      </c>
      <c r="C5092">
        <v>1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 t="s">
        <v>3284</v>
      </c>
      <c r="M5092" t="s">
        <v>3327</v>
      </c>
      <c r="N5092" t="s">
        <v>3376</v>
      </c>
      <c r="O5092" t="s">
        <v>3377</v>
      </c>
      <c r="P5092" t="s">
        <v>3271</v>
      </c>
      <c r="Q5092" t="s">
        <v>3648</v>
      </c>
      <c r="R5092" t="s">
        <v>15259</v>
      </c>
    </row>
    <row r="5093" spans="1:18" x14ac:dyDescent="0.2">
      <c r="A5093">
        <v>33954</v>
      </c>
      <c r="B5093" t="s">
        <v>15260</v>
      </c>
      <c r="C5093">
        <v>13</v>
      </c>
      <c r="D5093">
        <v>9</v>
      </c>
      <c r="E5093">
        <v>4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 t="s">
        <v>3284</v>
      </c>
      <c r="M5093" t="s">
        <v>3327</v>
      </c>
      <c r="N5093" t="s">
        <v>3328</v>
      </c>
      <c r="O5093" t="s">
        <v>3329</v>
      </c>
      <c r="P5093" t="s">
        <v>3330</v>
      </c>
      <c r="Q5093" t="s">
        <v>3331</v>
      </c>
      <c r="R5093" t="s">
        <v>15261</v>
      </c>
    </row>
    <row r="5094" spans="1:18" x14ac:dyDescent="0.2">
      <c r="A5094">
        <v>33918</v>
      </c>
      <c r="B5094" t="s">
        <v>15262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4</v>
      </c>
      <c r="J5094">
        <v>0</v>
      </c>
      <c r="K5094">
        <v>4</v>
      </c>
      <c r="L5094" t="s">
        <v>3284</v>
      </c>
      <c r="M5094" t="s">
        <v>3307</v>
      </c>
      <c r="N5094" t="s">
        <v>3308</v>
      </c>
      <c r="O5094" t="s">
        <v>3359</v>
      </c>
      <c r="P5094" t="s">
        <v>3360</v>
      </c>
      <c r="Q5094" t="s">
        <v>3361</v>
      </c>
      <c r="R5094" t="s">
        <v>15263</v>
      </c>
    </row>
    <row r="5095" spans="1:18" x14ac:dyDescent="0.2">
      <c r="A5095">
        <v>33885</v>
      </c>
      <c r="B5095" t="s">
        <v>15264</v>
      </c>
      <c r="C5095">
        <v>3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 t="s">
        <v>3284</v>
      </c>
      <c r="M5095" t="s">
        <v>3307</v>
      </c>
      <c r="N5095" t="s">
        <v>3308</v>
      </c>
      <c r="O5095" t="s">
        <v>3359</v>
      </c>
      <c r="P5095" t="s">
        <v>3360</v>
      </c>
      <c r="Q5095" t="s">
        <v>3361</v>
      </c>
      <c r="R5095" t="s">
        <v>15265</v>
      </c>
    </row>
    <row r="5096" spans="1:18" x14ac:dyDescent="0.2">
      <c r="A5096">
        <v>33878</v>
      </c>
      <c r="B5096" t="s">
        <v>15266</v>
      </c>
      <c r="C5096">
        <v>1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 t="s">
        <v>3284</v>
      </c>
      <c r="M5096" t="s">
        <v>3307</v>
      </c>
      <c r="N5096" t="s">
        <v>3308</v>
      </c>
      <c r="O5096" t="s">
        <v>3359</v>
      </c>
      <c r="P5096" t="s">
        <v>3360</v>
      </c>
      <c r="Q5096" t="s">
        <v>3364</v>
      </c>
      <c r="R5096" t="s">
        <v>15267</v>
      </c>
    </row>
    <row r="5097" spans="1:18" x14ac:dyDescent="0.2">
      <c r="A5097">
        <v>33876</v>
      </c>
      <c r="B5097" t="s">
        <v>15268</v>
      </c>
      <c r="C5097">
        <v>0</v>
      </c>
      <c r="D5097">
        <v>0</v>
      </c>
      <c r="E5097">
        <v>0</v>
      </c>
      <c r="F5097">
        <v>1</v>
      </c>
      <c r="G5097">
        <v>0</v>
      </c>
      <c r="H5097">
        <v>0</v>
      </c>
      <c r="I5097">
        <v>0</v>
      </c>
      <c r="J5097">
        <v>0</v>
      </c>
      <c r="K5097">
        <v>0</v>
      </c>
      <c r="L5097" t="s">
        <v>3284</v>
      </c>
      <c r="M5097" t="s">
        <v>3307</v>
      </c>
      <c r="N5097" t="s">
        <v>3308</v>
      </c>
      <c r="O5097" t="s">
        <v>3494</v>
      </c>
      <c r="P5097" t="s">
        <v>3495</v>
      </c>
      <c r="Q5097" t="s">
        <v>15269</v>
      </c>
      <c r="R5097" t="s">
        <v>15270</v>
      </c>
    </row>
    <row r="5098" spans="1:18" x14ac:dyDescent="0.2">
      <c r="A5098">
        <v>33069</v>
      </c>
      <c r="B5098" t="s">
        <v>15271</v>
      </c>
      <c r="C5098">
        <v>0</v>
      </c>
      <c r="D5098">
        <v>0</v>
      </c>
      <c r="E5098">
        <v>1</v>
      </c>
      <c r="F5098">
        <v>3</v>
      </c>
      <c r="G5098">
        <v>0</v>
      </c>
      <c r="H5098">
        <v>2</v>
      </c>
      <c r="I5098">
        <v>0</v>
      </c>
      <c r="J5098">
        <v>0</v>
      </c>
      <c r="K5098">
        <v>0</v>
      </c>
      <c r="L5098" t="s">
        <v>3284</v>
      </c>
      <c r="M5098" t="s">
        <v>3296</v>
      </c>
      <c r="N5098" t="s">
        <v>3297</v>
      </c>
      <c r="O5098" t="s">
        <v>3434</v>
      </c>
      <c r="P5098" t="s">
        <v>3435</v>
      </c>
      <c r="Q5098" t="s">
        <v>3436</v>
      </c>
      <c r="R5098" t="s">
        <v>15272</v>
      </c>
    </row>
    <row r="5099" spans="1:18" x14ac:dyDescent="0.2">
      <c r="A5099">
        <v>33038</v>
      </c>
      <c r="B5099" t="s">
        <v>15273</v>
      </c>
      <c r="C5099">
        <v>0</v>
      </c>
      <c r="D5099">
        <v>0</v>
      </c>
      <c r="E5099">
        <v>1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 t="s">
        <v>3284</v>
      </c>
      <c r="M5099" t="s">
        <v>3327</v>
      </c>
      <c r="N5099" t="s">
        <v>3328</v>
      </c>
      <c r="O5099" t="s">
        <v>4017</v>
      </c>
      <c r="P5099" t="s">
        <v>4018</v>
      </c>
      <c r="Q5099" t="s">
        <v>15274</v>
      </c>
      <c r="R5099" t="s">
        <v>15275</v>
      </c>
    </row>
    <row r="5100" spans="1:18" x14ac:dyDescent="0.2">
      <c r="A5100">
        <v>32056</v>
      </c>
      <c r="B5100" t="s">
        <v>15276</v>
      </c>
      <c r="C5100">
        <v>0</v>
      </c>
      <c r="D5100">
        <v>1</v>
      </c>
      <c r="E5100">
        <v>0</v>
      </c>
      <c r="F5100">
        <v>2</v>
      </c>
      <c r="G5100">
        <v>3</v>
      </c>
      <c r="H5100">
        <v>0</v>
      </c>
      <c r="I5100">
        <v>6</v>
      </c>
      <c r="J5100">
        <v>0</v>
      </c>
      <c r="K5100">
        <v>0</v>
      </c>
      <c r="L5100" t="s">
        <v>3284</v>
      </c>
      <c r="M5100" t="s">
        <v>4022</v>
      </c>
      <c r="N5100" t="s">
        <v>4023</v>
      </c>
      <c r="O5100" t="s">
        <v>4289</v>
      </c>
      <c r="P5100" t="s">
        <v>4371</v>
      </c>
      <c r="Q5100" t="s">
        <v>15277</v>
      </c>
      <c r="R5100" t="s">
        <v>15278</v>
      </c>
    </row>
    <row r="5101" spans="1:18" x14ac:dyDescent="0.2">
      <c r="A5101">
        <v>32046</v>
      </c>
      <c r="B5101" t="s">
        <v>15279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1</v>
      </c>
      <c r="J5101">
        <v>0</v>
      </c>
      <c r="K5101">
        <v>0</v>
      </c>
      <c r="L5101" t="s">
        <v>3284</v>
      </c>
      <c r="M5101" t="s">
        <v>4022</v>
      </c>
      <c r="N5101" t="s">
        <v>4023</v>
      </c>
      <c r="O5101" t="s">
        <v>4050</v>
      </c>
      <c r="P5101" t="s">
        <v>13220</v>
      </c>
      <c r="Q5101" t="s">
        <v>13221</v>
      </c>
      <c r="R5101" t="s">
        <v>15280</v>
      </c>
    </row>
    <row r="5102" spans="1:18" x14ac:dyDescent="0.2">
      <c r="A5102">
        <v>32013</v>
      </c>
      <c r="B5102" t="s">
        <v>15281</v>
      </c>
      <c r="C5102">
        <v>4</v>
      </c>
      <c r="D5102">
        <v>0</v>
      </c>
      <c r="E5102">
        <v>2</v>
      </c>
      <c r="F5102">
        <v>0</v>
      </c>
      <c r="G5102">
        <v>0</v>
      </c>
      <c r="H5102">
        <v>0</v>
      </c>
      <c r="I5102">
        <v>7</v>
      </c>
      <c r="J5102">
        <v>4</v>
      </c>
      <c r="K5102">
        <v>3</v>
      </c>
      <c r="L5102" t="s">
        <v>3284</v>
      </c>
      <c r="M5102" t="s">
        <v>3296</v>
      </c>
      <c r="N5102" t="s">
        <v>3321</v>
      </c>
      <c r="O5102" t="s">
        <v>3322</v>
      </c>
      <c r="P5102" t="s">
        <v>3398</v>
      </c>
      <c r="Q5102" t="s">
        <v>3806</v>
      </c>
      <c r="R5102" t="s">
        <v>15282</v>
      </c>
    </row>
    <row r="5103" spans="1:18" x14ac:dyDescent="0.2">
      <c r="A5103">
        <v>29562</v>
      </c>
      <c r="B5103" t="s">
        <v>15283</v>
      </c>
      <c r="C5103">
        <v>2</v>
      </c>
      <c r="D5103">
        <v>1</v>
      </c>
      <c r="E5103">
        <v>26</v>
      </c>
      <c r="F5103">
        <v>0</v>
      </c>
      <c r="G5103">
        <v>1</v>
      </c>
      <c r="H5103">
        <v>15</v>
      </c>
      <c r="I5103">
        <v>0</v>
      </c>
      <c r="J5103">
        <v>1</v>
      </c>
      <c r="K5103">
        <v>13</v>
      </c>
      <c r="L5103" t="s">
        <v>3284</v>
      </c>
      <c r="M5103" t="s">
        <v>13039</v>
      </c>
      <c r="N5103" t="s">
        <v>3271</v>
      </c>
      <c r="O5103" t="s">
        <v>15126</v>
      </c>
      <c r="P5103" t="s">
        <v>15284</v>
      </c>
      <c r="Q5103" t="s">
        <v>15285</v>
      </c>
      <c r="R5103" t="s">
        <v>15286</v>
      </c>
    </row>
    <row r="5104" spans="1:18" x14ac:dyDescent="0.2">
      <c r="A5104">
        <v>29552</v>
      </c>
      <c r="B5104" t="s">
        <v>15287</v>
      </c>
      <c r="C5104">
        <v>0</v>
      </c>
      <c r="D5104">
        <v>1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 t="s">
        <v>3284</v>
      </c>
      <c r="M5104" t="s">
        <v>13039</v>
      </c>
      <c r="N5104" t="s">
        <v>13040</v>
      </c>
      <c r="O5104" t="s">
        <v>15288</v>
      </c>
      <c r="P5104" t="s">
        <v>15289</v>
      </c>
      <c r="Q5104" t="s">
        <v>15290</v>
      </c>
      <c r="R5104" t="s">
        <v>15291</v>
      </c>
    </row>
    <row r="5105" spans="1:18" x14ac:dyDescent="0.2">
      <c r="A5105">
        <v>29541</v>
      </c>
      <c r="B5105" t="s">
        <v>15292</v>
      </c>
      <c r="C5105">
        <v>1</v>
      </c>
      <c r="D5105">
        <v>0</v>
      </c>
      <c r="E5105">
        <v>0</v>
      </c>
      <c r="F5105">
        <v>2</v>
      </c>
      <c r="G5105">
        <v>0</v>
      </c>
      <c r="H5105">
        <v>0</v>
      </c>
      <c r="I5105">
        <v>0</v>
      </c>
      <c r="J5105">
        <v>0</v>
      </c>
      <c r="K5105">
        <v>0</v>
      </c>
      <c r="L5105" t="s">
        <v>3284</v>
      </c>
      <c r="M5105" t="s">
        <v>3296</v>
      </c>
      <c r="N5105" t="s">
        <v>3321</v>
      </c>
      <c r="O5105" t="s">
        <v>5469</v>
      </c>
      <c r="P5105" t="s">
        <v>6828</v>
      </c>
      <c r="Q5105" t="s">
        <v>6829</v>
      </c>
      <c r="R5105" t="s">
        <v>15293</v>
      </c>
    </row>
    <row r="5106" spans="1:18" x14ac:dyDescent="0.2">
      <c r="A5106">
        <v>29536</v>
      </c>
      <c r="B5106" t="s">
        <v>15294</v>
      </c>
      <c r="C5106">
        <v>0</v>
      </c>
      <c r="D5106">
        <v>1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 t="s">
        <v>3284</v>
      </c>
      <c r="M5106" t="s">
        <v>3391</v>
      </c>
      <c r="N5106" t="s">
        <v>3411</v>
      </c>
      <c r="O5106" t="s">
        <v>3412</v>
      </c>
      <c r="P5106" t="s">
        <v>3413</v>
      </c>
      <c r="Q5106" t="s">
        <v>3414</v>
      </c>
      <c r="R5106" t="s">
        <v>15295</v>
      </c>
    </row>
    <row r="5107" spans="1:18" x14ac:dyDescent="0.2">
      <c r="A5107">
        <v>29534</v>
      </c>
      <c r="B5107" t="s">
        <v>15296</v>
      </c>
      <c r="C5107">
        <v>0</v>
      </c>
      <c r="D5107">
        <v>0</v>
      </c>
      <c r="E5107">
        <v>0</v>
      </c>
      <c r="F5107">
        <v>1</v>
      </c>
      <c r="G5107">
        <v>1</v>
      </c>
      <c r="H5107">
        <v>0</v>
      </c>
      <c r="I5107">
        <v>0</v>
      </c>
      <c r="J5107">
        <v>0</v>
      </c>
      <c r="K5107">
        <v>0</v>
      </c>
      <c r="L5107" t="s">
        <v>3284</v>
      </c>
      <c r="M5107" t="s">
        <v>3391</v>
      </c>
      <c r="N5107" t="s">
        <v>3411</v>
      </c>
      <c r="O5107" t="s">
        <v>3412</v>
      </c>
      <c r="P5107" t="s">
        <v>3413</v>
      </c>
      <c r="Q5107" t="s">
        <v>3414</v>
      </c>
      <c r="R5107" t="s">
        <v>15297</v>
      </c>
    </row>
    <row r="5108" spans="1:18" x14ac:dyDescent="0.2">
      <c r="A5108">
        <v>29533</v>
      </c>
      <c r="B5108" t="s">
        <v>15298</v>
      </c>
      <c r="C5108">
        <v>0</v>
      </c>
      <c r="D5108">
        <v>0</v>
      </c>
      <c r="E5108">
        <v>0</v>
      </c>
      <c r="F5108">
        <v>1</v>
      </c>
      <c r="G5108">
        <v>0</v>
      </c>
      <c r="H5108">
        <v>0</v>
      </c>
      <c r="I5108">
        <v>0</v>
      </c>
      <c r="J5108">
        <v>0</v>
      </c>
      <c r="K5108">
        <v>0</v>
      </c>
      <c r="L5108" t="s">
        <v>3284</v>
      </c>
      <c r="M5108" t="s">
        <v>3391</v>
      </c>
      <c r="N5108" t="s">
        <v>3411</v>
      </c>
      <c r="O5108" t="s">
        <v>3412</v>
      </c>
      <c r="P5108" t="s">
        <v>3413</v>
      </c>
      <c r="Q5108" t="s">
        <v>3414</v>
      </c>
      <c r="R5108" t="s">
        <v>15299</v>
      </c>
    </row>
    <row r="5109" spans="1:18" x14ac:dyDescent="0.2">
      <c r="A5109">
        <v>29498</v>
      </c>
      <c r="B5109" t="s">
        <v>15300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1</v>
      </c>
      <c r="L5109" t="s">
        <v>3284</v>
      </c>
      <c r="M5109" t="s">
        <v>3296</v>
      </c>
      <c r="N5109" t="s">
        <v>3297</v>
      </c>
      <c r="O5109" t="s">
        <v>8851</v>
      </c>
      <c r="P5109" t="s">
        <v>8852</v>
      </c>
      <c r="Q5109" t="s">
        <v>10605</v>
      </c>
      <c r="R5109" t="s">
        <v>15301</v>
      </c>
    </row>
    <row r="5110" spans="1:18" x14ac:dyDescent="0.2">
      <c r="A5110">
        <v>29489</v>
      </c>
      <c r="B5110" t="s">
        <v>15302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2</v>
      </c>
      <c r="J5110">
        <v>1</v>
      </c>
      <c r="K5110">
        <v>1</v>
      </c>
      <c r="L5110" t="s">
        <v>3284</v>
      </c>
      <c r="M5110" t="s">
        <v>3296</v>
      </c>
      <c r="N5110" t="s">
        <v>3297</v>
      </c>
      <c r="O5110" t="s">
        <v>4112</v>
      </c>
      <c r="P5110" t="s">
        <v>4113</v>
      </c>
      <c r="Q5110" t="s">
        <v>4114</v>
      </c>
      <c r="R5110" t="s">
        <v>15303</v>
      </c>
    </row>
    <row r="5111" spans="1:18" x14ac:dyDescent="0.2">
      <c r="A5111">
        <v>29486</v>
      </c>
      <c r="B5111" t="s">
        <v>15304</v>
      </c>
      <c r="C5111">
        <v>2</v>
      </c>
      <c r="D5111">
        <v>1</v>
      </c>
      <c r="E5111">
        <v>5</v>
      </c>
      <c r="F5111">
        <v>0</v>
      </c>
      <c r="G5111">
        <v>1</v>
      </c>
      <c r="H5111">
        <v>0</v>
      </c>
      <c r="I5111">
        <v>0</v>
      </c>
      <c r="J5111">
        <v>1</v>
      </c>
      <c r="K5111">
        <v>7</v>
      </c>
      <c r="L5111" t="s">
        <v>3284</v>
      </c>
      <c r="M5111" t="s">
        <v>3296</v>
      </c>
      <c r="N5111" t="s">
        <v>3297</v>
      </c>
      <c r="O5111" t="s">
        <v>3298</v>
      </c>
      <c r="P5111" t="s">
        <v>3299</v>
      </c>
      <c r="Q5111" t="s">
        <v>4689</v>
      </c>
      <c r="R5111" t="s">
        <v>15305</v>
      </c>
    </row>
    <row r="5112" spans="1:18" x14ac:dyDescent="0.2">
      <c r="A5112">
        <v>29484</v>
      </c>
      <c r="B5112" t="s">
        <v>15306</v>
      </c>
      <c r="C5112">
        <v>0</v>
      </c>
      <c r="D5112">
        <v>1</v>
      </c>
      <c r="E5112">
        <v>0</v>
      </c>
      <c r="F5112">
        <v>0</v>
      </c>
      <c r="G5112">
        <v>0</v>
      </c>
      <c r="H5112">
        <v>0</v>
      </c>
      <c r="I5112">
        <v>1</v>
      </c>
      <c r="J5112">
        <v>0</v>
      </c>
      <c r="K5112">
        <v>0</v>
      </c>
      <c r="L5112" t="s">
        <v>3284</v>
      </c>
      <c r="M5112" t="s">
        <v>3296</v>
      </c>
      <c r="N5112" t="s">
        <v>3297</v>
      </c>
      <c r="O5112" t="s">
        <v>3298</v>
      </c>
      <c r="P5112" t="s">
        <v>3299</v>
      </c>
      <c r="Q5112" t="s">
        <v>4689</v>
      </c>
      <c r="R5112" t="s">
        <v>15307</v>
      </c>
    </row>
    <row r="5113" spans="1:18" x14ac:dyDescent="0.2">
      <c r="A5113">
        <v>29483</v>
      </c>
      <c r="B5113" t="s">
        <v>15308</v>
      </c>
      <c r="C5113">
        <v>0</v>
      </c>
      <c r="D5113">
        <v>1</v>
      </c>
      <c r="E5113">
        <v>1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 t="s">
        <v>3284</v>
      </c>
      <c r="M5113" t="s">
        <v>3296</v>
      </c>
      <c r="N5113" t="s">
        <v>3297</v>
      </c>
      <c r="O5113" t="s">
        <v>3298</v>
      </c>
      <c r="P5113" t="s">
        <v>3299</v>
      </c>
      <c r="Q5113" t="s">
        <v>4689</v>
      </c>
      <c r="R5113" t="s">
        <v>15309</v>
      </c>
    </row>
    <row r="5114" spans="1:18" x14ac:dyDescent="0.2">
      <c r="A5114">
        <v>29471</v>
      </c>
      <c r="B5114" t="s">
        <v>15310</v>
      </c>
      <c r="C5114">
        <v>1</v>
      </c>
      <c r="D5114">
        <v>1</v>
      </c>
      <c r="E5114">
        <v>15</v>
      </c>
      <c r="F5114">
        <v>0</v>
      </c>
      <c r="G5114">
        <v>0</v>
      </c>
      <c r="H5114">
        <v>2</v>
      </c>
      <c r="I5114">
        <v>0</v>
      </c>
      <c r="J5114">
        <v>2</v>
      </c>
      <c r="K5114">
        <v>6</v>
      </c>
      <c r="L5114" t="s">
        <v>3284</v>
      </c>
      <c r="M5114" t="s">
        <v>3296</v>
      </c>
      <c r="N5114" t="s">
        <v>3297</v>
      </c>
      <c r="O5114" t="s">
        <v>3298</v>
      </c>
      <c r="P5114" t="s">
        <v>6582</v>
      </c>
      <c r="Q5114" t="s">
        <v>8856</v>
      </c>
      <c r="R5114" t="s">
        <v>15311</v>
      </c>
    </row>
    <row r="5115" spans="1:18" x14ac:dyDescent="0.2">
      <c r="A5115">
        <v>29466</v>
      </c>
      <c r="B5115" t="s">
        <v>15312</v>
      </c>
      <c r="C5115">
        <v>0</v>
      </c>
      <c r="D5115">
        <v>0</v>
      </c>
      <c r="E5115">
        <v>1</v>
      </c>
      <c r="F5115">
        <v>2</v>
      </c>
      <c r="G5115">
        <v>0</v>
      </c>
      <c r="H5115">
        <v>0</v>
      </c>
      <c r="I5115">
        <v>0</v>
      </c>
      <c r="J5115">
        <v>1</v>
      </c>
      <c r="K5115">
        <v>5</v>
      </c>
      <c r="L5115" t="s">
        <v>3284</v>
      </c>
      <c r="M5115" t="s">
        <v>3327</v>
      </c>
      <c r="N5115" t="s">
        <v>3753</v>
      </c>
      <c r="O5115" t="s">
        <v>9676</v>
      </c>
      <c r="P5115" t="s">
        <v>9677</v>
      </c>
      <c r="Q5115" t="s">
        <v>15313</v>
      </c>
      <c r="R5115" t="s">
        <v>15314</v>
      </c>
    </row>
    <row r="5116" spans="1:18" x14ac:dyDescent="0.2">
      <c r="A5116">
        <v>29448</v>
      </c>
      <c r="B5116" t="s">
        <v>15315</v>
      </c>
      <c r="C5116">
        <v>0</v>
      </c>
      <c r="D5116">
        <v>0</v>
      </c>
      <c r="E5116">
        <v>0</v>
      </c>
      <c r="F5116">
        <v>1</v>
      </c>
      <c r="G5116">
        <v>0</v>
      </c>
      <c r="H5116">
        <v>0</v>
      </c>
      <c r="I5116">
        <v>0</v>
      </c>
      <c r="J5116">
        <v>0</v>
      </c>
      <c r="K5116">
        <v>1</v>
      </c>
      <c r="L5116" t="s">
        <v>3284</v>
      </c>
      <c r="M5116" t="s">
        <v>3296</v>
      </c>
      <c r="N5116" t="s">
        <v>3343</v>
      </c>
      <c r="O5116" t="s">
        <v>3344</v>
      </c>
      <c r="P5116" t="s">
        <v>3937</v>
      </c>
      <c r="Q5116" t="s">
        <v>3938</v>
      </c>
      <c r="R5116" t="s">
        <v>15316</v>
      </c>
    </row>
    <row r="5117" spans="1:18" x14ac:dyDescent="0.2">
      <c r="A5117">
        <v>29446</v>
      </c>
      <c r="B5117" t="s">
        <v>15317</v>
      </c>
      <c r="C5117">
        <v>0</v>
      </c>
      <c r="D5117">
        <v>0</v>
      </c>
      <c r="E5117">
        <v>0</v>
      </c>
      <c r="F5117">
        <v>1</v>
      </c>
      <c r="G5117">
        <v>0</v>
      </c>
      <c r="H5117">
        <v>0</v>
      </c>
      <c r="I5117">
        <v>0</v>
      </c>
      <c r="J5117">
        <v>0</v>
      </c>
      <c r="K5117">
        <v>0</v>
      </c>
      <c r="L5117" t="s">
        <v>3284</v>
      </c>
      <c r="M5117" t="s">
        <v>3296</v>
      </c>
      <c r="N5117" t="s">
        <v>3297</v>
      </c>
      <c r="O5117" t="s">
        <v>3469</v>
      </c>
      <c r="P5117" t="s">
        <v>3470</v>
      </c>
      <c r="Q5117" t="s">
        <v>5246</v>
      </c>
      <c r="R5117" t="s">
        <v>15318</v>
      </c>
    </row>
    <row r="5118" spans="1:18" x14ac:dyDescent="0.2">
      <c r="A5118">
        <v>29442</v>
      </c>
      <c r="B5118" t="s">
        <v>15319</v>
      </c>
      <c r="C5118">
        <v>0</v>
      </c>
      <c r="D5118">
        <v>0</v>
      </c>
      <c r="E5118">
        <v>0</v>
      </c>
      <c r="F5118">
        <v>0</v>
      </c>
      <c r="G5118">
        <v>1</v>
      </c>
      <c r="H5118">
        <v>0</v>
      </c>
      <c r="I5118">
        <v>0</v>
      </c>
      <c r="J5118">
        <v>0</v>
      </c>
      <c r="K5118">
        <v>0</v>
      </c>
      <c r="L5118" t="s">
        <v>3284</v>
      </c>
      <c r="M5118" t="s">
        <v>3296</v>
      </c>
      <c r="N5118" t="s">
        <v>3297</v>
      </c>
      <c r="O5118" t="s">
        <v>3434</v>
      </c>
      <c r="P5118" t="s">
        <v>3435</v>
      </c>
      <c r="Q5118" t="s">
        <v>3436</v>
      </c>
      <c r="R5118" t="s">
        <v>15320</v>
      </c>
    </row>
    <row r="5119" spans="1:18" x14ac:dyDescent="0.2">
      <c r="A5119">
        <v>29423</v>
      </c>
      <c r="B5119" t="s">
        <v>15321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1</v>
      </c>
      <c r="K5119">
        <v>0</v>
      </c>
      <c r="L5119" t="s">
        <v>3284</v>
      </c>
      <c r="M5119" t="s">
        <v>3296</v>
      </c>
      <c r="N5119" t="s">
        <v>3297</v>
      </c>
      <c r="O5119" t="s">
        <v>15322</v>
      </c>
      <c r="P5119" t="s">
        <v>15323</v>
      </c>
      <c r="Q5119" t="s">
        <v>15324</v>
      </c>
      <c r="R5119" t="s">
        <v>15325</v>
      </c>
    </row>
    <row r="5120" spans="1:18" x14ac:dyDescent="0.2">
      <c r="A5120">
        <v>29409</v>
      </c>
      <c r="B5120" t="s">
        <v>15326</v>
      </c>
      <c r="C5120">
        <v>0</v>
      </c>
      <c r="D5120">
        <v>0</v>
      </c>
      <c r="E5120">
        <v>0</v>
      </c>
      <c r="F5120">
        <v>1</v>
      </c>
      <c r="G5120">
        <v>0</v>
      </c>
      <c r="H5120">
        <v>0</v>
      </c>
      <c r="I5120">
        <v>0</v>
      </c>
      <c r="J5120">
        <v>0</v>
      </c>
      <c r="K5120">
        <v>0</v>
      </c>
      <c r="L5120" t="s">
        <v>3284</v>
      </c>
      <c r="M5120" t="s">
        <v>3296</v>
      </c>
      <c r="N5120" t="s">
        <v>3343</v>
      </c>
      <c r="O5120" t="s">
        <v>3344</v>
      </c>
      <c r="P5120" t="s">
        <v>3837</v>
      </c>
      <c r="Q5120" t="s">
        <v>3838</v>
      </c>
      <c r="R5120" t="s">
        <v>15327</v>
      </c>
    </row>
    <row r="5121" spans="1:18" x14ac:dyDescent="0.2">
      <c r="A5121">
        <v>29408</v>
      </c>
      <c r="B5121" t="s">
        <v>15328</v>
      </c>
      <c r="C5121">
        <v>0</v>
      </c>
      <c r="D5121">
        <v>0</v>
      </c>
      <c r="E5121">
        <v>0</v>
      </c>
      <c r="F5121">
        <v>0</v>
      </c>
      <c r="G5121">
        <v>1</v>
      </c>
      <c r="H5121">
        <v>0</v>
      </c>
      <c r="I5121">
        <v>0</v>
      </c>
      <c r="J5121">
        <v>0</v>
      </c>
      <c r="K5121">
        <v>0</v>
      </c>
      <c r="L5121" t="s">
        <v>3284</v>
      </c>
      <c r="M5121" t="s">
        <v>3296</v>
      </c>
      <c r="N5121" t="s">
        <v>3343</v>
      </c>
      <c r="O5121" t="s">
        <v>3344</v>
      </c>
      <c r="P5121" t="s">
        <v>3837</v>
      </c>
      <c r="Q5121" t="s">
        <v>3838</v>
      </c>
      <c r="R5121" t="s">
        <v>15329</v>
      </c>
    </row>
    <row r="5122" spans="1:18" x14ac:dyDescent="0.2">
      <c r="A5122">
        <v>29405</v>
      </c>
      <c r="B5122" t="s">
        <v>15330</v>
      </c>
      <c r="C5122">
        <v>1</v>
      </c>
      <c r="D5122">
        <v>1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 t="s">
        <v>3284</v>
      </c>
      <c r="M5122" t="s">
        <v>3307</v>
      </c>
      <c r="N5122" t="s">
        <v>3308</v>
      </c>
      <c r="O5122" t="s">
        <v>3309</v>
      </c>
      <c r="P5122" t="s">
        <v>6036</v>
      </c>
      <c r="Q5122" t="s">
        <v>7956</v>
      </c>
      <c r="R5122" t="s">
        <v>15331</v>
      </c>
    </row>
    <row r="5123" spans="1:18" x14ac:dyDescent="0.2">
      <c r="A5123">
        <v>29385</v>
      </c>
      <c r="B5123" t="s">
        <v>15332</v>
      </c>
      <c r="C5123">
        <v>3</v>
      </c>
      <c r="D5123">
        <v>1</v>
      </c>
      <c r="E5123">
        <v>3</v>
      </c>
      <c r="F5123">
        <v>0</v>
      </c>
      <c r="G5123">
        <v>0</v>
      </c>
      <c r="H5123">
        <v>0</v>
      </c>
      <c r="I5123">
        <v>7</v>
      </c>
      <c r="J5123">
        <v>4</v>
      </c>
      <c r="K5123">
        <v>7</v>
      </c>
      <c r="L5123" t="s">
        <v>3284</v>
      </c>
      <c r="M5123" t="s">
        <v>3327</v>
      </c>
      <c r="N5123" t="s">
        <v>3376</v>
      </c>
      <c r="O5123" t="s">
        <v>3377</v>
      </c>
      <c r="P5123" t="s">
        <v>4681</v>
      </c>
      <c r="Q5123" t="s">
        <v>4682</v>
      </c>
      <c r="R5123" t="s">
        <v>15333</v>
      </c>
    </row>
    <row r="5124" spans="1:18" x14ac:dyDescent="0.2">
      <c r="A5124">
        <v>29372</v>
      </c>
      <c r="B5124" t="s">
        <v>15334</v>
      </c>
      <c r="C5124">
        <v>2</v>
      </c>
      <c r="D5124">
        <v>1</v>
      </c>
      <c r="E5124">
        <v>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 t="s">
        <v>3284</v>
      </c>
      <c r="M5124" t="s">
        <v>3327</v>
      </c>
      <c r="N5124" t="s">
        <v>3328</v>
      </c>
      <c r="O5124" t="s">
        <v>3329</v>
      </c>
      <c r="P5124" t="s">
        <v>3330</v>
      </c>
      <c r="Q5124" t="s">
        <v>3331</v>
      </c>
      <c r="R5124" t="s">
        <v>15335</v>
      </c>
    </row>
    <row r="5125" spans="1:18" x14ac:dyDescent="0.2">
      <c r="A5125">
        <v>29369</v>
      </c>
      <c r="B5125" t="s">
        <v>15336</v>
      </c>
      <c r="C5125">
        <v>1</v>
      </c>
      <c r="D5125">
        <v>6</v>
      </c>
      <c r="E5125">
        <v>6</v>
      </c>
      <c r="F5125">
        <v>1</v>
      </c>
      <c r="G5125">
        <v>0</v>
      </c>
      <c r="H5125">
        <v>0</v>
      </c>
      <c r="I5125">
        <v>0</v>
      </c>
      <c r="J5125">
        <v>1</v>
      </c>
      <c r="K5125">
        <v>0</v>
      </c>
      <c r="L5125" t="s">
        <v>3284</v>
      </c>
      <c r="M5125" t="s">
        <v>3327</v>
      </c>
      <c r="N5125" t="s">
        <v>3328</v>
      </c>
      <c r="O5125" t="s">
        <v>3329</v>
      </c>
      <c r="P5125" t="s">
        <v>3330</v>
      </c>
      <c r="Q5125" t="s">
        <v>3331</v>
      </c>
      <c r="R5125" t="s">
        <v>15337</v>
      </c>
    </row>
    <row r="5126" spans="1:18" x14ac:dyDescent="0.2">
      <c r="A5126">
        <v>29367</v>
      </c>
      <c r="B5126" t="s">
        <v>15338</v>
      </c>
      <c r="C5126">
        <v>5</v>
      </c>
      <c r="D5126">
        <v>3</v>
      </c>
      <c r="E5126">
        <v>5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 t="s">
        <v>3284</v>
      </c>
      <c r="M5126" t="s">
        <v>3327</v>
      </c>
      <c r="N5126" t="s">
        <v>3328</v>
      </c>
      <c r="O5126" t="s">
        <v>3329</v>
      </c>
      <c r="P5126" t="s">
        <v>3330</v>
      </c>
      <c r="Q5126" t="s">
        <v>3331</v>
      </c>
      <c r="R5126" t="s">
        <v>15339</v>
      </c>
    </row>
    <row r="5127" spans="1:18" x14ac:dyDescent="0.2">
      <c r="A5127">
        <v>29365</v>
      </c>
      <c r="B5127" t="s">
        <v>15340</v>
      </c>
      <c r="C5127">
        <v>3</v>
      </c>
      <c r="D5127">
        <v>2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 t="s">
        <v>3284</v>
      </c>
      <c r="M5127" t="s">
        <v>3327</v>
      </c>
      <c r="N5127" t="s">
        <v>3328</v>
      </c>
      <c r="O5127" t="s">
        <v>3329</v>
      </c>
      <c r="P5127" t="s">
        <v>3330</v>
      </c>
      <c r="Q5127" t="s">
        <v>9629</v>
      </c>
      <c r="R5127" t="s">
        <v>15341</v>
      </c>
    </row>
    <row r="5128" spans="1:18" x14ac:dyDescent="0.2">
      <c r="A5128">
        <v>29363</v>
      </c>
      <c r="B5128" t="s">
        <v>15342</v>
      </c>
      <c r="C5128">
        <v>2</v>
      </c>
      <c r="D5128">
        <v>2</v>
      </c>
      <c r="E5128">
        <v>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 t="s">
        <v>3284</v>
      </c>
      <c r="M5128" t="s">
        <v>3327</v>
      </c>
      <c r="N5128" t="s">
        <v>3328</v>
      </c>
      <c r="O5128" t="s">
        <v>3329</v>
      </c>
      <c r="P5128" t="s">
        <v>3330</v>
      </c>
      <c r="Q5128" t="s">
        <v>3331</v>
      </c>
      <c r="R5128" t="s">
        <v>15343</v>
      </c>
    </row>
    <row r="5129" spans="1:18" x14ac:dyDescent="0.2">
      <c r="A5129">
        <v>29362</v>
      </c>
      <c r="B5129" t="s">
        <v>15344</v>
      </c>
      <c r="C5129">
        <v>5</v>
      </c>
      <c r="D5129">
        <v>2</v>
      </c>
      <c r="E5129">
        <v>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 t="s">
        <v>3284</v>
      </c>
      <c r="M5129" t="s">
        <v>3327</v>
      </c>
      <c r="N5129" t="s">
        <v>3328</v>
      </c>
      <c r="O5129" t="s">
        <v>3329</v>
      </c>
      <c r="P5129" t="s">
        <v>4620</v>
      </c>
      <c r="Q5129" t="s">
        <v>8515</v>
      </c>
      <c r="R5129" t="s">
        <v>15345</v>
      </c>
    </row>
    <row r="5130" spans="1:18" x14ac:dyDescent="0.2">
      <c r="A5130">
        <v>29360</v>
      </c>
      <c r="B5130" t="s">
        <v>15346</v>
      </c>
      <c r="C5130">
        <v>1</v>
      </c>
      <c r="D5130">
        <v>2</v>
      </c>
      <c r="E5130">
        <v>1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 t="s">
        <v>3284</v>
      </c>
      <c r="M5130" t="s">
        <v>3327</v>
      </c>
      <c r="N5130" t="s">
        <v>3328</v>
      </c>
      <c r="O5130" t="s">
        <v>4017</v>
      </c>
      <c r="P5130" t="s">
        <v>10021</v>
      </c>
      <c r="Q5130" t="s">
        <v>10022</v>
      </c>
      <c r="R5130" t="s">
        <v>15347</v>
      </c>
    </row>
    <row r="5131" spans="1:18" x14ac:dyDescent="0.2">
      <c r="A5131">
        <v>29358</v>
      </c>
      <c r="B5131" t="s">
        <v>15348</v>
      </c>
      <c r="C5131">
        <v>4</v>
      </c>
      <c r="D5131">
        <v>2</v>
      </c>
      <c r="E5131">
        <v>1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 t="s">
        <v>3284</v>
      </c>
      <c r="M5131" t="s">
        <v>3327</v>
      </c>
      <c r="N5131" t="s">
        <v>3328</v>
      </c>
      <c r="O5131" t="s">
        <v>4184</v>
      </c>
      <c r="P5131" t="s">
        <v>4185</v>
      </c>
      <c r="Q5131" t="s">
        <v>15349</v>
      </c>
      <c r="R5131" t="s">
        <v>15350</v>
      </c>
    </row>
    <row r="5132" spans="1:18" x14ac:dyDescent="0.2">
      <c r="A5132">
        <v>29357</v>
      </c>
      <c r="B5132" t="s">
        <v>15351</v>
      </c>
      <c r="C5132">
        <v>9</v>
      </c>
      <c r="D5132">
        <v>7</v>
      </c>
      <c r="E5132">
        <v>11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 t="s">
        <v>3284</v>
      </c>
      <c r="M5132" t="s">
        <v>3327</v>
      </c>
      <c r="N5132" t="s">
        <v>3328</v>
      </c>
      <c r="O5132" t="s">
        <v>3329</v>
      </c>
      <c r="P5132" t="s">
        <v>3330</v>
      </c>
      <c r="Q5132" t="s">
        <v>3331</v>
      </c>
      <c r="R5132" t="s">
        <v>15352</v>
      </c>
    </row>
    <row r="5133" spans="1:18" x14ac:dyDescent="0.2">
      <c r="A5133">
        <v>29355</v>
      </c>
      <c r="B5133" t="s">
        <v>15353</v>
      </c>
      <c r="C5133">
        <v>0</v>
      </c>
      <c r="D5133">
        <v>1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 t="s">
        <v>3284</v>
      </c>
      <c r="M5133" t="s">
        <v>3327</v>
      </c>
      <c r="N5133" t="s">
        <v>3328</v>
      </c>
      <c r="O5133" t="s">
        <v>3329</v>
      </c>
      <c r="P5133" t="s">
        <v>4620</v>
      </c>
      <c r="Q5133" t="s">
        <v>8515</v>
      </c>
      <c r="R5133" t="s">
        <v>15354</v>
      </c>
    </row>
    <row r="5134" spans="1:18" x14ac:dyDescent="0.2">
      <c r="A5134">
        <v>29349</v>
      </c>
      <c r="B5134" t="s">
        <v>15355</v>
      </c>
      <c r="C5134">
        <v>0</v>
      </c>
      <c r="D5134">
        <v>1</v>
      </c>
      <c r="E5134">
        <v>1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 t="s">
        <v>3284</v>
      </c>
      <c r="M5134" t="s">
        <v>3327</v>
      </c>
      <c r="N5134" t="s">
        <v>3328</v>
      </c>
      <c r="O5134" t="s">
        <v>4184</v>
      </c>
      <c r="P5134" t="s">
        <v>15356</v>
      </c>
      <c r="Q5134" t="s">
        <v>15357</v>
      </c>
      <c r="R5134" t="s">
        <v>15358</v>
      </c>
    </row>
    <row r="5135" spans="1:18" x14ac:dyDescent="0.2">
      <c r="A5135">
        <v>29346</v>
      </c>
      <c r="B5135" t="s">
        <v>15359</v>
      </c>
      <c r="C5135">
        <v>1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 t="s">
        <v>3284</v>
      </c>
      <c r="M5135" t="s">
        <v>3327</v>
      </c>
      <c r="N5135" t="s">
        <v>3328</v>
      </c>
      <c r="O5135" t="s">
        <v>4184</v>
      </c>
      <c r="P5135" t="s">
        <v>15356</v>
      </c>
      <c r="Q5135" t="s">
        <v>15357</v>
      </c>
      <c r="R5135" t="s">
        <v>15360</v>
      </c>
    </row>
    <row r="5136" spans="1:18" x14ac:dyDescent="0.2">
      <c r="A5136">
        <v>29344</v>
      </c>
      <c r="B5136" t="s">
        <v>15361</v>
      </c>
      <c r="C5136">
        <v>1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 t="s">
        <v>3284</v>
      </c>
      <c r="M5136" t="s">
        <v>3327</v>
      </c>
      <c r="N5136" t="s">
        <v>3328</v>
      </c>
      <c r="O5136" t="s">
        <v>3329</v>
      </c>
      <c r="P5136" t="s">
        <v>3330</v>
      </c>
      <c r="Q5136" t="s">
        <v>10181</v>
      </c>
      <c r="R5136" t="s">
        <v>15362</v>
      </c>
    </row>
    <row r="5137" spans="1:18" x14ac:dyDescent="0.2">
      <c r="A5137">
        <v>29341</v>
      </c>
      <c r="B5137" t="s">
        <v>15363</v>
      </c>
      <c r="C5137">
        <v>15</v>
      </c>
      <c r="D5137">
        <v>11</v>
      </c>
      <c r="E5137">
        <v>13</v>
      </c>
      <c r="F5137">
        <v>1</v>
      </c>
      <c r="G5137">
        <v>0</v>
      </c>
      <c r="H5137">
        <v>0</v>
      </c>
      <c r="I5137">
        <v>1</v>
      </c>
      <c r="J5137">
        <v>0</v>
      </c>
      <c r="K5137">
        <v>0</v>
      </c>
      <c r="L5137" t="s">
        <v>3284</v>
      </c>
      <c r="M5137" t="s">
        <v>3327</v>
      </c>
      <c r="N5137" t="s">
        <v>3328</v>
      </c>
      <c r="O5137" t="s">
        <v>3329</v>
      </c>
      <c r="P5137" t="s">
        <v>3330</v>
      </c>
      <c r="Q5137" t="s">
        <v>3331</v>
      </c>
      <c r="R5137" t="s">
        <v>15364</v>
      </c>
    </row>
    <row r="5138" spans="1:18" x14ac:dyDescent="0.2">
      <c r="A5138">
        <v>29311</v>
      </c>
      <c r="B5138" t="s">
        <v>15365</v>
      </c>
      <c r="C5138">
        <v>0</v>
      </c>
      <c r="D5138">
        <v>0</v>
      </c>
      <c r="E5138">
        <v>0</v>
      </c>
      <c r="F5138">
        <v>1</v>
      </c>
      <c r="G5138">
        <v>0</v>
      </c>
      <c r="H5138">
        <v>0</v>
      </c>
      <c r="I5138">
        <v>0</v>
      </c>
      <c r="J5138">
        <v>0</v>
      </c>
      <c r="K5138">
        <v>0</v>
      </c>
      <c r="L5138" t="s">
        <v>3284</v>
      </c>
      <c r="M5138" t="s">
        <v>3307</v>
      </c>
      <c r="N5138" t="s">
        <v>3308</v>
      </c>
      <c r="O5138" t="s">
        <v>3635</v>
      </c>
      <c r="P5138" t="s">
        <v>4011</v>
      </c>
      <c r="Q5138" t="s">
        <v>4012</v>
      </c>
      <c r="R5138" t="s">
        <v>15366</v>
      </c>
    </row>
    <row r="5139" spans="1:18" x14ac:dyDescent="0.2">
      <c r="A5139">
        <v>28901</v>
      </c>
      <c r="B5139" t="s">
        <v>15367</v>
      </c>
      <c r="C5139">
        <v>1</v>
      </c>
      <c r="D5139">
        <v>2</v>
      </c>
      <c r="E5139">
        <v>3</v>
      </c>
      <c r="F5139">
        <v>1</v>
      </c>
      <c r="G5139">
        <v>0</v>
      </c>
      <c r="H5139">
        <v>0</v>
      </c>
      <c r="I5139">
        <v>0</v>
      </c>
      <c r="J5139">
        <v>0</v>
      </c>
      <c r="K5139">
        <v>1</v>
      </c>
      <c r="L5139" t="s">
        <v>3284</v>
      </c>
      <c r="M5139" t="s">
        <v>3296</v>
      </c>
      <c r="N5139" t="s">
        <v>3297</v>
      </c>
      <c r="O5139" t="s">
        <v>3298</v>
      </c>
      <c r="P5139" t="s">
        <v>3826</v>
      </c>
      <c r="Q5139" t="s">
        <v>3866</v>
      </c>
      <c r="R5139" t="s">
        <v>15368</v>
      </c>
    </row>
    <row r="5140" spans="1:18" x14ac:dyDescent="0.2">
      <c r="A5140">
        <v>28450</v>
      </c>
      <c r="B5140" t="s">
        <v>15369</v>
      </c>
      <c r="C5140">
        <v>0</v>
      </c>
      <c r="D5140">
        <v>0</v>
      </c>
      <c r="E5140">
        <v>2</v>
      </c>
      <c r="F5140">
        <v>5</v>
      </c>
      <c r="G5140">
        <v>1</v>
      </c>
      <c r="H5140">
        <v>0</v>
      </c>
      <c r="I5140">
        <v>2</v>
      </c>
      <c r="J5140">
        <v>1</v>
      </c>
      <c r="K5140">
        <v>0</v>
      </c>
      <c r="L5140" t="s">
        <v>3284</v>
      </c>
      <c r="M5140" t="s">
        <v>3296</v>
      </c>
      <c r="N5140" t="s">
        <v>3321</v>
      </c>
      <c r="O5140" t="s">
        <v>3322</v>
      </c>
      <c r="P5140" t="s">
        <v>3423</v>
      </c>
      <c r="Q5140" t="s">
        <v>4170</v>
      </c>
      <c r="R5140" t="s">
        <v>15370</v>
      </c>
    </row>
    <row r="5141" spans="1:18" x14ac:dyDescent="0.2">
      <c r="A5141">
        <v>28214</v>
      </c>
      <c r="B5141" t="s">
        <v>15371</v>
      </c>
      <c r="C5141">
        <v>6</v>
      </c>
      <c r="D5141">
        <v>6</v>
      </c>
      <c r="E5141">
        <v>1</v>
      </c>
      <c r="F5141">
        <v>3</v>
      </c>
      <c r="G5141">
        <v>0</v>
      </c>
      <c r="H5141">
        <v>0</v>
      </c>
      <c r="I5141">
        <v>0</v>
      </c>
      <c r="J5141">
        <v>1</v>
      </c>
      <c r="K5141">
        <v>0</v>
      </c>
      <c r="L5141" t="s">
        <v>3284</v>
      </c>
      <c r="M5141" t="s">
        <v>3296</v>
      </c>
      <c r="N5141" t="s">
        <v>3343</v>
      </c>
      <c r="O5141" t="s">
        <v>3349</v>
      </c>
      <c r="P5141" t="s">
        <v>3350</v>
      </c>
      <c r="Q5141" t="s">
        <v>3580</v>
      </c>
      <c r="R5141" t="s">
        <v>15372</v>
      </c>
    </row>
    <row r="5142" spans="1:18" x14ac:dyDescent="0.2">
      <c r="A5142">
        <v>28210</v>
      </c>
      <c r="B5142" t="s">
        <v>15373</v>
      </c>
      <c r="C5142">
        <v>1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1</v>
      </c>
      <c r="L5142" t="s">
        <v>3284</v>
      </c>
      <c r="M5142" t="s">
        <v>3296</v>
      </c>
      <c r="N5142" t="s">
        <v>3343</v>
      </c>
      <c r="O5142" t="s">
        <v>3344</v>
      </c>
      <c r="P5142" t="s">
        <v>11305</v>
      </c>
      <c r="Q5142" t="s">
        <v>11306</v>
      </c>
      <c r="R5142" t="s">
        <v>15374</v>
      </c>
    </row>
    <row r="5143" spans="1:18" x14ac:dyDescent="0.2">
      <c r="A5143">
        <v>28202</v>
      </c>
      <c r="B5143" t="s">
        <v>15375</v>
      </c>
      <c r="C5143">
        <v>1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1</v>
      </c>
      <c r="J5143">
        <v>1</v>
      </c>
      <c r="K5143">
        <v>0</v>
      </c>
      <c r="L5143" t="s">
        <v>3284</v>
      </c>
      <c r="M5143" t="s">
        <v>3285</v>
      </c>
      <c r="N5143" t="s">
        <v>3314</v>
      </c>
      <c r="O5143" t="s">
        <v>3315</v>
      </c>
      <c r="P5143" t="s">
        <v>3316</v>
      </c>
      <c r="Q5143" t="s">
        <v>3317</v>
      </c>
      <c r="R5143" t="s">
        <v>15376</v>
      </c>
    </row>
    <row r="5144" spans="1:18" x14ac:dyDescent="0.2">
      <c r="A5144">
        <v>28201</v>
      </c>
      <c r="B5144" t="s">
        <v>15377</v>
      </c>
      <c r="C5144">
        <v>0</v>
      </c>
      <c r="D5144">
        <v>1</v>
      </c>
      <c r="E5144">
        <v>0</v>
      </c>
      <c r="F5144">
        <v>7</v>
      </c>
      <c r="G5144">
        <v>1</v>
      </c>
      <c r="H5144">
        <v>0</v>
      </c>
      <c r="I5144">
        <v>34</v>
      </c>
      <c r="J5144">
        <v>16</v>
      </c>
      <c r="K5144">
        <v>1</v>
      </c>
      <c r="L5144" t="s">
        <v>3284</v>
      </c>
      <c r="M5144" t="s">
        <v>3285</v>
      </c>
      <c r="N5144" t="s">
        <v>3286</v>
      </c>
      <c r="O5144" t="s">
        <v>3287</v>
      </c>
      <c r="P5144" t="s">
        <v>3288</v>
      </c>
      <c r="Q5144" t="s">
        <v>3289</v>
      </c>
      <c r="R5144" t="s">
        <v>15378</v>
      </c>
    </row>
    <row r="5145" spans="1:18" x14ac:dyDescent="0.2">
      <c r="A5145">
        <v>28183</v>
      </c>
      <c r="B5145" t="s">
        <v>15379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1</v>
      </c>
      <c r="K5145">
        <v>0</v>
      </c>
      <c r="L5145" t="s">
        <v>3284</v>
      </c>
      <c r="M5145" t="s">
        <v>6546</v>
      </c>
      <c r="N5145" t="s">
        <v>6547</v>
      </c>
      <c r="O5145" t="s">
        <v>13879</v>
      </c>
      <c r="P5145" t="s">
        <v>13880</v>
      </c>
      <c r="Q5145" t="s">
        <v>13881</v>
      </c>
      <c r="R5145" t="s">
        <v>15380</v>
      </c>
    </row>
    <row r="5146" spans="1:18" x14ac:dyDescent="0.2">
      <c r="A5146">
        <v>28182</v>
      </c>
      <c r="B5146" t="s">
        <v>15381</v>
      </c>
      <c r="C5146">
        <v>0</v>
      </c>
      <c r="D5146">
        <v>1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 t="s">
        <v>3284</v>
      </c>
      <c r="M5146" t="s">
        <v>6546</v>
      </c>
      <c r="N5146" t="s">
        <v>6547</v>
      </c>
      <c r="O5146" t="s">
        <v>13879</v>
      </c>
      <c r="P5146" t="s">
        <v>13880</v>
      </c>
      <c r="Q5146" t="s">
        <v>13881</v>
      </c>
      <c r="R5146" t="s">
        <v>15382</v>
      </c>
    </row>
    <row r="5147" spans="1:18" x14ac:dyDescent="0.2">
      <c r="A5147">
        <v>28175</v>
      </c>
      <c r="B5147" t="s">
        <v>15383</v>
      </c>
      <c r="C5147">
        <v>0</v>
      </c>
      <c r="D5147">
        <v>0</v>
      </c>
      <c r="E5147">
        <v>0</v>
      </c>
      <c r="F5147">
        <v>0</v>
      </c>
      <c r="G5147">
        <v>1</v>
      </c>
      <c r="H5147">
        <v>0</v>
      </c>
      <c r="I5147">
        <v>0</v>
      </c>
      <c r="J5147">
        <v>0</v>
      </c>
      <c r="K5147">
        <v>0</v>
      </c>
      <c r="L5147" t="s">
        <v>3284</v>
      </c>
      <c r="M5147" t="s">
        <v>3296</v>
      </c>
      <c r="N5147" t="s">
        <v>3297</v>
      </c>
      <c r="O5147" t="s">
        <v>8851</v>
      </c>
      <c r="P5147" t="s">
        <v>8852</v>
      </c>
      <c r="Q5147" t="s">
        <v>10605</v>
      </c>
      <c r="R5147" t="s">
        <v>15384</v>
      </c>
    </row>
    <row r="5148" spans="1:18" x14ac:dyDescent="0.2">
      <c r="A5148">
        <v>28151</v>
      </c>
      <c r="B5148" t="s">
        <v>15385</v>
      </c>
      <c r="C5148">
        <v>1</v>
      </c>
      <c r="D5148">
        <v>0</v>
      </c>
      <c r="E5148">
        <v>1</v>
      </c>
      <c r="F5148">
        <v>0</v>
      </c>
      <c r="G5148">
        <v>0</v>
      </c>
      <c r="H5148">
        <v>0</v>
      </c>
      <c r="I5148">
        <v>0</v>
      </c>
      <c r="J5148">
        <v>1</v>
      </c>
      <c r="K5148">
        <v>0</v>
      </c>
      <c r="L5148" t="s">
        <v>3284</v>
      </c>
      <c r="M5148" t="s">
        <v>3296</v>
      </c>
      <c r="N5148" t="s">
        <v>3297</v>
      </c>
      <c r="O5148" t="s">
        <v>3298</v>
      </c>
      <c r="P5148" t="s">
        <v>3299</v>
      </c>
      <c r="Q5148" t="s">
        <v>3300</v>
      </c>
      <c r="R5148" t="s">
        <v>15386</v>
      </c>
    </row>
    <row r="5149" spans="1:18" x14ac:dyDescent="0.2">
      <c r="A5149">
        <v>28095</v>
      </c>
      <c r="B5149" t="s">
        <v>15387</v>
      </c>
      <c r="C5149">
        <v>0</v>
      </c>
      <c r="D5149">
        <v>0</v>
      </c>
      <c r="E5149">
        <v>0</v>
      </c>
      <c r="F5149">
        <v>1</v>
      </c>
      <c r="G5149">
        <v>1</v>
      </c>
      <c r="H5149">
        <v>0</v>
      </c>
      <c r="I5149">
        <v>0</v>
      </c>
      <c r="J5149">
        <v>0</v>
      </c>
      <c r="K5149">
        <v>0</v>
      </c>
      <c r="L5149" t="s">
        <v>3284</v>
      </c>
      <c r="M5149" t="s">
        <v>3296</v>
      </c>
      <c r="N5149" t="s">
        <v>3321</v>
      </c>
      <c r="O5149" t="s">
        <v>3322</v>
      </c>
      <c r="P5149" t="s">
        <v>3423</v>
      </c>
      <c r="Q5149" t="s">
        <v>4170</v>
      </c>
      <c r="R5149" t="s">
        <v>15388</v>
      </c>
    </row>
    <row r="5150" spans="1:18" x14ac:dyDescent="0.2">
      <c r="A5150">
        <v>28090</v>
      </c>
      <c r="B5150" t="s">
        <v>15389</v>
      </c>
      <c r="C5150">
        <v>1</v>
      </c>
      <c r="D5150">
        <v>1</v>
      </c>
      <c r="E5150">
        <v>7</v>
      </c>
      <c r="F5150">
        <v>1</v>
      </c>
      <c r="G5150">
        <v>1</v>
      </c>
      <c r="H5150">
        <v>0</v>
      </c>
      <c r="I5150">
        <v>6</v>
      </c>
      <c r="J5150">
        <v>5</v>
      </c>
      <c r="K5150">
        <v>13</v>
      </c>
      <c r="L5150" t="s">
        <v>3284</v>
      </c>
      <c r="M5150" t="s">
        <v>3296</v>
      </c>
      <c r="N5150" t="s">
        <v>3297</v>
      </c>
      <c r="O5150" t="s">
        <v>4037</v>
      </c>
      <c r="P5150" t="s">
        <v>4038</v>
      </c>
      <c r="Q5150" t="s">
        <v>5556</v>
      </c>
      <c r="R5150" t="s">
        <v>15390</v>
      </c>
    </row>
    <row r="5151" spans="1:18" x14ac:dyDescent="0.2">
      <c r="A5151">
        <v>28087</v>
      </c>
      <c r="B5151" t="s">
        <v>15391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1</v>
      </c>
      <c r="J5151">
        <v>0</v>
      </c>
      <c r="K5151">
        <v>0</v>
      </c>
      <c r="L5151" t="s">
        <v>3284</v>
      </c>
      <c r="M5151" t="s">
        <v>3296</v>
      </c>
      <c r="N5151" t="s">
        <v>3297</v>
      </c>
      <c r="O5151" t="s">
        <v>15322</v>
      </c>
      <c r="P5151" t="s">
        <v>15323</v>
      </c>
      <c r="Q5151" t="s">
        <v>15324</v>
      </c>
      <c r="R5151" t="s">
        <v>15392</v>
      </c>
    </row>
    <row r="5152" spans="1:18" x14ac:dyDescent="0.2">
      <c r="A5152">
        <v>28068</v>
      </c>
      <c r="B5152" t="s">
        <v>15393</v>
      </c>
      <c r="C5152">
        <v>1</v>
      </c>
      <c r="D5152">
        <v>1</v>
      </c>
      <c r="E5152">
        <v>0</v>
      </c>
      <c r="F5152">
        <v>0</v>
      </c>
      <c r="G5152">
        <v>0</v>
      </c>
      <c r="H5152">
        <v>0</v>
      </c>
      <c r="I5152">
        <v>1</v>
      </c>
      <c r="J5152">
        <v>0</v>
      </c>
      <c r="K5152">
        <v>0</v>
      </c>
      <c r="L5152" t="s">
        <v>3284</v>
      </c>
      <c r="M5152" t="s">
        <v>3296</v>
      </c>
      <c r="N5152" t="s">
        <v>3321</v>
      </c>
      <c r="O5152" t="s">
        <v>3322</v>
      </c>
      <c r="P5152" t="s">
        <v>3671</v>
      </c>
      <c r="Q5152" t="s">
        <v>6927</v>
      </c>
      <c r="R5152" t="s">
        <v>15394</v>
      </c>
    </row>
    <row r="5153" spans="1:18" x14ac:dyDescent="0.2">
      <c r="A5153">
        <v>28066</v>
      </c>
      <c r="B5153" t="s">
        <v>15395</v>
      </c>
      <c r="C5153">
        <v>0</v>
      </c>
      <c r="D5153">
        <v>2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 t="s">
        <v>3284</v>
      </c>
      <c r="M5153" t="s">
        <v>3296</v>
      </c>
      <c r="N5153" t="s">
        <v>3321</v>
      </c>
      <c r="O5153" t="s">
        <v>3322</v>
      </c>
      <c r="P5153" t="s">
        <v>3398</v>
      </c>
      <c r="Q5153" t="s">
        <v>3788</v>
      </c>
      <c r="R5153" t="s">
        <v>15396</v>
      </c>
    </row>
    <row r="5154" spans="1:18" x14ac:dyDescent="0.2">
      <c r="A5154">
        <v>28047</v>
      </c>
      <c r="B5154" t="s">
        <v>15397</v>
      </c>
      <c r="C5154">
        <v>0</v>
      </c>
      <c r="D5154">
        <v>0</v>
      </c>
      <c r="E5154">
        <v>0</v>
      </c>
      <c r="F5154">
        <v>1</v>
      </c>
      <c r="G5154">
        <v>0</v>
      </c>
      <c r="H5154">
        <v>0</v>
      </c>
      <c r="I5154">
        <v>0</v>
      </c>
      <c r="J5154">
        <v>0</v>
      </c>
      <c r="K5154">
        <v>0</v>
      </c>
      <c r="L5154" t="s">
        <v>3284</v>
      </c>
      <c r="M5154" t="s">
        <v>3307</v>
      </c>
      <c r="N5154" t="s">
        <v>3308</v>
      </c>
      <c r="O5154" t="s">
        <v>3635</v>
      </c>
      <c r="P5154" t="s">
        <v>4011</v>
      </c>
      <c r="Q5154" t="s">
        <v>4471</v>
      </c>
      <c r="R5154" t="s">
        <v>15398</v>
      </c>
    </row>
    <row r="5155" spans="1:18" x14ac:dyDescent="0.2">
      <c r="A5155">
        <v>28034</v>
      </c>
      <c r="B5155" t="s">
        <v>15399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1</v>
      </c>
      <c r="L5155" t="s">
        <v>3284</v>
      </c>
      <c r="M5155" t="s">
        <v>3327</v>
      </c>
      <c r="N5155" t="s">
        <v>3328</v>
      </c>
      <c r="O5155" t="s">
        <v>3329</v>
      </c>
      <c r="P5155" t="s">
        <v>9293</v>
      </c>
      <c r="Q5155" t="s">
        <v>9294</v>
      </c>
      <c r="R5155" t="s">
        <v>15400</v>
      </c>
    </row>
    <row r="5156" spans="1:18" x14ac:dyDescent="0.2">
      <c r="A5156">
        <v>28031</v>
      </c>
      <c r="B5156" t="s">
        <v>15401</v>
      </c>
      <c r="C5156">
        <v>6</v>
      </c>
      <c r="D5156">
        <v>3</v>
      </c>
      <c r="E5156">
        <v>7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 t="s">
        <v>3284</v>
      </c>
      <c r="M5156" t="s">
        <v>3327</v>
      </c>
      <c r="N5156" t="s">
        <v>3376</v>
      </c>
      <c r="O5156" t="s">
        <v>3377</v>
      </c>
      <c r="P5156" t="s">
        <v>3378</v>
      </c>
      <c r="Q5156" t="s">
        <v>5755</v>
      </c>
      <c r="R5156" t="s">
        <v>15402</v>
      </c>
    </row>
    <row r="5157" spans="1:18" x14ac:dyDescent="0.2">
      <c r="A5157">
        <v>28025</v>
      </c>
      <c r="B5157" t="s">
        <v>15403</v>
      </c>
      <c r="C5157">
        <v>1</v>
      </c>
      <c r="D5157">
        <v>0</v>
      </c>
      <c r="E5157">
        <v>0</v>
      </c>
      <c r="F5157">
        <v>1</v>
      </c>
      <c r="G5157">
        <v>1</v>
      </c>
      <c r="H5157">
        <v>0</v>
      </c>
      <c r="I5157">
        <v>0</v>
      </c>
      <c r="J5157">
        <v>1</v>
      </c>
      <c r="K5157">
        <v>0</v>
      </c>
      <c r="L5157" t="s">
        <v>3284</v>
      </c>
      <c r="M5157" t="s">
        <v>3307</v>
      </c>
      <c r="N5157" t="s">
        <v>3308</v>
      </c>
      <c r="O5157" t="s">
        <v>15404</v>
      </c>
      <c r="P5157" t="s">
        <v>15405</v>
      </c>
      <c r="Q5157" t="s">
        <v>15406</v>
      </c>
      <c r="R5157" t="s">
        <v>15407</v>
      </c>
    </row>
    <row r="5158" spans="1:18" x14ac:dyDescent="0.2">
      <c r="A5158">
        <v>13690</v>
      </c>
      <c r="B5158" t="s">
        <v>15408</v>
      </c>
      <c r="C5158">
        <v>0</v>
      </c>
      <c r="D5158">
        <v>0</v>
      </c>
      <c r="E5158">
        <v>0</v>
      </c>
      <c r="F5158">
        <v>1</v>
      </c>
      <c r="G5158">
        <v>1</v>
      </c>
      <c r="H5158">
        <v>0</v>
      </c>
      <c r="I5158">
        <v>0</v>
      </c>
      <c r="J5158">
        <v>0</v>
      </c>
      <c r="K5158">
        <v>0</v>
      </c>
      <c r="L5158" t="s">
        <v>3284</v>
      </c>
      <c r="M5158" t="s">
        <v>3296</v>
      </c>
      <c r="N5158" t="s">
        <v>3343</v>
      </c>
      <c r="O5158" t="s">
        <v>3349</v>
      </c>
      <c r="P5158" t="s">
        <v>3350</v>
      </c>
      <c r="Q5158" t="s">
        <v>4175</v>
      </c>
      <c r="R5158" t="s">
        <v>15409</v>
      </c>
    </row>
    <row r="5159" spans="1:18" x14ac:dyDescent="0.2">
      <c r="A5159">
        <v>13264</v>
      </c>
      <c r="B5159" t="s">
        <v>15410</v>
      </c>
      <c r="C5159">
        <v>0</v>
      </c>
      <c r="D5159">
        <v>0</v>
      </c>
      <c r="E5159">
        <v>2</v>
      </c>
      <c r="F5159">
        <v>0</v>
      </c>
      <c r="G5159">
        <v>0</v>
      </c>
      <c r="H5159">
        <v>3</v>
      </c>
      <c r="I5159">
        <v>0</v>
      </c>
      <c r="J5159">
        <v>0</v>
      </c>
      <c r="K5159">
        <v>2</v>
      </c>
      <c r="L5159" t="s">
        <v>3284</v>
      </c>
      <c r="M5159" t="s">
        <v>6546</v>
      </c>
      <c r="N5159" t="s">
        <v>6547</v>
      </c>
      <c r="O5159" t="s">
        <v>13814</v>
      </c>
      <c r="P5159" t="s">
        <v>13815</v>
      </c>
      <c r="Q5159" t="s">
        <v>13816</v>
      </c>
      <c r="R5159" t="s">
        <v>15411</v>
      </c>
    </row>
    <row r="5160" spans="1:18" x14ac:dyDescent="0.2">
      <c r="A5160">
        <v>13160</v>
      </c>
      <c r="B5160" t="s">
        <v>15412</v>
      </c>
      <c r="C5160">
        <v>0</v>
      </c>
      <c r="D5160">
        <v>0</v>
      </c>
      <c r="E5160">
        <v>0</v>
      </c>
      <c r="F5160">
        <v>0</v>
      </c>
      <c r="G5160">
        <v>1</v>
      </c>
      <c r="H5160">
        <v>1</v>
      </c>
      <c r="I5160">
        <v>0</v>
      </c>
      <c r="J5160">
        <v>0</v>
      </c>
      <c r="K5160">
        <v>0</v>
      </c>
      <c r="L5160" t="s">
        <v>3284</v>
      </c>
      <c r="M5160" t="s">
        <v>3296</v>
      </c>
      <c r="N5160" t="s">
        <v>3343</v>
      </c>
      <c r="O5160" t="s">
        <v>3402</v>
      </c>
      <c r="P5160" t="s">
        <v>3403</v>
      </c>
      <c r="Q5160" t="s">
        <v>3536</v>
      </c>
      <c r="R5160" t="s">
        <v>15413</v>
      </c>
    </row>
    <row r="5161" spans="1:18" x14ac:dyDescent="0.2">
      <c r="A5161">
        <v>2377</v>
      </c>
      <c r="B5161" t="s">
        <v>15414</v>
      </c>
      <c r="C5161">
        <v>0</v>
      </c>
      <c r="D5161">
        <v>1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 t="s">
        <v>3284</v>
      </c>
      <c r="M5161" t="s">
        <v>3327</v>
      </c>
      <c r="N5161" t="s">
        <v>3753</v>
      </c>
      <c r="O5161" t="s">
        <v>3754</v>
      </c>
      <c r="P5161" t="s">
        <v>3755</v>
      </c>
      <c r="Q5161" t="s">
        <v>9122</v>
      </c>
      <c r="R5161" t="s">
        <v>15415</v>
      </c>
    </row>
    <row r="5162" spans="1:18" x14ac:dyDescent="0.2">
      <c r="A5162">
        <v>2374</v>
      </c>
      <c r="B5162" t="s">
        <v>15416</v>
      </c>
      <c r="C5162">
        <v>0</v>
      </c>
      <c r="D5162">
        <v>1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 t="s">
        <v>3284</v>
      </c>
      <c r="M5162" t="s">
        <v>3327</v>
      </c>
      <c r="N5162" t="s">
        <v>3753</v>
      </c>
      <c r="O5162" t="s">
        <v>3271</v>
      </c>
      <c r="P5162" t="s">
        <v>15417</v>
      </c>
      <c r="Q5162" t="s">
        <v>15418</v>
      </c>
      <c r="R5162" t="s">
        <v>15419</v>
      </c>
    </row>
    <row r="5163" spans="1:18" x14ac:dyDescent="0.2">
      <c r="A5163">
        <v>2371</v>
      </c>
      <c r="B5163" t="s">
        <v>15420</v>
      </c>
      <c r="C5163">
        <v>0</v>
      </c>
      <c r="D5163">
        <v>0</v>
      </c>
      <c r="E5163">
        <v>0</v>
      </c>
      <c r="F5163">
        <v>0</v>
      </c>
      <c r="G5163">
        <v>1</v>
      </c>
      <c r="H5163">
        <v>0</v>
      </c>
      <c r="I5163">
        <v>0</v>
      </c>
      <c r="J5163">
        <v>0</v>
      </c>
      <c r="K5163">
        <v>0</v>
      </c>
      <c r="L5163" t="s">
        <v>3284</v>
      </c>
      <c r="M5163" t="s">
        <v>3296</v>
      </c>
      <c r="N5163" t="s">
        <v>3297</v>
      </c>
      <c r="O5163" t="s">
        <v>3469</v>
      </c>
      <c r="P5163" t="s">
        <v>3470</v>
      </c>
      <c r="Q5163" t="s">
        <v>15421</v>
      </c>
      <c r="R5163" t="s">
        <v>15422</v>
      </c>
    </row>
    <row r="5164" spans="1:18" x14ac:dyDescent="0.2">
      <c r="A5164">
        <v>2094</v>
      </c>
      <c r="B5164" t="s">
        <v>15423</v>
      </c>
      <c r="C5164">
        <v>1</v>
      </c>
      <c r="D5164">
        <v>1</v>
      </c>
      <c r="E5164">
        <v>8</v>
      </c>
      <c r="F5164">
        <v>1</v>
      </c>
      <c r="G5164">
        <v>0</v>
      </c>
      <c r="H5164">
        <v>6</v>
      </c>
      <c r="I5164">
        <v>3</v>
      </c>
      <c r="J5164">
        <v>1</v>
      </c>
      <c r="K5164">
        <v>11</v>
      </c>
      <c r="L5164" t="s">
        <v>3284</v>
      </c>
      <c r="M5164" t="s">
        <v>13039</v>
      </c>
      <c r="N5164" t="s">
        <v>3271</v>
      </c>
      <c r="O5164" t="s">
        <v>15126</v>
      </c>
      <c r="P5164" t="s">
        <v>15284</v>
      </c>
      <c r="Q5164" t="s">
        <v>15424</v>
      </c>
      <c r="R5164" t="s">
        <v>15425</v>
      </c>
    </row>
    <row r="5165" spans="1:18" x14ac:dyDescent="0.2">
      <c r="A5165">
        <v>2045</v>
      </c>
      <c r="B5165" t="s">
        <v>15426</v>
      </c>
      <c r="C5165">
        <v>0</v>
      </c>
      <c r="D5165">
        <v>0</v>
      </c>
      <c r="E5165">
        <v>0</v>
      </c>
      <c r="F5165">
        <v>1</v>
      </c>
      <c r="G5165">
        <v>0</v>
      </c>
      <c r="H5165">
        <v>0</v>
      </c>
      <c r="I5165">
        <v>1</v>
      </c>
      <c r="J5165">
        <v>0</v>
      </c>
      <c r="K5165">
        <v>0</v>
      </c>
      <c r="L5165" t="s">
        <v>3284</v>
      </c>
      <c r="M5165" t="s">
        <v>3307</v>
      </c>
      <c r="N5165" t="s">
        <v>3308</v>
      </c>
      <c r="O5165" t="s">
        <v>3309</v>
      </c>
      <c r="P5165" t="s">
        <v>3310</v>
      </c>
      <c r="Q5165" t="s">
        <v>15427</v>
      </c>
      <c r="R5165" t="s">
        <v>15428</v>
      </c>
    </row>
    <row r="5166" spans="1:18" x14ac:dyDescent="0.2">
      <c r="A5166">
        <v>2033</v>
      </c>
      <c r="B5166" t="s">
        <v>15429</v>
      </c>
      <c r="C5166">
        <v>0</v>
      </c>
      <c r="D5166">
        <v>0</v>
      </c>
      <c r="E5166">
        <v>0</v>
      </c>
      <c r="F5166">
        <v>2</v>
      </c>
      <c r="G5166">
        <v>0</v>
      </c>
      <c r="H5166">
        <v>0</v>
      </c>
      <c r="I5166">
        <v>1</v>
      </c>
      <c r="J5166">
        <v>0</v>
      </c>
      <c r="K5166">
        <v>0</v>
      </c>
      <c r="L5166" t="s">
        <v>3284</v>
      </c>
      <c r="M5166" t="s">
        <v>3307</v>
      </c>
      <c r="N5166" t="s">
        <v>3308</v>
      </c>
      <c r="O5166" t="s">
        <v>3359</v>
      </c>
      <c r="P5166" t="s">
        <v>3360</v>
      </c>
      <c r="Q5166" t="s">
        <v>3361</v>
      </c>
      <c r="R5166" t="s">
        <v>15430</v>
      </c>
    </row>
    <row r="5167" spans="1:18" x14ac:dyDescent="0.2">
      <c r="A5167">
        <v>1994</v>
      </c>
      <c r="B5167" t="s">
        <v>15431</v>
      </c>
      <c r="C5167">
        <v>0</v>
      </c>
      <c r="D5167">
        <v>0</v>
      </c>
      <c r="E5167">
        <v>0</v>
      </c>
      <c r="F5167">
        <v>0</v>
      </c>
      <c r="G5167">
        <v>1</v>
      </c>
      <c r="H5167">
        <v>0</v>
      </c>
      <c r="I5167">
        <v>0</v>
      </c>
      <c r="J5167">
        <v>0</v>
      </c>
      <c r="K5167">
        <v>0</v>
      </c>
      <c r="L5167" t="s">
        <v>3284</v>
      </c>
      <c r="M5167" t="s">
        <v>3307</v>
      </c>
      <c r="N5167" t="s">
        <v>3308</v>
      </c>
      <c r="O5167" t="s">
        <v>3949</v>
      </c>
      <c r="P5167" t="s">
        <v>8780</v>
      </c>
      <c r="Q5167" t="s">
        <v>8781</v>
      </c>
      <c r="R5167" t="s">
        <v>15432</v>
      </c>
    </row>
    <row r="5168" spans="1:18" x14ac:dyDescent="0.2">
      <c r="A5168">
        <v>1944</v>
      </c>
      <c r="B5168" t="s">
        <v>15433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2</v>
      </c>
      <c r="J5168">
        <v>0</v>
      </c>
      <c r="K5168">
        <v>0</v>
      </c>
      <c r="L5168" t="s">
        <v>3284</v>
      </c>
      <c r="M5168" t="s">
        <v>3307</v>
      </c>
      <c r="N5168" t="s">
        <v>3308</v>
      </c>
      <c r="O5168" t="s">
        <v>3446</v>
      </c>
      <c r="P5168" t="s">
        <v>3447</v>
      </c>
      <c r="Q5168" t="s">
        <v>3448</v>
      </c>
      <c r="R5168" t="s">
        <v>15434</v>
      </c>
    </row>
    <row r="5169" spans="1:18" x14ac:dyDescent="0.2">
      <c r="A5169">
        <v>1930</v>
      </c>
      <c r="B5169" t="s">
        <v>15435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1</v>
      </c>
      <c r="K5169">
        <v>0</v>
      </c>
      <c r="L5169" t="s">
        <v>3284</v>
      </c>
      <c r="M5169" t="s">
        <v>3307</v>
      </c>
      <c r="N5169" t="s">
        <v>3308</v>
      </c>
      <c r="O5169" t="s">
        <v>3446</v>
      </c>
      <c r="P5169" t="s">
        <v>3447</v>
      </c>
      <c r="Q5169" t="s">
        <v>3448</v>
      </c>
      <c r="R5169" t="s">
        <v>15436</v>
      </c>
    </row>
    <row r="5170" spans="1:18" x14ac:dyDescent="0.2">
      <c r="A5170">
        <v>1911</v>
      </c>
      <c r="B5170" t="s">
        <v>15437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1</v>
      </c>
      <c r="J5170">
        <v>0</v>
      </c>
      <c r="K5170">
        <v>0</v>
      </c>
      <c r="L5170" t="s">
        <v>3284</v>
      </c>
      <c r="M5170" t="s">
        <v>3307</v>
      </c>
      <c r="N5170" t="s">
        <v>3308</v>
      </c>
      <c r="O5170" t="s">
        <v>3446</v>
      </c>
      <c r="P5170" t="s">
        <v>3447</v>
      </c>
      <c r="Q5170" t="s">
        <v>3448</v>
      </c>
      <c r="R5170" t="s">
        <v>15438</v>
      </c>
    </row>
    <row r="5171" spans="1:18" x14ac:dyDescent="0.2">
      <c r="A5171">
        <v>1906</v>
      </c>
      <c r="B5171" t="s">
        <v>15439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1</v>
      </c>
      <c r="J5171">
        <v>0</v>
      </c>
      <c r="K5171">
        <v>1</v>
      </c>
      <c r="L5171" t="s">
        <v>3284</v>
      </c>
      <c r="M5171" t="s">
        <v>3307</v>
      </c>
      <c r="N5171" t="s">
        <v>3308</v>
      </c>
      <c r="O5171" t="s">
        <v>3446</v>
      </c>
      <c r="P5171" t="s">
        <v>3447</v>
      </c>
      <c r="Q5171" t="s">
        <v>3448</v>
      </c>
      <c r="R5171" t="s">
        <v>15440</v>
      </c>
    </row>
    <row r="5172" spans="1:18" x14ac:dyDescent="0.2">
      <c r="A5172">
        <v>1810</v>
      </c>
      <c r="B5172" t="s">
        <v>15441</v>
      </c>
      <c r="C5172">
        <v>0</v>
      </c>
      <c r="D5172">
        <v>0</v>
      </c>
      <c r="E5172">
        <v>0</v>
      </c>
      <c r="F5172">
        <v>1</v>
      </c>
      <c r="G5172">
        <v>0</v>
      </c>
      <c r="H5172">
        <v>0</v>
      </c>
      <c r="I5172">
        <v>0</v>
      </c>
      <c r="J5172">
        <v>0</v>
      </c>
      <c r="K5172">
        <v>0</v>
      </c>
      <c r="L5172" t="s">
        <v>3284</v>
      </c>
      <c r="M5172" t="s">
        <v>3307</v>
      </c>
      <c r="N5172" t="s">
        <v>3308</v>
      </c>
      <c r="O5172" t="s">
        <v>3635</v>
      </c>
      <c r="P5172" t="s">
        <v>4011</v>
      </c>
      <c r="Q5172" t="s">
        <v>4471</v>
      </c>
      <c r="R5172" t="s">
        <v>15442</v>
      </c>
    </row>
    <row r="5173" spans="1:18" x14ac:dyDescent="0.2">
      <c r="A5173">
        <v>1801</v>
      </c>
      <c r="B5173" t="s">
        <v>15443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1</v>
      </c>
      <c r="J5173">
        <v>0</v>
      </c>
      <c r="K5173">
        <v>0</v>
      </c>
      <c r="L5173" t="s">
        <v>3284</v>
      </c>
      <c r="M5173" t="s">
        <v>3307</v>
      </c>
      <c r="N5173" t="s">
        <v>3308</v>
      </c>
      <c r="O5173" t="s">
        <v>3635</v>
      </c>
      <c r="P5173" t="s">
        <v>4011</v>
      </c>
      <c r="Q5173" t="s">
        <v>4471</v>
      </c>
      <c r="R5173" t="s">
        <v>15444</v>
      </c>
    </row>
    <row r="5174" spans="1:18" x14ac:dyDescent="0.2">
      <c r="A5174">
        <v>1800</v>
      </c>
      <c r="B5174" t="s">
        <v>15445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1</v>
      </c>
      <c r="K5174">
        <v>0</v>
      </c>
      <c r="L5174" t="s">
        <v>3284</v>
      </c>
      <c r="M5174" t="s">
        <v>3307</v>
      </c>
      <c r="N5174" t="s">
        <v>3308</v>
      </c>
      <c r="O5174" t="s">
        <v>3635</v>
      </c>
      <c r="P5174" t="s">
        <v>4011</v>
      </c>
      <c r="Q5174" t="s">
        <v>4471</v>
      </c>
      <c r="R5174" t="s">
        <v>15446</v>
      </c>
    </row>
    <row r="5175" spans="1:18" x14ac:dyDescent="0.2">
      <c r="A5175">
        <v>1799</v>
      </c>
      <c r="B5175" t="s">
        <v>15447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1</v>
      </c>
      <c r="K5175">
        <v>0</v>
      </c>
      <c r="L5175" t="s">
        <v>3284</v>
      </c>
      <c r="M5175" t="s">
        <v>3307</v>
      </c>
      <c r="N5175" t="s">
        <v>3308</v>
      </c>
      <c r="O5175" t="s">
        <v>3635</v>
      </c>
      <c r="P5175" t="s">
        <v>4011</v>
      </c>
      <c r="Q5175" t="s">
        <v>4471</v>
      </c>
      <c r="R5175" t="s">
        <v>15448</v>
      </c>
    </row>
    <row r="5176" spans="1:18" x14ac:dyDescent="0.2">
      <c r="A5176">
        <v>1792</v>
      </c>
      <c r="B5176" t="s">
        <v>15449</v>
      </c>
      <c r="C5176">
        <v>0</v>
      </c>
      <c r="D5176">
        <v>0</v>
      </c>
      <c r="E5176">
        <v>0</v>
      </c>
      <c r="F5176">
        <v>1</v>
      </c>
      <c r="G5176">
        <v>0</v>
      </c>
      <c r="H5176">
        <v>0</v>
      </c>
      <c r="I5176">
        <v>0</v>
      </c>
      <c r="J5176">
        <v>0</v>
      </c>
      <c r="K5176">
        <v>0</v>
      </c>
      <c r="L5176" t="s">
        <v>3284</v>
      </c>
      <c r="M5176" t="s">
        <v>3307</v>
      </c>
      <c r="N5176" t="s">
        <v>3308</v>
      </c>
      <c r="O5176" t="s">
        <v>3635</v>
      </c>
      <c r="P5176" t="s">
        <v>4011</v>
      </c>
      <c r="Q5176" t="s">
        <v>4471</v>
      </c>
      <c r="R5176" t="s">
        <v>15450</v>
      </c>
    </row>
    <row r="5177" spans="1:18" x14ac:dyDescent="0.2">
      <c r="A5177">
        <v>1790</v>
      </c>
      <c r="B5177" t="s">
        <v>15451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9</v>
      </c>
      <c r="J5177">
        <v>4</v>
      </c>
      <c r="K5177">
        <v>0</v>
      </c>
      <c r="L5177" t="s">
        <v>3284</v>
      </c>
      <c r="M5177" t="s">
        <v>3307</v>
      </c>
      <c r="N5177" t="s">
        <v>3308</v>
      </c>
      <c r="O5177" t="s">
        <v>3635</v>
      </c>
      <c r="P5177" t="s">
        <v>4011</v>
      </c>
      <c r="Q5177" t="s">
        <v>4012</v>
      </c>
      <c r="R5177" t="s">
        <v>15452</v>
      </c>
    </row>
    <row r="5178" spans="1:18" x14ac:dyDescent="0.2">
      <c r="A5178">
        <v>1786</v>
      </c>
      <c r="B5178" t="s">
        <v>15453</v>
      </c>
      <c r="C5178">
        <v>0</v>
      </c>
      <c r="D5178">
        <v>0</v>
      </c>
      <c r="E5178">
        <v>0</v>
      </c>
      <c r="F5178">
        <v>0</v>
      </c>
      <c r="G5178">
        <v>1</v>
      </c>
      <c r="H5178">
        <v>0</v>
      </c>
      <c r="I5178">
        <v>0</v>
      </c>
      <c r="J5178">
        <v>0</v>
      </c>
      <c r="K5178">
        <v>0</v>
      </c>
      <c r="L5178" t="s">
        <v>3284</v>
      </c>
      <c r="M5178" t="s">
        <v>3307</v>
      </c>
      <c r="N5178" t="s">
        <v>3308</v>
      </c>
      <c r="O5178" t="s">
        <v>3635</v>
      </c>
      <c r="P5178" t="s">
        <v>4011</v>
      </c>
      <c r="Q5178" t="s">
        <v>4471</v>
      </c>
      <c r="R5178" t="s">
        <v>15454</v>
      </c>
    </row>
    <row r="5179" spans="1:18" x14ac:dyDescent="0.2">
      <c r="A5179">
        <v>1785</v>
      </c>
      <c r="B5179" t="s">
        <v>15455</v>
      </c>
      <c r="C5179">
        <v>0</v>
      </c>
      <c r="D5179">
        <v>1</v>
      </c>
      <c r="E5179">
        <v>1</v>
      </c>
      <c r="F5179">
        <v>1</v>
      </c>
      <c r="G5179">
        <v>2</v>
      </c>
      <c r="H5179">
        <v>0</v>
      </c>
      <c r="I5179">
        <v>1</v>
      </c>
      <c r="J5179">
        <v>1</v>
      </c>
      <c r="K5179">
        <v>0</v>
      </c>
      <c r="L5179" t="s">
        <v>3284</v>
      </c>
      <c r="M5179" t="s">
        <v>3307</v>
      </c>
      <c r="N5179" t="s">
        <v>3308</v>
      </c>
      <c r="O5179" t="s">
        <v>3635</v>
      </c>
      <c r="P5179" t="s">
        <v>4011</v>
      </c>
      <c r="Q5179" t="s">
        <v>4012</v>
      </c>
      <c r="R5179" t="s">
        <v>15456</v>
      </c>
    </row>
    <row r="5180" spans="1:18" x14ac:dyDescent="0.2">
      <c r="A5180">
        <v>1781</v>
      </c>
      <c r="B5180" t="s">
        <v>15457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1</v>
      </c>
      <c r="J5180">
        <v>1</v>
      </c>
      <c r="K5180">
        <v>0</v>
      </c>
      <c r="L5180" t="s">
        <v>3284</v>
      </c>
      <c r="M5180" t="s">
        <v>3307</v>
      </c>
      <c r="N5180" t="s">
        <v>3308</v>
      </c>
      <c r="O5180" t="s">
        <v>3635</v>
      </c>
      <c r="P5180" t="s">
        <v>4011</v>
      </c>
      <c r="Q5180" t="s">
        <v>4012</v>
      </c>
      <c r="R5180" t="s">
        <v>15458</v>
      </c>
    </row>
    <row r="5181" spans="1:18" x14ac:dyDescent="0.2">
      <c r="A5181">
        <v>1779</v>
      </c>
      <c r="B5181" t="s">
        <v>15459</v>
      </c>
      <c r="C5181">
        <v>0</v>
      </c>
      <c r="D5181">
        <v>0</v>
      </c>
      <c r="E5181">
        <v>0</v>
      </c>
      <c r="F5181">
        <v>1</v>
      </c>
      <c r="G5181">
        <v>0</v>
      </c>
      <c r="H5181">
        <v>0</v>
      </c>
      <c r="I5181">
        <v>1</v>
      </c>
      <c r="J5181">
        <v>0</v>
      </c>
      <c r="K5181">
        <v>1</v>
      </c>
      <c r="L5181" t="s">
        <v>3284</v>
      </c>
      <c r="M5181" t="s">
        <v>3307</v>
      </c>
      <c r="N5181" t="s">
        <v>3308</v>
      </c>
      <c r="O5181" t="s">
        <v>3635</v>
      </c>
      <c r="P5181" t="s">
        <v>4011</v>
      </c>
      <c r="Q5181" t="s">
        <v>4471</v>
      </c>
      <c r="R5181" t="s">
        <v>15460</v>
      </c>
    </row>
    <row r="5182" spans="1:18" x14ac:dyDescent="0.2">
      <c r="A5182">
        <v>1778</v>
      </c>
      <c r="B5182" t="s">
        <v>15461</v>
      </c>
      <c r="C5182">
        <v>0</v>
      </c>
      <c r="D5182">
        <v>0</v>
      </c>
      <c r="E5182">
        <v>0</v>
      </c>
      <c r="F5182">
        <v>0</v>
      </c>
      <c r="G5182">
        <v>1</v>
      </c>
      <c r="H5182">
        <v>0</v>
      </c>
      <c r="I5182">
        <v>16</v>
      </c>
      <c r="J5182">
        <v>6</v>
      </c>
      <c r="K5182">
        <v>0</v>
      </c>
      <c r="L5182" t="s">
        <v>3284</v>
      </c>
      <c r="M5182" t="s">
        <v>3307</v>
      </c>
      <c r="N5182" t="s">
        <v>3308</v>
      </c>
      <c r="O5182" t="s">
        <v>3635</v>
      </c>
      <c r="P5182" t="s">
        <v>4011</v>
      </c>
      <c r="Q5182" t="s">
        <v>4012</v>
      </c>
      <c r="R5182" t="s">
        <v>15462</v>
      </c>
    </row>
    <row r="5183" spans="1:18" x14ac:dyDescent="0.2">
      <c r="A5183">
        <v>1773</v>
      </c>
      <c r="B5183" t="s">
        <v>15463</v>
      </c>
      <c r="C5183">
        <v>46</v>
      </c>
      <c r="D5183">
        <v>55</v>
      </c>
      <c r="E5183">
        <v>711</v>
      </c>
      <c r="F5183">
        <v>50</v>
      </c>
      <c r="G5183">
        <v>84</v>
      </c>
      <c r="H5183">
        <v>499</v>
      </c>
      <c r="I5183">
        <v>105</v>
      </c>
      <c r="J5183">
        <v>68</v>
      </c>
      <c r="K5183">
        <v>848</v>
      </c>
      <c r="L5183" t="s">
        <v>3284</v>
      </c>
      <c r="M5183" t="s">
        <v>3307</v>
      </c>
      <c r="N5183" t="s">
        <v>3308</v>
      </c>
      <c r="O5183" t="s">
        <v>3635</v>
      </c>
      <c r="P5183" t="s">
        <v>4011</v>
      </c>
      <c r="Q5183" t="s">
        <v>4012</v>
      </c>
      <c r="R5183" t="s">
        <v>15464</v>
      </c>
    </row>
    <row r="5184" spans="1:18" x14ac:dyDescent="0.2">
      <c r="A5184">
        <v>1772</v>
      </c>
      <c r="B5184" t="s">
        <v>15465</v>
      </c>
      <c r="C5184">
        <v>0</v>
      </c>
      <c r="D5184">
        <v>0</v>
      </c>
      <c r="E5184">
        <v>0</v>
      </c>
      <c r="F5184">
        <v>1</v>
      </c>
      <c r="G5184">
        <v>1</v>
      </c>
      <c r="H5184">
        <v>0</v>
      </c>
      <c r="I5184">
        <v>0</v>
      </c>
      <c r="J5184">
        <v>0</v>
      </c>
      <c r="K5184">
        <v>0</v>
      </c>
      <c r="L5184" t="s">
        <v>3284</v>
      </c>
      <c r="M5184" t="s">
        <v>3307</v>
      </c>
      <c r="N5184" t="s">
        <v>3308</v>
      </c>
      <c r="O5184" t="s">
        <v>3635</v>
      </c>
      <c r="P5184" t="s">
        <v>4011</v>
      </c>
      <c r="Q5184" t="s">
        <v>4471</v>
      </c>
      <c r="R5184" t="s">
        <v>15466</v>
      </c>
    </row>
    <row r="5185" spans="1:18" x14ac:dyDescent="0.2">
      <c r="A5185">
        <v>1768</v>
      </c>
      <c r="B5185" t="s">
        <v>15467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1</v>
      </c>
      <c r="J5185">
        <v>0</v>
      </c>
      <c r="K5185">
        <v>0</v>
      </c>
      <c r="L5185" t="s">
        <v>3284</v>
      </c>
      <c r="M5185" t="s">
        <v>3307</v>
      </c>
      <c r="N5185" t="s">
        <v>3308</v>
      </c>
      <c r="O5185" t="s">
        <v>3635</v>
      </c>
      <c r="P5185" t="s">
        <v>4011</v>
      </c>
      <c r="Q5185" t="s">
        <v>4012</v>
      </c>
      <c r="R5185" t="s">
        <v>15468</v>
      </c>
    </row>
    <row r="5186" spans="1:18" x14ac:dyDescent="0.2">
      <c r="A5186">
        <v>1767</v>
      </c>
      <c r="B5186" t="s">
        <v>15469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2</v>
      </c>
      <c r="J5186">
        <v>1</v>
      </c>
      <c r="K5186">
        <v>0</v>
      </c>
      <c r="L5186" t="s">
        <v>3284</v>
      </c>
      <c r="M5186" t="s">
        <v>3307</v>
      </c>
      <c r="N5186" t="s">
        <v>3308</v>
      </c>
      <c r="O5186" t="s">
        <v>3635</v>
      </c>
      <c r="P5186" t="s">
        <v>4011</v>
      </c>
      <c r="Q5186" t="s">
        <v>4012</v>
      </c>
      <c r="R5186" t="s">
        <v>15470</v>
      </c>
    </row>
    <row r="5187" spans="1:18" x14ac:dyDescent="0.2">
      <c r="A5187">
        <v>1766</v>
      </c>
      <c r="B5187" t="s">
        <v>15471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2</v>
      </c>
      <c r="J5187">
        <v>1</v>
      </c>
      <c r="K5187">
        <v>0</v>
      </c>
      <c r="L5187" t="s">
        <v>3284</v>
      </c>
      <c r="M5187" t="s">
        <v>3307</v>
      </c>
      <c r="N5187" t="s">
        <v>3308</v>
      </c>
      <c r="O5187" t="s">
        <v>3635</v>
      </c>
      <c r="P5187" t="s">
        <v>4011</v>
      </c>
      <c r="Q5187" t="s">
        <v>4471</v>
      </c>
      <c r="R5187" t="s">
        <v>15472</v>
      </c>
    </row>
    <row r="5188" spans="1:18" x14ac:dyDescent="0.2">
      <c r="A5188">
        <v>1737</v>
      </c>
      <c r="B5188" t="s">
        <v>15473</v>
      </c>
      <c r="C5188">
        <v>1</v>
      </c>
      <c r="D5188">
        <v>1</v>
      </c>
      <c r="E5188">
        <v>1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 t="s">
        <v>3284</v>
      </c>
      <c r="M5188" t="s">
        <v>3327</v>
      </c>
      <c r="N5188" t="s">
        <v>3328</v>
      </c>
      <c r="O5188" t="s">
        <v>4184</v>
      </c>
      <c r="P5188" t="s">
        <v>4185</v>
      </c>
      <c r="Q5188" t="s">
        <v>15349</v>
      </c>
      <c r="R5188" t="s">
        <v>15474</v>
      </c>
    </row>
    <row r="5189" spans="1:18" x14ac:dyDescent="0.2">
      <c r="A5189">
        <v>1731</v>
      </c>
      <c r="B5189" t="s">
        <v>15475</v>
      </c>
      <c r="C5189">
        <v>1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 t="s">
        <v>3284</v>
      </c>
      <c r="M5189" t="s">
        <v>3327</v>
      </c>
      <c r="N5189" t="s">
        <v>3328</v>
      </c>
      <c r="O5189" t="s">
        <v>4184</v>
      </c>
      <c r="P5189" t="s">
        <v>15476</v>
      </c>
      <c r="Q5189" t="s">
        <v>15477</v>
      </c>
      <c r="R5189" t="s">
        <v>15478</v>
      </c>
    </row>
    <row r="5190" spans="1:18" x14ac:dyDescent="0.2">
      <c r="A5190">
        <v>1727</v>
      </c>
      <c r="B5190" t="s">
        <v>15479</v>
      </c>
      <c r="C5190">
        <v>0</v>
      </c>
      <c r="D5190">
        <v>0</v>
      </c>
      <c r="E5190">
        <v>0</v>
      </c>
      <c r="F5190">
        <v>0</v>
      </c>
      <c r="G5190">
        <v>1</v>
      </c>
      <c r="H5190">
        <v>0</v>
      </c>
      <c r="I5190">
        <v>0</v>
      </c>
      <c r="J5190">
        <v>0</v>
      </c>
      <c r="K5190">
        <v>0</v>
      </c>
      <c r="L5190" t="s">
        <v>3284</v>
      </c>
      <c r="M5190" t="s">
        <v>3307</v>
      </c>
      <c r="N5190" t="s">
        <v>3308</v>
      </c>
      <c r="O5190" t="s">
        <v>3635</v>
      </c>
      <c r="P5190" t="s">
        <v>13362</v>
      </c>
      <c r="Q5190" t="s">
        <v>13363</v>
      </c>
      <c r="R5190" t="s">
        <v>15480</v>
      </c>
    </row>
    <row r="5191" spans="1:18" x14ac:dyDescent="0.2">
      <c r="A5191">
        <v>1712</v>
      </c>
      <c r="B5191" t="s">
        <v>15481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1</v>
      </c>
      <c r="J5191">
        <v>0</v>
      </c>
      <c r="K5191">
        <v>0</v>
      </c>
      <c r="L5191" t="s">
        <v>3284</v>
      </c>
      <c r="M5191" t="s">
        <v>3307</v>
      </c>
      <c r="N5191" t="s">
        <v>3308</v>
      </c>
      <c r="O5191" t="s">
        <v>3359</v>
      </c>
      <c r="P5191" t="s">
        <v>3588</v>
      </c>
      <c r="Q5191" t="s">
        <v>4970</v>
      </c>
      <c r="R5191" t="s">
        <v>15482</v>
      </c>
    </row>
    <row r="5192" spans="1:18" x14ac:dyDescent="0.2">
      <c r="A5192">
        <v>1705</v>
      </c>
      <c r="B5192" t="s">
        <v>15483</v>
      </c>
      <c r="C5192">
        <v>0</v>
      </c>
      <c r="D5192">
        <v>1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 t="s">
        <v>3284</v>
      </c>
      <c r="M5192" t="s">
        <v>3307</v>
      </c>
      <c r="N5192" t="s">
        <v>3308</v>
      </c>
      <c r="O5192" t="s">
        <v>3635</v>
      </c>
      <c r="P5192" t="s">
        <v>13362</v>
      </c>
      <c r="Q5192" t="s">
        <v>13363</v>
      </c>
      <c r="R5192" t="s">
        <v>15484</v>
      </c>
    </row>
    <row r="5193" spans="1:18" x14ac:dyDescent="0.2">
      <c r="A5193">
        <v>1676</v>
      </c>
      <c r="B5193" t="s">
        <v>15485</v>
      </c>
      <c r="C5193">
        <v>0</v>
      </c>
      <c r="D5193">
        <v>0</v>
      </c>
      <c r="E5193">
        <v>0</v>
      </c>
      <c r="F5193">
        <v>0</v>
      </c>
      <c r="G5193">
        <v>1</v>
      </c>
      <c r="H5193">
        <v>0</v>
      </c>
      <c r="I5193">
        <v>0</v>
      </c>
      <c r="J5193">
        <v>0</v>
      </c>
      <c r="K5193">
        <v>0</v>
      </c>
      <c r="L5193" t="s">
        <v>3284</v>
      </c>
      <c r="M5193" t="s">
        <v>3307</v>
      </c>
      <c r="N5193" t="s">
        <v>3308</v>
      </c>
      <c r="O5193" t="s">
        <v>3359</v>
      </c>
      <c r="P5193" t="s">
        <v>3407</v>
      </c>
      <c r="Q5193" t="s">
        <v>5530</v>
      </c>
      <c r="R5193" t="s">
        <v>15486</v>
      </c>
    </row>
    <row r="5194" spans="1:18" x14ac:dyDescent="0.2">
      <c r="A5194">
        <v>1641</v>
      </c>
      <c r="B5194" t="s">
        <v>15487</v>
      </c>
      <c r="C5194">
        <v>1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 t="s">
        <v>3284</v>
      </c>
      <c r="M5194" t="s">
        <v>3327</v>
      </c>
      <c r="N5194" t="s">
        <v>3376</v>
      </c>
      <c r="O5194" t="s">
        <v>3377</v>
      </c>
      <c r="P5194" t="s">
        <v>6333</v>
      </c>
      <c r="Q5194" t="s">
        <v>6334</v>
      </c>
      <c r="R5194" t="s">
        <v>15488</v>
      </c>
    </row>
    <row r="5195" spans="1:18" x14ac:dyDescent="0.2">
      <c r="A5195">
        <v>1639</v>
      </c>
      <c r="B5195" t="s">
        <v>15489</v>
      </c>
      <c r="C5195">
        <v>0</v>
      </c>
      <c r="D5195">
        <v>0</v>
      </c>
      <c r="E5195">
        <v>2</v>
      </c>
      <c r="F5195">
        <v>0</v>
      </c>
      <c r="G5195">
        <v>0</v>
      </c>
      <c r="H5195">
        <v>0</v>
      </c>
      <c r="I5195">
        <v>0</v>
      </c>
      <c r="J5195">
        <v>1</v>
      </c>
      <c r="K5195">
        <v>0</v>
      </c>
      <c r="L5195" t="s">
        <v>3284</v>
      </c>
      <c r="M5195" t="s">
        <v>3327</v>
      </c>
      <c r="N5195" t="s">
        <v>3376</v>
      </c>
      <c r="O5195" t="s">
        <v>3377</v>
      </c>
      <c r="P5195" t="s">
        <v>6333</v>
      </c>
      <c r="Q5195" t="s">
        <v>6334</v>
      </c>
      <c r="R5195" t="s">
        <v>15490</v>
      </c>
    </row>
    <row r="5196" spans="1:18" x14ac:dyDescent="0.2">
      <c r="A5196">
        <v>1605</v>
      </c>
      <c r="B5196" t="s">
        <v>15491</v>
      </c>
      <c r="C5196">
        <v>0</v>
      </c>
      <c r="D5196">
        <v>0</v>
      </c>
      <c r="E5196">
        <v>2</v>
      </c>
      <c r="F5196">
        <v>2</v>
      </c>
      <c r="G5196">
        <v>0</v>
      </c>
      <c r="H5196">
        <v>1</v>
      </c>
      <c r="I5196">
        <v>0</v>
      </c>
      <c r="J5196">
        <v>0</v>
      </c>
      <c r="K5196">
        <v>7</v>
      </c>
      <c r="L5196" t="s">
        <v>3284</v>
      </c>
      <c r="M5196" t="s">
        <v>3327</v>
      </c>
      <c r="N5196" t="s">
        <v>3376</v>
      </c>
      <c r="O5196" t="s">
        <v>3718</v>
      </c>
      <c r="P5196" t="s">
        <v>9461</v>
      </c>
      <c r="Q5196" t="s">
        <v>15492</v>
      </c>
      <c r="R5196" t="s">
        <v>15493</v>
      </c>
    </row>
    <row r="5197" spans="1:18" x14ac:dyDescent="0.2">
      <c r="A5197">
        <v>1583</v>
      </c>
      <c r="B5197" t="s">
        <v>15494</v>
      </c>
      <c r="C5197">
        <v>0</v>
      </c>
      <c r="D5197">
        <v>0</v>
      </c>
      <c r="E5197">
        <v>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 t="s">
        <v>3284</v>
      </c>
      <c r="M5197" t="s">
        <v>3327</v>
      </c>
      <c r="N5197" t="s">
        <v>3376</v>
      </c>
      <c r="O5197" t="s">
        <v>3718</v>
      </c>
      <c r="P5197" t="s">
        <v>9461</v>
      </c>
      <c r="Q5197" t="s">
        <v>15495</v>
      </c>
      <c r="R5197" t="s">
        <v>15496</v>
      </c>
    </row>
    <row r="5198" spans="1:18" x14ac:dyDescent="0.2">
      <c r="A5198">
        <v>1563</v>
      </c>
      <c r="B5198" t="s">
        <v>15497</v>
      </c>
      <c r="C5198">
        <v>1</v>
      </c>
      <c r="D5198">
        <v>0</v>
      </c>
      <c r="E5198">
        <v>1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 t="s">
        <v>3284</v>
      </c>
      <c r="M5198" t="s">
        <v>3327</v>
      </c>
      <c r="N5198" t="s">
        <v>3328</v>
      </c>
      <c r="O5198" t="s">
        <v>3329</v>
      </c>
      <c r="P5198" t="s">
        <v>4329</v>
      </c>
      <c r="Q5198" t="s">
        <v>4330</v>
      </c>
      <c r="R5198" t="s">
        <v>15498</v>
      </c>
    </row>
    <row r="5199" spans="1:18" x14ac:dyDescent="0.2">
      <c r="A5199">
        <v>1561</v>
      </c>
      <c r="B5199" t="s">
        <v>15499</v>
      </c>
      <c r="C5199">
        <v>2</v>
      </c>
      <c r="D5199">
        <v>6</v>
      </c>
      <c r="E5199">
        <v>5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 t="s">
        <v>3284</v>
      </c>
      <c r="M5199" t="s">
        <v>3327</v>
      </c>
      <c r="N5199" t="s">
        <v>3328</v>
      </c>
      <c r="O5199" t="s">
        <v>3329</v>
      </c>
      <c r="P5199" t="s">
        <v>3330</v>
      </c>
      <c r="Q5199" t="s">
        <v>3331</v>
      </c>
      <c r="R5199" t="s">
        <v>15500</v>
      </c>
    </row>
    <row r="5200" spans="1:18" x14ac:dyDescent="0.2">
      <c r="A5200">
        <v>1559</v>
      </c>
      <c r="B5200" t="s">
        <v>15501</v>
      </c>
      <c r="C5200">
        <v>3</v>
      </c>
      <c r="D5200">
        <v>1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 t="s">
        <v>3284</v>
      </c>
      <c r="M5200" t="s">
        <v>3327</v>
      </c>
      <c r="N5200" t="s">
        <v>3328</v>
      </c>
      <c r="O5200" t="s">
        <v>3329</v>
      </c>
      <c r="P5200" t="s">
        <v>3330</v>
      </c>
      <c r="Q5200" t="s">
        <v>3331</v>
      </c>
      <c r="R5200" t="s">
        <v>15502</v>
      </c>
    </row>
    <row r="5201" spans="1:18" x14ac:dyDescent="0.2">
      <c r="A5201">
        <v>1557</v>
      </c>
      <c r="B5201" t="s">
        <v>15503</v>
      </c>
      <c r="C5201">
        <v>1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 t="s">
        <v>3284</v>
      </c>
      <c r="M5201" t="s">
        <v>3327</v>
      </c>
      <c r="N5201" t="s">
        <v>3328</v>
      </c>
      <c r="O5201" t="s">
        <v>4184</v>
      </c>
      <c r="P5201" t="s">
        <v>15476</v>
      </c>
      <c r="Q5201" t="s">
        <v>15477</v>
      </c>
      <c r="R5201" t="s">
        <v>15504</v>
      </c>
    </row>
    <row r="5202" spans="1:18" x14ac:dyDescent="0.2">
      <c r="A5202">
        <v>1556</v>
      </c>
      <c r="B5202" t="s">
        <v>15505</v>
      </c>
      <c r="C5202">
        <v>2</v>
      </c>
      <c r="D5202">
        <v>2</v>
      </c>
      <c r="E5202">
        <v>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 t="s">
        <v>3284</v>
      </c>
      <c r="M5202" t="s">
        <v>3327</v>
      </c>
      <c r="N5202" t="s">
        <v>4384</v>
      </c>
      <c r="O5202" t="s">
        <v>4605</v>
      </c>
      <c r="P5202" t="s">
        <v>15176</v>
      </c>
      <c r="Q5202" t="s">
        <v>15506</v>
      </c>
      <c r="R5202" t="s">
        <v>15507</v>
      </c>
    </row>
    <row r="5203" spans="1:18" x14ac:dyDescent="0.2">
      <c r="A5203">
        <v>1553</v>
      </c>
      <c r="B5203" t="s">
        <v>15508</v>
      </c>
      <c r="C5203">
        <v>6</v>
      </c>
      <c r="D5203">
        <v>5</v>
      </c>
      <c r="E5203">
        <v>5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 t="s">
        <v>3284</v>
      </c>
      <c r="M5203" t="s">
        <v>3327</v>
      </c>
      <c r="N5203" t="s">
        <v>3328</v>
      </c>
      <c r="O5203" t="s">
        <v>3329</v>
      </c>
      <c r="P5203" t="s">
        <v>3330</v>
      </c>
      <c r="Q5203" t="s">
        <v>3331</v>
      </c>
      <c r="R5203" t="s">
        <v>15509</v>
      </c>
    </row>
    <row r="5204" spans="1:18" x14ac:dyDescent="0.2">
      <c r="A5204">
        <v>1550</v>
      </c>
      <c r="B5204" t="s">
        <v>15510</v>
      </c>
      <c r="C5204">
        <v>1</v>
      </c>
      <c r="D5204">
        <v>1</v>
      </c>
      <c r="E5204">
        <v>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 t="s">
        <v>3284</v>
      </c>
      <c r="M5204" t="s">
        <v>3327</v>
      </c>
      <c r="N5204" t="s">
        <v>3328</v>
      </c>
      <c r="O5204" t="s">
        <v>3329</v>
      </c>
      <c r="P5204" t="s">
        <v>3330</v>
      </c>
      <c r="Q5204" t="s">
        <v>3331</v>
      </c>
      <c r="R5204" t="s">
        <v>15511</v>
      </c>
    </row>
    <row r="5205" spans="1:18" x14ac:dyDescent="0.2">
      <c r="A5205">
        <v>1548</v>
      </c>
      <c r="B5205" t="s">
        <v>15512</v>
      </c>
      <c r="C5205">
        <v>0</v>
      </c>
      <c r="D5205">
        <v>3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 t="s">
        <v>3284</v>
      </c>
      <c r="M5205" t="s">
        <v>3327</v>
      </c>
      <c r="N5205" t="s">
        <v>3328</v>
      </c>
      <c r="O5205" t="s">
        <v>3329</v>
      </c>
      <c r="P5205" t="s">
        <v>3330</v>
      </c>
      <c r="Q5205" t="s">
        <v>3331</v>
      </c>
      <c r="R5205" t="s">
        <v>15513</v>
      </c>
    </row>
    <row r="5206" spans="1:18" x14ac:dyDescent="0.2">
      <c r="A5206">
        <v>1543</v>
      </c>
      <c r="B5206" t="s">
        <v>15514</v>
      </c>
      <c r="C5206">
        <v>8</v>
      </c>
      <c r="D5206">
        <v>3</v>
      </c>
      <c r="E5206">
        <v>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 t="s">
        <v>3284</v>
      </c>
      <c r="M5206" t="s">
        <v>3327</v>
      </c>
      <c r="N5206" t="s">
        <v>3328</v>
      </c>
      <c r="O5206" t="s">
        <v>3329</v>
      </c>
      <c r="P5206" t="s">
        <v>3330</v>
      </c>
      <c r="Q5206" t="s">
        <v>3331</v>
      </c>
      <c r="R5206" t="s">
        <v>15515</v>
      </c>
    </row>
    <row r="5207" spans="1:18" x14ac:dyDescent="0.2">
      <c r="A5207">
        <v>1542</v>
      </c>
      <c r="B5207" t="s">
        <v>15516</v>
      </c>
      <c r="C5207">
        <v>1</v>
      </c>
      <c r="D5207">
        <v>1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 t="s">
        <v>3284</v>
      </c>
      <c r="M5207" t="s">
        <v>3327</v>
      </c>
      <c r="N5207" t="s">
        <v>3328</v>
      </c>
      <c r="O5207" t="s">
        <v>3329</v>
      </c>
      <c r="P5207" t="s">
        <v>3330</v>
      </c>
      <c r="Q5207" t="s">
        <v>3331</v>
      </c>
      <c r="R5207" t="s">
        <v>15517</v>
      </c>
    </row>
    <row r="5208" spans="1:18" x14ac:dyDescent="0.2">
      <c r="A5208">
        <v>1541</v>
      </c>
      <c r="B5208" t="s">
        <v>15518</v>
      </c>
      <c r="C5208">
        <v>2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 t="s">
        <v>3284</v>
      </c>
      <c r="M5208" t="s">
        <v>3327</v>
      </c>
      <c r="N5208" t="s">
        <v>3328</v>
      </c>
      <c r="O5208" t="s">
        <v>4184</v>
      </c>
      <c r="P5208" t="s">
        <v>4185</v>
      </c>
      <c r="Q5208" t="s">
        <v>9617</v>
      </c>
      <c r="R5208" t="s">
        <v>15519</v>
      </c>
    </row>
    <row r="5209" spans="1:18" x14ac:dyDescent="0.2">
      <c r="A5209">
        <v>1540</v>
      </c>
      <c r="B5209" t="s">
        <v>15520</v>
      </c>
      <c r="C5209">
        <v>3</v>
      </c>
      <c r="D5209">
        <v>0</v>
      </c>
      <c r="E5209">
        <v>1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 t="s">
        <v>3284</v>
      </c>
      <c r="M5209" t="s">
        <v>3327</v>
      </c>
      <c r="N5209" t="s">
        <v>3328</v>
      </c>
      <c r="O5209" t="s">
        <v>4184</v>
      </c>
      <c r="P5209" t="s">
        <v>4185</v>
      </c>
      <c r="Q5209" t="s">
        <v>15521</v>
      </c>
      <c r="R5209" t="s">
        <v>15522</v>
      </c>
    </row>
    <row r="5210" spans="1:18" x14ac:dyDescent="0.2">
      <c r="A5210">
        <v>1539</v>
      </c>
      <c r="B5210" t="s">
        <v>15523</v>
      </c>
      <c r="C5210">
        <v>9</v>
      </c>
      <c r="D5210">
        <v>3</v>
      </c>
      <c r="E5210">
        <v>2</v>
      </c>
      <c r="F5210">
        <v>0</v>
      </c>
      <c r="G5210">
        <v>0</v>
      </c>
      <c r="H5210">
        <v>0</v>
      </c>
      <c r="I5210">
        <v>1</v>
      </c>
      <c r="J5210">
        <v>0</v>
      </c>
      <c r="K5210">
        <v>0</v>
      </c>
      <c r="L5210" t="s">
        <v>3284</v>
      </c>
      <c r="M5210" t="s">
        <v>3327</v>
      </c>
      <c r="N5210" t="s">
        <v>3328</v>
      </c>
      <c r="O5210" t="s">
        <v>3329</v>
      </c>
      <c r="P5210" t="s">
        <v>3330</v>
      </c>
      <c r="Q5210" t="s">
        <v>3331</v>
      </c>
      <c r="R5210" t="s">
        <v>15524</v>
      </c>
    </row>
    <row r="5211" spans="1:18" x14ac:dyDescent="0.2">
      <c r="A5211">
        <v>1538</v>
      </c>
      <c r="B5211" t="s">
        <v>15525</v>
      </c>
      <c r="C5211">
        <v>2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 t="s">
        <v>3284</v>
      </c>
      <c r="M5211" t="s">
        <v>3327</v>
      </c>
      <c r="N5211" t="s">
        <v>3328</v>
      </c>
      <c r="O5211" t="s">
        <v>3329</v>
      </c>
      <c r="P5211" t="s">
        <v>3330</v>
      </c>
      <c r="Q5211" t="s">
        <v>3331</v>
      </c>
      <c r="R5211" t="s">
        <v>15526</v>
      </c>
    </row>
    <row r="5212" spans="1:18" x14ac:dyDescent="0.2">
      <c r="A5212">
        <v>1537</v>
      </c>
      <c r="B5212" t="s">
        <v>15527</v>
      </c>
      <c r="C5212">
        <v>4</v>
      </c>
      <c r="D5212">
        <v>3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 t="s">
        <v>3284</v>
      </c>
      <c r="M5212" t="s">
        <v>3327</v>
      </c>
      <c r="N5212" t="s">
        <v>3328</v>
      </c>
      <c r="O5212" t="s">
        <v>4184</v>
      </c>
      <c r="P5212" t="s">
        <v>4185</v>
      </c>
      <c r="Q5212" t="s">
        <v>6781</v>
      </c>
      <c r="R5212" t="s">
        <v>15528</v>
      </c>
    </row>
    <row r="5213" spans="1:18" x14ac:dyDescent="0.2">
      <c r="A5213">
        <v>1536</v>
      </c>
      <c r="B5213" t="s">
        <v>15529</v>
      </c>
      <c r="C5213">
        <v>1</v>
      </c>
      <c r="D5213">
        <v>4</v>
      </c>
      <c r="E5213">
        <v>3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 t="s">
        <v>3284</v>
      </c>
      <c r="M5213" t="s">
        <v>3327</v>
      </c>
      <c r="N5213" t="s">
        <v>3328</v>
      </c>
      <c r="O5213" t="s">
        <v>3329</v>
      </c>
      <c r="P5213" t="s">
        <v>3330</v>
      </c>
      <c r="Q5213" t="s">
        <v>9629</v>
      </c>
      <c r="R5213" t="s">
        <v>15530</v>
      </c>
    </row>
    <row r="5214" spans="1:18" x14ac:dyDescent="0.2">
      <c r="A5214">
        <v>1534</v>
      </c>
      <c r="B5214" t="s">
        <v>15531</v>
      </c>
      <c r="C5214">
        <v>3</v>
      </c>
      <c r="D5214">
        <v>5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 t="s">
        <v>3284</v>
      </c>
      <c r="M5214" t="s">
        <v>3327</v>
      </c>
      <c r="N5214" t="s">
        <v>3328</v>
      </c>
      <c r="O5214" t="s">
        <v>3329</v>
      </c>
      <c r="P5214" t="s">
        <v>3330</v>
      </c>
      <c r="Q5214" t="s">
        <v>3331</v>
      </c>
      <c r="R5214" t="s">
        <v>15532</v>
      </c>
    </row>
    <row r="5215" spans="1:18" x14ac:dyDescent="0.2">
      <c r="A5215">
        <v>1533</v>
      </c>
      <c r="B5215" t="s">
        <v>15533</v>
      </c>
      <c r="C5215">
        <v>10</v>
      </c>
      <c r="D5215">
        <v>11</v>
      </c>
      <c r="E5215">
        <v>11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 t="s">
        <v>3284</v>
      </c>
      <c r="M5215" t="s">
        <v>3327</v>
      </c>
      <c r="N5215" t="s">
        <v>3328</v>
      </c>
      <c r="O5215" t="s">
        <v>3329</v>
      </c>
      <c r="P5215" t="s">
        <v>3330</v>
      </c>
      <c r="Q5215" t="s">
        <v>3331</v>
      </c>
      <c r="R5215" t="s">
        <v>15534</v>
      </c>
    </row>
    <row r="5216" spans="1:18" x14ac:dyDescent="0.2">
      <c r="A5216">
        <v>1529</v>
      </c>
      <c r="B5216" t="s">
        <v>15535</v>
      </c>
      <c r="C5216">
        <v>1</v>
      </c>
      <c r="D5216">
        <v>2</v>
      </c>
      <c r="E5216">
        <v>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 t="s">
        <v>3284</v>
      </c>
      <c r="M5216" t="s">
        <v>3327</v>
      </c>
      <c r="N5216" t="s">
        <v>3328</v>
      </c>
      <c r="O5216" t="s">
        <v>3329</v>
      </c>
      <c r="P5216" t="s">
        <v>3330</v>
      </c>
      <c r="Q5216" t="s">
        <v>3331</v>
      </c>
      <c r="R5216" t="s">
        <v>15536</v>
      </c>
    </row>
    <row r="5217" spans="1:18" x14ac:dyDescent="0.2">
      <c r="A5217">
        <v>1521</v>
      </c>
      <c r="B5217" t="s">
        <v>15537</v>
      </c>
      <c r="C5217">
        <v>0</v>
      </c>
      <c r="D5217">
        <v>1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 t="s">
        <v>3284</v>
      </c>
      <c r="M5217" t="s">
        <v>3327</v>
      </c>
      <c r="N5217" t="s">
        <v>3328</v>
      </c>
      <c r="O5217" t="s">
        <v>3329</v>
      </c>
      <c r="P5217" t="s">
        <v>4620</v>
      </c>
      <c r="Q5217" t="s">
        <v>8515</v>
      </c>
      <c r="R5217" t="s">
        <v>15538</v>
      </c>
    </row>
    <row r="5218" spans="1:18" x14ac:dyDescent="0.2">
      <c r="A5218">
        <v>1520</v>
      </c>
      <c r="B5218" t="s">
        <v>15539</v>
      </c>
      <c r="C5218">
        <v>9</v>
      </c>
      <c r="D5218">
        <v>9</v>
      </c>
      <c r="E5218">
        <v>3</v>
      </c>
      <c r="F5218">
        <v>0</v>
      </c>
      <c r="G5218">
        <v>0</v>
      </c>
      <c r="H5218">
        <v>0</v>
      </c>
      <c r="I5218">
        <v>1</v>
      </c>
      <c r="J5218">
        <v>2</v>
      </c>
      <c r="K5218">
        <v>1</v>
      </c>
      <c r="L5218" t="s">
        <v>3284</v>
      </c>
      <c r="M5218" t="s">
        <v>3327</v>
      </c>
      <c r="N5218" t="s">
        <v>3328</v>
      </c>
      <c r="O5218" t="s">
        <v>3329</v>
      </c>
      <c r="P5218" t="s">
        <v>3330</v>
      </c>
      <c r="Q5218" t="s">
        <v>3331</v>
      </c>
      <c r="R5218" t="s">
        <v>15540</v>
      </c>
    </row>
    <row r="5219" spans="1:18" x14ac:dyDescent="0.2">
      <c r="A5219">
        <v>1519</v>
      </c>
      <c r="B5219" t="s">
        <v>15541</v>
      </c>
      <c r="C5219">
        <v>4</v>
      </c>
      <c r="D5219">
        <v>1</v>
      </c>
      <c r="E5219">
        <v>3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 t="s">
        <v>3284</v>
      </c>
      <c r="M5219" t="s">
        <v>3327</v>
      </c>
      <c r="N5219" t="s">
        <v>3328</v>
      </c>
      <c r="O5219" t="s">
        <v>3329</v>
      </c>
      <c r="P5219" t="s">
        <v>3330</v>
      </c>
      <c r="Q5219" t="s">
        <v>3331</v>
      </c>
      <c r="R5219" t="s">
        <v>15542</v>
      </c>
    </row>
    <row r="5220" spans="1:18" x14ac:dyDescent="0.2">
      <c r="A5220">
        <v>1517</v>
      </c>
      <c r="B5220" t="s">
        <v>15543</v>
      </c>
      <c r="C5220">
        <v>1</v>
      </c>
      <c r="D5220">
        <v>0</v>
      </c>
      <c r="E5220">
        <v>1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 t="s">
        <v>3284</v>
      </c>
      <c r="M5220" t="s">
        <v>3327</v>
      </c>
      <c r="N5220" t="s">
        <v>3328</v>
      </c>
      <c r="O5220" t="s">
        <v>11143</v>
      </c>
      <c r="P5220" t="s">
        <v>11144</v>
      </c>
      <c r="Q5220" t="s">
        <v>11145</v>
      </c>
      <c r="R5220" t="s">
        <v>15544</v>
      </c>
    </row>
    <row r="5221" spans="1:18" x14ac:dyDescent="0.2">
      <c r="A5221">
        <v>1513</v>
      </c>
      <c r="B5221" t="s">
        <v>15545</v>
      </c>
      <c r="C5221">
        <v>5</v>
      </c>
      <c r="D5221">
        <v>2</v>
      </c>
      <c r="E5221">
        <v>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 t="s">
        <v>3284</v>
      </c>
      <c r="M5221" t="s">
        <v>3327</v>
      </c>
      <c r="N5221" t="s">
        <v>3328</v>
      </c>
      <c r="O5221" t="s">
        <v>3329</v>
      </c>
      <c r="P5221" t="s">
        <v>3330</v>
      </c>
      <c r="Q5221" t="s">
        <v>3331</v>
      </c>
      <c r="R5221" t="s">
        <v>15546</v>
      </c>
    </row>
    <row r="5222" spans="1:18" x14ac:dyDescent="0.2">
      <c r="A5222">
        <v>1509</v>
      </c>
      <c r="B5222" t="s">
        <v>15547</v>
      </c>
      <c r="C5222">
        <v>10</v>
      </c>
      <c r="D5222">
        <v>10</v>
      </c>
      <c r="E5222">
        <v>6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 t="s">
        <v>3284</v>
      </c>
      <c r="M5222" t="s">
        <v>3327</v>
      </c>
      <c r="N5222" t="s">
        <v>3328</v>
      </c>
      <c r="O5222" t="s">
        <v>3329</v>
      </c>
      <c r="P5222" t="s">
        <v>3330</v>
      </c>
      <c r="Q5222" t="s">
        <v>3331</v>
      </c>
      <c r="R5222" t="s">
        <v>15548</v>
      </c>
    </row>
    <row r="5223" spans="1:18" x14ac:dyDescent="0.2">
      <c r="A5223">
        <v>1506</v>
      </c>
      <c r="B5223" t="s">
        <v>15549</v>
      </c>
      <c r="C5223">
        <v>359</v>
      </c>
      <c r="D5223">
        <v>343</v>
      </c>
      <c r="E5223">
        <v>176</v>
      </c>
      <c r="F5223">
        <v>0</v>
      </c>
      <c r="G5223">
        <v>0</v>
      </c>
      <c r="H5223">
        <v>0</v>
      </c>
      <c r="I5223">
        <v>3</v>
      </c>
      <c r="J5223">
        <v>3</v>
      </c>
      <c r="K5223">
        <v>3</v>
      </c>
      <c r="L5223" t="s">
        <v>3284</v>
      </c>
      <c r="M5223" t="s">
        <v>3327</v>
      </c>
      <c r="N5223" t="s">
        <v>3328</v>
      </c>
      <c r="O5223" t="s">
        <v>3329</v>
      </c>
      <c r="P5223" t="s">
        <v>3330</v>
      </c>
      <c r="Q5223" t="s">
        <v>3331</v>
      </c>
      <c r="R5223" t="s">
        <v>15550</v>
      </c>
    </row>
    <row r="5224" spans="1:18" x14ac:dyDescent="0.2">
      <c r="A5224">
        <v>1505</v>
      </c>
      <c r="B5224" t="s">
        <v>15551</v>
      </c>
      <c r="C5224">
        <v>4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 t="s">
        <v>3284</v>
      </c>
      <c r="M5224" t="s">
        <v>3327</v>
      </c>
      <c r="N5224" t="s">
        <v>3328</v>
      </c>
      <c r="O5224" t="s">
        <v>4184</v>
      </c>
      <c r="P5224" t="s">
        <v>4185</v>
      </c>
      <c r="Q5224" t="s">
        <v>15349</v>
      </c>
      <c r="R5224" t="s">
        <v>15552</v>
      </c>
    </row>
    <row r="5225" spans="1:18" x14ac:dyDescent="0.2">
      <c r="A5225">
        <v>1504</v>
      </c>
      <c r="B5225" t="s">
        <v>15553</v>
      </c>
      <c r="C5225">
        <v>14</v>
      </c>
      <c r="D5225">
        <v>3</v>
      </c>
      <c r="E5225">
        <v>1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 t="s">
        <v>3284</v>
      </c>
      <c r="M5225" t="s">
        <v>3327</v>
      </c>
      <c r="N5225" t="s">
        <v>3328</v>
      </c>
      <c r="O5225" t="s">
        <v>3329</v>
      </c>
      <c r="P5225" t="s">
        <v>3330</v>
      </c>
      <c r="Q5225" t="s">
        <v>3331</v>
      </c>
      <c r="R5225" t="s">
        <v>15554</v>
      </c>
    </row>
    <row r="5226" spans="1:18" x14ac:dyDescent="0.2">
      <c r="A5226">
        <v>1503</v>
      </c>
      <c r="B5226" t="s">
        <v>15555</v>
      </c>
      <c r="C5226">
        <v>4</v>
      </c>
      <c r="D5226">
        <v>3</v>
      </c>
      <c r="E5226">
        <v>1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 t="s">
        <v>3284</v>
      </c>
      <c r="M5226" t="s">
        <v>3327</v>
      </c>
      <c r="N5226" t="s">
        <v>4384</v>
      </c>
      <c r="O5226" t="s">
        <v>4605</v>
      </c>
      <c r="P5226" t="s">
        <v>15176</v>
      </c>
      <c r="Q5226" t="s">
        <v>15506</v>
      </c>
      <c r="R5226" t="s">
        <v>15556</v>
      </c>
    </row>
    <row r="5227" spans="1:18" x14ac:dyDescent="0.2">
      <c r="A5227">
        <v>1502</v>
      </c>
      <c r="B5227" t="s">
        <v>15557</v>
      </c>
      <c r="C5227">
        <v>8</v>
      </c>
      <c r="D5227">
        <v>16</v>
      </c>
      <c r="E5227">
        <v>8</v>
      </c>
      <c r="F5227">
        <v>12</v>
      </c>
      <c r="G5227">
        <v>0</v>
      </c>
      <c r="H5227">
        <v>0</v>
      </c>
      <c r="I5227">
        <v>1</v>
      </c>
      <c r="J5227">
        <v>0</v>
      </c>
      <c r="K5227">
        <v>0</v>
      </c>
      <c r="L5227" t="s">
        <v>3284</v>
      </c>
      <c r="M5227" t="s">
        <v>3327</v>
      </c>
      <c r="N5227" t="s">
        <v>3328</v>
      </c>
      <c r="O5227" t="s">
        <v>3329</v>
      </c>
      <c r="P5227" t="s">
        <v>3330</v>
      </c>
      <c r="Q5227" t="s">
        <v>3331</v>
      </c>
      <c r="R5227" t="s">
        <v>15558</v>
      </c>
    </row>
    <row r="5228" spans="1:18" x14ac:dyDescent="0.2">
      <c r="A5228">
        <v>1501</v>
      </c>
      <c r="B5228" t="s">
        <v>15559</v>
      </c>
      <c r="C5228">
        <v>10</v>
      </c>
      <c r="D5228">
        <v>11</v>
      </c>
      <c r="E5228">
        <v>5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 t="s">
        <v>3284</v>
      </c>
      <c r="M5228" t="s">
        <v>3327</v>
      </c>
      <c r="N5228" t="s">
        <v>3328</v>
      </c>
      <c r="O5228" t="s">
        <v>3329</v>
      </c>
      <c r="P5228" t="s">
        <v>3330</v>
      </c>
      <c r="Q5228" t="s">
        <v>3331</v>
      </c>
      <c r="R5228" t="s">
        <v>15560</v>
      </c>
    </row>
    <row r="5229" spans="1:18" x14ac:dyDescent="0.2">
      <c r="A5229">
        <v>1499</v>
      </c>
      <c r="B5229" t="s">
        <v>15561</v>
      </c>
      <c r="C5229">
        <v>1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 t="s">
        <v>3284</v>
      </c>
      <c r="M5229" t="s">
        <v>3327</v>
      </c>
      <c r="N5229" t="s">
        <v>3328</v>
      </c>
      <c r="O5229" t="s">
        <v>3329</v>
      </c>
      <c r="P5229" t="s">
        <v>4620</v>
      </c>
      <c r="Q5229" t="s">
        <v>8515</v>
      </c>
      <c r="R5229" t="s">
        <v>15562</v>
      </c>
    </row>
    <row r="5230" spans="1:18" x14ac:dyDescent="0.2">
      <c r="A5230">
        <v>1498</v>
      </c>
      <c r="B5230" t="s">
        <v>15563</v>
      </c>
      <c r="C5230">
        <v>6</v>
      </c>
      <c r="D5230">
        <v>3</v>
      </c>
      <c r="E5230">
        <v>4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 t="s">
        <v>3284</v>
      </c>
      <c r="M5230" t="s">
        <v>3327</v>
      </c>
      <c r="N5230" t="s">
        <v>3328</v>
      </c>
      <c r="O5230" t="s">
        <v>3329</v>
      </c>
      <c r="P5230" t="s">
        <v>3330</v>
      </c>
      <c r="Q5230" t="s">
        <v>9629</v>
      </c>
      <c r="R5230" t="s">
        <v>15564</v>
      </c>
    </row>
    <row r="5231" spans="1:18" x14ac:dyDescent="0.2">
      <c r="A5231">
        <v>1497</v>
      </c>
      <c r="B5231" t="s">
        <v>15565</v>
      </c>
      <c r="C5231">
        <v>0</v>
      </c>
      <c r="D5231">
        <v>1</v>
      </c>
      <c r="E5231">
        <v>1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 t="s">
        <v>3284</v>
      </c>
      <c r="M5231" t="s">
        <v>3327</v>
      </c>
      <c r="N5231" t="s">
        <v>3328</v>
      </c>
      <c r="O5231" t="s">
        <v>3329</v>
      </c>
      <c r="P5231" t="s">
        <v>3330</v>
      </c>
      <c r="Q5231" t="s">
        <v>3331</v>
      </c>
      <c r="R5231" t="s">
        <v>15566</v>
      </c>
    </row>
    <row r="5232" spans="1:18" x14ac:dyDescent="0.2">
      <c r="A5232">
        <v>1496</v>
      </c>
      <c r="B5232" t="s">
        <v>15567</v>
      </c>
      <c r="C5232">
        <v>18</v>
      </c>
      <c r="D5232">
        <v>27</v>
      </c>
      <c r="E5232">
        <v>42</v>
      </c>
      <c r="F5232">
        <v>1</v>
      </c>
      <c r="G5232">
        <v>2</v>
      </c>
      <c r="H5232">
        <v>2</v>
      </c>
      <c r="I5232">
        <v>9</v>
      </c>
      <c r="J5232">
        <v>16</v>
      </c>
      <c r="K5232">
        <v>3</v>
      </c>
      <c r="L5232" t="s">
        <v>3284</v>
      </c>
      <c r="M5232" t="s">
        <v>3327</v>
      </c>
      <c r="N5232" t="s">
        <v>3328</v>
      </c>
      <c r="O5232" t="s">
        <v>4184</v>
      </c>
      <c r="P5232" t="s">
        <v>4185</v>
      </c>
      <c r="Q5232" t="s">
        <v>15568</v>
      </c>
      <c r="R5232" t="s">
        <v>15569</v>
      </c>
    </row>
    <row r="5233" spans="1:18" x14ac:dyDescent="0.2">
      <c r="A5233">
        <v>1495</v>
      </c>
      <c r="B5233" t="s">
        <v>15570</v>
      </c>
      <c r="C5233">
        <v>3</v>
      </c>
      <c r="D5233">
        <v>0</v>
      </c>
      <c r="E5233">
        <v>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 t="s">
        <v>3284</v>
      </c>
      <c r="M5233" t="s">
        <v>3327</v>
      </c>
      <c r="N5233" t="s">
        <v>3328</v>
      </c>
      <c r="O5233" t="s">
        <v>3329</v>
      </c>
      <c r="P5233" t="s">
        <v>3330</v>
      </c>
      <c r="Q5233" t="s">
        <v>3331</v>
      </c>
      <c r="R5233" t="s">
        <v>15571</v>
      </c>
    </row>
    <row r="5234" spans="1:18" x14ac:dyDescent="0.2">
      <c r="A5234">
        <v>1494</v>
      </c>
      <c r="B5234" t="s">
        <v>15572</v>
      </c>
      <c r="C5234">
        <v>2</v>
      </c>
      <c r="D5234">
        <v>5</v>
      </c>
      <c r="E5234">
        <v>3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 t="s">
        <v>3284</v>
      </c>
      <c r="M5234" t="s">
        <v>3327</v>
      </c>
      <c r="N5234" t="s">
        <v>3328</v>
      </c>
      <c r="O5234" t="s">
        <v>3329</v>
      </c>
      <c r="P5234" t="s">
        <v>3330</v>
      </c>
      <c r="Q5234" t="s">
        <v>3331</v>
      </c>
      <c r="R5234" t="s">
        <v>15573</v>
      </c>
    </row>
    <row r="5235" spans="1:18" x14ac:dyDescent="0.2">
      <c r="A5235">
        <v>1493</v>
      </c>
      <c r="B5235" t="s">
        <v>15574</v>
      </c>
      <c r="C5235">
        <v>8</v>
      </c>
      <c r="D5235">
        <v>6</v>
      </c>
      <c r="E5235">
        <v>8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 t="s">
        <v>3284</v>
      </c>
      <c r="M5235" t="s">
        <v>3327</v>
      </c>
      <c r="N5235" t="s">
        <v>3328</v>
      </c>
      <c r="O5235" t="s">
        <v>3329</v>
      </c>
      <c r="P5235" t="s">
        <v>3330</v>
      </c>
      <c r="Q5235" t="s">
        <v>3331</v>
      </c>
      <c r="R5235" t="s">
        <v>15575</v>
      </c>
    </row>
    <row r="5236" spans="1:18" x14ac:dyDescent="0.2">
      <c r="A5236">
        <v>1492</v>
      </c>
      <c r="B5236" t="s">
        <v>15576</v>
      </c>
      <c r="C5236">
        <v>7</v>
      </c>
      <c r="D5236">
        <v>5</v>
      </c>
      <c r="E5236">
        <v>6</v>
      </c>
      <c r="F5236">
        <v>0</v>
      </c>
      <c r="G5236">
        <v>0</v>
      </c>
      <c r="H5236">
        <v>0</v>
      </c>
      <c r="I5236">
        <v>0</v>
      </c>
      <c r="J5236">
        <v>1</v>
      </c>
      <c r="K5236">
        <v>0</v>
      </c>
      <c r="L5236" t="s">
        <v>3284</v>
      </c>
      <c r="M5236" t="s">
        <v>3327</v>
      </c>
      <c r="N5236" t="s">
        <v>3328</v>
      </c>
      <c r="O5236" t="s">
        <v>3329</v>
      </c>
      <c r="P5236" t="s">
        <v>3330</v>
      </c>
      <c r="Q5236" t="s">
        <v>3331</v>
      </c>
      <c r="R5236" t="s">
        <v>15577</v>
      </c>
    </row>
    <row r="5237" spans="1:18" x14ac:dyDescent="0.2">
      <c r="A5237">
        <v>1491</v>
      </c>
      <c r="B5237" t="s">
        <v>15578</v>
      </c>
      <c r="C5237">
        <v>35</v>
      </c>
      <c r="D5237">
        <v>34</v>
      </c>
      <c r="E5237">
        <v>32</v>
      </c>
      <c r="F5237">
        <v>0</v>
      </c>
      <c r="G5237">
        <v>0</v>
      </c>
      <c r="H5237">
        <v>0</v>
      </c>
      <c r="I5237">
        <v>1</v>
      </c>
      <c r="J5237">
        <v>0</v>
      </c>
      <c r="K5237">
        <v>0</v>
      </c>
      <c r="L5237" t="s">
        <v>3284</v>
      </c>
      <c r="M5237" t="s">
        <v>3327</v>
      </c>
      <c r="N5237" t="s">
        <v>3328</v>
      </c>
      <c r="O5237" t="s">
        <v>3329</v>
      </c>
      <c r="P5237" t="s">
        <v>3330</v>
      </c>
      <c r="Q5237" t="s">
        <v>3331</v>
      </c>
      <c r="R5237" t="s">
        <v>15579</v>
      </c>
    </row>
    <row r="5238" spans="1:18" x14ac:dyDescent="0.2">
      <c r="A5238">
        <v>1490</v>
      </c>
      <c r="B5238" t="s">
        <v>15580</v>
      </c>
      <c r="C5238">
        <v>6</v>
      </c>
      <c r="D5238">
        <v>5</v>
      </c>
      <c r="E5238">
        <v>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 t="s">
        <v>3284</v>
      </c>
      <c r="M5238" t="s">
        <v>3327</v>
      </c>
      <c r="N5238" t="s">
        <v>3328</v>
      </c>
      <c r="O5238" t="s">
        <v>4184</v>
      </c>
      <c r="P5238" t="s">
        <v>4185</v>
      </c>
      <c r="Q5238" t="s">
        <v>15349</v>
      </c>
      <c r="R5238" t="s">
        <v>15581</v>
      </c>
    </row>
    <row r="5239" spans="1:18" x14ac:dyDescent="0.2">
      <c r="A5239">
        <v>1458</v>
      </c>
      <c r="B5239" t="s">
        <v>15582</v>
      </c>
      <c r="C5239">
        <v>0</v>
      </c>
      <c r="D5239">
        <v>0</v>
      </c>
      <c r="E5239">
        <v>1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 t="s">
        <v>3284</v>
      </c>
      <c r="M5239" t="s">
        <v>3327</v>
      </c>
      <c r="N5239" t="s">
        <v>3376</v>
      </c>
      <c r="O5239" t="s">
        <v>3377</v>
      </c>
      <c r="P5239" t="s">
        <v>3378</v>
      </c>
      <c r="Q5239" t="s">
        <v>6184</v>
      </c>
      <c r="R5239" t="s">
        <v>15583</v>
      </c>
    </row>
    <row r="5240" spans="1:18" x14ac:dyDescent="0.2">
      <c r="A5240">
        <v>1454</v>
      </c>
      <c r="B5240" t="s">
        <v>15584</v>
      </c>
      <c r="C5240">
        <v>1</v>
      </c>
      <c r="D5240">
        <v>0</v>
      </c>
      <c r="E5240">
        <v>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 t="s">
        <v>3284</v>
      </c>
      <c r="M5240" t="s">
        <v>3327</v>
      </c>
      <c r="N5240" t="s">
        <v>3376</v>
      </c>
      <c r="O5240" t="s">
        <v>3377</v>
      </c>
      <c r="P5240" t="s">
        <v>3378</v>
      </c>
      <c r="Q5240" t="s">
        <v>15585</v>
      </c>
      <c r="R5240" t="s">
        <v>15586</v>
      </c>
    </row>
    <row r="5241" spans="1:18" x14ac:dyDescent="0.2">
      <c r="A5241">
        <v>1451</v>
      </c>
      <c r="B5241" t="s">
        <v>15587</v>
      </c>
      <c r="C5241">
        <v>1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1</v>
      </c>
      <c r="J5241">
        <v>0</v>
      </c>
      <c r="K5241">
        <v>0</v>
      </c>
      <c r="L5241" t="s">
        <v>3284</v>
      </c>
      <c r="M5241" t="s">
        <v>3327</v>
      </c>
      <c r="N5241" t="s">
        <v>3376</v>
      </c>
      <c r="O5241" t="s">
        <v>3377</v>
      </c>
      <c r="P5241" t="s">
        <v>3604</v>
      </c>
      <c r="Q5241" t="s">
        <v>3668</v>
      </c>
      <c r="R5241" t="s">
        <v>15588</v>
      </c>
    </row>
    <row r="5242" spans="1:18" x14ac:dyDescent="0.2">
      <c r="A5242">
        <v>1445</v>
      </c>
      <c r="B5242" t="s">
        <v>15589</v>
      </c>
      <c r="C5242">
        <v>1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 t="s">
        <v>3284</v>
      </c>
      <c r="M5242" t="s">
        <v>3327</v>
      </c>
      <c r="N5242" t="s">
        <v>3376</v>
      </c>
      <c r="O5242" t="s">
        <v>3377</v>
      </c>
      <c r="P5242" t="s">
        <v>3378</v>
      </c>
      <c r="Q5242" t="s">
        <v>5380</v>
      </c>
      <c r="R5242" t="s">
        <v>15590</v>
      </c>
    </row>
    <row r="5243" spans="1:18" x14ac:dyDescent="0.2">
      <c r="A5243">
        <v>1428</v>
      </c>
      <c r="B5243" t="s">
        <v>15591</v>
      </c>
      <c r="C5243">
        <v>0</v>
      </c>
      <c r="D5243">
        <v>3</v>
      </c>
      <c r="E5243">
        <v>0</v>
      </c>
      <c r="F5243">
        <v>0</v>
      </c>
      <c r="G5243">
        <v>0</v>
      </c>
      <c r="H5243">
        <v>1</v>
      </c>
      <c r="I5243">
        <v>78</v>
      </c>
      <c r="J5243">
        <v>63</v>
      </c>
      <c r="K5243">
        <v>81</v>
      </c>
      <c r="L5243" t="s">
        <v>3284</v>
      </c>
      <c r="M5243" t="s">
        <v>3327</v>
      </c>
      <c r="N5243" t="s">
        <v>3376</v>
      </c>
      <c r="O5243" t="s">
        <v>3377</v>
      </c>
      <c r="P5243" t="s">
        <v>3378</v>
      </c>
      <c r="Q5243" t="s">
        <v>3379</v>
      </c>
      <c r="R5243" t="s">
        <v>15592</v>
      </c>
    </row>
    <row r="5244" spans="1:18" x14ac:dyDescent="0.2">
      <c r="A5244">
        <v>1423</v>
      </c>
      <c r="B5244" t="s">
        <v>15593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1</v>
      </c>
      <c r="K5244">
        <v>0</v>
      </c>
      <c r="L5244" t="s">
        <v>3284</v>
      </c>
      <c r="M5244" t="s">
        <v>3327</v>
      </c>
      <c r="N5244" t="s">
        <v>3376</v>
      </c>
      <c r="O5244" t="s">
        <v>3377</v>
      </c>
      <c r="P5244" t="s">
        <v>3378</v>
      </c>
      <c r="Q5244" t="s">
        <v>3379</v>
      </c>
      <c r="R5244" t="s">
        <v>15594</v>
      </c>
    </row>
    <row r="5245" spans="1:18" x14ac:dyDescent="0.2">
      <c r="A5245">
        <v>1421</v>
      </c>
      <c r="B5245" t="s">
        <v>15595</v>
      </c>
      <c r="C5245">
        <v>15</v>
      </c>
      <c r="D5245">
        <v>3</v>
      </c>
      <c r="E5245">
        <v>13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 t="s">
        <v>3284</v>
      </c>
      <c r="M5245" t="s">
        <v>3327</v>
      </c>
      <c r="N5245" t="s">
        <v>3376</v>
      </c>
      <c r="O5245" t="s">
        <v>3377</v>
      </c>
      <c r="P5245" t="s">
        <v>3378</v>
      </c>
      <c r="Q5245" t="s">
        <v>5755</v>
      </c>
      <c r="R5245" t="s">
        <v>15596</v>
      </c>
    </row>
    <row r="5246" spans="1:18" x14ac:dyDescent="0.2">
      <c r="A5246">
        <v>1418</v>
      </c>
      <c r="B5246" t="s">
        <v>15597</v>
      </c>
      <c r="C5246">
        <v>0</v>
      </c>
      <c r="D5246">
        <v>1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 t="s">
        <v>3284</v>
      </c>
      <c r="M5246" t="s">
        <v>3327</v>
      </c>
      <c r="N5246" t="s">
        <v>3376</v>
      </c>
      <c r="O5246" t="s">
        <v>3377</v>
      </c>
      <c r="P5246" t="s">
        <v>3378</v>
      </c>
      <c r="Q5246" t="s">
        <v>15598</v>
      </c>
      <c r="R5246" t="s">
        <v>15599</v>
      </c>
    </row>
    <row r="5247" spans="1:18" x14ac:dyDescent="0.2">
      <c r="A5247">
        <v>1405</v>
      </c>
      <c r="B5247" t="s">
        <v>15600</v>
      </c>
      <c r="C5247">
        <v>0</v>
      </c>
      <c r="D5247">
        <v>0</v>
      </c>
      <c r="E5247">
        <v>1</v>
      </c>
      <c r="F5247">
        <v>0</v>
      </c>
      <c r="G5247">
        <v>0</v>
      </c>
      <c r="H5247">
        <v>1</v>
      </c>
      <c r="I5247">
        <v>13</v>
      </c>
      <c r="J5247">
        <v>8</v>
      </c>
      <c r="K5247">
        <v>7</v>
      </c>
      <c r="L5247" t="s">
        <v>3284</v>
      </c>
      <c r="M5247" t="s">
        <v>3327</v>
      </c>
      <c r="N5247" t="s">
        <v>3376</v>
      </c>
      <c r="O5247" t="s">
        <v>3377</v>
      </c>
      <c r="P5247" t="s">
        <v>3378</v>
      </c>
      <c r="Q5247" t="s">
        <v>3379</v>
      </c>
      <c r="R5247" t="s">
        <v>15601</v>
      </c>
    </row>
    <row r="5248" spans="1:18" x14ac:dyDescent="0.2">
      <c r="A5248">
        <v>1404</v>
      </c>
      <c r="B5248" t="s">
        <v>15602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1</v>
      </c>
      <c r="J5248">
        <v>2</v>
      </c>
      <c r="K5248">
        <v>1</v>
      </c>
      <c r="L5248" t="s">
        <v>3284</v>
      </c>
      <c r="M5248" t="s">
        <v>3327</v>
      </c>
      <c r="N5248" t="s">
        <v>3376</v>
      </c>
      <c r="O5248" t="s">
        <v>3377</v>
      </c>
      <c r="P5248" t="s">
        <v>3378</v>
      </c>
      <c r="Q5248" t="s">
        <v>13914</v>
      </c>
      <c r="R5248" t="s">
        <v>15603</v>
      </c>
    </row>
    <row r="5249" spans="1:18" x14ac:dyDescent="0.2">
      <c r="A5249">
        <v>1401</v>
      </c>
      <c r="B5249" t="s">
        <v>15604</v>
      </c>
      <c r="C5249">
        <v>0</v>
      </c>
      <c r="D5249">
        <v>0</v>
      </c>
      <c r="E5249">
        <v>1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 t="s">
        <v>3284</v>
      </c>
      <c r="M5249" t="s">
        <v>3327</v>
      </c>
      <c r="N5249" t="s">
        <v>3376</v>
      </c>
      <c r="O5249" t="s">
        <v>3377</v>
      </c>
      <c r="P5249" t="s">
        <v>3604</v>
      </c>
      <c r="Q5249" t="s">
        <v>3668</v>
      </c>
      <c r="R5249" t="s">
        <v>15605</v>
      </c>
    </row>
    <row r="5250" spans="1:18" x14ac:dyDescent="0.2">
      <c r="A5250">
        <v>1399</v>
      </c>
      <c r="B5250" t="s">
        <v>15606</v>
      </c>
      <c r="C5250">
        <v>1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 t="s">
        <v>3284</v>
      </c>
      <c r="M5250" t="s">
        <v>3327</v>
      </c>
      <c r="N5250" t="s">
        <v>3376</v>
      </c>
      <c r="O5250" t="s">
        <v>3377</v>
      </c>
      <c r="P5250" t="s">
        <v>3378</v>
      </c>
      <c r="Q5250" t="s">
        <v>3583</v>
      </c>
      <c r="R5250" t="s">
        <v>15607</v>
      </c>
    </row>
    <row r="5251" spans="1:18" x14ac:dyDescent="0.2">
      <c r="A5251">
        <v>1396</v>
      </c>
      <c r="B5251" t="s">
        <v>15608</v>
      </c>
      <c r="C5251">
        <v>5</v>
      </c>
      <c r="D5251">
        <v>8</v>
      </c>
      <c r="E5251">
        <v>135</v>
      </c>
      <c r="F5251">
        <v>23</v>
      </c>
      <c r="G5251">
        <v>17</v>
      </c>
      <c r="H5251">
        <v>171</v>
      </c>
      <c r="I5251">
        <v>122</v>
      </c>
      <c r="J5251">
        <v>83</v>
      </c>
      <c r="K5251">
        <v>242</v>
      </c>
      <c r="L5251" t="s">
        <v>3284</v>
      </c>
      <c r="M5251" t="s">
        <v>3327</v>
      </c>
      <c r="N5251" t="s">
        <v>3376</v>
      </c>
      <c r="O5251" t="s">
        <v>3377</v>
      </c>
      <c r="P5251" t="s">
        <v>3378</v>
      </c>
      <c r="Q5251" t="s">
        <v>3379</v>
      </c>
      <c r="R5251" t="s">
        <v>15609</v>
      </c>
    </row>
    <row r="5252" spans="1:18" x14ac:dyDescent="0.2">
      <c r="A5252">
        <v>1393</v>
      </c>
      <c r="B5252" t="s">
        <v>15610</v>
      </c>
      <c r="C5252">
        <v>3</v>
      </c>
      <c r="D5252">
        <v>0</v>
      </c>
      <c r="E5252">
        <v>98</v>
      </c>
      <c r="F5252">
        <v>15</v>
      </c>
      <c r="G5252">
        <v>9</v>
      </c>
      <c r="H5252">
        <v>278</v>
      </c>
      <c r="I5252">
        <v>7</v>
      </c>
      <c r="J5252">
        <v>5</v>
      </c>
      <c r="K5252">
        <v>168</v>
      </c>
      <c r="L5252" t="s">
        <v>3284</v>
      </c>
      <c r="M5252" t="s">
        <v>3327</v>
      </c>
      <c r="N5252" t="s">
        <v>3376</v>
      </c>
      <c r="O5252" t="s">
        <v>3377</v>
      </c>
      <c r="P5252" t="s">
        <v>3604</v>
      </c>
      <c r="Q5252" t="s">
        <v>3605</v>
      </c>
      <c r="R5252" t="s">
        <v>15611</v>
      </c>
    </row>
    <row r="5253" spans="1:18" x14ac:dyDescent="0.2">
      <c r="A5253">
        <v>1392</v>
      </c>
      <c r="B5253" t="s">
        <v>15612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1</v>
      </c>
      <c r="J5253">
        <v>4</v>
      </c>
      <c r="K5253">
        <v>2</v>
      </c>
      <c r="L5253" t="s">
        <v>3284</v>
      </c>
      <c r="M5253" t="s">
        <v>3327</v>
      </c>
      <c r="N5253" t="s">
        <v>3376</v>
      </c>
      <c r="O5253" t="s">
        <v>3377</v>
      </c>
      <c r="P5253" t="s">
        <v>3378</v>
      </c>
      <c r="Q5253" t="s">
        <v>3379</v>
      </c>
      <c r="R5253" t="s">
        <v>15613</v>
      </c>
    </row>
    <row r="5254" spans="1:18" x14ac:dyDescent="0.2">
      <c r="A5254">
        <v>1363</v>
      </c>
      <c r="B5254" t="s">
        <v>15614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2</v>
      </c>
      <c r="J5254">
        <v>1</v>
      </c>
      <c r="K5254">
        <v>0</v>
      </c>
      <c r="L5254" t="s">
        <v>3284</v>
      </c>
      <c r="M5254" t="s">
        <v>3327</v>
      </c>
      <c r="N5254" t="s">
        <v>3376</v>
      </c>
      <c r="O5254" t="s">
        <v>3718</v>
      </c>
      <c r="P5254" t="s">
        <v>14890</v>
      </c>
      <c r="Q5254" t="s">
        <v>15615</v>
      </c>
      <c r="R5254" t="s">
        <v>15616</v>
      </c>
    </row>
    <row r="5255" spans="1:18" x14ac:dyDescent="0.2">
      <c r="A5255">
        <v>1352</v>
      </c>
      <c r="B5255" t="s">
        <v>15617</v>
      </c>
      <c r="C5255">
        <v>1</v>
      </c>
      <c r="D5255">
        <v>1</v>
      </c>
      <c r="E5255">
        <v>2</v>
      </c>
      <c r="F5255">
        <v>0</v>
      </c>
      <c r="G5255">
        <v>0</v>
      </c>
      <c r="H5255">
        <v>1</v>
      </c>
      <c r="I5255">
        <v>0</v>
      </c>
      <c r="J5255">
        <v>0</v>
      </c>
      <c r="K5255">
        <v>0</v>
      </c>
      <c r="L5255" t="s">
        <v>3284</v>
      </c>
      <c r="M5255" t="s">
        <v>3327</v>
      </c>
      <c r="N5255" t="s">
        <v>3376</v>
      </c>
      <c r="O5255" t="s">
        <v>3718</v>
      </c>
      <c r="P5255" t="s">
        <v>6044</v>
      </c>
      <c r="Q5255" t="s">
        <v>6045</v>
      </c>
      <c r="R5255" t="s">
        <v>15618</v>
      </c>
    </row>
    <row r="5256" spans="1:18" x14ac:dyDescent="0.2">
      <c r="A5256">
        <v>1351</v>
      </c>
      <c r="B5256" t="s">
        <v>15619</v>
      </c>
      <c r="C5256">
        <v>5</v>
      </c>
      <c r="D5256">
        <v>12</v>
      </c>
      <c r="E5256">
        <v>658</v>
      </c>
      <c r="F5256">
        <v>9</v>
      </c>
      <c r="G5256">
        <v>8</v>
      </c>
      <c r="H5256">
        <v>298</v>
      </c>
      <c r="I5256">
        <v>7</v>
      </c>
      <c r="J5256">
        <v>6</v>
      </c>
      <c r="K5256">
        <v>327</v>
      </c>
      <c r="L5256" t="s">
        <v>3284</v>
      </c>
      <c r="M5256" t="s">
        <v>3327</v>
      </c>
      <c r="N5256" t="s">
        <v>3376</v>
      </c>
      <c r="O5256" t="s">
        <v>3718</v>
      </c>
      <c r="P5256" t="s">
        <v>6044</v>
      </c>
      <c r="Q5256" t="s">
        <v>6045</v>
      </c>
      <c r="R5256" t="s">
        <v>15620</v>
      </c>
    </row>
    <row r="5257" spans="1:18" x14ac:dyDescent="0.2">
      <c r="A5257">
        <v>1336</v>
      </c>
      <c r="B5257" t="s">
        <v>15621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1</v>
      </c>
      <c r="I5257">
        <v>0</v>
      </c>
      <c r="J5257">
        <v>0</v>
      </c>
      <c r="K5257">
        <v>5</v>
      </c>
      <c r="L5257" t="s">
        <v>3284</v>
      </c>
      <c r="M5257" t="s">
        <v>3327</v>
      </c>
      <c r="N5257" t="s">
        <v>3376</v>
      </c>
      <c r="O5257" t="s">
        <v>3718</v>
      </c>
      <c r="P5257" t="s">
        <v>14890</v>
      </c>
      <c r="Q5257" t="s">
        <v>14891</v>
      </c>
      <c r="R5257" t="s">
        <v>15622</v>
      </c>
    </row>
    <row r="5258" spans="1:18" x14ac:dyDescent="0.2">
      <c r="A5258">
        <v>1307</v>
      </c>
      <c r="B5258" t="s">
        <v>15623</v>
      </c>
      <c r="C5258">
        <v>6</v>
      </c>
      <c r="D5258">
        <v>10</v>
      </c>
      <c r="E5258">
        <v>30</v>
      </c>
      <c r="F5258">
        <v>6</v>
      </c>
      <c r="G5258">
        <v>16</v>
      </c>
      <c r="H5258">
        <v>30</v>
      </c>
      <c r="I5258">
        <v>6</v>
      </c>
      <c r="J5258">
        <v>7</v>
      </c>
      <c r="K5258">
        <v>25</v>
      </c>
      <c r="L5258" t="s">
        <v>3284</v>
      </c>
      <c r="M5258" t="s">
        <v>3327</v>
      </c>
      <c r="N5258" t="s">
        <v>3376</v>
      </c>
      <c r="O5258" t="s">
        <v>3718</v>
      </c>
      <c r="P5258" t="s">
        <v>14890</v>
      </c>
      <c r="Q5258" t="s">
        <v>14891</v>
      </c>
      <c r="R5258" t="s">
        <v>15624</v>
      </c>
    </row>
    <row r="5259" spans="1:18" x14ac:dyDescent="0.2">
      <c r="A5259">
        <v>1283</v>
      </c>
      <c r="B5259" t="s">
        <v>15625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1</v>
      </c>
      <c r="K5259">
        <v>1</v>
      </c>
      <c r="L5259" t="s">
        <v>3284</v>
      </c>
      <c r="M5259" t="s">
        <v>3327</v>
      </c>
      <c r="N5259" t="s">
        <v>3376</v>
      </c>
      <c r="O5259" t="s">
        <v>3377</v>
      </c>
      <c r="P5259" t="s">
        <v>4681</v>
      </c>
      <c r="Q5259" t="s">
        <v>4682</v>
      </c>
      <c r="R5259" t="s">
        <v>15626</v>
      </c>
    </row>
    <row r="5260" spans="1:18" x14ac:dyDescent="0.2">
      <c r="A5260">
        <v>1280</v>
      </c>
      <c r="B5260" t="s">
        <v>15627</v>
      </c>
      <c r="C5260">
        <v>6</v>
      </c>
      <c r="D5260">
        <v>5</v>
      </c>
      <c r="E5260">
        <v>45</v>
      </c>
      <c r="F5260">
        <v>7</v>
      </c>
      <c r="G5260">
        <v>5</v>
      </c>
      <c r="H5260">
        <v>36</v>
      </c>
      <c r="I5260">
        <v>19</v>
      </c>
      <c r="J5260">
        <v>13</v>
      </c>
      <c r="K5260">
        <v>87</v>
      </c>
      <c r="L5260" t="s">
        <v>3284</v>
      </c>
      <c r="M5260" t="s">
        <v>3327</v>
      </c>
      <c r="N5260" t="s">
        <v>3376</v>
      </c>
      <c r="O5260" t="s">
        <v>3377</v>
      </c>
      <c r="P5260" t="s">
        <v>4681</v>
      </c>
      <c r="Q5260" t="s">
        <v>4682</v>
      </c>
      <c r="R5260" t="s">
        <v>15628</v>
      </c>
    </row>
    <row r="5261" spans="1:18" x14ac:dyDescent="0.2">
      <c r="A5261">
        <v>1267</v>
      </c>
      <c r="B5261" t="s">
        <v>15629</v>
      </c>
      <c r="C5261">
        <v>0</v>
      </c>
      <c r="D5261">
        <v>0</v>
      </c>
      <c r="E5261">
        <v>1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 t="s">
        <v>3284</v>
      </c>
      <c r="M5261" t="s">
        <v>3327</v>
      </c>
      <c r="N5261" t="s">
        <v>3328</v>
      </c>
      <c r="O5261" t="s">
        <v>3329</v>
      </c>
      <c r="P5261" t="s">
        <v>3330</v>
      </c>
      <c r="Q5261" t="s">
        <v>15630</v>
      </c>
      <c r="R5261" t="s">
        <v>15631</v>
      </c>
    </row>
    <row r="5262" spans="1:18" x14ac:dyDescent="0.2">
      <c r="A5262">
        <v>1252</v>
      </c>
      <c r="B5262" t="s">
        <v>15632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1</v>
      </c>
      <c r="J5262">
        <v>0</v>
      </c>
      <c r="K5262">
        <v>0</v>
      </c>
      <c r="L5262" t="s">
        <v>3284</v>
      </c>
      <c r="M5262" t="s">
        <v>3327</v>
      </c>
      <c r="N5262" t="s">
        <v>3376</v>
      </c>
      <c r="O5262" t="s">
        <v>3718</v>
      </c>
      <c r="P5262" t="s">
        <v>9461</v>
      </c>
      <c r="Q5262" t="s">
        <v>15633</v>
      </c>
      <c r="R5262" t="s">
        <v>15634</v>
      </c>
    </row>
    <row r="5263" spans="1:18" x14ac:dyDescent="0.2">
      <c r="A5263">
        <v>1180</v>
      </c>
      <c r="B5263" t="s">
        <v>15635</v>
      </c>
      <c r="C5263">
        <v>1</v>
      </c>
      <c r="D5263">
        <v>0</v>
      </c>
      <c r="E5263">
        <v>1</v>
      </c>
      <c r="F5263">
        <v>0</v>
      </c>
      <c r="G5263">
        <v>1</v>
      </c>
      <c r="H5263">
        <v>0</v>
      </c>
      <c r="I5263">
        <v>0</v>
      </c>
      <c r="J5263">
        <v>0</v>
      </c>
      <c r="K5263">
        <v>4</v>
      </c>
      <c r="L5263" t="s">
        <v>3284</v>
      </c>
      <c r="M5263" t="s">
        <v>4022</v>
      </c>
      <c r="N5263" t="s">
        <v>4023</v>
      </c>
      <c r="O5263" t="s">
        <v>4289</v>
      </c>
      <c r="P5263" t="s">
        <v>4563</v>
      </c>
      <c r="Q5263" t="s">
        <v>4564</v>
      </c>
      <c r="R5263" t="s">
        <v>15636</v>
      </c>
    </row>
    <row r="5264" spans="1:18" x14ac:dyDescent="0.2">
      <c r="A5264">
        <v>1126</v>
      </c>
      <c r="B5264" t="s">
        <v>15637</v>
      </c>
      <c r="C5264">
        <v>0</v>
      </c>
      <c r="D5264">
        <v>0</v>
      </c>
      <c r="E5264">
        <v>0</v>
      </c>
      <c r="F5264">
        <v>1</v>
      </c>
      <c r="G5264">
        <v>0</v>
      </c>
      <c r="H5264">
        <v>0</v>
      </c>
      <c r="I5264">
        <v>0</v>
      </c>
      <c r="J5264">
        <v>0</v>
      </c>
      <c r="K5264">
        <v>0</v>
      </c>
      <c r="L5264" t="s">
        <v>3284</v>
      </c>
      <c r="M5264" t="s">
        <v>4022</v>
      </c>
      <c r="N5264" t="s">
        <v>4023</v>
      </c>
      <c r="O5264" t="s">
        <v>6944</v>
      </c>
      <c r="P5264" t="s">
        <v>6945</v>
      </c>
      <c r="Q5264" t="s">
        <v>6946</v>
      </c>
      <c r="R5264" t="s">
        <v>15638</v>
      </c>
    </row>
    <row r="5265" spans="1:18" x14ac:dyDescent="0.2">
      <c r="A5265">
        <v>1083</v>
      </c>
      <c r="B5265" t="s">
        <v>15639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1</v>
      </c>
      <c r="J5265">
        <v>1</v>
      </c>
      <c r="K5265">
        <v>0</v>
      </c>
      <c r="L5265" t="s">
        <v>3284</v>
      </c>
      <c r="M5265" t="s">
        <v>3296</v>
      </c>
      <c r="N5265" t="s">
        <v>3343</v>
      </c>
      <c r="O5265" t="s">
        <v>3861</v>
      </c>
      <c r="P5265" t="s">
        <v>7264</v>
      </c>
      <c r="Q5265" t="s">
        <v>15640</v>
      </c>
      <c r="R5265" t="s">
        <v>15641</v>
      </c>
    </row>
    <row r="5266" spans="1:18" x14ac:dyDescent="0.2">
      <c r="A5266">
        <v>1078</v>
      </c>
      <c r="B5266" t="s">
        <v>15642</v>
      </c>
      <c r="C5266">
        <v>0</v>
      </c>
      <c r="D5266">
        <v>0</v>
      </c>
      <c r="E5266">
        <v>0</v>
      </c>
      <c r="F5266">
        <v>1</v>
      </c>
      <c r="G5266">
        <v>1</v>
      </c>
      <c r="H5266">
        <v>0</v>
      </c>
      <c r="I5266">
        <v>0</v>
      </c>
      <c r="J5266">
        <v>0</v>
      </c>
      <c r="K5266">
        <v>0</v>
      </c>
      <c r="L5266" t="s">
        <v>3284</v>
      </c>
      <c r="M5266" t="s">
        <v>3296</v>
      </c>
      <c r="N5266" t="s">
        <v>3343</v>
      </c>
      <c r="O5266" t="s">
        <v>3344</v>
      </c>
      <c r="P5266" t="s">
        <v>3937</v>
      </c>
      <c r="Q5266" t="s">
        <v>12697</v>
      </c>
      <c r="R5266" t="s">
        <v>15643</v>
      </c>
    </row>
    <row r="5267" spans="1:18" x14ac:dyDescent="0.2">
      <c r="A5267">
        <v>1074</v>
      </c>
      <c r="B5267" t="s">
        <v>15644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2</v>
      </c>
      <c r="J5267">
        <v>0</v>
      </c>
      <c r="K5267">
        <v>0</v>
      </c>
      <c r="L5267" t="s">
        <v>3284</v>
      </c>
      <c r="M5267" t="s">
        <v>3296</v>
      </c>
      <c r="N5267" t="s">
        <v>3343</v>
      </c>
      <c r="O5267" t="s">
        <v>3344</v>
      </c>
      <c r="P5267" t="s">
        <v>5524</v>
      </c>
      <c r="Q5267" t="s">
        <v>5525</v>
      </c>
      <c r="R5267" t="s">
        <v>15645</v>
      </c>
    </row>
    <row r="5268" spans="1:18" x14ac:dyDescent="0.2">
      <c r="A5268">
        <v>1066</v>
      </c>
      <c r="B5268" t="s">
        <v>15646</v>
      </c>
      <c r="C5268">
        <v>1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 t="s">
        <v>3284</v>
      </c>
      <c r="M5268" t="s">
        <v>3296</v>
      </c>
      <c r="N5268" t="s">
        <v>3321</v>
      </c>
      <c r="O5268" t="s">
        <v>4147</v>
      </c>
      <c r="P5268" t="s">
        <v>4164</v>
      </c>
      <c r="Q5268" t="s">
        <v>15647</v>
      </c>
      <c r="R5268" t="s">
        <v>15648</v>
      </c>
    </row>
    <row r="5269" spans="1:18" x14ac:dyDescent="0.2">
      <c r="A5269">
        <v>1061</v>
      </c>
      <c r="B5269" t="s">
        <v>15649</v>
      </c>
      <c r="C5269">
        <v>1</v>
      </c>
      <c r="D5269">
        <v>2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 t="s">
        <v>3284</v>
      </c>
      <c r="M5269" t="s">
        <v>3296</v>
      </c>
      <c r="N5269" t="s">
        <v>3343</v>
      </c>
      <c r="O5269" t="s">
        <v>3371</v>
      </c>
      <c r="P5269" t="s">
        <v>3271</v>
      </c>
      <c r="Q5269" t="s">
        <v>5409</v>
      </c>
      <c r="R5269" t="s">
        <v>15650</v>
      </c>
    </row>
    <row r="5270" spans="1:18" x14ac:dyDescent="0.2">
      <c r="A5270">
        <v>1054</v>
      </c>
      <c r="B5270" t="s">
        <v>15651</v>
      </c>
      <c r="C5270">
        <v>0</v>
      </c>
      <c r="D5270">
        <v>0</v>
      </c>
      <c r="E5270">
        <v>0</v>
      </c>
      <c r="F5270">
        <v>0</v>
      </c>
      <c r="G5270">
        <v>1</v>
      </c>
      <c r="H5270">
        <v>0</v>
      </c>
      <c r="I5270">
        <v>0</v>
      </c>
      <c r="J5270">
        <v>0</v>
      </c>
      <c r="K5270">
        <v>0</v>
      </c>
      <c r="L5270" t="s">
        <v>3284</v>
      </c>
      <c r="M5270" t="s">
        <v>3296</v>
      </c>
      <c r="N5270" t="s">
        <v>3297</v>
      </c>
      <c r="O5270" t="s">
        <v>4124</v>
      </c>
      <c r="P5270" t="s">
        <v>15652</v>
      </c>
      <c r="Q5270" t="s">
        <v>15653</v>
      </c>
      <c r="R5270" t="s">
        <v>15654</v>
      </c>
    </row>
    <row r="5271" spans="1:18" x14ac:dyDescent="0.2">
      <c r="A5271">
        <v>1042</v>
      </c>
      <c r="B5271" t="s">
        <v>15655</v>
      </c>
      <c r="C5271">
        <v>0</v>
      </c>
      <c r="D5271">
        <v>0</v>
      </c>
      <c r="E5271">
        <v>0</v>
      </c>
      <c r="F5271">
        <v>1</v>
      </c>
      <c r="G5271">
        <v>0</v>
      </c>
      <c r="H5271">
        <v>0</v>
      </c>
      <c r="I5271">
        <v>0</v>
      </c>
      <c r="J5271">
        <v>0</v>
      </c>
      <c r="K5271">
        <v>0</v>
      </c>
      <c r="L5271" t="s">
        <v>3284</v>
      </c>
      <c r="M5271" t="s">
        <v>3296</v>
      </c>
      <c r="N5271" t="s">
        <v>3343</v>
      </c>
      <c r="O5271" t="s">
        <v>3349</v>
      </c>
      <c r="P5271" t="s">
        <v>4285</v>
      </c>
      <c r="Q5271" t="s">
        <v>4403</v>
      </c>
      <c r="R5271" t="s">
        <v>15656</v>
      </c>
    </row>
    <row r="5272" spans="1:18" x14ac:dyDescent="0.2">
      <c r="A5272">
        <v>1034</v>
      </c>
      <c r="B5272" t="s">
        <v>15657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1</v>
      </c>
      <c r="J5272">
        <v>0</v>
      </c>
      <c r="K5272">
        <v>0</v>
      </c>
      <c r="L5272" t="s">
        <v>3284</v>
      </c>
      <c r="M5272" t="s">
        <v>3296</v>
      </c>
      <c r="N5272" t="s">
        <v>3343</v>
      </c>
      <c r="O5272" t="s">
        <v>3344</v>
      </c>
      <c r="P5272" t="s">
        <v>3937</v>
      </c>
      <c r="Q5272" t="s">
        <v>15161</v>
      </c>
      <c r="R5272" t="s">
        <v>15658</v>
      </c>
    </row>
    <row r="5273" spans="1:18" x14ac:dyDescent="0.2">
      <c r="A5273">
        <v>1003</v>
      </c>
      <c r="B5273" t="s">
        <v>15659</v>
      </c>
      <c r="C5273">
        <v>0</v>
      </c>
      <c r="D5273">
        <v>1</v>
      </c>
      <c r="E5273">
        <v>5</v>
      </c>
      <c r="F5273">
        <v>2</v>
      </c>
      <c r="G5273">
        <v>0</v>
      </c>
      <c r="H5273">
        <v>0</v>
      </c>
      <c r="I5273">
        <v>0</v>
      </c>
      <c r="J5273">
        <v>1</v>
      </c>
      <c r="K5273">
        <v>0</v>
      </c>
      <c r="L5273" t="s">
        <v>3284</v>
      </c>
      <c r="M5273" t="s">
        <v>3391</v>
      </c>
      <c r="N5273" t="s">
        <v>3740</v>
      </c>
      <c r="O5273" t="s">
        <v>3741</v>
      </c>
      <c r="P5273" t="s">
        <v>15660</v>
      </c>
      <c r="Q5273" t="s">
        <v>15661</v>
      </c>
      <c r="R5273" t="s">
        <v>15662</v>
      </c>
    </row>
    <row r="5274" spans="1:18" x14ac:dyDescent="0.2">
      <c r="A5274">
        <v>986</v>
      </c>
      <c r="B5274" t="s">
        <v>15663</v>
      </c>
      <c r="C5274">
        <v>0</v>
      </c>
      <c r="D5274">
        <v>0</v>
      </c>
      <c r="E5274">
        <v>0</v>
      </c>
      <c r="F5274">
        <v>15</v>
      </c>
      <c r="G5274">
        <v>7</v>
      </c>
      <c r="H5274">
        <v>0</v>
      </c>
      <c r="I5274">
        <v>0</v>
      </c>
      <c r="J5274">
        <v>0</v>
      </c>
      <c r="K5274">
        <v>0</v>
      </c>
      <c r="L5274" t="s">
        <v>3284</v>
      </c>
      <c r="M5274" t="s">
        <v>3391</v>
      </c>
      <c r="N5274" t="s">
        <v>3411</v>
      </c>
      <c r="O5274" t="s">
        <v>3412</v>
      </c>
      <c r="P5274" t="s">
        <v>3413</v>
      </c>
      <c r="Q5274" t="s">
        <v>3414</v>
      </c>
      <c r="R5274" t="s">
        <v>15664</v>
      </c>
    </row>
    <row r="5275" spans="1:18" x14ac:dyDescent="0.2">
      <c r="A5275">
        <v>983</v>
      </c>
      <c r="B5275" t="s">
        <v>15665</v>
      </c>
      <c r="C5275">
        <v>0</v>
      </c>
      <c r="D5275">
        <v>0</v>
      </c>
      <c r="E5275">
        <v>0</v>
      </c>
      <c r="F5275">
        <v>0</v>
      </c>
      <c r="G5275">
        <v>1</v>
      </c>
      <c r="H5275">
        <v>0</v>
      </c>
      <c r="I5275">
        <v>0</v>
      </c>
      <c r="J5275">
        <v>0</v>
      </c>
      <c r="K5275">
        <v>0</v>
      </c>
      <c r="L5275" t="s">
        <v>3284</v>
      </c>
      <c r="M5275" t="s">
        <v>3391</v>
      </c>
      <c r="N5275" t="s">
        <v>3411</v>
      </c>
      <c r="O5275" t="s">
        <v>3412</v>
      </c>
      <c r="P5275" t="s">
        <v>3413</v>
      </c>
      <c r="Q5275" t="s">
        <v>3414</v>
      </c>
      <c r="R5275" t="s">
        <v>15666</v>
      </c>
    </row>
    <row r="5276" spans="1:18" x14ac:dyDescent="0.2">
      <c r="A5276">
        <v>960</v>
      </c>
      <c r="B5276" t="s">
        <v>15667</v>
      </c>
      <c r="C5276">
        <v>10</v>
      </c>
      <c r="D5276">
        <v>10</v>
      </c>
      <c r="E5276">
        <v>0</v>
      </c>
      <c r="F5276">
        <v>69</v>
      </c>
      <c r="G5276">
        <v>57</v>
      </c>
      <c r="H5276">
        <v>1</v>
      </c>
      <c r="I5276">
        <v>3</v>
      </c>
      <c r="J5276">
        <v>0</v>
      </c>
      <c r="K5276">
        <v>0</v>
      </c>
      <c r="L5276" t="s">
        <v>3284</v>
      </c>
      <c r="M5276" t="s">
        <v>3285</v>
      </c>
      <c r="N5276" t="s">
        <v>3314</v>
      </c>
      <c r="O5276" t="s">
        <v>3315</v>
      </c>
      <c r="P5276" t="s">
        <v>3316</v>
      </c>
      <c r="Q5276" t="s">
        <v>4477</v>
      </c>
      <c r="R5276" t="s">
        <v>15668</v>
      </c>
    </row>
    <row r="5277" spans="1:18" x14ac:dyDescent="0.2">
      <c r="A5277">
        <v>959</v>
      </c>
      <c r="B5277" t="s">
        <v>15669</v>
      </c>
      <c r="C5277">
        <v>0</v>
      </c>
      <c r="D5277">
        <v>2</v>
      </c>
      <c r="E5277">
        <v>0</v>
      </c>
      <c r="F5277">
        <v>49</v>
      </c>
      <c r="G5277">
        <v>29</v>
      </c>
      <c r="H5277">
        <v>1</v>
      </c>
      <c r="I5277">
        <v>123</v>
      </c>
      <c r="J5277">
        <v>74</v>
      </c>
      <c r="K5277">
        <v>7</v>
      </c>
      <c r="L5277" t="s">
        <v>3284</v>
      </c>
      <c r="M5277" t="s">
        <v>3285</v>
      </c>
      <c r="N5277" t="s">
        <v>3286</v>
      </c>
      <c r="O5277" t="s">
        <v>3287</v>
      </c>
      <c r="P5277" t="s">
        <v>3288</v>
      </c>
      <c r="Q5277" t="s">
        <v>3289</v>
      </c>
      <c r="R5277" t="s">
        <v>15670</v>
      </c>
    </row>
    <row r="5278" spans="1:18" x14ac:dyDescent="0.2">
      <c r="A5278">
        <v>926</v>
      </c>
      <c r="B5278" t="s">
        <v>15671</v>
      </c>
      <c r="C5278">
        <v>0</v>
      </c>
      <c r="D5278">
        <v>5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 t="s">
        <v>3284</v>
      </c>
      <c r="M5278" t="s">
        <v>3296</v>
      </c>
      <c r="N5278" t="s">
        <v>3321</v>
      </c>
      <c r="O5278" t="s">
        <v>3322</v>
      </c>
      <c r="P5278" t="s">
        <v>3271</v>
      </c>
      <c r="Q5278" t="s">
        <v>12002</v>
      </c>
      <c r="R5278" t="s">
        <v>15672</v>
      </c>
    </row>
    <row r="5279" spans="1:18" x14ac:dyDescent="0.2">
      <c r="A5279">
        <v>916</v>
      </c>
      <c r="B5279" t="s">
        <v>15673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1</v>
      </c>
      <c r="J5279">
        <v>0</v>
      </c>
      <c r="K5279">
        <v>0</v>
      </c>
      <c r="L5279" t="s">
        <v>3284</v>
      </c>
      <c r="M5279" t="s">
        <v>3296</v>
      </c>
      <c r="N5279" t="s">
        <v>3321</v>
      </c>
      <c r="O5279" t="s">
        <v>5469</v>
      </c>
      <c r="P5279" t="s">
        <v>15674</v>
      </c>
      <c r="Q5279" t="s">
        <v>15675</v>
      </c>
      <c r="R5279" t="s">
        <v>15676</v>
      </c>
    </row>
    <row r="5280" spans="1:18" x14ac:dyDescent="0.2">
      <c r="A5280">
        <v>912</v>
      </c>
      <c r="B5280" t="s">
        <v>15677</v>
      </c>
      <c r="C5280">
        <v>0</v>
      </c>
      <c r="D5280">
        <v>0</v>
      </c>
      <c r="E5280">
        <v>0</v>
      </c>
      <c r="F5280">
        <v>1</v>
      </c>
      <c r="G5280">
        <v>0</v>
      </c>
      <c r="H5280">
        <v>0</v>
      </c>
      <c r="I5280">
        <v>0</v>
      </c>
      <c r="J5280">
        <v>1</v>
      </c>
      <c r="K5280">
        <v>0</v>
      </c>
      <c r="L5280" t="s">
        <v>3284</v>
      </c>
      <c r="M5280" t="s">
        <v>3296</v>
      </c>
      <c r="N5280" t="s">
        <v>3343</v>
      </c>
      <c r="O5280" t="s">
        <v>3344</v>
      </c>
      <c r="P5280" t="s">
        <v>3937</v>
      </c>
      <c r="Q5280" t="s">
        <v>15678</v>
      </c>
      <c r="R5280" t="s">
        <v>15679</v>
      </c>
    </row>
    <row r="5281" spans="1:18" x14ac:dyDescent="0.2">
      <c r="A5281">
        <v>905</v>
      </c>
      <c r="B5281" t="s">
        <v>15680</v>
      </c>
      <c r="C5281">
        <v>0</v>
      </c>
      <c r="D5281">
        <v>1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 t="s">
        <v>3284</v>
      </c>
      <c r="M5281" t="s">
        <v>3327</v>
      </c>
      <c r="N5281" t="s">
        <v>3753</v>
      </c>
      <c r="O5281" t="s">
        <v>9236</v>
      </c>
      <c r="P5281" t="s">
        <v>9237</v>
      </c>
      <c r="Q5281" t="s">
        <v>15681</v>
      </c>
      <c r="R5281" t="s">
        <v>15682</v>
      </c>
    </row>
    <row r="5282" spans="1:18" x14ac:dyDescent="0.2">
      <c r="A5282">
        <v>853</v>
      </c>
      <c r="B5282" t="s">
        <v>15683</v>
      </c>
      <c r="C5282">
        <v>0</v>
      </c>
      <c r="D5282">
        <v>1</v>
      </c>
      <c r="E5282">
        <v>1</v>
      </c>
      <c r="F5282">
        <v>0</v>
      </c>
      <c r="G5282">
        <v>1</v>
      </c>
      <c r="H5282">
        <v>1</v>
      </c>
      <c r="I5282">
        <v>2</v>
      </c>
      <c r="J5282">
        <v>1</v>
      </c>
      <c r="K5282">
        <v>2</v>
      </c>
      <c r="L5282" t="s">
        <v>3284</v>
      </c>
      <c r="M5282" t="s">
        <v>3327</v>
      </c>
      <c r="N5282" t="s">
        <v>3328</v>
      </c>
      <c r="O5282" t="s">
        <v>3329</v>
      </c>
      <c r="P5282" t="s">
        <v>4620</v>
      </c>
      <c r="Q5282" t="s">
        <v>8693</v>
      </c>
      <c r="R5282" t="s">
        <v>15684</v>
      </c>
    </row>
    <row r="5283" spans="1:18" x14ac:dyDescent="0.2">
      <c r="A5283">
        <v>823</v>
      </c>
      <c r="B5283" t="s">
        <v>15685</v>
      </c>
      <c r="C5283">
        <v>0</v>
      </c>
      <c r="D5283">
        <v>0</v>
      </c>
      <c r="E5283">
        <v>0</v>
      </c>
      <c r="F5283">
        <v>0</v>
      </c>
      <c r="G5283">
        <v>1</v>
      </c>
      <c r="H5283">
        <v>0</v>
      </c>
      <c r="I5283">
        <v>0</v>
      </c>
      <c r="J5283">
        <v>0</v>
      </c>
      <c r="K5283">
        <v>0</v>
      </c>
      <c r="L5283" t="s">
        <v>3284</v>
      </c>
      <c r="M5283" t="s">
        <v>3391</v>
      </c>
      <c r="N5283" t="s">
        <v>3765</v>
      </c>
      <c r="O5283" t="s">
        <v>3766</v>
      </c>
      <c r="P5283" t="s">
        <v>9082</v>
      </c>
      <c r="Q5283" t="s">
        <v>9083</v>
      </c>
      <c r="R5283" t="s">
        <v>15686</v>
      </c>
    </row>
    <row r="5284" spans="1:18" x14ac:dyDescent="0.2">
      <c r="A5284">
        <v>818</v>
      </c>
      <c r="B5284" t="s">
        <v>15687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1</v>
      </c>
      <c r="L5284" t="s">
        <v>3284</v>
      </c>
      <c r="M5284" t="s">
        <v>3391</v>
      </c>
      <c r="N5284" t="s">
        <v>3765</v>
      </c>
      <c r="O5284" t="s">
        <v>3766</v>
      </c>
      <c r="P5284" t="s">
        <v>9999</v>
      </c>
      <c r="Q5284" t="s">
        <v>10000</v>
      </c>
      <c r="R5284" t="s">
        <v>15688</v>
      </c>
    </row>
    <row r="5285" spans="1:18" x14ac:dyDescent="0.2">
      <c r="A5285">
        <v>752</v>
      </c>
      <c r="B5285" t="s">
        <v>15689</v>
      </c>
      <c r="C5285">
        <v>0</v>
      </c>
      <c r="D5285">
        <v>0</v>
      </c>
      <c r="E5285">
        <v>3</v>
      </c>
      <c r="F5285">
        <v>1</v>
      </c>
      <c r="G5285">
        <v>0</v>
      </c>
      <c r="H5285">
        <v>5</v>
      </c>
      <c r="I5285">
        <v>0</v>
      </c>
      <c r="J5285">
        <v>0</v>
      </c>
      <c r="K5285">
        <v>8</v>
      </c>
      <c r="L5285" t="s">
        <v>3284</v>
      </c>
      <c r="M5285" t="s">
        <v>3296</v>
      </c>
      <c r="N5285" t="s">
        <v>3297</v>
      </c>
      <c r="O5285" t="s">
        <v>8067</v>
      </c>
      <c r="P5285" t="s">
        <v>8068</v>
      </c>
      <c r="Q5285" t="s">
        <v>14622</v>
      </c>
      <c r="R5285" t="s">
        <v>15690</v>
      </c>
    </row>
    <row r="5286" spans="1:18" x14ac:dyDescent="0.2">
      <c r="A5286">
        <v>727</v>
      </c>
      <c r="B5286" t="s">
        <v>15691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1</v>
      </c>
      <c r="L5286" t="s">
        <v>3284</v>
      </c>
      <c r="M5286" t="s">
        <v>3296</v>
      </c>
      <c r="N5286" t="s">
        <v>3297</v>
      </c>
      <c r="O5286" t="s">
        <v>8067</v>
      </c>
      <c r="P5286" t="s">
        <v>8068</v>
      </c>
      <c r="Q5286" t="s">
        <v>15692</v>
      </c>
      <c r="R5286" t="s">
        <v>15693</v>
      </c>
    </row>
    <row r="5287" spans="1:18" x14ac:dyDescent="0.2">
      <c r="A5287">
        <v>714</v>
      </c>
      <c r="B5287" t="s">
        <v>15694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1</v>
      </c>
      <c r="K5287">
        <v>0</v>
      </c>
      <c r="L5287" t="s">
        <v>3284</v>
      </c>
      <c r="M5287" t="s">
        <v>3296</v>
      </c>
      <c r="N5287" t="s">
        <v>3297</v>
      </c>
      <c r="O5287" t="s">
        <v>8067</v>
      </c>
      <c r="P5287" t="s">
        <v>8068</v>
      </c>
      <c r="Q5287" t="s">
        <v>15695</v>
      </c>
      <c r="R5287" t="s">
        <v>15696</v>
      </c>
    </row>
    <row r="5288" spans="1:18" x14ac:dyDescent="0.2">
      <c r="A5288">
        <v>703</v>
      </c>
      <c r="B5288" t="s">
        <v>15697</v>
      </c>
      <c r="C5288">
        <v>0</v>
      </c>
      <c r="D5288">
        <v>1</v>
      </c>
      <c r="E5288">
        <v>2</v>
      </c>
      <c r="F5288">
        <v>1</v>
      </c>
      <c r="G5288">
        <v>0</v>
      </c>
      <c r="H5288">
        <v>3</v>
      </c>
      <c r="I5288">
        <v>2</v>
      </c>
      <c r="J5288">
        <v>0</v>
      </c>
      <c r="K5288">
        <v>2</v>
      </c>
      <c r="L5288" t="s">
        <v>3284</v>
      </c>
      <c r="M5288" t="s">
        <v>3296</v>
      </c>
      <c r="N5288" t="s">
        <v>3297</v>
      </c>
      <c r="O5288" t="s">
        <v>3298</v>
      </c>
      <c r="P5288" t="s">
        <v>3826</v>
      </c>
      <c r="Q5288" t="s">
        <v>15698</v>
      </c>
      <c r="R5288" t="s">
        <v>15699</v>
      </c>
    </row>
    <row r="5289" spans="1:18" x14ac:dyDescent="0.2">
      <c r="A5289">
        <v>680</v>
      </c>
      <c r="B5289" t="s">
        <v>15700</v>
      </c>
      <c r="C5289">
        <v>1</v>
      </c>
      <c r="D5289">
        <v>0</v>
      </c>
      <c r="E5289">
        <v>1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 t="s">
        <v>3284</v>
      </c>
      <c r="M5289" t="s">
        <v>3296</v>
      </c>
      <c r="N5289" t="s">
        <v>3297</v>
      </c>
      <c r="O5289" t="s">
        <v>8851</v>
      </c>
      <c r="P5289" t="s">
        <v>8852</v>
      </c>
      <c r="Q5289" t="s">
        <v>10605</v>
      </c>
      <c r="R5289" t="s">
        <v>15701</v>
      </c>
    </row>
    <row r="5290" spans="1:18" x14ac:dyDescent="0.2">
      <c r="A5290">
        <v>672</v>
      </c>
      <c r="B5290" t="s">
        <v>15702</v>
      </c>
      <c r="C5290">
        <v>0</v>
      </c>
      <c r="D5290">
        <v>0</v>
      </c>
      <c r="E5290">
        <v>1</v>
      </c>
      <c r="F5290">
        <v>4</v>
      </c>
      <c r="G5290">
        <v>1</v>
      </c>
      <c r="H5290">
        <v>0</v>
      </c>
      <c r="I5290">
        <v>1</v>
      </c>
      <c r="J5290">
        <v>1</v>
      </c>
      <c r="K5290">
        <v>3</v>
      </c>
      <c r="L5290" t="s">
        <v>3284</v>
      </c>
      <c r="M5290" t="s">
        <v>3296</v>
      </c>
      <c r="N5290" t="s">
        <v>3297</v>
      </c>
      <c r="O5290" t="s">
        <v>8851</v>
      </c>
      <c r="P5290" t="s">
        <v>8852</v>
      </c>
      <c r="Q5290" t="s">
        <v>10605</v>
      </c>
      <c r="R5290" t="s">
        <v>15703</v>
      </c>
    </row>
    <row r="5291" spans="1:18" x14ac:dyDescent="0.2">
      <c r="A5291">
        <v>670</v>
      </c>
      <c r="B5291" t="s">
        <v>15704</v>
      </c>
      <c r="C5291">
        <v>0</v>
      </c>
      <c r="D5291">
        <v>1</v>
      </c>
      <c r="E5291">
        <v>3</v>
      </c>
      <c r="F5291">
        <v>1</v>
      </c>
      <c r="G5291">
        <v>0</v>
      </c>
      <c r="H5291">
        <v>0</v>
      </c>
      <c r="I5291">
        <v>3</v>
      </c>
      <c r="J5291">
        <v>2</v>
      </c>
      <c r="K5291">
        <v>2</v>
      </c>
      <c r="L5291" t="s">
        <v>3284</v>
      </c>
      <c r="M5291" t="s">
        <v>3296</v>
      </c>
      <c r="N5291" t="s">
        <v>3297</v>
      </c>
      <c r="O5291" t="s">
        <v>8851</v>
      </c>
      <c r="P5291" t="s">
        <v>8852</v>
      </c>
      <c r="Q5291" t="s">
        <v>10605</v>
      </c>
      <c r="R5291" t="s">
        <v>15705</v>
      </c>
    </row>
    <row r="5292" spans="1:18" x14ac:dyDescent="0.2">
      <c r="A5292">
        <v>669</v>
      </c>
      <c r="B5292" t="s">
        <v>15706</v>
      </c>
      <c r="C5292">
        <v>0</v>
      </c>
      <c r="D5292">
        <v>0</v>
      </c>
      <c r="E5292">
        <v>1</v>
      </c>
      <c r="F5292">
        <v>2</v>
      </c>
      <c r="G5292">
        <v>1</v>
      </c>
      <c r="H5292">
        <v>1</v>
      </c>
      <c r="I5292">
        <v>4</v>
      </c>
      <c r="J5292">
        <v>1</v>
      </c>
      <c r="K5292">
        <v>2</v>
      </c>
      <c r="L5292" t="s">
        <v>3284</v>
      </c>
      <c r="M5292" t="s">
        <v>3296</v>
      </c>
      <c r="N5292" t="s">
        <v>3297</v>
      </c>
      <c r="O5292" t="s">
        <v>8851</v>
      </c>
      <c r="P5292" t="s">
        <v>8852</v>
      </c>
      <c r="Q5292" t="s">
        <v>10605</v>
      </c>
      <c r="R5292" t="s">
        <v>15707</v>
      </c>
    </row>
    <row r="5293" spans="1:18" x14ac:dyDescent="0.2">
      <c r="A5293">
        <v>666</v>
      </c>
      <c r="B5293" t="s">
        <v>15708</v>
      </c>
      <c r="C5293">
        <v>7</v>
      </c>
      <c r="D5293">
        <v>9</v>
      </c>
      <c r="E5293">
        <v>626</v>
      </c>
      <c r="F5293">
        <v>7</v>
      </c>
      <c r="G5293">
        <v>6</v>
      </c>
      <c r="H5293">
        <v>383</v>
      </c>
      <c r="I5293">
        <v>8</v>
      </c>
      <c r="J5293">
        <v>10</v>
      </c>
      <c r="K5293">
        <v>424</v>
      </c>
      <c r="L5293" t="s">
        <v>3284</v>
      </c>
      <c r="M5293" t="s">
        <v>3296</v>
      </c>
      <c r="N5293" t="s">
        <v>3297</v>
      </c>
      <c r="O5293" t="s">
        <v>8851</v>
      </c>
      <c r="P5293" t="s">
        <v>8852</v>
      </c>
      <c r="Q5293" t="s">
        <v>10605</v>
      </c>
      <c r="R5293" t="s">
        <v>15709</v>
      </c>
    </row>
    <row r="5294" spans="1:18" x14ac:dyDescent="0.2">
      <c r="A5294">
        <v>663</v>
      </c>
      <c r="B5294" t="s">
        <v>15710</v>
      </c>
      <c r="C5294">
        <v>0</v>
      </c>
      <c r="D5294">
        <v>0</v>
      </c>
      <c r="E5294">
        <v>0</v>
      </c>
      <c r="F5294">
        <v>1</v>
      </c>
      <c r="G5294">
        <v>0</v>
      </c>
      <c r="H5294">
        <v>0</v>
      </c>
      <c r="I5294">
        <v>0</v>
      </c>
      <c r="J5294">
        <v>0</v>
      </c>
      <c r="K5294">
        <v>0</v>
      </c>
      <c r="L5294" t="s">
        <v>3284</v>
      </c>
      <c r="M5294" t="s">
        <v>3296</v>
      </c>
      <c r="N5294" t="s">
        <v>3297</v>
      </c>
      <c r="O5294" t="s">
        <v>8851</v>
      </c>
      <c r="P5294" t="s">
        <v>8852</v>
      </c>
      <c r="Q5294" t="s">
        <v>10605</v>
      </c>
      <c r="R5294" t="s">
        <v>15711</v>
      </c>
    </row>
    <row r="5295" spans="1:18" x14ac:dyDescent="0.2">
      <c r="A5295">
        <v>656</v>
      </c>
      <c r="B5295" t="s">
        <v>15712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5</v>
      </c>
      <c r="J5295">
        <v>3</v>
      </c>
      <c r="K5295">
        <v>2</v>
      </c>
      <c r="L5295" t="s">
        <v>3284</v>
      </c>
      <c r="M5295" t="s">
        <v>3296</v>
      </c>
      <c r="N5295" t="s">
        <v>3297</v>
      </c>
      <c r="O5295" t="s">
        <v>4112</v>
      </c>
      <c r="P5295" t="s">
        <v>4113</v>
      </c>
      <c r="Q5295" t="s">
        <v>4114</v>
      </c>
      <c r="R5295" t="s">
        <v>15713</v>
      </c>
    </row>
    <row r="5296" spans="1:18" x14ac:dyDescent="0.2">
      <c r="A5296">
        <v>654</v>
      </c>
      <c r="B5296" t="s">
        <v>15714</v>
      </c>
      <c r="C5296">
        <v>8</v>
      </c>
      <c r="D5296">
        <v>5</v>
      </c>
      <c r="E5296">
        <v>2</v>
      </c>
      <c r="F5296">
        <v>0</v>
      </c>
      <c r="G5296">
        <v>1</v>
      </c>
      <c r="H5296">
        <v>0</v>
      </c>
      <c r="I5296">
        <v>17</v>
      </c>
      <c r="J5296">
        <v>10</v>
      </c>
      <c r="K5296">
        <v>8</v>
      </c>
      <c r="L5296" t="s">
        <v>3284</v>
      </c>
      <c r="M5296" t="s">
        <v>3296</v>
      </c>
      <c r="N5296" t="s">
        <v>3297</v>
      </c>
      <c r="O5296" t="s">
        <v>4112</v>
      </c>
      <c r="P5296" t="s">
        <v>4113</v>
      </c>
      <c r="Q5296" t="s">
        <v>4114</v>
      </c>
      <c r="R5296" t="s">
        <v>15715</v>
      </c>
    </row>
    <row r="5297" spans="1:18" x14ac:dyDescent="0.2">
      <c r="A5297">
        <v>651</v>
      </c>
      <c r="B5297" t="s">
        <v>15716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3</v>
      </c>
      <c r="J5297">
        <v>2</v>
      </c>
      <c r="K5297">
        <v>0</v>
      </c>
      <c r="L5297" t="s">
        <v>3284</v>
      </c>
      <c r="M5297" t="s">
        <v>3296</v>
      </c>
      <c r="N5297" t="s">
        <v>3297</v>
      </c>
      <c r="O5297" t="s">
        <v>4112</v>
      </c>
      <c r="P5297" t="s">
        <v>4113</v>
      </c>
      <c r="Q5297" t="s">
        <v>4114</v>
      </c>
      <c r="R5297" t="s">
        <v>15717</v>
      </c>
    </row>
    <row r="5298" spans="1:18" x14ac:dyDescent="0.2">
      <c r="A5298">
        <v>650</v>
      </c>
      <c r="B5298" t="s">
        <v>15718</v>
      </c>
      <c r="C5298">
        <v>0</v>
      </c>
      <c r="D5298">
        <v>0</v>
      </c>
      <c r="E5298">
        <v>1</v>
      </c>
      <c r="F5298">
        <v>0</v>
      </c>
      <c r="G5298">
        <v>0</v>
      </c>
      <c r="H5298">
        <v>0</v>
      </c>
      <c r="I5298">
        <v>5</v>
      </c>
      <c r="J5298">
        <v>0</v>
      </c>
      <c r="K5298">
        <v>1</v>
      </c>
      <c r="L5298" t="s">
        <v>3284</v>
      </c>
      <c r="M5298" t="s">
        <v>3296</v>
      </c>
      <c r="N5298" t="s">
        <v>3297</v>
      </c>
      <c r="O5298" t="s">
        <v>4112</v>
      </c>
      <c r="P5298" t="s">
        <v>4113</v>
      </c>
      <c r="Q5298" t="s">
        <v>4114</v>
      </c>
      <c r="R5298" t="s">
        <v>15719</v>
      </c>
    </row>
    <row r="5299" spans="1:18" x14ac:dyDescent="0.2">
      <c r="A5299">
        <v>649</v>
      </c>
      <c r="B5299" t="s">
        <v>15720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1</v>
      </c>
      <c r="J5299">
        <v>0</v>
      </c>
      <c r="K5299">
        <v>0</v>
      </c>
      <c r="L5299" t="s">
        <v>3284</v>
      </c>
      <c r="M5299" t="s">
        <v>3296</v>
      </c>
      <c r="N5299" t="s">
        <v>3297</v>
      </c>
      <c r="O5299" t="s">
        <v>4112</v>
      </c>
      <c r="P5299" t="s">
        <v>4113</v>
      </c>
      <c r="Q5299" t="s">
        <v>4114</v>
      </c>
      <c r="R5299" t="s">
        <v>15721</v>
      </c>
    </row>
    <row r="5300" spans="1:18" x14ac:dyDescent="0.2">
      <c r="A5300">
        <v>648</v>
      </c>
      <c r="B5300" t="s">
        <v>15722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21</v>
      </c>
      <c r="J5300">
        <v>4</v>
      </c>
      <c r="K5300">
        <v>2</v>
      </c>
      <c r="L5300" t="s">
        <v>3284</v>
      </c>
      <c r="M5300" t="s">
        <v>3296</v>
      </c>
      <c r="N5300" t="s">
        <v>3297</v>
      </c>
      <c r="O5300" t="s">
        <v>4112</v>
      </c>
      <c r="P5300" t="s">
        <v>4113</v>
      </c>
      <c r="Q5300" t="s">
        <v>4114</v>
      </c>
      <c r="R5300" t="s">
        <v>15723</v>
      </c>
    </row>
    <row r="5301" spans="1:18" x14ac:dyDescent="0.2">
      <c r="A5301">
        <v>646</v>
      </c>
      <c r="B5301" t="s">
        <v>15724</v>
      </c>
      <c r="C5301">
        <v>0</v>
      </c>
      <c r="D5301">
        <v>1</v>
      </c>
      <c r="E5301">
        <v>0</v>
      </c>
      <c r="F5301">
        <v>0</v>
      </c>
      <c r="G5301">
        <v>0</v>
      </c>
      <c r="H5301">
        <v>0</v>
      </c>
      <c r="I5301">
        <v>1</v>
      </c>
      <c r="J5301">
        <v>0</v>
      </c>
      <c r="K5301">
        <v>0</v>
      </c>
      <c r="L5301" t="s">
        <v>3284</v>
      </c>
      <c r="M5301" t="s">
        <v>3296</v>
      </c>
      <c r="N5301" t="s">
        <v>3297</v>
      </c>
      <c r="O5301" t="s">
        <v>4112</v>
      </c>
      <c r="P5301" t="s">
        <v>4113</v>
      </c>
      <c r="Q5301" t="s">
        <v>4114</v>
      </c>
      <c r="R5301" t="s">
        <v>15725</v>
      </c>
    </row>
    <row r="5302" spans="1:18" x14ac:dyDescent="0.2">
      <c r="A5302">
        <v>645</v>
      </c>
      <c r="B5302" t="s">
        <v>15726</v>
      </c>
      <c r="C5302">
        <v>0</v>
      </c>
      <c r="D5302">
        <v>1</v>
      </c>
      <c r="E5302">
        <v>0</v>
      </c>
      <c r="F5302">
        <v>0</v>
      </c>
      <c r="G5302">
        <v>0</v>
      </c>
      <c r="H5302">
        <v>0</v>
      </c>
      <c r="I5302">
        <v>5</v>
      </c>
      <c r="J5302">
        <v>3</v>
      </c>
      <c r="K5302">
        <v>0</v>
      </c>
      <c r="L5302" t="s">
        <v>3284</v>
      </c>
      <c r="M5302" t="s">
        <v>3296</v>
      </c>
      <c r="N5302" t="s">
        <v>3297</v>
      </c>
      <c r="O5302" t="s">
        <v>4112</v>
      </c>
      <c r="P5302" t="s">
        <v>4113</v>
      </c>
      <c r="Q5302" t="s">
        <v>4114</v>
      </c>
      <c r="R5302" t="s">
        <v>15727</v>
      </c>
    </row>
    <row r="5303" spans="1:18" x14ac:dyDescent="0.2">
      <c r="A5303">
        <v>644</v>
      </c>
      <c r="B5303" t="s">
        <v>15728</v>
      </c>
      <c r="C5303">
        <v>0</v>
      </c>
      <c r="D5303">
        <v>1</v>
      </c>
      <c r="E5303">
        <v>0</v>
      </c>
      <c r="F5303">
        <v>0</v>
      </c>
      <c r="G5303">
        <v>1</v>
      </c>
      <c r="H5303">
        <v>1</v>
      </c>
      <c r="I5303">
        <v>562</v>
      </c>
      <c r="J5303">
        <v>303</v>
      </c>
      <c r="K5303">
        <v>203</v>
      </c>
      <c r="L5303" t="s">
        <v>3284</v>
      </c>
      <c r="M5303" t="s">
        <v>3296</v>
      </c>
      <c r="N5303" t="s">
        <v>3297</v>
      </c>
      <c r="O5303" t="s">
        <v>4112</v>
      </c>
      <c r="P5303" t="s">
        <v>4113</v>
      </c>
      <c r="Q5303" t="s">
        <v>4114</v>
      </c>
      <c r="R5303" t="s">
        <v>15729</v>
      </c>
    </row>
    <row r="5304" spans="1:18" x14ac:dyDescent="0.2">
      <c r="A5304">
        <v>636</v>
      </c>
      <c r="B5304" t="s">
        <v>15730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1</v>
      </c>
      <c r="I5304">
        <v>0</v>
      </c>
      <c r="J5304">
        <v>0</v>
      </c>
      <c r="K5304">
        <v>1</v>
      </c>
      <c r="L5304" t="s">
        <v>3284</v>
      </c>
      <c r="M5304" t="s">
        <v>3296</v>
      </c>
      <c r="N5304" t="s">
        <v>3297</v>
      </c>
      <c r="O5304" t="s">
        <v>3298</v>
      </c>
      <c r="P5304" t="s">
        <v>11321</v>
      </c>
      <c r="Q5304" t="s">
        <v>15731</v>
      </c>
      <c r="R5304" t="s">
        <v>15732</v>
      </c>
    </row>
    <row r="5305" spans="1:18" x14ac:dyDescent="0.2">
      <c r="A5305">
        <v>632</v>
      </c>
      <c r="B5305" t="s">
        <v>15733</v>
      </c>
      <c r="C5305">
        <v>1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 t="s">
        <v>3284</v>
      </c>
      <c r="M5305" t="s">
        <v>3296</v>
      </c>
      <c r="N5305" t="s">
        <v>3297</v>
      </c>
      <c r="O5305" t="s">
        <v>3298</v>
      </c>
      <c r="P5305" t="s">
        <v>3299</v>
      </c>
      <c r="Q5305" t="s">
        <v>4689</v>
      </c>
      <c r="R5305" t="s">
        <v>15734</v>
      </c>
    </row>
    <row r="5306" spans="1:18" x14ac:dyDescent="0.2">
      <c r="A5306">
        <v>631</v>
      </c>
      <c r="B5306" t="s">
        <v>15735</v>
      </c>
      <c r="C5306">
        <v>0</v>
      </c>
      <c r="D5306">
        <v>0</v>
      </c>
      <c r="E5306">
        <v>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 t="s">
        <v>3284</v>
      </c>
      <c r="M5306" t="s">
        <v>3296</v>
      </c>
      <c r="N5306" t="s">
        <v>3297</v>
      </c>
      <c r="O5306" t="s">
        <v>3298</v>
      </c>
      <c r="P5306" t="s">
        <v>3299</v>
      </c>
      <c r="Q5306" t="s">
        <v>4689</v>
      </c>
      <c r="R5306" t="s">
        <v>15736</v>
      </c>
    </row>
    <row r="5307" spans="1:18" x14ac:dyDescent="0.2">
      <c r="A5307">
        <v>630</v>
      </c>
      <c r="B5307" t="s">
        <v>15737</v>
      </c>
      <c r="C5307">
        <v>0</v>
      </c>
      <c r="D5307">
        <v>1</v>
      </c>
      <c r="E5307">
        <v>3</v>
      </c>
      <c r="F5307">
        <v>0</v>
      </c>
      <c r="G5307">
        <v>1</v>
      </c>
      <c r="H5307">
        <v>3</v>
      </c>
      <c r="I5307">
        <v>0</v>
      </c>
      <c r="J5307">
        <v>0</v>
      </c>
      <c r="K5307">
        <v>2</v>
      </c>
      <c r="L5307" t="s">
        <v>3284</v>
      </c>
      <c r="M5307" t="s">
        <v>3296</v>
      </c>
      <c r="N5307" t="s">
        <v>3297</v>
      </c>
      <c r="O5307" t="s">
        <v>3298</v>
      </c>
      <c r="P5307" t="s">
        <v>3299</v>
      </c>
      <c r="Q5307" t="s">
        <v>4689</v>
      </c>
      <c r="R5307" t="s">
        <v>15738</v>
      </c>
    </row>
    <row r="5308" spans="1:18" x14ac:dyDescent="0.2">
      <c r="A5308">
        <v>628</v>
      </c>
      <c r="B5308" t="s">
        <v>15739</v>
      </c>
      <c r="C5308">
        <v>0</v>
      </c>
      <c r="D5308">
        <v>1</v>
      </c>
      <c r="E5308">
        <v>0</v>
      </c>
      <c r="F5308">
        <v>0</v>
      </c>
      <c r="G5308">
        <v>0</v>
      </c>
      <c r="H5308">
        <v>0</v>
      </c>
      <c r="I5308">
        <v>1</v>
      </c>
      <c r="J5308">
        <v>0</v>
      </c>
      <c r="K5308">
        <v>0</v>
      </c>
      <c r="L5308" t="s">
        <v>3284</v>
      </c>
      <c r="M5308" t="s">
        <v>3296</v>
      </c>
      <c r="N5308" t="s">
        <v>3297</v>
      </c>
      <c r="O5308" t="s">
        <v>3298</v>
      </c>
      <c r="P5308" t="s">
        <v>4399</v>
      </c>
      <c r="Q5308" t="s">
        <v>5043</v>
      </c>
      <c r="R5308" t="s">
        <v>15740</v>
      </c>
    </row>
    <row r="5309" spans="1:18" x14ac:dyDescent="0.2">
      <c r="A5309">
        <v>624</v>
      </c>
      <c r="B5309" t="s">
        <v>15741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1</v>
      </c>
      <c r="J5309">
        <v>0</v>
      </c>
      <c r="K5309">
        <v>0</v>
      </c>
      <c r="L5309" t="s">
        <v>3284</v>
      </c>
      <c r="M5309" t="s">
        <v>3296</v>
      </c>
      <c r="N5309" t="s">
        <v>3297</v>
      </c>
      <c r="O5309" t="s">
        <v>3298</v>
      </c>
      <c r="P5309" t="s">
        <v>3826</v>
      </c>
      <c r="Q5309" t="s">
        <v>15742</v>
      </c>
      <c r="R5309" t="s">
        <v>15743</v>
      </c>
    </row>
    <row r="5310" spans="1:18" x14ac:dyDescent="0.2">
      <c r="A5310">
        <v>618</v>
      </c>
      <c r="B5310" t="s">
        <v>15744</v>
      </c>
      <c r="C5310">
        <v>0</v>
      </c>
      <c r="D5310">
        <v>0</v>
      </c>
      <c r="E5310">
        <v>0</v>
      </c>
      <c r="F5310">
        <v>0</v>
      </c>
      <c r="G5310">
        <v>1</v>
      </c>
      <c r="H5310">
        <v>0</v>
      </c>
      <c r="I5310">
        <v>0</v>
      </c>
      <c r="J5310">
        <v>0</v>
      </c>
      <c r="K5310">
        <v>0</v>
      </c>
      <c r="L5310" t="s">
        <v>3284</v>
      </c>
      <c r="M5310" t="s">
        <v>3296</v>
      </c>
      <c r="N5310" t="s">
        <v>3297</v>
      </c>
      <c r="O5310" t="s">
        <v>3298</v>
      </c>
      <c r="P5310" t="s">
        <v>3299</v>
      </c>
      <c r="Q5310" t="s">
        <v>3300</v>
      </c>
      <c r="R5310" t="s">
        <v>15745</v>
      </c>
    </row>
    <row r="5311" spans="1:18" x14ac:dyDescent="0.2">
      <c r="A5311">
        <v>615</v>
      </c>
      <c r="B5311" t="s">
        <v>15746</v>
      </c>
      <c r="C5311">
        <v>3</v>
      </c>
      <c r="D5311">
        <v>1</v>
      </c>
      <c r="E5311">
        <v>1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 t="s">
        <v>3284</v>
      </c>
      <c r="M5311" t="s">
        <v>3296</v>
      </c>
      <c r="N5311" t="s">
        <v>3297</v>
      </c>
      <c r="O5311" t="s">
        <v>3298</v>
      </c>
      <c r="P5311" t="s">
        <v>3299</v>
      </c>
      <c r="Q5311" t="s">
        <v>3300</v>
      </c>
      <c r="R5311" t="s">
        <v>15747</v>
      </c>
    </row>
    <row r="5312" spans="1:18" x14ac:dyDescent="0.2">
      <c r="A5312">
        <v>614</v>
      </c>
      <c r="B5312" t="s">
        <v>15748</v>
      </c>
      <c r="C5312">
        <v>0</v>
      </c>
      <c r="D5312">
        <v>2</v>
      </c>
      <c r="E5312">
        <v>2</v>
      </c>
      <c r="F5312">
        <v>0</v>
      </c>
      <c r="G5312">
        <v>0</v>
      </c>
      <c r="H5312">
        <v>0</v>
      </c>
      <c r="I5312">
        <v>1</v>
      </c>
      <c r="J5312">
        <v>0</v>
      </c>
      <c r="K5312">
        <v>0</v>
      </c>
      <c r="L5312" t="s">
        <v>3284</v>
      </c>
      <c r="M5312" t="s">
        <v>3296</v>
      </c>
      <c r="N5312" t="s">
        <v>3297</v>
      </c>
      <c r="O5312" t="s">
        <v>3298</v>
      </c>
      <c r="P5312" t="s">
        <v>3299</v>
      </c>
      <c r="Q5312" t="s">
        <v>3300</v>
      </c>
      <c r="R5312" t="s">
        <v>15749</v>
      </c>
    </row>
    <row r="5313" spans="1:18" x14ac:dyDescent="0.2">
      <c r="A5313">
        <v>588</v>
      </c>
      <c r="B5313" t="s">
        <v>15750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1</v>
      </c>
      <c r="J5313">
        <v>0</v>
      </c>
      <c r="K5313">
        <v>0</v>
      </c>
      <c r="L5313" t="s">
        <v>3284</v>
      </c>
      <c r="M5313" t="s">
        <v>3296</v>
      </c>
      <c r="N5313" t="s">
        <v>3297</v>
      </c>
      <c r="O5313" t="s">
        <v>3298</v>
      </c>
      <c r="P5313" t="s">
        <v>4399</v>
      </c>
      <c r="Q5313" t="s">
        <v>4400</v>
      </c>
      <c r="R5313" t="s">
        <v>15751</v>
      </c>
    </row>
    <row r="5314" spans="1:18" x14ac:dyDescent="0.2">
      <c r="A5314">
        <v>584</v>
      </c>
      <c r="B5314" t="s">
        <v>15752</v>
      </c>
      <c r="C5314">
        <v>0</v>
      </c>
      <c r="D5314">
        <v>0</v>
      </c>
      <c r="E5314">
        <v>0</v>
      </c>
      <c r="F5314">
        <v>0</v>
      </c>
      <c r="G5314">
        <v>1</v>
      </c>
      <c r="H5314">
        <v>0</v>
      </c>
      <c r="I5314">
        <v>0</v>
      </c>
      <c r="J5314">
        <v>0</v>
      </c>
      <c r="K5314">
        <v>0</v>
      </c>
      <c r="L5314" t="s">
        <v>3284</v>
      </c>
      <c r="M5314" t="s">
        <v>3296</v>
      </c>
      <c r="N5314" t="s">
        <v>3297</v>
      </c>
      <c r="O5314" t="s">
        <v>3298</v>
      </c>
      <c r="P5314" t="s">
        <v>4399</v>
      </c>
      <c r="Q5314" t="s">
        <v>15753</v>
      </c>
      <c r="R5314" t="s">
        <v>15754</v>
      </c>
    </row>
    <row r="5315" spans="1:18" x14ac:dyDescent="0.2">
      <c r="A5315">
        <v>582</v>
      </c>
      <c r="B5315" t="s">
        <v>15755</v>
      </c>
      <c r="C5315">
        <v>1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 t="s">
        <v>3284</v>
      </c>
      <c r="M5315" t="s">
        <v>3296</v>
      </c>
      <c r="N5315" t="s">
        <v>3297</v>
      </c>
      <c r="O5315" t="s">
        <v>3298</v>
      </c>
      <c r="P5315" t="s">
        <v>4399</v>
      </c>
      <c r="Q5315" t="s">
        <v>15756</v>
      </c>
      <c r="R5315" t="s">
        <v>15757</v>
      </c>
    </row>
    <row r="5316" spans="1:18" x14ac:dyDescent="0.2">
      <c r="A5316">
        <v>573</v>
      </c>
      <c r="B5316" t="s">
        <v>15758</v>
      </c>
      <c r="C5316">
        <v>46</v>
      </c>
      <c r="D5316">
        <v>68</v>
      </c>
      <c r="E5316">
        <v>3171</v>
      </c>
      <c r="F5316">
        <v>52</v>
      </c>
      <c r="G5316">
        <v>39</v>
      </c>
      <c r="H5316">
        <v>1470</v>
      </c>
      <c r="I5316">
        <v>69</v>
      </c>
      <c r="J5316">
        <v>39</v>
      </c>
      <c r="K5316">
        <v>1675</v>
      </c>
      <c r="L5316" t="s">
        <v>3284</v>
      </c>
      <c r="M5316" t="s">
        <v>3296</v>
      </c>
      <c r="N5316" t="s">
        <v>3297</v>
      </c>
      <c r="O5316" t="s">
        <v>3298</v>
      </c>
      <c r="P5316" t="s">
        <v>3826</v>
      </c>
      <c r="Q5316" t="s">
        <v>7086</v>
      </c>
      <c r="R5316" t="s">
        <v>15759</v>
      </c>
    </row>
    <row r="5317" spans="1:18" x14ac:dyDescent="0.2">
      <c r="A5317">
        <v>571</v>
      </c>
      <c r="B5317" t="s">
        <v>15760</v>
      </c>
      <c r="C5317">
        <v>0</v>
      </c>
      <c r="D5317">
        <v>0</v>
      </c>
      <c r="E5317">
        <v>0</v>
      </c>
      <c r="F5317">
        <v>1</v>
      </c>
      <c r="G5317">
        <v>0</v>
      </c>
      <c r="H5317">
        <v>0</v>
      </c>
      <c r="I5317">
        <v>0</v>
      </c>
      <c r="J5317">
        <v>0</v>
      </c>
      <c r="K5317">
        <v>0</v>
      </c>
      <c r="L5317" t="s">
        <v>3284</v>
      </c>
      <c r="M5317" t="s">
        <v>3296</v>
      </c>
      <c r="N5317" t="s">
        <v>3297</v>
      </c>
      <c r="O5317" t="s">
        <v>3298</v>
      </c>
      <c r="P5317" t="s">
        <v>3826</v>
      </c>
      <c r="Q5317" t="s">
        <v>7086</v>
      </c>
      <c r="R5317" t="s">
        <v>15761</v>
      </c>
    </row>
    <row r="5318" spans="1:18" x14ac:dyDescent="0.2">
      <c r="A5318">
        <v>569</v>
      </c>
      <c r="B5318" t="s">
        <v>15762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1</v>
      </c>
      <c r="J5318">
        <v>0</v>
      </c>
      <c r="K5318">
        <v>0</v>
      </c>
      <c r="L5318" t="s">
        <v>3284</v>
      </c>
      <c r="M5318" t="s">
        <v>3296</v>
      </c>
      <c r="N5318" t="s">
        <v>3297</v>
      </c>
      <c r="O5318" t="s">
        <v>3298</v>
      </c>
      <c r="P5318" t="s">
        <v>11321</v>
      </c>
      <c r="Q5318" t="s">
        <v>12859</v>
      </c>
      <c r="R5318" t="s">
        <v>15763</v>
      </c>
    </row>
    <row r="5319" spans="1:18" x14ac:dyDescent="0.2">
      <c r="A5319">
        <v>562</v>
      </c>
      <c r="B5319" t="s">
        <v>15764</v>
      </c>
      <c r="C5319">
        <v>11</v>
      </c>
      <c r="D5319">
        <v>17</v>
      </c>
      <c r="E5319">
        <v>495</v>
      </c>
      <c r="F5319">
        <v>16</v>
      </c>
      <c r="G5319">
        <v>22</v>
      </c>
      <c r="H5319">
        <v>278</v>
      </c>
      <c r="I5319">
        <v>29</v>
      </c>
      <c r="J5319">
        <v>16</v>
      </c>
      <c r="K5319">
        <v>348</v>
      </c>
      <c r="L5319" t="s">
        <v>3284</v>
      </c>
      <c r="M5319" t="s">
        <v>3296</v>
      </c>
      <c r="N5319" t="s">
        <v>3297</v>
      </c>
      <c r="O5319" t="s">
        <v>3298</v>
      </c>
      <c r="P5319" t="s">
        <v>3826</v>
      </c>
      <c r="Q5319" t="s">
        <v>15765</v>
      </c>
      <c r="R5319" t="s">
        <v>15766</v>
      </c>
    </row>
    <row r="5320" spans="1:18" x14ac:dyDescent="0.2">
      <c r="A5320">
        <v>554</v>
      </c>
      <c r="B5320" t="s">
        <v>15767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1</v>
      </c>
      <c r="J5320">
        <v>0</v>
      </c>
      <c r="K5320">
        <v>0</v>
      </c>
      <c r="L5320" t="s">
        <v>3284</v>
      </c>
      <c r="M5320" t="s">
        <v>3296</v>
      </c>
      <c r="N5320" t="s">
        <v>3297</v>
      </c>
      <c r="O5320" t="s">
        <v>3298</v>
      </c>
      <c r="P5320" t="s">
        <v>6582</v>
      </c>
      <c r="Q5320" t="s">
        <v>8856</v>
      </c>
      <c r="R5320" t="s">
        <v>15768</v>
      </c>
    </row>
    <row r="5321" spans="1:18" x14ac:dyDescent="0.2">
      <c r="A5321">
        <v>552</v>
      </c>
      <c r="B5321" t="s">
        <v>15769</v>
      </c>
      <c r="C5321">
        <v>0</v>
      </c>
      <c r="D5321">
        <v>0</v>
      </c>
      <c r="E5321">
        <v>1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 t="s">
        <v>3284</v>
      </c>
      <c r="M5321" t="s">
        <v>3296</v>
      </c>
      <c r="N5321" t="s">
        <v>3297</v>
      </c>
      <c r="O5321" t="s">
        <v>3298</v>
      </c>
      <c r="P5321" t="s">
        <v>3873</v>
      </c>
      <c r="Q5321" t="s">
        <v>4087</v>
      </c>
      <c r="R5321" t="s">
        <v>15770</v>
      </c>
    </row>
    <row r="5322" spans="1:18" x14ac:dyDescent="0.2">
      <c r="A5322">
        <v>549</v>
      </c>
      <c r="B5322" t="s">
        <v>15771</v>
      </c>
      <c r="C5322">
        <v>3</v>
      </c>
      <c r="D5322">
        <v>7</v>
      </c>
      <c r="E5322">
        <v>4</v>
      </c>
      <c r="F5322">
        <v>9</v>
      </c>
      <c r="G5322">
        <v>6</v>
      </c>
      <c r="H5322">
        <v>3</v>
      </c>
      <c r="I5322">
        <v>16</v>
      </c>
      <c r="J5322">
        <v>11</v>
      </c>
      <c r="K5322">
        <v>8</v>
      </c>
      <c r="L5322" t="s">
        <v>3284</v>
      </c>
      <c r="M5322" t="s">
        <v>3296</v>
      </c>
      <c r="N5322" t="s">
        <v>3297</v>
      </c>
      <c r="O5322" t="s">
        <v>3298</v>
      </c>
      <c r="P5322" t="s">
        <v>3873</v>
      </c>
      <c r="Q5322" t="s">
        <v>5063</v>
      </c>
      <c r="R5322" t="s">
        <v>15772</v>
      </c>
    </row>
    <row r="5323" spans="1:18" x14ac:dyDescent="0.2">
      <c r="A5323">
        <v>548</v>
      </c>
      <c r="B5323" t="s">
        <v>15773</v>
      </c>
      <c r="C5323">
        <v>1</v>
      </c>
      <c r="D5323">
        <v>0</v>
      </c>
      <c r="E5323">
        <v>1</v>
      </c>
      <c r="F5323">
        <v>0</v>
      </c>
      <c r="G5323">
        <v>2</v>
      </c>
      <c r="H5323">
        <v>4</v>
      </c>
      <c r="I5323">
        <v>2</v>
      </c>
      <c r="J5323">
        <v>1</v>
      </c>
      <c r="K5323">
        <v>1</v>
      </c>
      <c r="L5323" t="s">
        <v>3284</v>
      </c>
      <c r="M5323" t="s">
        <v>3296</v>
      </c>
      <c r="N5323" t="s">
        <v>3297</v>
      </c>
      <c r="O5323" t="s">
        <v>3298</v>
      </c>
      <c r="P5323" t="s">
        <v>3826</v>
      </c>
      <c r="Q5323" t="s">
        <v>7086</v>
      </c>
      <c r="R5323" t="s">
        <v>15774</v>
      </c>
    </row>
    <row r="5324" spans="1:18" x14ac:dyDescent="0.2">
      <c r="A5324">
        <v>546</v>
      </c>
      <c r="B5324" t="s">
        <v>15775</v>
      </c>
      <c r="C5324">
        <v>0</v>
      </c>
      <c r="D5324">
        <v>0</v>
      </c>
      <c r="E5324">
        <v>0</v>
      </c>
      <c r="F5324">
        <v>2</v>
      </c>
      <c r="G5324">
        <v>3</v>
      </c>
      <c r="H5324">
        <v>0</v>
      </c>
      <c r="I5324">
        <v>0</v>
      </c>
      <c r="J5324">
        <v>0</v>
      </c>
      <c r="K5324">
        <v>0</v>
      </c>
      <c r="L5324" t="s">
        <v>3284</v>
      </c>
      <c r="M5324" t="s">
        <v>3296</v>
      </c>
      <c r="N5324" t="s">
        <v>3297</v>
      </c>
      <c r="O5324" t="s">
        <v>3298</v>
      </c>
      <c r="P5324" t="s">
        <v>3826</v>
      </c>
      <c r="Q5324" t="s">
        <v>3927</v>
      </c>
      <c r="R5324" t="s">
        <v>15776</v>
      </c>
    </row>
    <row r="5325" spans="1:18" x14ac:dyDescent="0.2">
      <c r="A5325">
        <v>545</v>
      </c>
      <c r="B5325" t="s">
        <v>15777</v>
      </c>
      <c r="C5325">
        <v>0</v>
      </c>
      <c r="D5325">
        <v>0</v>
      </c>
      <c r="E5325">
        <v>1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 t="s">
        <v>3284</v>
      </c>
      <c r="M5325" t="s">
        <v>3296</v>
      </c>
      <c r="N5325" t="s">
        <v>3297</v>
      </c>
      <c r="O5325" t="s">
        <v>3298</v>
      </c>
      <c r="P5325" t="s">
        <v>3826</v>
      </c>
      <c r="Q5325" t="s">
        <v>3927</v>
      </c>
      <c r="R5325" t="s">
        <v>15778</v>
      </c>
    </row>
    <row r="5326" spans="1:18" x14ac:dyDescent="0.2">
      <c r="A5326">
        <v>536</v>
      </c>
      <c r="B5326" t="s">
        <v>15779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1</v>
      </c>
      <c r="K5326">
        <v>0</v>
      </c>
      <c r="L5326" t="s">
        <v>3284</v>
      </c>
      <c r="M5326" t="s">
        <v>3296</v>
      </c>
      <c r="N5326" t="s">
        <v>3321</v>
      </c>
      <c r="O5326" t="s">
        <v>5306</v>
      </c>
      <c r="P5326" t="s">
        <v>5307</v>
      </c>
      <c r="Q5326" t="s">
        <v>9185</v>
      </c>
      <c r="R5326" t="s">
        <v>15780</v>
      </c>
    </row>
    <row r="5327" spans="1:18" x14ac:dyDescent="0.2">
      <c r="A5327">
        <v>529</v>
      </c>
      <c r="B5327" t="s">
        <v>15781</v>
      </c>
      <c r="C5327">
        <v>0</v>
      </c>
      <c r="D5327">
        <v>0</v>
      </c>
      <c r="E5327">
        <v>0</v>
      </c>
      <c r="F5327">
        <v>1</v>
      </c>
      <c r="G5327">
        <v>0</v>
      </c>
      <c r="H5327">
        <v>0</v>
      </c>
      <c r="I5327">
        <v>1</v>
      </c>
      <c r="J5327">
        <v>0</v>
      </c>
      <c r="K5327">
        <v>0</v>
      </c>
      <c r="L5327" t="s">
        <v>3284</v>
      </c>
      <c r="M5327" t="s">
        <v>3296</v>
      </c>
      <c r="N5327" t="s">
        <v>3343</v>
      </c>
      <c r="O5327" t="s">
        <v>3344</v>
      </c>
      <c r="P5327" t="s">
        <v>4076</v>
      </c>
      <c r="Q5327" t="s">
        <v>4077</v>
      </c>
      <c r="R5327" t="s">
        <v>15782</v>
      </c>
    </row>
    <row r="5328" spans="1:18" x14ac:dyDescent="0.2">
      <c r="A5328">
        <v>525</v>
      </c>
      <c r="B5328" t="s">
        <v>15783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1</v>
      </c>
      <c r="J5328">
        <v>0</v>
      </c>
      <c r="K5328">
        <v>0</v>
      </c>
      <c r="L5328" t="s">
        <v>3284</v>
      </c>
      <c r="M5328" t="s">
        <v>3296</v>
      </c>
      <c r="N5328" t="s">
        <v>3343</v>
      </c>
      <c r="O5328" t="s">
        <v>3429</v>
      </c>
      <c r="P5328" t="s">
        <v>6652</v>
      </c>
      <c r="Q5328" t="s">
        <v>15784</v>
      </c>
      <c r="R5328" t="s">
        <v>15785</v>
      </c>
    </row>
    <row r="5329" spans="1:18" x14ac:dyDescent="0.2">
      <c r="A5329">
        <v>521</v>
      </c>
      <c r="B5329" t="s">
        <v>15786</v>
      </c>
      <c r="C5329">
        <v>1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 t="s">
        <v>3284</v>
      </c>
      <c r="M5329" t="s">
        <v>3296</v>
      </c>
      <c r="N5329" t="s">
        <v>3321</v>
      </c>
      <c r="O5329" t="s">
        <v>3322</v>
      </c>
      <c r="P5329" t="s">
        <v>4143</v>
      </c>
      <c r="Q5329" t="s">
        <v>6285</v>
      </c>
      <c r="R5329" t="s">
        <v>15787</v>
      </c>
    </row>
    <row r="5330" spans="1:18" x14ac:dyDescent="0.2">
      <c r="A5330">
        <v>518</v>
      </c>
      <c r="B5330" t="s">
        <v>15788</v>
      </c>
      <c r="C5330">
        <v>0</v>
      </c>
      <c r="D5330">
        <v>0</v>
      </c>
      <c r="E5330">
        <v>0</v>
      </c>
      <c r="F5330">
        <v>0</v>
      </c>
      <c r="G5330">
        <v>1</v>
      </c>
      <c r="H5330">
        <v>0</v>
      </c>
      <c r="I5330">
        <v>0</v>
      </c>
      <c r="J5330">
        <v>0</v>
      </c>
      <c r="K5330">
        <v>0</v>
      </c>
      <c r="L5330" t="s">
        <v>3284</v>
      </c>
      <c r="M5330" t="s">
        <v>3296</v>
      </c>
      <c r="N5330" t="s">
        <v>3321</v>
      </c>
      <c r="O5330" t="s">
        <v>3322</v>
      </c>
      <c r="P5330" t="s">
        <v>4143</v>
      </c>
      <c r="Q5330" t="s">
        <v>6285</v>
      </c>
      <c r="R5330" t="s">
        <v>15789</v>
      </c>
    </row>
    <row r="5331" spans="1:18" x14ac:dyDescent="0.2">
      <c r="A5331">
        <v>511</v>
      </c>
      <c r="B5331" t="s">
        <v>15790</v>
      </c>
      <c r="C5331">
        <v>0</v>
      </c>
      <c r="D5331">
        <v>0</v>
      </c>
      <c r="E5331">
        <v>0</v>
      </c>
      <c r="F5331">
        <v>0</v>
      </c>
      <c r="G5331">
        <v>1</v>
      </c>
      <c r="H5331">
        <v>0</v>
      </c>
      <c r="I5331">
        <v>0</v>
      </c>
      <c r="J5331">
        <v>0</v>
      </c>
      <c r="K5331">
        <v>0</v>
      </c>
      <c r="L5331" t="s">
        <v>3284</v>
      </c>
      <c r="M5331" t="s">
        <v>3296</v>
      </c>
      <c r="N5331" t="s">
        <v>3321</v>
      </c>
      <c r="O5331" t="s">
        <v>3322</v>
      </c>
      <c r="P5331" t="s">
        <v>4143</v>
      </c>
      <c r="Q5331" t="s">
        <v>4144</v>
      </c>
      <c r="R5331" t="s">
        <v>15791</v>
      </c>
    </row>
    <row r="5332" spans="1:18" x14ac:dyDescent="0.2">
      <c r="A5332">
        <v>504</v>
      </c>
      <c r="B5332" t="s">
        <v>15792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1</v>
      </c>
      <c r="K5332">
        <v>0</v>
      </c>
      <c r="L5332" t="s">
        <v>3284</v>
      </c>
      <c r="M5332" t="s">
        <v>3296</v>
      </c>
      <c r="N5332" t="s">
        <v>3321</v>
      </c>
      <c r="O5332" t="s">
        <v>5306</v>
      </c>
      <c r="P5332" t="s">
        <v>5610</v>
      </c>
      <c r="Q5332" t="s">
        <v>15793</v>
      </c>
      <c r="R5332" t="s">
        <v>15794</v>
      </c>
    </row>
    <row r="5333" spans="1:18" x14ac:dyDescent="0.2">
      <c r="A5333">
        <v>487</v>
      </c>
      <c r="B5333" t="s">
        <v>15795</v>
      </c>
      <c r="C5333">
        <v>0</v>
      </c>
      <c r="D5333">
        <v>0</v>
      </c>
      <c r="E5333">
        <v>0</v>
      </c>
      <c r="F5333">
        <v>1</v>
      </c>
      <c r="G5333">
        <v>0</v>
      </c>
      <c r="H5333">
        <v>0</v>
      </c>
      <c r="I5333">
        <v>0</v>
      </c>
      <c r="J5333">
        <v>0</v>
      </c>
      <c r="K5333">
        <v>0</v>
      </c>
      <c r="L5333" t="s">
        <v>3284</v>
      </c>
      <c r="M5333" t="s">
        <v>3296</v>
      </c>
      <c r="N5333" t="s">
        <v>3321</v>
      </c>
      <c r="O5333" t="s">
        <v>5306</v>
      </c>
      <c r="P5333" t="s">
        <v>5610</v>
      </c>
      <c r="Q5333" t="s">
        <v>6391</v>
      </c>
      <c r="R5333" t="s">
        <v>15796</v>
      </c>
    </row>
    <row r="5334" spans="1:18" x14ac:dyDescent="0.2">
      <c r="A5334">
        <v>485</v>
      </c>
      <c r="B5334" t="s">
        <v>15797</v>
      </c>
      <c r="C5334">
        <v>0</v>
      </c>
      <c r="D5334">
        <v>1</v>
      </c>
      <c r="E5334">
        <v>2</v>
      </c>
      <c r="F5334">
        <v>0</v>
      </c>
      <c r="G5334">
        <v>0</v>
      </c>
      <c r="H5334">
        <v>1</v>
      </c>
      <c r="I5334">
        <v>0</v>
      </c>
      <c r="J5334">
        <v>0</v>
      </c>
      <c r="K5334">
        <v>8</v>
      </c>
      <c r="L5334" t="s">
        <v>3284</v>
      </c>
      <c r="M5334" t="s">
        <v>3296</v>
      </c>
      <c r="N5334" t="s">
        <v>3321</v>
      </c>
      <c r="O5334" t="s">
        <v>5306</v>
      </c>
      <c r="P5334" t="s">
        <v>5610</v>
      </c>
      <c r="Q5334" t="s">
        <v>6391</v>
      </c>
      <c r="R5334" t="s">
        <v>15798</v>
      </c>
    </row>
    <row r="5335" spans="1:18" x14ac:dyDescent="0.2">
      <c r="A5335">
        <v>477</v>
      </c>
      <c r="B5335" t="s">
        <v>15799</v>
      </c>
      <c r="C5335">
        <v>6</v>
      </c>
      <c r="D5335">
        <v>7</v>
      </c>
      <c r="E5335">
        <v>31</v>
      </c>
      <c r="F5335">
        <v>13</v>
      </c>
      <c r="G5335">
        <v>3</v>
      </c>
      <c r="H5335">
        <v>17</v>
      </c>
      <c r="I5335">
        <v>11</v>
      </c>
      <c r="J5335">
        <v>15</v>
      </c>
      <c r="K5335">
        <v>51</v>
      </c>
      <c r="L5335" t="s">
        <v>3284</v>
      </c>
      <c r="M5335" t="s">
        <v>3296</v>
      </c>
      <c r="N5335" t="s">
        <v>3297</v>
      </c>
      <c r="O5335" t="s">
        <v>4037</v>
      </c>
      <c r="P5335" t="s">
        <v>4038</v>
      </c>
      <c r="Q5335" t="s">
        <v>4039</v>
      </c>
      <c r="R5335" t="s">
        <v>15800</v>
      </c>
    </row>
    <row r="5336" spans="1:18" x14ac:dyDescent="0.2">
      <c r="A5336">
        <v>470</v>
      </c>
      <c r="B5336" t="s">
        <v>15801</v>
      </c>
      <c r="C5336">
        <v>11</v>
      </c>
      <c r="D5336">
        <v>12</v>
      </c>
      <c r="E5336">
        <v>978</v>
      </c>
      <c r="F5336">
        <v>14</v>
      </c>
      <c r="G5336">
        <v>24</v>
      </c>
      <c r="H5336">
        <v>724</v>
      </c>
      <c r="I5336">
        <v>26</v>
      </c>
      <c r="J5336">
        <v>14</v>
      </c>
      <c r="K5336">
        <v>764</v>
      </c>
      <c r="L5336" t="s">
        <v>3284</v>
      </c>
      <c r="M5336" t="s">
        <v>3296</v>
      </c>
      <c r="N5336" t="s">
        <v>3297</v>
      </c>
      <c r="O5336" t="s">
        <v>4037</v>
      </c>
      <c r="P5336" t="s">
        <v>4038</v>
      </c>
      <c r="Q5336" t="s">
        <v>5556</v>
      </c>
      <c r="R5336" t="s">
        <v>15802</v>
      </c>
    </row>
    <row r="5337" spans="1:18" x14ac:dyDescent="0.2">
      <c r="A5337">
        <v>454</v>
      </c>
      <c r="B5337" t="s">
        <v>15803</v>
      </c>
      <c r="C5337">
        <v>0</v>
      </c>
      <c r="D5337">
        <v>0</v>
      </c>
      <c r="E5337">
        <v>0</v>
      </c>
      <c r="F5337">
        <v>1</v>
      </c>
      <c r="G5337">
        <v>0</v>
      </c>
      <c r="H5337">
        <v>0</v>
      </c>
      <c r="I5337">
        <v>0</v>
      </c>
      <c r="J5337">
        <v>0</v>
      </c>
      <c r="K5337">
        <v>0</v>
      </c>
      <c r="L5337" t="s">
        <v>3284</v>
      </c>
      <c r="M5337" t="s">
        <v>3296</v>
      </c>
      <c r="N5337" t="s">
        <v>3297</v>
      </c>
      <c r="O5337" t="s">
        <v>15322</v>
      </c>
      <c r="P5337" t="s">
        <v>15323</v>
      </c>
      <c r="Q5337" t="s">
        <v>15324</v>
      </c>
      <c r="R5337" t="s">
        <v>15804</v>
      </c>
    </row>
    <row r="5338" spans="1:18" x14ac:dyDescent="0.2">
      <c r="A5338">
        <v>446</v>
      </c>
      <c r="B5338" t="s">
        <v>15805</v>
      </c>
      <c r="C5338">
        <v>0</v>
      </c>
      <c r="D5338">
        <v>0</v>
      </c>
      <c r="E5338">
        <v>0</v>
      </c>
      <c r="F5338">
        <v>0</v>
      </c>
      <c r="G5338">
        <v>1</v>
      </c>
      <c r="H5338">
        <v>0</v>
      </c>
      <c r="I5338">
        <v>0</v>
      </c>
      <c r="J5338">
        <v>0</v>
      </c>
      <c r="K5338">
        <v>0</v>
      </c>
      <c r="L5338" t="s">
        <v>3284</v>
      </c>
      <c r="M5338" t="s">
        <v>3296</v>
      </c>
      <c r="N5338" t="s">
        <v>3297</v>
      </c>
      <c r="O5338" t="s">
        <v>15322</v>
      </c>
      <c r="P5338" t="s">
        <v>15323</v>
      </c>
      <c r="Q5338" t="s">
        <v>15324</v>
      </c>
      <c r="R5338" t="s">
        <v>15806</v>
      </c>
    </row>
    <row r="5339" spans="1:18" x14ac:dyDescent="0.2">
      <c r="A5339">
        <v>409</v>
      </c>
      <c r="B5339" t="s">
        <v>15807</v>
      </c>
      <c r="C5339">
        <v>0</v>
      </c>
      <c r="D5339">
        <v>0</v>
      </c>
      <c r="E5339">
        <v>0</v>
      </c>
      <c r="F5339">
        <v>1</v>
      </c>
      <c r="G5339">
        <v>0</v>
      </c>
      <c r="H5339">
        <v>0</v>
      </c>
      <c r="I5339">
        <v>1</v>
      </c>
      <c r="J5339">
        <v>0</v>
      </c>
      <c r="K5339">
        <v>0</v>
      </c>
      <c r="L5339" t="s">
        <v>3284</v>
      </c>
      <c r="M5339" t="s">
        <v>3296</v>
      </c>
      <c r="N5339" t="s">
        <v>3343</v>
      </c>
      <c r="O5339" t="s">
        <v>3344</v>
      </c>
      <c r="P5339" t="s">
        <v>6089</v>
      </c>
      <c r="Q5339" t="s">
        <v>7900</v>
      </c>
      <c r="R5339" t="s">
        <v>15808</v>
      </c>
    </row>
    <row r="5340" spans="1:18" x14ac:dyDescent="0.2">
      <c r="A5340">
        <v>406</v>
      </c>
      <c r="B5340" t="s">
        <v>15809</v>
      </c>
      <c r="C5340">
        <v>0</v>
      </c>
      <c r="D5340">
        <v>0</v>
      </c>
      <c r="E5340">
        <v>0</v>
      </c>
      <c r="F5340">
        <v>1</v>
      </c>
      <c r="G5340">
        <v>0</v>
      </c>
      <c r="H5340">
        <v>0</v>
      </c>
      <c r="I5340">
        <v>0</v>
      </c>
      <c r="J5340">
        <v>0</v>
      </c>
      <c r="K5340">
        <v>0</v>
      </c>
      <c r="L5340" t="s">
        <v>3284</v>
      </c>
      <c r="M5340" t="s">
        <v>3296</v>
      </c>
      <c r="N5340" t="s">
        <v>3321</v>
      </c>
      <c r="O5340" t="s">
        <v>5469</v>
      </c>
      <c r="P5340" t="s">
        <v>6828</v>
      </c>
      <c r="Q5340" t="s">
        <v>15810</v>
      </c>
      <c r="R5340" t="s">
        <v>15811</v>
      </c>
    </row>
    <row r="5341" spans="1:18" x14ac:dyDescent="0.2">
      <c r="A5341">
        <v>399</v>
      </c>
      <c r="B5341" t="s">
        <v>15812</v>
      </c>
      <c r="C5341">
        <v>0</v>
      </c>
      <c r="D5341">
        <v>0</v>
      </c>
      <c r="E5341">
        <v>0</v>
      </c>
      <c r="F5341">
        <v>3</v>
      </c>
      <c r="G5341">
        <v>0</v>
      </c>
      <c r="H5341">
        <v>0</v>
      </c>
      <c r="I5341">
        <v>4</v>
      </c>
      <c r="J5341">
        <v>0</v>
      </c>
      <c r="K5341">
        <v>1</v>
      </c>
      <c r="L5341" t="s">
        <v>3284</v>
      </c>
      <c r="M5341" t="s">
        <v>3296</v>
      </c>
      <c r="N5341" t="s">
        <v>3343</v>
      </c>
      <c r="O5341" t="s">
        <v>3344</v>
      </c>
      <c r="P5341" t="s">
        <v>3355</v>
      </c>
      <c r="Q5341" t="s">
        <v>4238</v>
      </c>
      <c r="R5341" t="s">
        <v>15813</v>
      </c>
    </row>
    <row r="5342" spans="1:18" x14ac:dyDescent="0.2">
      <c r="A5342">
        <v>396</v>
      </c>
      <c r="B5342" t="s">
        <v>15814</v>
      </c>
      <c r="C5342">
        <v>3</v>
      </c>
      <c r="D5342">
        <v>0</v>
      </c>
      <c r="E5342">
        <v>1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 t="s">
        <v>3284</v>
      </c>
      <c r="M5342" t="s">
        <v>3296</v>
      </c>
      <c r="N5342" t="s">
        <v>3343</v>
      </c>
      <c r="O5342" t="s">
        <v>3344</v>
      </c>
      <c r="P5342" t="s">
        <v>3355</v>
      </c>
      <c r="Q5342" t="s">
        <v>3356</v>
      </c>
      <c r="R5342" t="s">
        <v>15815</v>
      </c>
    </row>
    <row r="5343" spans="1:18" x14ac:dyDescent="0.2">
      <c r="A5343">
        <v>391</v>
      </c>
      <c r="B5343" t="s">
        <v>15816</v>
      </c>
      <c r="C5343">
        <v>0</v>
      </c>
      <c r="D5343">
        <v>1</v>
      </c>
      <c r="E5343">
        <v>0</v>
      </c>
      <c r="F5343">
        <v>0</v>
      </c>
      <c r="G5343">
        <v>1</v>
      </c>
      <c r="H5343">
        <v>0</v>
      </c>
      <c r="I5343">
        <v>0</v>
      </c>
      <c r="J5343">
        <v>0</v>
      </c>
      <c r="K5343">
        <v>0</v>
      </c>
      <c r="L5343" t="s">
        <v>3284</v>
      </c>
      <c r="M5343" t="s">
        <v>3296</v>
      </c>
      <c r="N5343" t="s">
        <v>3343</v>
      </c>
      <c r="O5343" t="s">
        <v>3344</v>
      </c>
      <c r="P5343" t="s">
        <v>3355</v>
      </c>
      <c r="Q5343" t="s">
        <v>3356</v>
      </c>
      <c r="R5343" t="s">
        <v>15817</v>
      </c>
    </row>
    <row r="5344" spans="1:18" x14ac:dyDescent="0.2">
      <c r="A5344">
        <v>384</v>
      </c>
      <c r="B5344" t="s">
        <v>15818</v>
      </c>
      <c r="C5344">
        <v>0</v>
      </c>
      <c r="D5344">
        <v>1</v>
      </c>
      <c r="E5344">
        <v>0</v>
      </c>
      <c r="F5344">
        <v>1</v>
      </c>
      <c r="G5344">
        <v>3</v>
      </c>
      <c r="H5344">
        <v>0</v>
      </c>
      <c r="I5344">
        <v>7</v>
      </c>
      <c r="J5344">
        <v>1</v>
      </c>
      <c r="K5344">
        <v>2</v>
      </c>
      <c r="L5344" t="s">
        <v>3284</v>
      </c>
      <c r="M5344" t="s">
        <v>3296</v>
      </c>
      <c r="N5344" t="s">
        <v>3343</v>
      </c>
      <c r="O5344" t="s">
        <v>3344</v>
      </c>
      <c r="P5344" t="s">
        <v>3355</v>
      </c>
      <c r="Q5344" t="s">
        <v>3356</v>
      </c>
      <c r="R5344" t="s">
        <v>15819</v>
      </c>
    </row>
    <row r="5345" spans="1:18" x14ac:dyDescent="0.2">
      <c r="A5345">
        <v>382</v>
      </c>
      <c r="B5345" t="s">
        <v>15820</v>
      </c>
      <c r="C5345">
        <v>0</v>
      </c>
      <c r="D5345">
        <v>0</v>
      </c>
      <c r="E5345">
        <v>0</v>
      </c>
      <c r="F5345">
        <v>2</v>
      </c>
      <c r="G5345">
        <v>1</v>
      </c>
      <c r="H5345">
        <v>1</v>
      </c>
      <c r="I5345">
        <v>0</v>
      </c>
      <c r="J5345">
        <v>0</v>
      </c>
      <c r="K5345">
        <v>0</v>
      </c>
      <c r="L5345" t="s">
        <v>3284</v>
      </c>
      <c r="M5345" t="s">
        <v>3296</v>
      </c>
      <c r="N5345" t="s">
        <v>3343</v>
      </c>
      <c r="O5345" t="s">
        <v>3344</v>
      </c>
      <c r="P5345" t="s">
        <v>3355</v>
      </c>
      <c r="Q5345" t="s">
        <v>7835</v>
      </c>
      <c r="R5345" t="s">
        <v>15821</v>
      </c>
    </row>
    <row r="5346" spans="1:18" x14ac:dyDescent="0.2">
      <c r="A5346">
        <v>381</v>
      </c>
      <c r="B5346" t="s">
        <v>15822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1</v>
      </c>
      <c r="J5346">
        <v>0</v>
      </c>
      <c r="K5346">
        <v>0</v>
      </c>
      <c r="L5346" t="s">
        <v>3284</v>
      </c>
      <c r="M5346" t="s">
        <v>3296</v>
      </c>
      <c r="N5346" t="s">
        <v>3343</v>
      </c>
      <c r="O5346" t="s">
        <v>3344</v>
      </c>
      <c r="P5346" t="s">
        <v>3898</v>
      </c>
      <c r="Q5346" t="s">
        <v>3899</v>
      </c>
      <c r="R5346" t="s">
        <v>15823</v>
      </c>
    </row>
    <row r="5347" spans="1:18" x14ac:dyDescent="0.2">
      <c r="A5347">
        <v>376</v>
      </c>
      <c r="B5347" t="s">
        <v>15824</v>
      </c>
      <c r="C5347">
        <v>0</v>
      </c>
      <c r="D5347">
        <v>0</v>
      </c>
      <c r="E5347">
        <v>0</v>
      </c>
      <c r="F5347">
        <v>0</v>
      </c>
      <c r="G5347">
        <v>1</v>
      </c>
      <c r="H5347">
        <v>0</v>
      </c>
      <c r="I5347">
        <v>1</v>
      </c>
      <c r="J5347">
        <v>0</v>
      </c>
      <c r="K5347">
        <v>0</v>
      </c>
      <c r="L5347" t="s">
        <v>3284</v>
      </c>
      <c r="M5347" t="s">
        <v>3296</v>
      </c>
      <c r="N5347" t="s">
        <v>3343</v>
      </c>
      <c r="O5347" t="s">
        <v>3344</v>
      </c>
      <c r="P5347" t="s">
        <v>3937</v>
      </c>
      <c r="Q5347" t="s">
        <v>3938</v>
      </c>
      <c r="R5347" t="s">
        <v>15825</v>
      </c>
    </row>
    <row r="5348" spans="1:18" x14ac:dyDescent="0.2">
      <c r="A5348">
        <v>375</v>
      </c>
      <c r="B5348" t="s">
        <v>15826</v>
      </c>
      <c r="C5348">
        <v>1</v>
      </c>
      <c r="D5348">
        <v>0</v>
      </c>
      <c r="E5348">
        <v>0</v>
      </c>
      <c r="F5348">
        <v>1</v>
      </c>
      <c r="G5348">
        <v>0</v>
      </c>
      <c r="H5348">
        <v>0</v>
      </c>
      <c r="I5348">
        <v>1</v>
      </c>
      <c r="J5348">
        <v>0</v>
      </c>
      <c r="K5348">
        <v>0</v>
      </c>
      <c r="L5348" t="s">
        <v>3284</v>
      </c>
      <c r="M5348" t="s">
        <v>3296</v>
      </c>
      <c r="N5348" t="s">
        <v>3343</v>
      </c>
      <c r="O5348" t="s">
        <v>3344</v>
      </c>
      <c r="P5348" t="s">
        <v>3937</v>
      </c>
      <c r="Q5348" t="s">
        <v>3938</v>
      </c>
      <c r="R5348" t="s">
        <v>15827</v>
      </c>
    </row>
    <row r="5349" spans="1:18" x14ac:dyDescent="0.2">
      <c r="A5349">
        <v>373</v>
      </c>
      <c r="B5349" t="s">
        <v>15828</v>
      </c>
      <c r="C5349">
        <v>0</v>
      </c>
      <c r="D5349">
        <v>0</v>
      </c>
      <c r="E5349">
        <v>0</v>
      </c>
      <c r="F5349">
        <v>0</v>
      </c>
      <c r="G5349">
        <v>1</v>
      </c>
      <c r="H5349">
        <v>0</v>
      </c>
      <c r="I5349">
        <v>0</v>
      </c>
      <c r="J5349">
        <v>0</v>
      </c>
      <c r="K5349">
        <v>0</v>
      </c>
      <c r="L5349" t="s">
        <v>3284</v>
      </c>
      <c r="M5349" t="s">
        <v>3296</v>
      </c>
      <c r="N5349" t="s">
        <v>3343</v>
      </c>
      <c r="O5349" t="s">
        <v>3344</v>
      </c>
      <c r="P5349" t="s">
        <v>3355</v>
      </c>
      <c r="Q5349" t="s">
        <v>3546</v>
      </c>
      <c r="R5349" t="s">
        <v>15829</v>
      </c>
    </row>
    <row r="5350" spans="1:18" x14ac:dyDescent="0.2">
      <c r="A5350">
        <v>359</v>
      </c>
      <c r="B5350" t="s">
        <v>15830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1</v>
      </c>
      <c r="K5350">
        <v>1</v>
      </c>
      <c r="L5350" t="s">
        <v>3284</v>
      </c>
      <c r="M5350" t="s">
        <v>3296</v>
      </c>
      <c r="N5350" t="s">
        <v>3343</v>
      </c>
      <c r="O5350" t="s">
        <v>3344</v>
      </c>
      <c r="P5350" t="s">
        <v>3355</v>
      </c>
      <c r="Q5350" t="s">
        <v>3356</v>
      </c>
      <c r="R5350" t="s">
        <v>15831</v>
      </c>
    </row>
    <row r="5351" spans="1:18" x14ac:dyDescent="0.2">
      <c r="A5351">
        <v>358</v>
      </c>
      <c r="B5351" t="s">
        <v>15832</v>
      </c>
      <c r="C5351">
        <v>0</v>
      </c>
      <c r="D5351">
        <v>1</v>
      </c>
      <c r="E5351">
        <v>0</v>
      </c>
      <c r="F5351">
        <v>3</v>
      </c>
      <c r="G5351">
        <v>0</v>
      </c>
      <c r="H5351">
        <v>1</v>
      </c>
      <c r="I5351">
        <v>1</v>
      </c>
      <c r="J5351">
        <v>2</v>
      </c>
      <c r="K5351">
        <v>2</v>
      </c>
      <c r="L5351" t="s">
        <v>3284</v>
      </c>
      <c r="M5351" t="s">
        <v>3296</v>
      </c>
      <c r="N5351" t="s">
        <v>3343</v>
      </c>
      <c r="O5351" t="s">
        <v>3344</v>
      </c>
      <c r="P5351" t="s">
        <v>3355</v>
      </c>
      <c r="Q5351" t="s">
        <v>3546</v>
      </c>
      <c r="R5351" t="s">
        <v>15833</v>
      </c>
    </row>
    <row r="5352" spans="1:18" x14ac:dyDescent="0.2">
      <c r="A5352">
        <v>354</v>
      </c>
      <c r="B5352" t="s">
        <v>15834</v>
      </c>
      <c r="C5352">
        <v>1</v>
      </c>
      <c r="D5352">
        <v>1</v>
      </c>
      <c r="E5352">
        <v>0</v>
      </c>
      <c r="F5352">
        <v>1</v>
      </c>
      <c r="G5352">
        <v>1</v>
      </c>
      <c r="H5352">
        <v>0</v>
      </c>
      <c r="I5352">
        <v>1</v>
      </c>
      <c r="J5352">
        <v>1</v>
      </c>
      <c r="K5352">
        <v>0</v>
      </c>
      <c r="L5352" t="s">
        <v>3284</v>
      </c>
      <c r="M5352" t="s">
        <v>3296</v>
      </c>
      <c r="N5352" t="s">
        <v>3297</v>
      </c>
      <c r="O5352" t="s">
        <v>3434</v>
      </c>
      <c r="P5352" t="s">
        <v>3435</v>
      </c>
      <c r="Q5352" t="s">
        <v>9499</v>
      </c>
      <c r="R5352" t="s">
        <v>15835</v>
      </c>
    </row>
    <row r="5353" spans="1:18" x14ac:dyDescent="0.2">
      <c r="A5353">
        <v>353</v>
      </c>
      <c r="B5353" t="s">
        <v>15836</v>
      </c>
      <c r="C5353">
        <v>0</v>
      </c>
      <c r="D5353">
        <v>0</v>
      </c>
      <c r="E5353">
        <v>1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 t="s">
        <v>3284</v>
      </c>
      <c r="M5353" t="s">
        <v>3296</v>
      </c>
      <c r="N5353" t="s">
        <v>3297</v>
      </c>
      <c r="O5353" t="s">
        <v>3434</v>
      </c>
      <c r="P5353" t="s">
        <v>3435</v>
      </c>
      <c r="Q5353" t="s">
        <v>9499</v>
      </c>
      <c r="R5353" t="s">
        <v>15837</v>
      </c>
    </row>
    <row r="5354" spans="1:18" x14ac:dyDescent="0.2">
      <c r="A5354">
        <v>347</v>
      </c>
      <c r="B5354" t="s">
        <v>15838</v>
      </c>
      <c r="C5354">
        <v>1</v>
      </c>
      <c r="D5354">
        <v>1</v>
      </c>
      <c r="E5354">
        <v>0</v>
      </c>
      <c r="F5354">
        <v>2</v>
      </c>
      <c r="G5354">
        <v>0</v>
      </c>
      <c r="H5354">
        <v>0</v>
      </c>
      <c r="I5354">
        <v>0</v>
      </c>
      <c r="J5354">
        <v>1</v>
      </c>
      <c r="K5354">
        <v>1</v>
      </c>
      <c r="L5354" t="s">
        <v>3284</v>
      </c>
      <c r="M5354" t="s">
        <v>3296</v>
      </c>
      <c r="N5354" t="s">
        <v>3297</v>
      </c>
      <c r="O5354" t="s">
        <v>3469</v>
      </c>
      <c r="P5354" t="s">
        <v>3470</v>
      </c>
      <c r="Q5354" t="s">
        <v>5246</v>
      </c>
      <c r="R5354" t="s">
        <v>15839</v>
      </c>
    </row>
    <row r="5355" spans="1:18" x14ac:dyDescent="0.2">
      <c r="A5355">
        <v>346</v>
      </c>
      <c r="B5355" t="s">
        <v>15840</v>
      </c>
      <c r="C5355">
        <v>3</v>
      </c>
      <c r="D5355">
        <v>0</v>
      </c>
      <c r="E5355">
        <v>22</v>
      </c>
      <c r="F5355">
        <v>2</v>
      </c>
      <c r="G5355">
        <v>3</v>
      </c>
      <c r="H5355">
        <v>10</v>
      </c>
      <c r="I5355">
        <v>9</v>
      </c>
      <c r="J5355">
        <v>9</v>
      </c>
      <c r="K5355">
        <v>33</v>
      </c>
      <c r="L5355" t="s">
        <v>3284</v>
      </c>
      <c r="M5355" t="s">
        <v>3296</v>
      </c>
      <c r="N5355" t="s">
        <v>3297</v>
      </c>
      <c r="O5355" t="s">
        <v>3469</v>
      </c>
      <c r="P5355" t="s">
        <v>3470</v>
      </c>
      <c r="Q5355" t="s">
        <v>5246</v>
      </c>
      <c r="R5355" t="s">
        <v>15841</v>
      </c>
    </row>
    <row r="5356" spans="1:18" x14ac:dyDescent="0.2">
      <c r="A5356">
        <v>339</v>
      </c>
      <c r="B5356" t="s">
        <v>15842</v>
      </c>
      <c r="C5356">
        <v>0</v>
      </c>
      <c r="D5356">
        <v>0</v>
      </c>
      <c r="E5356">
        <v>0</v>
      </c>
      <c r="F5356">
        <v>1</v>
      </c>
      <c r="G5356">
        <v>1</v>
      </c>
      <c r="H5356">
        <v>0</v>
      </c>
      <c r="I5356">
        <v>0</v>
      </c>
      <c r="J5356">
        <v>0</v>
      </c>
      <c r="K5356">
        <v>0</v>
      </c>
      <c r="L5356" t="s">
        <v>3284</v>
      </c>
      <c r="M5356" t="s">
        <v>3296</v>
      </c>
      <c r="N5356" t="s">
        <v>3297</v>
      </c>
      <c r="O5356" t="s">
        <v>3469</v>
      </c>
      <c r="P5356" t="s">
        <v>3470</v>
      </c>
      <c r="Q5356" t="s">
        <v>5246</v>
      </c>
      <c r="R5356" t="s">
        <v>15843</v>
      </c>
    </row>
    <row r="5357" spans="1:18" x14ac:dyDescent="0.2">
      <c r="A5357">
        <v>317</v>
      </c>
      <c r="B5357" t="s">
        <v>15844</v>
      </c>
      <c r="C5357">
        <v>1</v>
      </c>
      <c r="D5357">
        <v>0</v>
      </c>
      <c r="E5357">
        <v>0</v>
      </c>
      <c r="F5357">
        <v>0</v>
      </c>
      <c r="G5357">
        <v>1</v>
      </c>
      <c r="H5357">
        <v>0</v>
      </c>
      <c r="I5357">
        <v>0</v>
      </c>
      <c r="J5357">
        <v>0</v>
      </c>
      <c r="K5357">
        <v>1</v>
      </c>
      <c r="L5357" t="s">
        <v>3284</v>
      </c>
      <c r="M5357" t="s">
        <v>3296</v>
      </c>
      <c r="N5357" t="s">
        <v>3297</v>
      </c>
      <c r="O5357" t="s">
        <v>3434</v>
      </c>
      <c r="P5357" t="s">
        <v>3435</v>
      </c>
      <c r="Q5357" t="s">
        <v>3436</v>
      </c>
      <c r="R5357" t="s">
        <v>15845</v>
      </c>
    </row>
    <row r="5358" spans="1:18" x14ac:dyDescent="0.2">
      <c r="A5358">
        <v>316</v>
      </c>
      <c r="B5358" t="s">
        <v>15846</v>
      </c>
      <c r="C5358">
        <v>0</v>
      </c>
      <c r="D5358">
        <v>0</v>
      </c>
      <c r="E5358">
        <v>0</v>
      </c>
      <c r="F5358">
        <v>4</v>
      </c>
      <c r="G5358">
        <v>0</v>
      </c>
      <c r="H5358">
        <v>0</v>
      </c>
      <c r="I5358">
        <v>0</v>
      </c>
      <c r="J5358">
        <v>0</v>
      </c>
      <c r="K5358">
        <v>0</v>
      </c>
      <c r="L5358" t="s">
        <v>3284</v>
      </c>
      <c r="M5358" t="s">
        <v>3296</v>
      </c>
      <c r="N5358" t="s">
        <v>3297</v>
      </c>
      <c r="O5358" t="s">
        <v>3434</v>
      </c>
      <c r="P5358" t="s">
        <v>3435</v>
      </c>
      <c r="Q5358" t="s">
        <v>5438</v>
      </c>
      <c r="R5358" t="s">
        <v>15847</v>
      </c>
    </row>
    <row r="5359" spans="1:18" x14ac:dyDescent="0.2">
      <c r="A5359">
        <v>306</v>
      </c>
      <c r="B5359" t="s">
        <v>15848</v>
      </c>
      <c r="C5359">
        <v>1</v>
      </c>
      <c r="D5359">
        <v>1</v>
      </c>
      <c r="E5359">
        <v>0</v>
      </c>
      <c r="F5359">
        <v>164</v>
      </c>
      <c r="G5359">
        <v>111</v>
      </c>
      <c r="H5359">
        <v>87</v>
      </c>
      <c r="I5359">
        <v>5</v>
      </c>
      <c r="J5359">
        <v>2</v>
      </c>
      <c r="K5359">
        <v>2</v>
      </c>
      <c r="L5359" t="s">
        <v>3284</v>
      </c>
      <c r="M5359" t="s">
        <v>3296</v>
      </c>
      <c r="N5359" t="s">
        <v>3297</v>
      </c>
      <c r="O5359" t="s">
        <v>3434</v>
      </c>
      <c r="P5359" t="s">
        <v>3435</v>
      </c>
      <c r="Q5359" t="s">
        <v>3436</v>
      </c>
      <c r="R5359" t="s">
        <v>15849</v>
      </c>
    </row>
    <row r="5360" spans="1:18" x14ac:dyDescent="0.2">
      <c r="A5360">
        <v>305</v>
      </c>
      <c r="B5360" t="s">
        <v>15850</v>
      </c>
      <c r="C5360">
        <v>0</v>
      </c>
      <c r="D5360">
        <v>0</v>
      </c>
      <c r="E5360">
        <v>0</v>
      </c>
      <c r="F5360">
        <v>1</v>
      </c>
      <c r="G5360">
        <v>0</v>
      </c>
      <c r="H5360">
        <v>0</v>
      </c>
      <c r="I5360">
        <v>0</v>
      </c>
      <c r="J5360">
        <v>0</v>
      </c>
      <c r="K5360">
        <v>0</v>
      </c>
      <c r="L5360" t="s">
        <v>3284</v>
      </c>
      <c r="M5360" t="s">
        <v>3296</v>
      </c>
      <c r="N5360" t="s">
        <v>3321</v>
      </c>
      <c r="O5360" t="s">
        <v>3322</v>
      </c>
      <c r="P5360" t="s">
        <v>3423</v>
      </c>
      <c r="Q5360" t="s">
        <v>11682</v>
      </c>
      <c r="R5360" t="s">
        <v>15851</v>
      </c>
    </row>
    <row r="5361" spans="1:18" x14ac:dyDescent="0.2">
      <c r="A5361">
        <v>303</v>
      </c>
      <c r="B5361" t="s">
        <v>15852</v>
      </c>
      <c r="C5361">
        <v>0</v>
      </c>
      <c r="D5361">
        <v>4</v>
      </c>
      <c r="E5361">
        <v>0</v>
      </c>
      <c r="F5361">
        <v>3</v>
      </c>
      <c r="G5361">
        <v>1</v>
      </c>
      <c r="H5361">
        <v>1</v>
      </c>
      <c r="I5361">
        <v>4</v>
      </c>
      <c r="J5361">
        <v>5</v>
      </c>
      <c r="K5361">
        <v>0</v>
      </c>
      <c r="L5361" t="s">
        <v>3284</v>
      </c>
      <c r="M5361" t="s">
        <v>3296</v>
      </c>
      <c r="N5361" t="s">
        <v>3297</v>
      </c>
      <c r="O5361" t="s">
        <v>3434</v>
      </c>
      <c r="P5361" t="s">
        <v>3435</v>
      </c>
      <c r="Q5361" t="s">
        <v>3436</v>
      </c>
      <c r="R5361" t="s">
        <v>15853</v>
      </c>
    </row>
    <row r="5362" spans="1:18" x14ac:dyDescent="0.2">
      <c r="A5362">
        <v>300</v>
      </c>
      <c r="B5362" t="s">
        <v>15854</v>
      </c>
      <c r="C5362">
        <v>1</v>
      </c>
      <c r="D5362">
        <v>1</v>
      </c>
      <c r="E5362">
        <v>1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 t="s">
        <v>3284</v>
      </c>
      <c r="M5362" t="s">
        <v>3296</v>
      </c>
      <c r="N5362" t="s">
        <v>3297</v>
      </c>
      <c r="O5362" t="s">
        <v>3434</v>
      </c>
      <c r="P5362" t="s">
        <v>3435</v>
      </c>
      <c r="Q5362" t="s">
        <v>8369</v>
      </c>
      <c r="R5362" t="s">
        <v>15855</v>
      </c>
    </row>
    <row r="5363" spans="1:18" x14ac:dyDescent="0.2">
      <c r="A5363">
        <v>296</v>
      </c>
      <c r="B5363" t="s">
        <v>15856</v>
      </c>
      <c r="C5363">
        <v>0</v>
      </c>
      <c r="D5363">
        <v>1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 t="s">
        <v>3284</v>
      </c>
      <c r="M5363" t="s">
        <v>3296</v>
      </c>
      <c r="N5363" t="s">
        <v>3297</v>
      </c>
      <c r="O5363" t="s">
        <v>3434</v>
      </c>
      <c r="P5363" t="s">
        <v>3435</v>
      </c>
      <c r="Q5363" t="s">
        <v>3436</v>
      </c>
      <c r="R5363" t="s">
        <v>15857</v>
      </c>
    </row>
    <row r="5364" spans="1:18" x14ac:dyDescent="0.2">
      <c r="A5364">
        <v>294</v>
      </c>
      <c r="B5364" t="s">
        <v>15858</v>
      </c>
      <c r="C5364">
        <v>0</v>
      </c>
      <c r="D5364">
        <v>0</v>
      </c>
      <c r="E5364">
        <v>0</v>
      </c>
      <c r="F5364">
        <v>5</v>
      </c>
      <c r="G5364">
        <v>0</v>
      </c>
      <c r="H5364">
        <v>0</v>
      </c>
      <c r="I5364">
        <v>3</v>
      </c>
      <c r="J5364">
        <v>1</v>
      </c>
      <c r="K5364">
        <v>1</v>
      </c>
      <c r="L5364" t="s">
        <v>3284</v>
      </c>
      <c r="M5364" t="s">
        <v>3296</v>
      </c>
      <c r="N5364" t="s">
        <v>3297</v>
      </c>
      <c r="O5364" t="s">
        <v>3434</v>
      </c>
      <c r="P5364" t="s">
        <v>3435</v>
      </c>
      <c r="Q5364" t="s">
        <v>3436</v>
      </c>
      <c r="R5364" t="s">
        <v>15859</v>
      </c>
    </row>
    <row r="5365" spans="1:18" x14ac:dyDescent="0.2">
      <c r="A5365">
        <v>293</v>
      </c>
      <c r="B5365" t="s">
        <v>15860</v>
      </c>
      <c r="C5365">
        <v>28</v>
      </c>
      <c r="D5365">
        <v>27</v>
      </c>
      <c r="E5365">
        <v>23</v>
      </c>
      <c r="F5365">
        <v>5</v>
      </c>
      <c r="G5365">
        <v>5</v>
      </c>
      <c r="H5365">
        <v>0</v>
      </c>
      <c r="I5365">
        <v>0</v>
      </c>
      <c r="J5365">
        <v>0</v>
      </c>
      <c r="K5365">
        <v>0</v>
      </c>
      <c r="L5365" t="s">
        <v>3284</v>
      </c>
      <c r="M5365" t="s">
        <v>3296</v>
      </c>
      <c r="N5365" t="s">
        <v>3343</v>
      </c>
      <c r="O5365" t="s">
        <v>3402</v>
      </c>
      <c r="P5365" t="s">
        <v>3403</v>
      </c>
      <c r="Q5365" t="s">
        <v>3536</v>
      </c>
      <c r="R5365" t="s">
        <v>15861</v>
      </c>
    </row>
    <row r="5366" spans="1:18" x14ac:dyDescent="0.2">
      <c r="A5366">
        <v>292</v>
      </c>
      <c r="B5366" t="s">
        <v>15862</v>
      </c>
      <c r="C5366">
        <v>0</v>
      </c>
      <c r="D5366">
        <v>0</v>
      </c>
      <c r="E5366">
        <v>1</v>
      </c>
      <c r="F5366">
        <v>0</v>
      </c>
      <c r="G5366">
        <v>1</v>
      </c>
      <c r="H5366">
        <v>0</v>
      </c>
      <c r="I5366">
        <v>0</v>
      </c>
      <c r="J5366">
        <v>0</v>
      </c>
      <c r="K5366">
        <v>0</v>
      </c>
      <c r="L5366" t="s">
        <v>3284</v>
      </c>
      <c r="M5366" t="s">
        <v>3296</v>
      </c>
      <c r="N5366" t="s">
        <v>3321</v>
      </c>
      <c r="O5366" t="s">
        <v>3322</v>
      </c>
      <c r="P5366" t="s">
        <v>3423</v>
      </c>
      <c r="Q5366" t="s">
        <v>4170</v>
      </c>
      <c r="R5366" t="s">
        <v>15863</v>
      </c>
    </row>
    <row r="5367" spans="1:18" x14ac:dyDescent="0.2">
      <c r="A5367">
        <v>287</v>
      </c>
      <c r="B5367" t="s">
        <v>15864</v>
      </c>
      <c r="C5367">
        <v>1</v>
      </c>
      <c r="D5367">
        <v>1</v>
      </c>
      <c r="E5367">
        <v>0</v>
      </c>
      <c r="F5367">
        <v>5</v>
      </c>
      <c r="G5367">
        <v>3</v>
      </c>
      <c r="H5367">
        <v>2</v>
      </c>
      <c r="I5367">
        <v>1</v>
      </c>
      <c r="J5367">
        <v>1</v>
      </c>
      <c r="K5367">
        <v>3</v>
      </c>
      <c r="L5367" t="s">
        <v>3284</v>
      </c>
      <c r="M5367" t="s">
        <v>3296</v>
      </c>
      <c r="N5367" t="s">
        <v>3297</v>
      </c>
      <c r="O5367" t="s">
        <v>3434</v>
      </c>
      <c r="P5367" t="s">
        <v>3435</v>
      </c>
      <c r="Q5367" t="s">
        <v>3436</v>
      </c>
      <c r="R5367" t="s">
        <v>15865</v>
      </c>
    </row>
    <row r="5368" spans="1:18" x14ac:dyDescent="0.2">
      <c r="A5368">
        <v>285</v>
      </c>
      <c r="B5368" t="s">
        <v>15866</v>
      </c>
      <c r="C5368">
        <v>31</v>
      </c>
      <c r="D5368">
        <v>37</v>
      </c>
      <c r="E5368">
        <v>80</v>
      </c>
      <c r="F5368">
        <v>0</v>
      </c>
      <c r="G5368">
        <v>1</v>
      </c>
      <c r="H5368">
        <v>0</v>
      </c>
      <c r="I5368">
        <v>2</v>
      </c>
      <c r="J5368">
        <v>2</v>
      </c>
      <c r="K5368">
        <v>2</v>
      </c>
      <c r="L5368" t="s">
        <v>3284</v>
      </c>
      <c r="M5368" t="s">
        <v>3296</v>
      </c>
      <c r="N5368" t="s">
        <v>3321</v>
      </c>
      <c r="O5368" t="s">
        <v>3322</v>
      </c>
      <c r="P5368" t="s">
        <v>3398</v>
      </c>
      <c r="Q5368" t="s">
        <v>3806</v>
      </c>
      <c r="R5368" t="s">
        <v>15867</v>
      </c>
    </row>
    <row r="5369" spans="1:18" x14ac:dyDescent="0.2">
      <c r="A5369">
        <v>281</v>
      </c>
      <c r="B5369" t="s">
        <v>15868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3</v>
      </c>
      <c r="J5369">
        <v>1</v>
      </c>
      <c r="K5369">
        <v>3</v>
      </c>
      <c r="L5369" t="s">
        <v>3284</v>
      </c>
      <c r="M5369" t="s">
        <v>3296</v>
      </c>
      <c r="N5369" t="s">
        <v>3343</v>
      </c>
      <c r="O5369" t="s">
        <v>3344</v>
      </c>
      <c r="P5369" t="s">
        <v>3661</v>
      </c>
      <c r="Q5369" t="s">
        <v>3895</v>
      </c>
      <c r="R5369" t="s">
        <v>15869</v>
      </c>
    </row>
    <row r="5370" spans="1:18" x14ac:dyDescent="0.2">
      <c r="A5370">
        <v>267</v>
      </c>
      <c r="B5370" t="s">
        <v>15870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1</v>
      </c>
      <c r="J5370">
        <v>0</v>
      </c>
      <c r="K5370">
        <v>0</v>
      </c>
      <c r="L5370" t="s">
        <v>3284</v>
      </c>
      <c r="M5370" t="s">
        <v>3296</v>
      </c>
      <c r="N5370" t="s">
        <v>3343</v>
      </c>
      <c r="O5370" t="s">
        <v>3371</v>
      </c>
      <c r="P5370" t="s">
        <v>3688</v>
      </c>
      <c r="Q5370" t="s">
        <v>4406</v>
      </c>
      <c r="R5370" t="s">
        <v>15871</v>
      </c>
    </row>
    <row r="5371" spans="1:18" x14ac:dyDescent="0.2">
      <c r="A5371">
        <v>263</v>
      </c>
      <c r="B5371" t="s">
        <v>15872</v>
      </c>
      <c r="C5371">
        <v>0</v>
      </c>
      <c r="D5371">
        <v>0</v>
      </c>
      <c r="E5371">
        <v>1</v>
      </c>
      <c r="F5371">
        <v>0</v>
      </c>
      <c r="G5371">
        <v>0</v>
      </c>
      <c r="H5371">
        <v>0</v>
      </c>
      <c r="I5371">
        <v>1</v>
      </c>
      <c r="J5371">
        <v>0</v>
      </c>
      <c r="K5371">
        <v>3</v>
      </c>
      <c r="L5371" t="s">
        <v>3284</v>
      </c>
      <c r="M5371" t="s">
        <v>3296</v>
      </c>
      <c r="N5371" t="s">
        <v>3297</v>
      </c>
      <c r="O5371" t="s">
        <v>8743</v>
      </c>
      <c r="P5371" t="s">
        <v>15873</v>
      </c>
      <c r="Q5371" t="s">
        <v>15874</v>
      </c>
      <c r="R5371" t="s">
        <v>15875</v>
      </c>
    </row>
    <row r="5372" spans="1:18" x14ac:dyDescent="0.2">
      <c r="A5372">
        <v>258</v>
      </c>
      <c r="B5372" t="s">
        <v>15876</v>
      </c>
      <c r="C5372">
        <v>20</v>
      </c>
      <c r="D5372">
        <v>2</v>
      </c>
      <c r="E5372">
        <v>2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 t="s">
        <v>3284</v>
      </c>
      <c r="M5372" t="s">
        <v>3391</v>
      </c>
      <c r="N5372" t="s">
        <v>3392</v>
      </c>
      <c r="O5372" t="s">
        <v>3393</v>
      </c>
      <c r="P5372" t="s">
        <v>3394</v>
      </c>
      <c r="Q5372" t="s">
        <v>4351</v>
      </c>
      <c r="R5372" t="s">
        <v>15877</v>
      </c>
    </row>
    <row r="5373" spans="1:18" x14ac:dyDescent="0.2">
      <c r="A5373">
        <v>245</v>
      </c>
      <c r="B5373" t="s">
        <v>15878</v>
      </c>
      <c r="C5373">
        <v>2</v>
      </c>
      <c r="D5373">
        <v>1</v>
      </c>
      <c r="E5373">
        <v>1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 t="s">
        <v>3284</v>
      </c>
      <c r="M5373" t="s">
        <v>3391</v>
      </c>
      <c r="N5373" t="s">
        <v>3411</v>
      </c>
      <c r="O5373" t="s">
        <v>3412</v>
      </c>
      <c r="P5373" t="s">
        <v>3413</v>
      </c>
      <c r="Q5373" t="s">
        <v>3414</v>
      </c>
      <c r="R5373" t="s">
        <v>15879</v>
      </c>
    </row>
    <row r="5374" spans="1:18" x14ac:dyDescent="0.2">
      <c r="A5374">
        <v>239</v>
      </c>
      <c r="B5374" t="s">
        <v>15880</v>
      </c>
      <c r="C5374">
        <v>9</v>
      </c>
      <c r="D5374">
        <v>14</v>
      </c>
      <c r="E5374">
        <v>2</v>
      </c>
      <c r="F5374">
        <v>23</v>
      </c>
      <c r="G5374">
        <v>16</v>
      </c>
      <c r="H5374">
        <v>1</v>
      </c>
      <c r="I5374">
        <v>1</v>
      </c>
      <c r="J5374">
        <v>1</v>
      </c>
      <c r="K5374">
        <v>0</v>
      </c>
      <c r="L5374" t="s">
        <v>3284</v>
      </c>
      <c r="M5374" t="s">
        <v>3391</v>
      </c>
      <c r="N5374" t="s">
        <v>3411</v>
      </c>
      <c r="O5374" t="s">
        <v>3412</v>
      </c>
      <c r="P5374" t="s">
        <v>3413</v>
      </c>
      <c r="Q5374" t="s">
        <v>3414</v>
      </c>
      <c r="R5374" t="s">
        <v>15881</v>
      </c>
    </row>
    <row r="5375" spans="1:18" x14ac:dyDescent="0.2">
      <c r="A5375">
        <v>238</v>
      </c>
      <c r="B5375" t="s">
        <v>15882</v>
      </c>
      <c r="C5375">
        <v>0</v>
      </c>
      <c r="D5375">
        <v>0</v>
      </c>
      <c r="E5375">
        <v>0</v>
      </c>
      <c r="F5375">
        <v>1</v>
      </c>
      <c r="G5375">
        <v>0</v>
      </c>
      <c r="H5375">
        <v>0</v>
      </c>
      <c r="I5375">
        <v>0</v>
      </c>
      <c r="J5375">
        <v>1</v>
      </c>
      <c r="K5375">
        <v>0</v>
      </c>
      <c r="L5375" t="s">
        <v>3284</v>
      </c>
      <c r="M5375" t="s">
        <v>3391</v>
      </c>
      <c r="N5375" t="s">
        <v>3411</v>
      </c>
      <c r="O5375" t="s">
        <v>3412</v>
      </c>
      <c r="P5375" t="s">
        <v>3564</v>
      </c>
      <c r="Q5375" t="s">
        <v>14305</v>
      </c>
      <c r="R5375" t="s">
        <v>15883</v>
      </c>
    </row>
    <row r="5376" spans="1:18" x14ac:dyDescent="0.2">
      <c r="A5376">
        <v>227</v>
      </c>
      <c r="B5376" t="s">
        <v>15884</v>
      </c>
      <c r="C5376">
        <v>1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 t="s">
        <v>3284</v>
      </c>
      <c r="M5376" t="s">
        <v>3296</v>
      </c>
      <c r="N5376" t="s">
        <v>3297</v>
      </c>
      <c r="O5376" t="s">
        <v>4556</v>
      </c>
      <c r="P5376" t="s">
        <v>11249</v>
      </c>
      <c r="Q5376" t="s">
        <v>11250</v>
      </c>
      <c r="R5376" t="s">
        <v>15885</v>
      </c>
    </row>
    <row r="5377" spans="1:18" x14ac:dyDescent="0.2">
      <c r="A5377">
        <v>210</v>
      </c>
      <c r="B5377" t="s">
        <v>15886</v>
      </c>
      <c r="C5377">
        <v>0</v>
      </c>
      <c r="D5377">
        <v>0</v>
      </c>
      <c r="E5377">
        <v>3</v>
      </c>
      <c r="F5377">
        <v>3</v>
      </c>
      <c r="G5377">
        <v>1</v>
      </c>
      <c r="H5377">
        <v>3</v>
      </c>
      <c r="I5377">
        <v>1</v>
      </c>
      <c r="J5377">
        <v>0</v>
      </c>
      <c r="K5377">
        <v>7</v>
      </c>
      <c r="L5377" t="s">
        <v>3284</v>
      </c>
      <c r="M5377" t="s">
        <v>4226</v>
      </c>
      <c r="N5377" t="s">
        <v>4227</v>
      </c>
      <c r="O5377" t="s">
        <v>4228</v>
      </c>
      <c r="P5377" t="s">
        <v>14461</v>
      </c>
      <c r="Q5377" t="s">
        <v>14462</v>
      </c>
      <c r="R5377" t="s">
        <v>15887</v>
      </c>
    </row>
    <row r="5378" spans="1:18" x14ac:dyDescent="0.2">
      <c r="A5378">
        <v>199</v>
      </c>
      <c r="B5378" t="s">
        <v>15888</v>
      </c>
      <c r="C5378">
        <v>0</v>
      </c>
      <c r="D5378">
        <v>0</v>
      </c>
      <c r="E5378">
        <v>0</v>
      </c>
      <c r="F5378">
        <v>1</v>
      </c>
      <c r="G5378">
        <v>0</v>
      </c>
      <c r="H5378">
        <v>0</v>
      </c>
      <c r="I5378">
        <v>1</v>
      </c>
      <c r="J5378">
        <v>0</v>
      </c>
      <c r="K5378">
        <v>0</v>
      </c>
      <c r="L5378" t="s">
        <v>3284</v>
      </c>
      <c r="M5378" t="s">
        <v>4226</v>
      </c>
      <c r="N5378" t="s">
        <v>4227</v>
      </c>
      <c r="O5378" t="s">
        <v>4228</v>
      </c>
      <c r="P5378" t="s">
        <v>10515</v>
      </c>
      <c r="Q5378" t="s">
        <v>10516</v>
      </c>
      <c r="R5378" t="s">
        <v>15889</v>
      </c>
    </row>
    <row r="5379" spans="1:18" x14ac:dyDescent="0.2">
      <c r="A5379">
        <v>197</v>
      </c>
      <c r="B5379" t="s">
        <v>15890</v>
      </c>
      <c r="C5379">
        <v>0</v>
      </c>
      <c r="D5379">
        <v>0</v>
      </c>
      <c r="E5379">
        <v>1</v>
      </c>
      <c r="F5379">
        <v>1</v>
      </c>
      <c r="G5379">
        <v>0</v>
      </c>
      <c r="H5379">
        <v>1</v>
      </c>
      <c r="I5379">
        <v>2</v>
      </c>
      <c r="J5379">
        <v>0</v>
      </c>
      <c r="K5379">
        <v>0</v>
      </c>
      <c r="L5379" t="s">
        <v>3284</v>
      </c>
      <c r="M5379" t="s">
        <v>4226</v>
      </c>
      <c r="N5379" t="s">
        <v>4227</v>
      </c>
      <c r="O5379" t="s">
        <v>4228</v>
      </c>
      <c r="P5379" t="s">
        <v>10515</v>
      </c>
      <c r="Q5379" t="s">
        <v>10516</v>
      </c>
      <c r="R5379" t="s">
        <v>15891</v>
      </c>
    </row>
    <row r="5380" spans="1:18" x14ac:dyDescent="0.2">
      <c r="A5380">
        <v>192</v>
      </c>
      <c r="B5380" t="s">
        <v>15892</v>
      </c>
      <c r="C5380">
        <v>0</v>
      </c>
      <c r="D5380">
        <v>0</v>
      </c>
      <c r="E5380">
        <v>0</v>
      </c>
      <c r="F5380">
        <v>1</v>
      </c>
      <c r="G5380">
        <v>0</v>
      </c>
      <c r="H5380">
        <v>0</v>
      </c>
      <c r="I5380">
        <v>0</v>
      </c>
      <c r="J5380">
        <v>0</v>
      </c>
      <c r="K5380">
        <v>0</v>
      </c>
      <c r="L5380" t="s">
        <v>3284</v>
      </c>
      <c r="M5380" t="s">
        <v>3296</v>
      </c>
      <c r="N5380" t="s">
        <v>3343</v>
      </c>
      <c r="O5380" t="s">
        <v>3861</v>
      </c>
      <c r="P5380" t="s">
        <v>3862</v>
      </c>
      <c r="Q5380" t="s">
        <v>3863</v>
      </c>
      <c r="R5380" t="s">
        <v>15893</v>
      </c>
    </row>
    <row r="5381" spans="1:18" x14ac:dyDescent="0.2">
      <c r="A5381">
        <v>189</v>
      </c>
      <c r="B5381" t="s">
        <v>15894</v>
      </c>
      <c r="C5381">
        <v>1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 t="s">
        <v>3284</v>
      </c>
      <c r="M5381" t="s">
        <v>3296</v>
      </c>
      <c r="N5381" t="s">
        <v>3343</v>
      </c>
      <c r="O5381" t="s">
        <v>3861</v>
      </c>
      <c r="P5381" t="s">
        <v>15895</v>
      </c>
      <c r="Q5381" t="s">
        <v>15896</v>
      </c>
      <c r="R5381" t="s">
        <v>15897</v>
      </c>
    </row>
    <row r="5382" spans="1:18" x14ac:dyDescent="0.2">
      <c r="A5382">
        <v>173</v>
      </c>
      <c r="B5382" t="s">
        <v>15898</v>
      </c>
      <c r="C5382">
        <v>0</v>
      </c>
      <c r="D5382">
        <v>0</v>
      </c>
      <c r="E5382">
        <v>1</v>
      </c>
      <c r="F5382">
        <v>1</v>
      </c>
      <c r="G5382">
        <v>0</v>
      </c>
      <c r="H5382">
        <v>0</v>
      </c>
      <c r="I5382">
        <v>1</v>
      </c>
      <c r="J5382">
        <v>0</v>
      </c>
      <c r="K5382">
        <v>0</v>
      </c>
      <c r="L5382" t="s">
        <v>3284</v>
      </c>
      <c r="M5382" t="s">
        <v>6546</v>
      </c>
      <c r="N5382" t="s">
        <v>6547</v>
      </c>
      <c r="O5382" t="s">
        <v>13879</v>
      </c>
      <c r="P5382" t="s">
        <v>13880</v>
      </c>
      <c r="Q5382" t="s">
        <v>13881</v>
      </c>
      <c r="R5382" t="s">
        <v>15899</v>
      </c>
    </row>
    <row r="5383" spans="1:18" x14ac:dyDescent="0.2">
      <c r="A5383">
        <v>120</v>
      </c>
      <c r="B5383" t="s">
        <v>15900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1</v>
      </c>
      <c r="K5383">
        <v>0</v>
      </c>
      <c r="L5383" t="s">
        <v>3284</v>
      </c>
      <c r="M5383" t="s">
        <v>3794</v>
      </c>
      <c r="N5383" t="s">
        <v>3795</v>
      </c>
      <c r="O5383" t="s">
        <v>3796</v>
      </c>
      <c r="P5383" t="s">
        <v>3797</v>
      </c>
      <c r="Q5383" t="s">
        <v>15901</v>
      </c>
      <c r="R5383" t="s">
        <v>15902</v>
      </c>
    </row>
    <row r="5384" spans="1:18" x14ac:dyDescent="0.2">
      <c r="A5384">
        <v>106</v>
      </c>
      <c r="B5384" t="s">
        <v>15903</v>
      </c>
      <c r="C5384">
        <v>1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 t="s">
        <v>3284</v>
      </c>
      <c r="M5384" t="s">
        <v>3391</v>
      </c>
      <c r="N5384" t="s">
        <v>3740</v>
      </c>
      <c r="O5384" t="s">
        <v>3741</v>
      </c>
      <c r="P5384" t="s">
        <v>3742</v>
      </c>
      <c r="Q5384" t="s">
        <v>4997</v>
      </c>
      <c r="R5384" t="s">
        <v>15904</v>
      </c>
    </row>
    <row r="5385" spans="1:18" x14ac:dyDescent="0.2">
      <c r="A5385">
        <v>100</v>
      </c>
      <c r="B5385" t="s">
        <v>15905</v>
      </c>
      <c r="C5385">
        <v>0</v>
      </c>
      <c r="D5385">
        <v>1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 t="s">
        <v>3284</v>
      </c>
      <c r="M5385" t="s">
        <v>3296</v>
      </c>
      <c r="N5385" t="s">
        <v>3343</v>
      </c>
      <c r="O5385" t="s">
        <v>3344</v>
      </c>
      <c r="P5385" t="s">
        <v>3661</v>
      </c>
      <c r="Q5385" t="s">
        <v>3662</v>
      </c>
      <c r="R5385" t="s">
        <v>15906</v>
      </c>
    </row>
    <row r="5386" spans="1:18" x14ac:dyDescent="0.2">
      <c r="A5386">
        <v>89</v>
      </c>
      <c r="B5386" t="s">
        <v>15907</v>
      </c>
      <c r="C5386">
        <v>0</v>
      </c>
      <c r="D5386">
        <v>1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 t="s">
        <v>3284</v>
      </c>
      <c r="M5386" t="s">
        <v>3296</v>
      </c>
      <c r="N5386" t="s">
        <v>3321</v>
      </c>
      <c r="O5386" t="s">
        <v>3322</v>
      </c>
      <c r="P5386" t="s">
        <v>3671</v>
      </c>
      <c r="Q5386" t="s">
        <v>15908</v>
      </c>
      <c r="R5386" t="s">
        <v>15909</v>
      </c>
    </row>
    <row r="5387" spans="1:18" x14ac:dyDescent="0.2">
      <c r="A5387">
        <v>87</v>
      </c>
      <c r="B5387" t="s">
        <v>15910</v>
      </c>
      <c r="C5387">
        <v>0</v>
      </c>
      <c r="D5387">
        <v>1</v>
      </c>
      <c r="E5387">
        <v>1</v>
      </c>
      <c r="F5387">
        <v>0</v>
      </c>
      <c r="G5387">
        <v>0</v>
      </c>
      <c r="H5387">
        <v>0</v>
      </c>
      <c r="I5387">
        <v>2</v>
      </c>
      <c r="J5387">
        <v>0</v>
      </c>
      <c r="K5387">
        <v>0</v>
      </c>
      <c r="L5387" t="s">
        <v>3284</v>
      </c>
      <c r="M5387" t="s">
        <v>3296</v>
      </c>
      <c r="N5387" t="s">
        <v>3343</v>
      </c>
      <c r="O5387" t="s">
        <v>4159</v>
      </c>
      <c r="P5387" t="s">
        <v>4160</v>
      </c>
      <c r="Q5387" t="s">
        <v>15911</v>
      </c>
      <c r="R5387" t="s">
        <v>15912</v>
      </c>
    </row>
    <row r="5388" spans="1:18" x14ac:dyDescent="0.2">
      <c r="A5388">
        <v>86</v>
      </c>
      <c r="B5388" t="s">
        <v>15913</v>
      </c>
      <c r="C5388">
        <v>0</v>
      </c>
      <c r="D5388">
        <v>1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 t="s">
        <v>3284</v>
      </c>
      <c r="M5388" t="s">
        <v>3296</v>
      </c>
      <c r="N5388" t="s">
        <v>3343</v>
      </c>
      <c r="O5388" t="s">
        <v>4159</v>
      </c>
      <c r="P5388" t="s">
        <v>4160</v>
      </c>
      <c r="Q5388" t="s">
        <v>15911</v>
      </c>
      <c r="R5388" t="s">
        <v>15914</v>
      </c>
    </row>
    <row r="5389" spans="1:18" x14ac:dyDescent="0.2">
      <c r="A5389">
        <v>82</v>
      </c>
      <c r="B5389" t="s">
        <v>15915</v>
      </c>
      <c r="C5389">
        <v>0</v>
      </c>
      <c r="D5389">
        <v>1</v>
      </c>
      <c r="E5389">
        <v>0</v>
      </c>
      <c r="F5389">
        <v>1</v>
      </c>
      <c r="G5389">
        <v>1</v>
      </c>
      <c r="H5389">
        <v>0</v>
      </c>
      <c r="I5389">
        <v>0</v>
      </c>
      <c r="J5389">
        <v>1</v>
      </c>
      <c r="K5389">
        <v>0</v>
      </c>
      <c r="L5389" t="s">
        <v>3284</v>
      </c>
      <c r="M5389" t="s">
        <v>3296</v>
      </c>
      <c r="N5389" t="s">
        <v>3343</v>
      </c>
      <c r="O5389" t="s">
        <v>3344</v>
      </c>
      <c r="P5389" t="s">
        <v>3837</v>
      </c>
      <c r="Q5389" t="s">
        <v>4865</v>
      </c>
      <c r="R5389" t="s">
        <v>15916</v>
      </c>
    </row>
    <row r="5390" spans="1:18" x14ac:dyDescent="0.2">
      <c r="A5390">
        <v>78</v>
      </c>
      <c r="B5390" t="s">
        <v>15917</v>
      </c>
      <c r="C5390">
        <v>0</v>
      </c>
      <c r="D5390">
        <v>0</v>
      </c>
      <c r="E5390">
        <v>0</v>
      </c>
      <c r="F5390">
        <v>29</v>
      </c>
      <c r="G5390">
        <v>7</v>
      </c>
      <c r="H5390">
        <v>2</v>
      </c>
      <c r="I5390">
        <v>1</v>
      </c>
      <c r="J5390">
        <v>2</v>
      </c>
      <c r="K5390">
        <v>0</v>
      </c>
      <c r="L5390" t="s">
        <v>3284</v>
      </c>
      <c r="M5390" t="s">
        <v>3296</v>
      </c>
      <c r="N5390" t="s">
        <v>3343</v>
      </c>
      <c r="O5390" t="s">
        <v>3402</v>
      </c>
      <c r="P5390" t="s">
        <v>3403</v>
      </c>
      <c r="Q5390" t="s">
        <v>3404</v>
      </c>
      <c r="R5390" t="s">
        <v>15918</v>
      </c>
    </row>
    <row r="5391" spans="1:18" x14ac:dyDescent="0.2">
      <c r="A5391">
        <v>72</v>
      </c>
      <c r="B5391" t="s">
        <v>15919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1</v>
      </c>
      <c r="J5391">
        <v>0</v>
      </c>
      <c r="K5391">
        <v>0</v>
      </c>
      <c r="L5391" t="s">
        <v>3284</v>
      </c>
      <c r="M5391" t="s">
        <v>3296</v>
      </c>
      <c r="N5391" t="s">
        <v>3321</v>
      </c>
      <c r="O5391" t="s">
        <v>5306</v>
      </c>
      <c r="P5391" t="s">
        <v>5610</v>
      </c>
      <c r="Q5391" t="s">
        <v>15920</v>
      </c>
      <c r="R5391" t="s">
        <v>15921</v>
      </c>
    </row>
    <row r="5392" spans="1:18" x14ac:dyDescent="0.2">
      <c r="A5392">
        <v>69</v>
      </c>
      <c r="B5392" t="s">
        <v>15922</v>
      </c>
      <c r="C5392">
        <v>1</v>
      </c>
      <c r="D5392">
        <v>0</v>
      </c>
      <c r="E5392">
        <v>0</v>
      </c>
      <c r="F5392">
        <v>0</v>
      </c>
      <c r="G5392">
        <v>1</v>
      </c>
      <c r="H5392">
        <v>0</v>
      </c>
      <c r="I5392">
        <v>0</v>
      </c>
      <c r="J5392">
        <v>0</v>
      </c>
      <c r="K5392">
        <v>0</v>
      </c>
      <c r="L5392" t="s">
        <v>3284</v>
      </c>
      <c r="M5392" t="s">
        <v>3296</v>
      </c>
      <c r="N5392" t="s">
        <v>3297</v>
      </c>
      <c r="O5392" t="s">
        <v>3469</v>
      </c>
      <c r="P5392" t="s">
        <v>3470</v>
      </c>
      <c r="Q5392" t="s">
        <v>4417</v>
      </c>
      <c r="R5392" t="s">
        <v>15923</v>
      </c>
    </row>
    <row r="5393" spans="1:18" x14ac:dyDescent="0.2">
      <c r="A5393">
        <v>63</v>
      </c>
      <c r="B5393" t="s">
        <v>15924</v>
      </c>
      <c r="C5393">
        <v>0</v>
      </c>
      <c r="D5393">
        <v>1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 t="s">
        <v>3284</v>
      </c>
      <c r="M5393" t="s">
        <v>3296</v>
      </c>
      <c r="N5393" t="s">
        <v>3321</v>
      </c>
      <c r="O5393" t="s">
        <v>5306</v>
      </c>
      <c r="P5393" t="s">
        <v>5610</v>
      </c>
      <c r="Q5393" t="s">
        <v>15925</v>
      </c>
      <c r="R5393" t="s">
        <v>15926</v>
      </c>
    </row>
    <row r="5394" spans="1:18" x14ac:dyDescent="0.2">
      <c r="A5394">
        <v>41</v>
      </c>
      <c r="B5394" t="s">
        <v>15927</v>
      </c>
      <c r="C5394">
        <v>0</v>
      </c>
      <c r="D5394">
        <v>1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 t="s">
        <v>3284</v>
      </c>
      <c r="M5394" t="s">
        <v>5163</v>
      </c>
      <c r="N5394" t="s">
        <v>5164</v>
      </c>
      <c r="O5394" t="s">
        <v>5165</v>
      </c>
      <c r="P5394" t="s">
        <v>10130</v>
      </c>
      <c r="Q5394" t="s">
        <v>15928</v>
      </c>
      <c r="R5394" t="s">
        <v>15929</v>
      </c>
    </row>
    <row r="5395" spans="1:18" x14ac:dyDescent="0.2">
      <c r="A5395">
        <v>24</v>
      </c>
      <c r="B5395" t="s">
        <v>15930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1</v>
      </c>
      <c r="J5395">
        <v>0</v>
      </c>
      <c r="K5395">
        <v>0</v>
      </c>
      <c r="L5395" t="s">
        <v>3284</v>
      </c>
      <c r="M5395" t="s">
        <v>3296</v>
      </c>
      <c r="N5395" t="s">
        <v>3297</v>
      </c>
      <c r="O5395" t="s">
        <v>4556</v>
      </c>
      <c r="P5395" t="s">
        <v>6227</v>
      </c>
      <c r="Q5395" t="s">
        <v>6228</v>
      </c>
      <c r="R5395" t="s">
        <v>15931</v>
      </c>
    </row>
    <row r="5396" spans="1:18" x14ac:dyDescent="0.2">
      <c r="A5396">
        <v>23</v>
      </c>
      <c r="B5396" t="s">
        <v>15932</v>
      </c>
      <c r="C5396">
        <v>1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 t="s">
        <v>3284</v>
      </c>
      <c r="M5396" t="s">
        <v>3296</v>
      </c>
      <c r="N5396" t="s">
        <v>3297</v>
      </c>
      <c r="O5396" t="s">
        <v>4556</v>
      </c>
      <c r="P5396" t="s">
        <v>6227</v>
      </c>
      <c r="Q5396" t="s">
        <v>6228</v>
      </c>
      <c r="R5396" t="s">
        <v>15933</v>
      </c>
    </row>
    <row r="5397" spans="1:18" x14ac:dyDescent="0.2">
      <c r="A5397">
        <v>21</v>
      </c>
      <c r="B5397" t="s">
        <v>15934</v>
      </c>
      <c r="C5397">
        <v>0</v>
      </c>
      <c r="D5397">
        <v>0</v>
      </c>
      <c r="E5397">
        <v>0</v>
      </c>
      <c r="F5397">
        <v>1</v>
      </c>
      <c r="G5397">
        <v>2</v>
      </c>
      <c r="H5397">
        <v>0</v>
      </c>
      <c r="I5397">
        <v>0</v>
      </c>
      <c r="J5397">
        <v>0</v>
      </c>
      <c r="K5397">
        <v>0</v>
      </c>
      <c r="L5397" t="s">
        <v>3284</v>
      </c>
      <c r="M5397" t="s">
        <v>3296</v>
      </c>
      <c r="N5397" t="s">
        <v>3343</v>
      </c>
      <c r="O5397" t="s">
        <v>3402</v>
      </c>
      <c r="P5397" t="s">
        <v>3403</v>
      </c>
      <c r="Q5397" t="s">
        <v>5337</v>
      </c>
      <c r="R5397" t="s">
        <v>15935</v>
      </c>
    </row>
    <row r="5398" spans="1:18" x14ac:dyDescent="0.2">
      <c r="A5398">
        <v>9</v>
      </c>
      <c r="B5398" t="s">
        <v>15936</v>
      </c>
      <c r="C5398">
        <v>0</v>
      </c>
      <c r="D5398">
        <v>0</v>
      </c>
      <c r="E5398">
        <v>0</v>
      </c>
      <c r="F5398">
        <v>2</v>
      </c>
      <c r="G5398">
        <v>0</v>
      </c>
      <c r="H5398">
        <v>0</v>
      </c>
      <c r="I5398">
        <v>0</v>
      </c>
      <c r="J5398">
        <v>0</v>
      </c>
      <c r="K5398">
        <v>0</v>
      </c>
      <c r="L5398" t="s">
        <v>3284</v>
      </c>
      <c r="M5398" t="s">
        <v>3296</v>
      </c>
      <c r="N5398" t="s">
        <v>3297</v>
      </c>
      <c r="O5398" t="s">
        <v>3298</v>
      </c>
      <c r="P5398" t="s">
        <v>3873</v>
      </c>
      <c r="Q5398" t="s">
        <v>15937</v>
      </c>
      <c r="R5398" t="s">
        <v>15938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E05ED-B450-274D-9718-360877241A09}">
  <dimension ref="A1:C2452"/>
  <sheetViews>
    <sheetView workbookViewId="0">
      <selection activeCell="H24" sqref="H24"/>
    </sheetView>
  </sheetViews>
  <sheetFormatPr baseColWidth="10" defaultColWidth="11" defaultRowHeight="16" x14ac:dyDescent="0.2"/>
  <sheetData>
    <row r="1" spans="1:3" x14ac:dyDescent="0.2">
      <c r="A1" t="s">
        <v>15939</v>
      </c>
      <c r="B1" t="s">
        <v>15940</v>
      </c>
      <c r="C1" t="s">
        <v>15941</v>
      </c>
    </row>
    <row r="2" spans="1:3" x14ac:dyDescent="0.2">
      <c r="A2" t="s">
        <v>3295</v>
      </c>
      <c r="B2" t="s">
        <v>3283</v>
      </c>
      <c r="C2" t="s">
        <v>3283</v>
      </c>
    </row>
    <row r="3" spans="1:3" x14ac:dyDescent="0.2">
      <c r="A3" t="s">
        <v>3313</v>
      </c>
      <c r="B3" t="s">
        <v>3303</v>
      </c>
      <c r="C3" t="s">
        <v>3303</v>
      </c>
    </row>
    <row r="4" spans="1:3" x14ac:dyDescent="0.2">
      <c r="A4" t="s">
        <v>3326</v>
      </c>
      <c r="B4" t="s">
        <v>3313</v>
      </c>
      <c r="C4" t="s">
        <v>3306</v>
      </c>
    </row>
    <row r="5" spans="1:3" x14ac:dyDescent="0.2">
      <c r="A5" t="s">
        <v>3333</v>
      </c>
      <c r="B5" t="s">
        <v>3320</v>
      </c>
      <c r="C5" t="s">
        <v>3333</v>
      </c>
    </row>
    <row r="6" spans="1:3" x14ac:dyDescent="0.2">
      <c r="A6" t="s">
        <v>3336</v>
      </c>
      <c r="B6" t="s">
        <v>3348</v>
      </c>
      <c r="C6" t="s">
        <v>3336</v>
      </c>
    </row>
    <row r="7" spans="1:3" x14ac:dyDescent="0.2">
      <c r="A7" t="s">
        <v>3358</v>
      </c>
      <c r="B7" t="s">
        <v>3354</v>
      </c>
      <c r="C7" t="s">
        <v>3338</v>
      </c>
    </row>
    <row r="8" spans="1:3" x14ac:dyDescent="0.2">
      <c r="A8" t="s">
        <v>3381</v>
      </c>
      <c r="B8" t="s">
        <v>3366</v>
      </c>
      <c r="C8" t="s">
        <v>3342</v>
      </c>
    </row>
    <row r="9" spans="1:3" x14ac:dyDescent="0.2">
      <c r="A9" t="s">
        <v>3390</v>
      </c>
      <c r="B9" t="s">
        <v>3370</v>
      </c>
      <c r="C9" t="s">
        <v>3363</v>
      </c>
    </row>
    <row r="10" spans="1:3" x14ac:dyDescent="0.2">
      <c r="A10" t="s">
        <v>3422</v>
      </c>
      <c r="B10" t="s">
        <v>3381</v>
      </c>
      <c r="C10" t="s">
        <v>3366</v>
      </c>
    </row>
    <row r="11" spans="1:3" x14ac:dyDescent="0.2">
      <c r="A11" t="s">
        <v>3428</v>
      </c>
      <c r="B11" t="s">
        <v>3386</v>
      </c>
      <c r="C11" t="s">
        <v>3375</v>
      </c>
    </row>
    <row r="12" spans="1:3" x14ac:dyDescent="0.2">
      <c r="A12" t="s">
        <v>3450</v>
      </c>
      <c r="B12" t="s">
        <v>3397</v>
      </c>
      <c r="C12" t="s">
        <v>3381</v>
      </c>
    </row>
    <row r="13" spans="1:3" x14ac:dyDescent="0.2">
      <c r="A13" t="s">
        <v>3460</v>
      </c>
      <c r="B13" t="s">
        <v>3401</v>
      </c>
      <c r="C13" t="s">
        <v>3386</v>
      </c>
    </row>
    <row r="14" spans="1:3" x14ac:dyDescent="0.2">
      <c r="A14" t="s">
        <v>3473</v>
      </c>
      <c r="B14" t="s">
        <v>3406</v>
      </c>
      <c r="C14" t="s">
        <v>3390</v>
      </c>
    </row>
    <row r="15" spans="1:3" x14ac:dyDescent="0.2">
      <c r="A15" t="s">
        <v>3475</v>
      </c>
      <c r="B15" t="s">
        <v>3410</v>
      </c>
      <c r="C15" t="s">
        <v>3426</v>
      </c>
    </row>
    <row r="16" spans="1:3" x14ac:dyDescent="0.2">
      <c r="A16" t="s">
        <v>3490</v>
      </c>
      <c r="B16" t="s">
        <v>3416</v>
      </c>
      <c r="C16" t="s">
        <v>3428</v>
      </c>
    </row>
    <row r="17" spans="1:3" x14ac:dyDescent="0.2">
      <c r="A17" t="s">
        <v>3493</v>
      </c>
      <c r="B17" t="s">
        <v>3418</v>
      </c>
      <c r="C17" t="s">
        <v>3441</v>
      </c>
    </row>
    <row r="18" spans="1:3" x14ac:dyDescent="0.2">
      <c r="A18" t="s">
        <v>3498</v>
      </c>
      <c r="B18" t="s">
        <v>3420</v>
      </c>
      <c r="C18" t="s">
        <v>3454</v>
      </c>
    </row>
    <row r="19" spans="1:3" x14ac:dyDescent="0.2">
      <c r="A19" t="s">
        <v>3504</v>
      </c>
      <c r="B19" t="s">
        <v>3422</v>
      </c>
      <c r="C19" t="s">
        <v>3456</v>
      </c>
    </row>
    <row r="20" spans="1:3" x14ac:dyDescent="0.2">
      <c r="A20" t="s">
        <v>3506</v>
      </c>
      <c r="B20" t="s">
        <v>3428</v>
      </c>
      <c r="C20" t="s">
        <v>3475</v>
      </c>
    </row>
    <row r="21" spans="1:3" x14ac:dyDescent="0.2">
      <c r="A21" t="s">
        <v>3524</v>
      </c>
      <c r="B21" t="s">
        <v>3433</v>
      </c>
      <c r="C21" t="s">
        <v>3500</v>
      </c>
    </row>
    <row r="22" spans="1:3" x14ac:dyDescent="0.2">
      <c r="A22" t="s">
        <v>3530</v>
      </c>
      <c r="B22" t="s">
        <v>3438</v>
      </c>
      <c r="C22" t="s">
        <v>3502</v>
      </c>
    </row>
    <row r="23" spans="1:3" x14ac:dyDescent="0.2">
      <c r="A23" t="s">
        <v>3548</v>
      </c>
      <c r="B23" t="s">
        <v>3441</v>
      </c>
      <c r="C23" t="s">
        <v>3504</v>
      </c>
    </row>
    <row r="24" spans="1:3" x14ac:dyDescent="0.2">
      <c r="A24" t="s">
        <v>3555</v>
      </c>
      <c r="B24" t="s">
        <v>3443</v>
      </c>
      <c r="C24" t="s">
        <v>3506</v>
      </c>
    </row>
    <row r="25" spans="1:3" x14ac:dyDescent="0.2">
      <c r="A25" t="s">
        <v>3558</v>
      </c>
      <c r="B25" t="s">
        <v>3445</v>
      </c>
      <c r="C25" t="s">
        <v>3508</v>
      </c>
    </row>
    <row r="26" spans="1:3" x14ac:dyDescent="0.2">
      <c r="A26" t="s">
        <v>3576</v>
      </c>
      <c r="B26" t="s">
        <v>3452</v>
      </c>
      <c r="C26" t="s">
        <v>3512</v>
      </c>
    </row>
    <row r="27" spans="1:3" x14ac:dyDescent="0.2">
      <c r="A27" t="s">
        <v>3595</v>
      </c>
      <c r="B27" t="s">
        <v>3458</v>
      </c>
      <c r="C27" t="s">
        <v>3517</v>
      </c>
    </row>
    <row r="28" spans="1:3" x14ac:dyDescent="0.2">
      <c r="A28" t="s">
        <v>3603</v>
      </c>
      <c r="B28" t="s">
        <v>3462</v>
      </c>
      <c r="C28" t="s">
        <v>3520</v>
      </c>
    </row>
    <row r="29" spans="1:3" x14ac:dyDescent="0.2">
      <c r="A29" t="s">
        <v>3607</v>
      </c>
      <c r="B29" t="s">
        <v>3464</v>
      </c>
      <c r="C29" t="s">
        <v>3530</v>
      </c>
    </row>
    <row r="30" spans="1:3" x14ac:dyDescent="0.2">
      <c r="A30" t="s">
        <v>3614</v>
      </c>
      <c r="B30" t="s">
        <v>3466</v>
      </c>
      <c r="C30" t="s">
        <v>3542</v>
      </c>
    </row>
    <row r="31" spans="1:3" x14ac:dyDescent="0.2">
      <c r="A31" t="s">
        <v>3632</v>
      </c>
      <c r="B31" t="s">
        <v>3468</v>
      </c>
      <c r="C31" t="s">
        <v>3552</v>
      </c>
    </row>
    <row r="32" spans="1:3" x14ac:dyDescent="0.2">
      <c r="A32" t="s">
        <v>3639</v>
      </c>
      <c r="B32" t="s">
        <v>3475</v>
      </c>
      <c r="C32" t="s">
        <v>3558</v>
      </c>
    </row>
    <row r="33" spans="1:3" x14ac:dyDescent="0.2">
      <c r="A33" t="s">
        <v>3647</v>
      </c>
      <c r="B33" t="s">
        <v>3478</v>
      </c>
      <c r="C33" t="s">
        <v>3567</v>
      </c>
    </row>
    <row r="34" spans="1:3" x14ac:dyDescent="0.2">
      <c r="A34" t="s">
        <v>3650</v>
      </c>
      <c r="B34" t="s">
        <v>3480</v>
      </c>
      <c r="C34" t="s">
        <v>3570</v>
      </c>
    </row>
    <row r="35" spans="1:3" x14ac:dyDescent="0.2">
      <c r="A35" t="s">
        <v>3655</v>
      </c>
      <c r="B35" t="s">
        <v>3482</v>
      </c>
      <c r="C35" t="s">
        <v>3572</v>
      </c>
    </row>
    <row r="36" spans="1:3" x14ac:dyDescent="0.2">
      <c r="A36" t="s">
        <v>3667</v>
      </c>
      <c r="B36" t="s">
        <v>3484</v>
      </c>
      <c r="C36" t="s">
        <v>3582</v>
      </c>
    </row>
    <row r="37" spans="1:3" x14ac:dyDescent="0.2">
      <c r="A37" t="s">
        <v>3670</v>
      </c>
      <c r="B37" t="s">
        <v>3486</v>
      </c>
      <c r="C37" t="s">
        <v>3585</v>
      </c>
    </row>
    <row r="38" spans="1:3" x14ac:dyDescent="0.2">
      <c r="A38" t="s">
        <v>3676</v>
      </c>
      <c r="B38" t="s">
        <v>3488</v>
      </c>
      <c r="C38" t="s">
        <v>3591</v>
      </c>
    </row>
    <row r="39" spans="1:3" x14ac:dyDescent="0.2">
      <c r="A39" t="s">
        <v>3682</v>
      </c>
      <c r="B39" t="s">
        <v>3510</v>
      </c>
      <c r="C39" t="s">
        <v>3593</v>
      </c>
    </row>
    <row r="40" spans="1:3" x14ac:dyDescent="0.2">
      <c r="A40" t="s">
        <v>3685</v>
      </c>
      <c r="B40" t="s">
        <v>3514</v>
      </c>
      <c r="C40" t="s">
        <v>3597</v>
      </c>
    </row>
    <row r="41" spans="1:3" x14ac:dyDescent="0.2">
      <c r="A41" t="s">
        <v>3687</v>
      </c>
      <c r="B41" t="s">
        <v>3522</v>
      </c>
      <c r="C41" t="s">
        <v>3599</v>
      </c>
    </row>
    <row r="42" spans="1:3" x14ac:dyDescent="0.2">
      <c r="A42" t="s">
        <v>3691</v>
      </c>
      <c r="B42" t="s">
        <v>3527</v>
      </c>
      <c r="C42" t="s">
        <v>3601</v>
      </c>
    </row>
    <row r="43" spans="1:3" x14ac:dyDescent="0.2">
      <c r="A43" t="s">
        <v>3695</v>
      </c>
      <c r="B43" t="s">
        <v>3535</v>
      </c>
      <c r="C43" t="s">
        <v>3612</v>
      </c>
    </row>
    <row r="44" spans="1:3" x14ac:dyDescent="0.2">
      <c r="A44" t="s">
        <v>3698</v>
      </c>
      <c r="B44" t="s">
        <v>3538</v>
      </c>
      <c r="C44" t="s">
        <v>3617</v>
      </c>
    </row>
    <row r="45" spans="1:3" x14ac:dyDescent="0.2">
      <c r="A45" t="s">
        <v>3703</v>
      </c>
      <c r="B45" t="s">
        <v>3540</v>
      </c>
      <c r="C45" t="s">
        <v>3619</v>
      </c>
    </row>
    <row r="46" spans="1:3" x14ac:dyDescent="0.2">
      <c r="A46" t="s">
        <v>3717</v>
      </c>
      <c r="B46" t="s">
        <v>3545</v>
      </c>
      <c r="C46" t="s">
        <v>3628</v>
      </c>
    </row>
    <row r="47" spans="1:3" x14ac:dyDescent="0.2">
      <c r="A47" t="s">
        <v>3726</v>
      </c>
      <c r="B47" t="s">
        <v>3548</v>
      </c>
      <c r="C47" t="s">
        <v>3645</v>
      </c>
    </row>
    <row r="48" spans="1:3" x14ac:dyDescent="0.2">
      <c r="A48" t="s">
        <v>3732</v>
      </c>
      <c r="B48" t="s">
        <v>3550</v>
      </c>
      <c r="C48" t="s">
        <v>3650</v>
      </c>
    </row>
    <row r="49" spans="1:3" x14ac:dyDescent="0.2">
      <c r="A49" t="s">
        <v>3747</v>
      </c>
      <c r="B49" t="s">
        <v>3555</v>
      </c>
      <c r="C49" t="s">
        <v>3655</v>
      </c>
    </row>
    <row r="50" spans="1:3" x14ac:dyDescent="0.2">
      <c r="A50" t="s">
        <v>3749</v>
      </c>
      <c r="B50" t="s">
        <v>3560</v>
      </c>
      <c r="C50" t="s">
        <v>3660</v>
      </c>
    </row>
    <row r="51" spans="1:3" x14ac:dyDescent="0.2">
      <c r="A51" t="s">
        <v>3752</v>
      </c>
      <c r="B51" t="s">
        <v>3563</v>
      </c>
      <c r="C51" t="s">
        <v>3678</v>
      </c>
    </row>
    <row r="52" spans="1:3" x14ac:dyDescent="0.2">
      <c r="A52" t="s">
        <v>3760</v>
      </c>
      <c r="B52" t="s">
        <v>3567</v>
      </c>
      <c r="C52" t="s">
        <v>3680</v>
      </c>
    </row>
    <row r="53" spans="1:3" x14ac:dyDescent="0.2">
      <c r="A53" t="s">
        <v>3762</v>
      </c>
      <c r="B53" t="s">
        <v>3570</v>
      </c>
      <c r="C53" t="s">
        <v>3693</v>
      </c>
    </row>
    <row r="54" spans="1:3" x14ac:dyDescent="0.2">
      <c r="A54" t="s">
        <v>3780</v>
      </c>
      <c r="B54" t="s">
        <v>3572</v>
      </c>
      <c r="C54" t="s">
        <v>3706</v>
      </c>
    </row>
    <row r="55" spans="1:3" x14ac:dyDescent="0.2">
      <c r="A55" t="s">
        <v>3787</v>
      </c>
      <c r="B55" t="s">
        <v>3574</v>
      </c>
      <c r="C55" t="s">
        <v>3708</v>
      </c>
    </row>
    <row r="56" spans="1:3" x14ac:dyDescent="0.2">
      <c r="A56" t="s">
        <v>3793</v>
      </c>
      <c r="B56" t="s">
        <v>3579</v>
      </c>
      <c r="C56" t="s">
        <v>3713</v>
      </c>
    </row>
    <row r="57" spans="1:3" x14ac:dyDescent="0.2">
      <c r="A57" t="s">
        <v>3800</v>
      </c>
      <c r="B57" t="s">
        <v>3587</v>
      </c>
      <c r="C57" t="s">
        <v>3715</v>
      </c>
    </row>
    <row r="58" spans="1:3" x14ac:dyDescent="0.2">
      <c r="A58" t="s">
        <v>3805</v>
      </c>
      <c r="B58" t="s">
        <v>3610</v>
      </c>
      <c r="C58" t="s">
        <v>3717</v>
      </c>
    </row>
    <row r="59" spans="1:3" x14ac:dyDescent="0.2">
      <c r="A59" t="s">
        <v>3812</v>
      </c>
      <c r="B59" t="s">
        <v>3621</v>
      </c>
      <c r="C59" t="s">
        <v>3722</v>
      </c>
    </row>
    <row r="60" spans="1:3" x14ac:dyDescent="0.2">
      <c r="A60" t="s">
        <v>3822</v>
      </c>
      <c r="B60" t="s">
        <v>3623</v>
      </c>
      <c r="C60" t="s">
        <v>3724</v>
      </c>
    </row>
    <row r="61" spans="1:3" x14ac:dyDescent="0.2">
      <c r="A61" t="s">
        <v>3831</v>
      </c>
      <c r="B61" t="s">
        <v>3626</v>
      </c>
      <c r="C61" t="s">
        <v>3726</v>
      </c>
    </row>
    <row r="62" spans="1:3" x14ac:dyDescent="0.2">
      <c r="A62" t="s">
        <v>3852</v>
      </c>
      <c r="B62" t="s">
        <v>3630</v>
      </c>
      <c r="C62" t="s">
        <v>3730</v>
      </c>
    </row>
    <row r="63" spans="1:3" x14ac:dyDescent="0.2">
      <c r="A63" t="s">
        <v>3856</v>
      </c>
      <c r="B63" t="s">
        <v>3634</v>
      </c>
      <c r="C63" t="s">
        <v>3758</v>
      </c>
    </row>
    <row r="64" spans="1:3" x14ac:dyDescent="0.2">
      <c r="A64" t="s">
        <v>3872</v>
      </c>
      <c r="B64" t="s">
        <v>3641</v>
      </c>
      <c r="C64" t="s">
        <v>3762</v>
      </c>
    </row>
    <row r="65" spans="1:3" x14ac:dyDescent="0.2">
      <c r="A65" t="s">
        <v>3882</v>
      </c>
      <c r="B65" t="s">
        <v>3643</v>
      </c>
      <c r="C65" t="s">
        <v>3770</v>
      </c>
    </row>
    <row r="66" spans="1:3" x14ac:dyDescent="0.2">
      <c r="A66" t="s">
        <v>3888</v>
      </c>
      <c r="B66" t="s">
        <v>3653</v>
      </c>
      <c r="C66" t="s">
        <v>3778</v>
      </c>
    </row>
    <row r="67" spans="1:3" x14ac:dyDescent="0.2">
      <c r="A67" t="s">
        <v>3905</v>
      </c>
      <c r="B67" t="s">
        <v>3658</v>
      </c>
      <c r="C67" t="s">
        <v>3790</v>
      </c>
    </row>
    <row r="68" spans="1:3" x14ac:dyDescent="0.2">
      <c r="A68" t="s">
        <v>3910</v>
      </c>
      <c r="B68" t="s">
        <v>3664</v>
      </c>
      <c r="C68" t="s">
        <v>3805</v>
      </c>
    </row>
    <row r="69" spans="1:3" x14ac:dyDescent="0.2">
      <c r="A69" t="s">
        <v>3917</v>
      </c>
      <c r="B69" t="s">
        <v>3674</v>
      </c>
      <c r="C69" t="s">
        <v>3834</v>
      </c>
    </row>
    <row r="70" spans="1:3" x14ac:dyDescent="0.2">
      <c r="A70" t="s">
        <v>3924</v>
      </c>
      <c r="B70" t="s">
        <v>3687</v>
      </c>
      <c r="C70" t="s">
        <v>3840</v>
      </c>
    </row>
    <row r="71" spans="1:3" x14ac:dyDescent="0.2">
      <c r="A71" t="s">
        <v>3946</v>
      </c>
      <c r="B71" t="s">
        <v>3695</v>
      </c>
      <c r="C71" t="s">
        <v>3848</v>
      </c>
    </row>
    <row r="72" spans="1:3" x14ac:dyDescent="0.2">
      <c r="A72" t="s">
        <v>3948</v>
      </c>
      <c r="B72" t="s">
        <v>3711</v>
      </c>
      <c r="C72" t="s">
        <v>3852</v>
      </c>
    </row>
    <row r="73" spans="1:3" x14ac:dyDescent="0.2">
      <c r="A73" t="s">
        <v>3953</v>
      </c>
      <c r="B73" t="s">
        <v>3735</v>
      </c>
      <c r="C73" t="s">
        <v>3868</v>
      </c>
    </row>
    <row r="74" spans="1:3" x14ac:dyDescent="0.2">
      <c r="A74" t="s">
        <v>3959</v>
      </c>
      <c r="B74" t="s">
        <v>3737</v>
      </c>
      <c r="C74" t="s">
        <v>3876</v>
      </c>
    </row>
    <row r="75" spans="1:3" x14ac:dyDescent="0.2">
      <c r="A75" t="s">
        <v>3961</v>
      </c>
      <c r="B75" t="s">
        <v>3739</v>
      </c>
      <c r="C75" t="s">
        <v>3878</v>
      </c>
    </row>
    <row r="76" spans="1:3" x14ac:dyDescent="0.2">
      <c r="A76" t="s">
        <v>3978</v>
      </c>
      <c r="B76" t="s">
        <v>3745</v>
      </c>
      <c r="C76" t="s">
        <v>3882</v>
      </c>
    </row>
    <row r="77" spans="1:3" x14ac:dyDescent="0.2">
      <c r="A77" t="s">
        <v>3984</v>
      </c>
      <c r="B77" t="s">
        <v>3764</v>
      </c>
      <c r="C77" t="s">
        <v>3885</v>
      </c>
    </row>
    <row r="78" spans="1:3" x14ac:dyDescent="0.2">
      <c r="A78" t="s">
        <v>3994</v>
      </c>
      <c r="B78" t="s">
        <v>3770</v>
      </c>
      <c r="C78" t="s">
        <v>3890</v>
      </c>
    </row>
    <row r="79" spans="1:3" x14ac:dyDescent="0.2">
      <c r="A79" t="s">
        <v>4001</v>
      </c>
      <c r="B79" t="s">
        <v>3772</v>
      </c>
      <c r="C79" t="s">
        <v>3894</v>
      </c>
    </row>
    <row r="80" spans="1:3" x14ac:dyDescent="0.2">
      <c r="A80" t="s">
        <v>4008</v>
      </c>
      <c r="B80" t="s">
        <v>3774</v>
      </c>
      <c r="C80" t="s">
        <v>3897</v>
      </c>
    </row>
    <row r="81" spans="1:3" x14ac:dyDescent="0.2">
      <c r="A81" t="s">
        <v>4014</v>
      </c>
      <c r="B81" t="s">
        <v>3776</v>
      </c>
      <c r="C81" t="s">
        <v>3903</v>
      </c>
    </row>
    <row r="82" spans="1:3" x14ac:dyDescent="0.2">
      <c r="A82" t="s">
        <v>4016</v>
      </c>
      <c r="B82" t="s">
        <v>3782</v>
      </c>
      <c r="C82" t="s">
        <v>3908</v>
      </c>
    </row>
    <row r="83" spans="1:3" x14ac:dyDescent="0.2">
      <c r="A83" t="s">
        <v>4028</v>
      </c>
      <c r="B83" t="s">
        <v>3784</v>
      </c>
      <c r="C83" t="s">
        <v>3912</v>
      </c>
    </row>
    <row r="84" spans="1:3" x14ac:dyDescent="0.2">
      <c r="A84" t="s">
        <v>4032</v>
      </c>
      <c r="B84" t="s">
        <v>3787</v>
      </c>
      <c r="C84" t="s">
        <v>3915</v>
      </c>
    </row>
    <row r="85" spans="1:3" x14ac:dyDescent="0.2">
      <c r="A85" t="s">
        <v>4041</v>
      </c>
      <c r="B85" t="s">
        <v>3802</v>
      </c>
      <c r="C85" t="s">
        <v>3922</v>
      </c>
    </row>
    <row r="86" spans="1:3" x14ac:dyDescent="0.2">
      <c r="A86" t="s">
        <v>4043</v>
      </c>
      <c r="B86" t="s">
        <v>3808</v>
      </c>
      <c r="C86" t="s">
        <v>3931</v>
      </c>
    </row>
    <row r="87" spans="1:3" x14ac:dyDescent="0.2">
      <c r="A87" t="s">
        <v>4059</v>
      </c>
      <c r="B87" t="s">
        <v>3810</v>
      </c>
      <c r="C87" t="s">
        <v>3933</v>
      </c>
    </row>
    <row r="88" spans="1:3" x14ac:dyDescent="0.2">
      <c r="A88" t="s">
        <v>4084</v>
      </c>
      <c r="B88" t="s">
        <v>3815</v>
      </c>
      <c r="C88" t="s">
        <v>3936</v>
      </c>
    </row>
    <row r="89" spans="1:3" x14ac:dyDescent="0.2">
      <c r="A89" t="s">
        <v>4091</v>
      </c>
      <c r="B89" t="s">
        <v>3825</v>
      </c>
      <c r="C89" t="s">
        <v>3940</v>
      </c>
    </row>
    <row r="90" spans="1:3" x14ac:dyDescent="0.2">
      <c r="A90" t="s">
        <v>4093</v>
      </c>
      <c r="B90" t="s">
        <v>3829</v>
      </c>
      <c r="C90" t="s">
        <v>3942</v>
      </c>
    </row>
    <row r="91" spans="1:3" x14ac:dyDescent="0.2">
      <c r="A91" t="s">
        <v>4105</v>
      </c>
      <c r="B91" t="s">
        <v>3836</v>
      </c>
      <c r="C91" t="s">
        <v>3944</v>
      </c>
    </row>
    <row r="92" spans="1:3" x14ac:dyDescent="0.2">
      <c r="A92" t="s">
        <v>4120</v>
      </c>
      <c r="B92" t="s">
        <v>3843</v>
      </c>
      <c r="C92" t="s">
        <v>3946</v>
      </c>
    </row>
    <row r="93" spans="1:3" x14ac:dyDescent="0.2">
      <c r="A93" t="s">
        <v>4123</v>
      </c>
      <c r="B93" t="s">
        <v>3845</v>
      </c>
      <c r="C93" t="s">
        <v>3948</v>
      </c>
    </row>
    <row r="94" spans="1:3" x14ac:dyDescent="0.2">
      <c r="A94" t="s">
        <v>4146</v>
      </c>
      <c r="B94" t="s">
        <v>3848</v>
      </c>
      <c r="C94" t="s">
        <v>3953</v>
      </c>
    </row>
    <row r="95" spans="1:3" x14ac:dyDescent="0.2">
      <c r="A95" t="s">
        <v>4155</v>
      </c>
      <c r="B95" t="s">
        <v>3850</v>
      </c>
      <c r="C95" t="s">
        <v>3955</v>
      </c>
    </row>
    <row r="96" spans="1:3" x14ac:dyDescent="0.2">
      <c r="A96" t="s">
        <v>4167</v>
      </c>
      <c r="B96" t="s">
        <v>3860</v>
      </c>
      <c r="C96" t="s">
        <v>3968</v>
      </c>
    </row>
    <row r="97" spans="1:3" x14ac:dyDescent="0.2">
      <c r="A97" t="s">
        <v>4179</v>
      </c>
      <c r="B97" t="s">
        <v>3865</v>
      </c>
      <c r="C97" t="s">
        <v>3972</v>
      </c>
    </row>
    <row r="98" spans="1:3" x14ac:dyDescent="0.2">
      <c r="A98" t="s">
        <v>4183</v>
      </c>
      <c r="B98" t="s">
        <v>3870</v>
      </c>
      <c r="C98" t="s">
        <v>3974</v>
      </c>
    </row>
    <row r="99" spans="1:3" x14ac:dyDescent="0.2">
      <c r="A99" t="s">
        <v>4200</v>
      </c>
      <c r="B99" t="s">
        <v>3880</v>
      </c>
      <c r="C99" t="s">
        <v>3976</v>
      </c>
    </row>
    <row r="100" spans="1:3" x14ac:dyDescent="0.2">
      <c r="A100" t="s">
        <v>4202</v>
      </c>
      <c r="B100" t="s">
        <v>3882</v>
      </c>
      <c r="C100" t="s">
        <v>3982</v>
      </c>
    </row>
    <row r="101" spans="1:3" x14ac:dyDescent="0.2">
      <c r="A101" t="s">
        <v>4206</v>
      </c>
      <c r="B101" t="s">
        <v>3892</v>
      </c>
      <c r="C101" t="s">
        <v>3996</v>
      </c>
    </row>
    <row r="102" spans="1:3" x14ac:dyDescent="0.2">
      <c r="A102" t="s">
        <v>4209</v>
      </c>
      <c r="B102" t="s">
        <v>3897</v>
      </c>
      <c r="C102" t="s">
        <v>3999</v>
      </c>
    </row>
    <row r="103" spans="1:3" x14ac:dyDescent="0.2">
      <c r="A103" t="s">
        <v>4213</v>
      </c>
      <c r="B103" t="s">
        <v>3901</v>
      </c>
      <c r="C103" t="s">
        <v>4001</v>
      </c>
    </row>
    <row r="104" spans="1:3" x14ac:dyDescent="0.2">
      <c r="A104" t="s">
        <v>4232</v>
      </c>
      <c r="B104" t="s">
        <v>3910</v>
      </c>
      <c r="C104" t="s">
        <v>4003</v>
      </c>
    </row>
    <row r="105" spans="1:3" x14ac:dyDescent="0.2">
      <c r="A105" t="s">
        <v>4240</v>
      </c>
      <c r="B105" t="s">
        <v>3915</v>
      </c>
      <c r="C105" t="s">
        <v>4005</v>
      </c>
    </row>
    <row r="106" spans="1:3" x14ac:dyDescent="0.2">
      <c r="A106" t="s">
        <v>4252</v>
      </c>
      <c r="B106" t="s">
        <v>3917</v>
      </c>
      <c r="C106" t="s">
        <v>4014</v>
      </c>
    </row>
    <row r="107" spans="1:3" x14ac:dyDescent="0.2">
      <c r="A107" t="s">
        <v>4265</v>
      </c>
      <c r="B107" t="s">
        <v>3920</v>
      </c>
      <c r="C107" t="s">
        <v>4021</v>
      </c>
    </row>
    <row r="108" spans="1:3" x14ac:dyDescent="0.2">
      <c r="A108" t="s">
        <v>4267</v>
      </c>
      <c r="B108" t="s">
        <v>3926</v>
      </c>
      <c r="C108" t="s">
        <v>4045</v>
      </c>
    </row>
    <row r="109" spans="1:3" x14ac:dyDescent="0.2">
      <c r="A109" t="s">
        <v>4269</v>
      </c>
      <c r="B109" t="s">
        <v>3929</v>
      </c>
      <c r="C109" t="s">
        <v>4049</v>
      </c>
    </row>
    <row r="110" spans="1:3" x14ac:dyDescent="0.2">
      <c r="A110" t="s">
        <v>4277</v>
      </c>
      <c r="B110" t="s">
        <v>3940</v>
      </c>
      <c r="C110" t="s">
        <v>4054</v>
      </c>
    </row>
    <row r="111" spans="1:3" x14ac:dyDescent="0.2">
      <c r="A111" t="s">
        <v>4310</v>
      </c>
      <c r="B111" t="s">
        <v>3948</v>
      </c>
      <c r="C111" t="s">
        <v>4057</v>
      </c>
    </row>
    <row r="112" spans="1:3" x14ac:dyDescent="0.2">
      <c r="A112" t="s">
        <v>4313</v>
      </c>
      <c r="B112" t="s">
        <v>3957</v>
      </c>
      <c r="C112" t="s">
        <v>4061</v>
      </c>
    </row>
    <row r="113" spans="1:3" x14ac:dyDescent="0.2">
      <c r="A113" t="s">
        <v>4328</v>
      </c>
      <c r="B113" t="s">
        <v>3964</v>
      </c>
      <c r="C113" t="s">
        <v>4064</v>
      </c>
    </row>
    <row r="114" spans="1:3" x14ac:dyDescent="0.2">
      <c r="A114" t="s">
        <v>4339</v>
      </c>
      <c r="B114" t="s">
        <v>3970</v>
      </c>
      <c r="C114" t="s">
        <v>4068</v>
      </c>
    </row>
    <row r="115" spans="1:3" x14ac:dyDescent="0.2">
      <c r="A115" t="s">
        <v>4341</v>
      </c>
      <c r="B115" t="s">
        <v>3978</v>
      </c>
      <c r="C115" t="s">
        <v>4079</v>
      </c>
    </row>
    <row r="116" spans="1:3" x14ac:dyDescent="0.2">
      <c r="A116" t="s">
        <v>4346</v>
      </c>
      <c r="B116" t="s">
        <v>3980</v>
      </c>
      <c r="C116" t="s">
        <v>4084</v>
      </c>
    </row>
    <row r="117" spans="1:3" x14ac:dyDescent="0.2">
      <c r="A117" t="s">
        <v>4350</v>
      </c>
      <c r="B117" t="s">
        <v>3986</v>
      </c>
      <c r="C117" t="s">
        <v>4091</v>
      </c>
    </row>
    <row r="118" spans="1:3" x14ac:dyDescent="0.2">
      <c r="A118" t="s">
        <v>4353</v>
      </c>
      <c r="B118" t="s">
        <v>3988</v>
      </c>
      <c r="C118" t="s">
        <v>4111</v>
      </c>
    </row>
    <row r="119" spans="1:3" x14ac:dyDescent="0.2">
      <c r="A119" t="s">
        <v>4366</v>
      </c>
      <c r="B119" t="s">
        <v>4003</v>
      </c>
      <c r="C119" t="s">
        <v>4116</v>
      </c>
    </row>
    <row r="120" spans="1:3" x14ac:dyDescent="0.2">
      <c r="A120" t="s">
        <v>4383</v>
      </c>
      <c r="B120" t="s">
        <v>4010</v>
      </c>
      <c r="C120" t="s">
        <v>4118</v>
      </c>
    </row>
    <row r="121" spans="1:3" x14ac:dyDescent="0.2">
      <c r="A121" t="s">
        <v>4387</v>
      </c>
      <c r="B121" t="s">
        <v>4014</v>
      </c>
      <c r="C121" t="s">
        <v>4151</v>
      </c>
    </row>
    <row r="122" spans="1:3" x14ac:dyDescent="0.2">
      <c r="A122" t="s">
        <v>4391</v>
      </c>
      <c r="B122" t="s">
        <v>4030</v>
      </c>
      <c r="C122" t="s">
        <v>4153</v>
      </c>
    </row>
    <row r="123" spans="1:3" x14ac:dyDescent="0.2">
      <c r="A123" t="s">
        <v>4398</v>
      </c>
      <c r="B123" t="s">
        <v>4036</v>
      </c>
      <c r="C123" t="s">
        <v>4172</v>
      </c>
    </row>
    <row r="124" spans="1:3" x14ac:dyDescent="0.2">
      <c r="A124" t="s">
        <v>4402</v>
      </c>
      <c r="B124" t="s">
        <v>4047</v>
      </c>
      <c r="C124" t="s">
        <v>4174</v>
      </c>
    </row>
    <row r="125" spans="1:3" x14ac:dyDescent="0.2">
      <c r="A125" t="s">
        <v>4408</v>
      </c>
      <c r="B125" t="s">
        <v>4059</v>
      </c>
      <c r="C125" t="s">
        <v>4181</v>
      </c>
    </row>
    <row r="126" spans="1:3" x14ac:dyDescent="0.2">
      <c r="A126" t="s">
        <v>4412</v>
      </c>
      <c r="B126" t="s">
        <v>4061</v>
      </c>
      <c r="C126" t="s">
        <v>4188</v>
      </c>
    </row>
    <row r="127" spans="1:3" x14ac:dyDescent="0.2">
      <c r="A127" t="s">
        <v>4416</v>
      </c>
      <c r="B127" t="s">
        <v>4066</v>
      </c>
      <c r="C127" t="s">
        <v>4195</v>
      </c>
    </row>
    <row r="128" spans="1:3" x14ac:dyDescent="0.2">
      <c r="A128" t="s">
        <v>4422</v>
      </c>
      <c r="B128" t="s">
        <v>4071</v>
      </c>
      <c r="C128" t="s">
        <v>4200</v>
      </c>
    </row>
    <row r="129" spans="1:3" x14ac:dyDescent="0.2">
      <c r="A129" t="s">
        <v>4440</v>
      </c>
      <c r="B129" t="s">
        <v>4073</v>
      </c>
      <c r="C129" t="s">
        <v>4216</v>
      </c>
    </row>
    <row r="130" spans="1:3" x14ac:dyDescent="0.2">
      <c r="A130" t="s">
        <v>4442</v>
      </c>
      <c r="B130" t="s">
        <v>4075</v>
      </c>
      <c r="C130" t="s">
        <v>4220</v>
      </c>
    </row>
    <row r="131" spans="1:3" x14ac:dyDescent="0.2">
      <c r="A131" t="s">
        <v>4454</v>
      </c>
      <c r="B131" t="s">
        <v>4081</v>
      </c>
      <c r="C131" t="s">
        <v>4222</v>
      </c>
    </row>
    <row r="132" spans="1:3" x14ac:dyDescent="0.2">
      <c r="A132" t="s">
        <v>4464</v>
      </c>
      <c r="B132" t="s">
        <v>4086</v>
      </c>
      <c r="C132" t="s">
        <v>4234</v>
      </c>
    </row>
    <row r="133" spans="1:3" x14ac:dyDescent="0.2">
      <c r="A133" t="s">
        <v>4473</v>
      </c>
      <c r="B133" t="s">
        <v>4089</v>
      </c>
      <c r="C133" t="s">
        <v>4237</v>
      </c>
    </row>
    <row r="134" spans="1:3" x14ac:dyDescent="0.2">
      <c r="A134" t="s">
        <v>4476</v>
      </c>
      <c r="B134" t="s">
        <v>4096</v>
      </c>
      <c r="C134" t="s">
        <v>4246</v>
      </c>
    </row>
    <row r="135" spans="1:3" x14ac:dyDescent="0.2">
      <c r="A135" t="s">
        <v>4488</v>
      </c>
      <c r="B135" t="s">
        <v>4098</v>
      </c>
      <c r="C135" t="s">
        <v>4248</v>
      </c>
    </row>
    <row r="136" spans="1:3" x14ac:dyDescent="0.2">
      <c r="A136" t="s">
        <v>4499</v>
      </c>
      <c r="B136" t="s">
        <v>4101</v>
      </c>
      <c r="C136" t="s">
        <v>4250</v>
      </c>
    </row>
    <row r="137" spans="1:3" x14ac:dyDescent="0.2">
      <c r="A137" t="s">
        <v>4506</v>
      </c>
      <c r="B137" t="s">
        <v>4103</v>
      </c>
      <c r="C137" t="s">
        <v>4252</v>
      </c>
    </row>
    <row r="138" spans="1:3" x14ac:dyDescent="0.2">
      <c r="A138" t="s">
        <v>4509</v>
      </c>
      <c r="B138" t="s">
        <v>4109</v>
      </c>
      <c r="C138" t="s">
        <v>4277</v>
      </c>
    </row>
    <row r="139" spans="1:3" x14ac:dyDescent="0.2">
      <c r="A139" t="s">
        <v>4517</v>
      </c>
      <c r="B139" t="s">
        <v>4128</v>
      </c>
      <c r="C139" t="s">
        <v>4282</v>
      </c>
    </row>
    <row r="140" spans="1:3" x14ac:dyDescent="0.2">
      <c r="A140" t="s">
        <v>4526</v>
      </c>
      <c r="B140" t="s">
        <v>4134</v>
      </c>
      <c r="C140" t="s">
        <v>4284</v>
      </c>
    </row>
    <row r="141" spans="1:3" x14ac:dyDescent="0.2">
      <c r="A141" t="s">
        <v>4528</v>
      </c>
      <c r="B141" t="s">
        <v>4136</v>
      </c>
      <c r="C141" t="s">
        <v>4298</v>
      </c>
    </row>
    <row r="142" spans="1:3" x14ac:dyDescent="0.2">
      <c r="A142" t="s">
        <v>4541</v>
      </c>
      <c r="B142" t="s">
        <v>4138</v>
      </c>
      <c r="C142" t="s">
        <v>4300</v>
      </c>
    </row>
    <row r="143" spans="1:3" x14ac:dyDescent="0.2">
      <c r="A143" t="s">
        <v>4544</v>
      </c>
      <c r="B143" t="s">
        <v>4140</v>
      </c>
      <c r="C143" t="s">
        <v>4304</v>
      </c>
    </row>
    <row r="144" spans="1:3" x14ac:dyDescent="0.2">
      <c r="A144" t="s">
        <v>4560</v>
      </c>
      <c r="B144" t="s">
        <v>4142</v>
      </c>
      <c r="C144" t="s">
        <v>4306</v>
      </c>
    </row>
    <row r="145" spans="1:3" x14ac:dyDescent="0.2">
      <c r="A145" t="s">
        <v>4566</v>
      </c>
      <c r="B145" t="s">
        <v>4151</v>
      </c>
      <c r="C145" t="s">
        <v>4308</v>
      </c>
    </row>
    <row r="146" spans="1:3" x14ac:dyDescent="0.2">
      <c r="A146" t="s">
        <v>4570</v>
      </c>
      <c r="B146" t="s">
        <v>4153</v>
      </c>
      <c r="C146" t="s">
        <v>4310</v>
      </c>
    </row>
    <row r="147" spans="1:3" x14ac:dyDescent="0.2">
      <c r="A147" t="s">
        <v>4574</v>
      </c>
      <c r="B147" t="s">
        <v>4158</v>
      </c>
      <c r="C147" t="s">
        <v>4316</v>
      </c>
    </row>
    <row r="148" spans="1:3" x14ac:dyDescent="0.2">
      <c r="A148" t="s">
        <v>4579</v>
      </c>
      <c r="B148" t="s">
        <v>4163</v>
      </c>
      <c r="C148" t="s">
        <v>4335</v>
      </c>
    </row>
    <row r="149" spans="1:3" x14ac:dyDescent="0.2">
      <c r="A149" t="s">
        <v>4586</v>
      </c>
      <c r="B149" t="s">
        <v>4167</v>
      </c>
      <c r="C149" t="s">
        <v>4339</v>
      </c>
    </row>
    <row r="150" spans="1:3" x14ac:dyDescent="0.2">
      <c r="A150" t="s">
        <v>4604</v>
      </c>
      <c r="B150" t="s">
        <v>4169</v>
      </c>
      <c r="C150" t="s">
        <v>4344</v>
      </c>
    </row>
    <row r="151" spans="1:3" x14ac:dyDescent="0.2">
      <c r="A151" t="s">
        <v>4609</v>
      </c>
      <c r="B151" t="s">
        <v>4172</v>
      </c>
      <c r="C151" t="s">
        <v>4356</v>
      </c>
    </row>
    <row r="152" spans="1:3" x14ac:dyDescent="0.2">
      <c r="A152" t="s">
        <v>4611</v>
      </c>
      <c r="B152" t="s">
        <v>4177</v>
      </c>
      <c r="C152" t="s">
        <v>4361</v>
      </c>
    </row>
    <row r="153" spans="1:3" x14ac:dyDescent="0.2">
      <c r="A153" t="s">
        <v>4613</v>
      </c>
      <c r="B153" t="s">
        <v>4181</v>
      </c>
      <c r="C153" t="s">
        <v>4363</v>
      </c>
    </row>
    <row r="154" spans="1:3" x14ac:dyDescent="0.2">
      <c r="A154" t="s">
        <v>4615</v>
      </c>
      <c r="B154" t="s">
        <v>4190</v>
      </c>
      <c r="C154" t="s">
        <v>4370</v>
      </c>
    </row>
    <row r="155" spans="1:3" x14ac:dyDescent="0.2">
      <c r="A155" t="s">
        <v>4617</v>
      </c>
      <c r="B155" t="s">
        <v>4198</v>
      </c>
      <c r="C155" t="s">
        <v>4374</v>
      </c>
    </row>
    <row r="156" spans="1:3" x14ac:dyDescent="0.2">
      <c r="A156" t="s">
        <v>4619</v>
      </c>
      <c r="B156" t="s">
        <v>4204</v>
      </c>
      <c r="C156" t="s">
        <v>4378</v>
      </c>
    </row>
    <row r="157" spans="1:3" x14ac:dyDescent="0.2">
      <c r="A157" t="s">
        <v>4645</v>
      </c>
      <c r="B157" t="s">
        <v>4211</v>
      </c>
      <c r="C157" t="s">
        <v>4393</v>
      </c>
    </row>
    <row r="158" spans="1:3" x14ac:dyDescent="0.2">
      <c r="A158" t="s">
        <v>4649</v>
      </c>
      <c r="B158" t="s">
        <v>4218</v>
      </c>
      <c r="C158" t="s">
        <v>4405</v>
      </c>
    </row>
    <row r="159" spans="1:3" x14ac:dyDescent="0.2">
      <c r="A159" t="s">
        <v>4651</v>
      </c>
      <c r="B159" t="s">
        <v>4225</v>
      </c>
      <c r="C159" t="s">
        <v>4410</v>
      </c>
    </row>
    <row r="160" spans="1:3" x14ac:dyDescent="0.2">
      <c r="A160" t="s">
        <v>4658</v>
      </c>
      <c r="B160" t="s">
        <v>4244</v>
      </c>
      <c r="C160" t="s">
        <v>4425</v>
      </c>
    </row>
    <row r="161" spans="1:3" x14ac:dyDescent="0.2">
      <c r="A161" t="s">
        <v>4660</v>
      </c>
      <c r="B161" t="s">
        <v>4248</v>
      </c>
      <c r="C161" t="s">
        <v>4430</v>
      </c>
    </row>
    <row r="162" spans="1:3" x14ac:dyDescent="0.2">
      <c r="A162" t="s">
        <v>4669</v>
      </c>
      <c r="B162" t="s">
        <v>4254</v>
      </c>
      <c r="C162" t="s">
        <v>4432</v>
      </c>
    </row>
    <row r="163" spans="1:3" x14ac:dyDescent="0.2">
      <c r="A163" t="s">
        <v>4680</v>
      </c>
      <c r="B163" t="s">
        <v>4256</v>
      </c>
      <c r="C163" t="s">
        <v>4436</v>
      </c>
    </row>
    <row r="164" spans="1:3" x14ac:dyDescent="0.2">
      <c r="A164" t="s">
        <v>4688</v>
      </c>
      <c r="B164" t="s">
        <v>4258</v>
      </c>
      <c r="C164" t="s">
        <v>4438</v>
      </c>
    </row>
    <row r="165" spans="1:3" x14ac:dyDescent="0.2">
      <c r="A165" t="s">
        <v>4693</v>
      </c>
      <c r="B165" t="s">
        <v>4260</v>
      </c>
      <c r="C165" t="s">
        <v>4450</v>
      </c>
    </row>
    <row r="166" spans="1:3" x14ac:dyDescent="0.2">
      <c r="A166" t="s">
        <v>4696</v>
      </c>
      <c r="B166" t="s">
        <v>4263</v>
      </c>
      <c r="C166" t="s">
        <v>4456</v>
      </c>
    </row>
    <row r="167" spans="1:3" x14ac:dyDescent="0.2">
      <c r="A167" t="s">
        <v>4702</v>
      </c>
      <c r="B167" t="s">
        <v>4277</v>
      </c>
      <c r="C167" t="s">
        <v>4468</v>
      </c>
    </row>
    <row r="168" spans="1:3" x14ac:dyDescent="0.2">
      <c r="A168" t="s">
        <v>4705</v>
      </c>
      <c r="B168" t="s">
        <v>4280</v>
      </c>
      <c r="C168" t="s">
        <v>4476</v>
      </c>
    </row>
    <row r="169" spans="1:3" x14ac:dyDescent="0.2">
      <c r="A169" t="s">
        <v>4707</v>
      </c>
      <c r="B169" t="s">
        <v>4288</v>
      </c>
      <c r="C169" t="s">
        <v>4481</v>
      </c>
    </row>
    <row r="170" spans="1:3" x14ac:dyDescent="0.2">
      <c r="A170" t="s">
        <v>4712</v>
      </c>
      <c r="B170" t="s">
        <v>4293</v>
      </c>
      <c r="C170" t="s">
        <v>4504</v>
      </c>
    </row>
    <row r="171" spans="1:3" x14ac:dyDescent="0.2">
      <c r="A171" t="s">
        <v>4714</v>
      </c>
      <c r="B171" t="s">
        <v>4302</v>
      </c>
      <c r="C171" t="s">
        <v>4506</v>
      </c>
    </row>
    <row r="172" spans="1:3" x14ac:dyDescent="0.2">
      <c r="A172" t="s">
        <v>4725</v>
      </c>
      <c r="B172" t="s">
        <v>4308</v>
      </c>
      <c r="C172" t="s">
        <v>4511</v>
      </c>
    </row>
    <row r="173" spans="1:3" x14ac:dyDescent="0.2">
      <c r="A173" t="s">
        <v>4738</v>
      </c>
      <c r="B173" t="s">
        <v>4310</v>
      </c>
      <c r="C173" t="s">
        <v>4513</v>
      </c>
    </row>
    <row r="174" spans="1:3" x14ac:dyDescent="0.2">
      <c r="A174" t="s">
        <v>4742</v>
      </c>
      <c r="B174" t="s">
        <v>4318</v>
      </c>
      <c r="C174" t="s">
        <v>4515</v>
      </c>
    </row>
    <row r="175" spans="1:3" x14ac:dyDescent="0.2">
      <c r="A175" t="s">
        <v>4746</v>
      </c>
      <c r="B175" t="s">
        <v>4320</v>
      </c>
      <c r="C175" t="s">
        <v>4519</v>
      </c>
    </row>
    <row r="176" spans="1:3" x14ac:dyDescent="0.2">
      <c r="A176" t="s">
        <v>4748</v>
      </c>
      <c r="B176" t="s">
        <v>4324</v>
      </c>
      <c r="C176" t="s">
        <v>4531</v>
      </c>
    </row>
    <row r="177" spans="1:3" x14ac:dyDescent="0.2">
      <c r="A177" t="s">
        <v>4752</v>
      </c>
      <c r="B177" t="s">
        <v>4326</v>
      </c>
      <c r="C177" t="s">
        <v>4549</v>
      </c>
    </row>
    <row r="178" spans="1:3" x14ac:dyDescent="0.2">
      <c r="A178" t="s">
        <v>4754</v>
      </c>
      <c r="B178" t="s">
        <v>4332</v>
      </c>
      <c r="C178" t="s">
        <v>4552</v>
      </c>
    </row>
    <row r="179" spans="1:3" x14ac:dyDescent="0.2">
      <c r="A179" t="s">
        <v>4761</v>
      </c>
      <c r="B179" t="s">
        <v>4339</v>
      </c>
      <c r="C179" t="s">
        <v>4562</v>
      </c>
    </row>
    <row r="180" spans="1:3" x14ac:dyDescent="0.2">
      <c r="A180" t="s">
        <v>4769</v>
      </c>
      <c r="B180" t="s">
        <v>4344</v>
      </c>
      <c r="C180" t="s">
        <v>4577</v>
      </c>
    </row>
    <row r="181" spans="1:3" x14ac:dyDescent="0.2">
      <c r="A181" t="s">
        <v>4795</v>
      </c>
      <c r="B181" t="s">
        <v>4353</v>
      </c>
      <c r="C181" t="s">
        <v>4588</v>
      </c>
    </row>
    <row r="182" spans="1:3" x14ac:dyDescent="0.2">
      <c r="A182" t="s">
        <v>4798</v>
      </c>
      <c r="B182" t="s">
        <v>4359</v>
      </c>
      <c r="C182" t="s">
        <v>4595</v>
      </c>
    </row>
    <row r="183" spans="1:3" x14ac:dyDescent="0.2">
      <c r="A183" t="s">
        <v>4807</v>
      </c>
      <c r="B183" t="s">
        <v>4381</v>
      </c>
      <c r="C183" t="s">
        <v>4609</v>
      </c>
    </row>
    <row r="184" spans="1:3" x14ac:dyDescent="0.2">
      <c r="A184" t="s">
        <v>4811</v>
      </c>
      <c r="B184" t="s">
        <v>4387</v>
      </c>
      <c r="C184" t="s">
        <v>4615</v>
      </c>
    </row>
    <row r="185" spans="1:3" x14ac:dyDescent="0.2">
      <c r="A185" t="s">
        <v>4815</v>
      </c>
      <c r="B185" t="s">
        <v>4396</v>
      </c>
      <c r="C185" t="s">
        <v>4637</v>
      </c>
    </row>
    <row r="186" spans="1:3" x14ac:dyDescent="0.2">
      <c r="A186" t="s">
        <v>4821</v>
      </c>
      <c r="B186" t="s">
        <v>4414</v>
      </c>
      <c r="C186" t="s">
        <v>4655</v>
      </c>
    </row>
    <row r="187" spans="1:3" x14ac:dyDescent="0.2">
      <c r="A187" t="s">
        <v>4824</v>
      </c>
      <c r="B187" t="s">
        <v>4419</v>
      </c>
      <c r="C187" t="s">
        <v>4663</v>
      </c>
    </row>
    <row r="188" spans="1:3" x14ac:dyDescent="0.2">
      <c r="A188" t="s">
        <v>4830</v>
      </c>
      <c r="B188" t="s">
        <v>4428</v>
      </c>
      <c r="C188" t="s">
        <v>4691</v>
      </c>
    </row>
    <row r="189" spans="1:3" x14ac:dyDescent="0.2">
      <c r="A189" t="s">
        <v>4835</v>
      </c>
      <c r="B189" t="s">
        <v>4434</v>
      </c>
      <c r="C189" t="s">
        <v>4714</v>
      </c>
    </row>
    <row r="190" spans="1:3" x14ac:dyDescent="0.2">
      <c r="A190" t="s">
        <v>4839</v>
      </c>
      <c r="B190" t="s">
        <v>4436</v>
      </c>
      <c r="C190" t="s">
        <v>4721</v>
      </c>
    </row>
    <row r="191" spans="1:3" x14ac:dyDescent="0.2">
      <c r="A191" t="s">
        <v>4845</v>
      </c>
      <c r="B191" t="s">
        <v>4440</v>
      </c>
      <c r="C191" t="s">
        <v>4725</v>
      </c>
    </row>
    <row r="192" spans="1:3" x14ac:dyDescent="0.2">
      <c r="A192" t="s">
        <v>4861</v>
      </c>
      <c r="B192" t="s">
        <v>4444</v>
      </c>
      <c r="C192" t="s">
        <v>4727</v>
      </c>
    </row>
    <row r="193" spans="1:3" x14ac:dyDescent="0.2">
      <c r="A193" t="s">
        <v>4867</v>
      </c>
      <c r="B193" t="s">
        <v>4446</v>
      </c>
      <c r="C193" t="s">
        <v>4730</v>
      </c>
    </row>
    <row r="194" spans="1:3" x14ac:dyDescent="0.2">
      <c r="A194" t="s">
        <v>4871</v>
      </c>
      <c r="B194" t="s">
        <v>4448</v>
      </c>
      <c r="C194" t="s">
        <v>4738</v>
      </c>
    </row>
    <row r="195" spans="1:3" x14ac:dyDescent="0.2">
      <c r="A195" t="s">
        <v>4911</v>
      </c>
      <c r="B195" t="s">
        <v>4452</v>
      </c>
      <c r="C195" t="s">
        <v>4744</v>
      </c>
    </row>
    <row r="196" spans="1:3" x14ac:dyDescent="0.2">
      <c r="A196" t="s">
        <v>4913</v>
      </c>
      <c r="B196" t="s">
        <v>4454</v>
      </c>
      <c r="C196" t="s">
        <v>4748</v>
      </c>
    </row>
    <row r="197" spans="1:3" x14ac:dyDescent="0.2">
      <c r="A197" t="s">
        <v>4920</v>
      </c>
      <c r="B197" t="s">
        <v>4458</v>
      </c>
      <c r="C197" t="s">
        <v>4757</v>
      </c>
    </row>
    <row r="198" spans="1:3" x14ac:dyDescent="0.2">
      <c r="A198" t="s">
        <v>4922</v>
      </c>
      <c r="B198" t="s">
        <v>4460</v>
      </c>
      <c r="C198" t="s">
        <v>4759</v>
      </c>
    </row>
    <row r="199" spans="1:3" x14ac:dyDescent="0.2">
      <c r="A199" t="s">
        <v>4927</v>
      </c>
      <c r="B199" t="s">
        <v>4462</v>
      </c>
      <c r="C199" t="s">
        <v>4778</v>
      </c>
    </row>
    <row r="200" spans="1:3" x14ac:dyDescent="0.2">
      <c r="A200" t="s">
        <v>4938</v>
      </c>
      <c r="B200" t="s">
        <v>4466</v>
      </c>
      <c r="C200" t="s">
        <v>4788</v>
      </c>
    </row>
    <row r="201" spans="1:3" x14ac:dyDescent="0.2">
      <c r="A201" t="s">
        <v>4945</v>
      </c>
      <c r="B201" t="s">
        <v>4470</v>
      </c>
      <c r="C201" t="s">
        <v>4790</v>
      </c>
    </row>
    <row r="202" spans="1:3" x14ac:dyDescent="0.2">
      <c r="A202" t="s">
        <v>4957</v>
      </c>
      <c r="B202" t="s">
        <v>4473</v>
      </c>
      <c r="C202" t="s">
        <v>4792</v>
      </c>
    </row>
    <row r="203" spans="1:3" x14ac:dyDescent="0.2">
      <c r="A203" t="s">
        <v>4984</v>
      </c>
      <c r="B203" t="s">
        <v>4476</v>
      </c>
      <c r="C203" t="s">
        <v>4801</v>
      </c>
    </row>
    <row r="204" spans="1:3" x14ac:dyDescent="0.2">
      <c r="A204" t="s">
        <v>4986</v>
      </c>
      <c r="B204" t="s">
        <v>4479</v>
      </c>
      <c r="C204" t="s">
        <v>4803</v>
      </c>
    </row>
    <row r="205" spans="1:3" x14ac:dyDescent="0.2">
      <c r="A205" t="s">
        <v>4996</v>
      </c>
      <c r="B205" t="s">
        <v>4483</v>
      </c>
      <c r="C205" t="s">
        <v>4805</v>
      </c>
    </row>
    <row r="206" spans="1:3" x14ac:dyDescent="0.2">
      <c r="A206" t="s">
        <v>4999</v>
      </c>
      <c r="B206" t="s">
        <v>4492</v>
      </c>
      <c r="C206" t="s">
        <v>4807</v>
      </c>
    </row>
    <row r="207" spans="1:3" x14ac:dyDescent="0.2">
      <c r="A207" t="s">
        <v>5002</v>
      </c>
      <c r="B207" t="s">
        <v>4497</v>
      </c>
      <c r="C207" t="s">
        <v>4811</v>
      </c>
    </row>
    <row r="208" spans="1:3" x14ac:dyDescent="0.2">
      <c r="A208" t="s">
        <v>5004</v>
      </c>
      <c r="B208" t="s">
        <v>4509</v>
      </c>
      <c r="C208" t="s">
        <v>4813</v>
      </c>
    </row>
    <row r="209" spans="1:3" x14ac:dyDescent="0.2">
      <c r="A209" t="s">
        <v>5010</v>
      </c>
      <c r="B209" t="s">
        <v>4515</v>
      </c>
      <c r="C209" t="s">
        <v>4827</v>
      </c>
    </row>
    <row r="210" spans="1:3" x14ac:dyDescent="0.2">
      <c r="A210" t="s">
        <v>5023</v>
      </c>
      <c r="B210" t="s">
        <v>4521</v>
      </c>
      <c r="C210" t="s">
        <v>4833</v>
      </c>
    </row>
    <row r="211" spans="1:3" x14ac:dyDescent="0.2">
      <c r="A211" t="s">
        <v>5027</v>
      </c>
      <c r="B211" t="s">
        <v>4523</v>
      </c>
      <c r="C211" t="s">
        <v>4837</v>
      </c>
    </row>
    <row r="212" spans="1:3" x14ac:dyDescent="0.2">
      <c r="A212" t="s">
        <v>5030</v>
      </c>
      <c r="B212" t="s">
        <v>4535</v>
      </c>
      <c r="C212" t="s">
        <v>4841</v>
      </c>
    </row>
    <row r="213" spans="1:3" x14ac:dyDescent="0.2">
      <c r="A213" t="s">
        <v>5032</v>
      </c>
      <c r="B213" t="s">
        <v>4538</v>
      </c>
      <c r="C213" t="s">
        <v>4845</v>
      </c>
    </row>
    <row r="214" spans="1:3" x14ac:dyDescent="0.2">
      <c r="A214" t="s">
        <v>5036</v>
      </c>
      <c r="B214" t="s">
        <v>4546</v>
      </c>
      <c r="C214" t="s">
        <v>4859</v>
      </c>
    </row>
    <row r="215" spans="1:3" x14ac:dyDescent="0.2">
      <c r="A215" t="s">
        <v>5038</v>
      </c>
      <c r="B215" t="s">
        <v>4555</v>
      </c>
      <c r="C215" t="s">
        <v>4864</v>
      </c>
    </row>
    <row r="216" spans="1:3" x14ac:dyDescent="0.2">
      <c r="A216" t="s">
        <v>5040</v>
      </c>
      <c r="B216" t="s">
        <v>4572</v>
      </c>
      <c r="C216" t="s">
        <v>4869</v>
      </c>
    </row>
    <row r="217" spans="1:3" x14ac:dyDescent="0.2">
      <c r="A217" t="s">
        <v>5042</v>
      </c>
      <c r="B217" t="s">
        <v>4590</v>
      </c>
      <c r="C217" t="s">
        <v>4875</v>
      </c>
    </row>
    <row r="218" spans="1:3" x14ac:dyDescent="0.2">
      <c r="A218" t="s">
        <v>5062</v>
      </c>
      <c r="B218" t="s">
        <v>4592</v>
      </c>
      <c r="C218" t="s">
        <v>4879</v>
      </c>
    </row>
    <row r="219" spans="1:3" x14ac:dyDescent="0.2">
      <c r="A219" t="s">
        <v>5067</v>
      </c>
      <c r="B219" t="s">
        <v>4597</v>
      </c>
      <c r="C219" t="s">
        <v>4886</v>
      </c>
    </row>
    <row r="220" spans="1:3" x14ac:dyDescent="0.2">
      <c r="A220" t="s">
        <v>5071</v>
      </c>
      <c r="B220" t="s">
        <v>4600</v>
      </c>
      <c r="C220" t="s">
        <v>4888</v>
      </c>
    </row>
    <row r="221" spans="1:3" x14ac:dyDescent="0.2">
      <c r="A221" t="s">
        <v>5074</v>
      </c>
      <c r="B221" t="s">
        <v>4602</v>
      </c>
      <c r="C221" t="s">
        <v>4890</v>
      </c>
    </row>
    <row r="222" spans="1:3" x14ac:dyDescent="0.2">
      <c r="A222" t="s">
        <v>5078</v>
      </c>
      <c r="B222" t="s">
        <v>4623</v>
      </c>
      <c r="C222" t="s">
        <v>4892</v>
      </c>
    </row>
    <row r="223" spans="1:3" x14ac:dyDescent="0.2">
      <c r="A223" t="s">
        <v>5082</v>
      </c>
      <c r="B223" t="s">
        <v>4627</v>
      </c>
      <c r="C223" t="s">
        <v>4901</v>
      </c>
    </row>
    <row r="224" spans="1:3" x14ac:dyDescent="0.2">
      <c r="A224" t="s">
        <v>5101</v>
      </c>
      <c r="B224" t="s">
        <v>4634</v>
      </c>
      <c r="C224" t="s">
        <v>4903</v>
      </c>
    </row>
    <row r="225" spans="1:3" x14ac:dyDescent="0.2">
      <c r="A225" t="s">
        <v>5104</v>
      </c>
      <c r="B225" t="s">
        <v>4637</v>
      </c>
      <c r="C225" t="s">
        <v>4905</v>
      </c>
    </row>
    <row r="226" spans="1:3" x14ac:dyDescent="0.2">
      <c r="A226" t="s">
        <v>5108</v>
      </c>
      <c r="B226" t="s">
        <v>4639</v>
      </c>
      <c r="C226" t="s">
        <v>4907</v>
      </c>
    </row>
    <row r="227" spans="1:3" x14ac:dyDescent="0.2">
      <c r="A227" t="s">
        <v>5121</v>
      </c>
      <c r="B227" t="s">
        <v>4641</v>
      </c>
      <c r="C227" t="s">
        <v>4909</v>
      </c>
    </row>
    <row r="228" spans="1:3" x14ac:dyDescent="0.2">
      <c r="A228" t="s">
        <v>5123</v>
      </c>
      <c r="B228" t="s">
        <v>4643</v>
      </c>
      <c r="C228" t="s">
        <v>4918</v>
      </c>
    </row>
    <row r="229" spans="1:3" x14ac:dyDescent="0.2">
      <c r="A229" t="s">
        <v>5143</v>
      </c>
      <c r="B229" t="s">
        <v>4649</v>
      </c>
      <c r="C229" t="s">
        <v>4920</v>
      </c>
    </row>
    <row r="230" spans="1:3" x14ac:dyDescent="0.2">
      <c r="A230" t="s">
        <v>5147</v>
      </c>
      <c r="B230" t="s">
        <v>4653</v>
      </c>
      <c r="C230" t="s">
        <v>4934</v>
      </c>
    </row>
    <row r="231" spans="1:3" x14ac:dyDescent="0.2">
      <c r="A231" t="s">
        <v>5149</v>
      </c>
      <c r="B231" t="s">
        <v>4663</v>
      </c>
      <c r="C231" t="s">
        <v>4961</v>
      </c>
    </row>
    <row r="232" spans="1:3" x14ac:dyDescent="0.2">
      <c r="A232" t="s">
        <v>5151</v>
      </c>
      <c r="B232" t="s">
        <v>4665</v>
      </c>
      <c r="C232" t="s">
        <v>4963</v>
      </c>
    </row>
    <row r="233" spans="1:3" x14ac:dyDescent="0.2">
      <c r="A233" t="s">
        <v>5154</v>
      </c>
      <c r="B233" t="s">
        <v>4667</v>
      </c>
      <c r="C233" t="s">
        <v>4974</v>
      </c>
    </row>
    <row r="234" spans="1:3" x14ac:dyDescent="0.2">
      <c r="A234" t="s">
        <v>5158</v>
      </c>
      <c r="B234" t="s">
        <v>4673</v>
      </c>
      <c r="C234" t="s">
        <v>4976</v>
      </c>
    </row>
    <row r="235" spans="1:3" x14ac:dyDescent="0.2">
      <c r="A235" t="s">
        <v>5176</v>
      </c>
      <c r="B235" t="s">
        <v>4675</v>
      </c>
      <c r="C235" t="s">
        <v>4984</v>
      </c>
    </row>
    <row r="236" spans="1:3" x14ac:dyDescent="0.2">
      <c r="A236" t="s">
        <v>5180</v>
      </c>
      <c r="B236" t="s">
        <v>4677</v>
      </c>
      <c r="C236" t="s">
        <v>4992</v>
      </c>
    </row>
    <row r="237" spans="1:3" x14ac:dyDescent="0.2">
      <c r="A237" t="s">
        <v>5184</v>
      </c>
      <c r="B237" t="s">
        <v>4684</v>
      </c>
      <c r="C237" t="s">
        <v>5015</v>
      </c>
    </row>
    <row r="238" spans="1:3" x14ac:dyDescent="0.2">
      <c r="A238" t="s">
        <v>5187</v>
      </c>
      <c r="B238" t="s">
        <v>4686</v>
      </c>
      <c r="C238" t="s">
        <v>5017</v>
      </c>
    </row>
    <row r="239" spans="1:3" x14ac:dyDescent="0.2">
      <c r="A239" t="s">
        <v>5191</v>
      </c>
      <c r="B239" t="s">
        <v>4698</v>
      </c>
      <c r="C239" t="s">
        <v>5023</v>
      </c>
    </row>
    <row r="240" spans="1:3" x14ac:dyDescent="0.2">
      <c r="A240" t="s">
        <v>5193</v>
      </c>
      <c r="B240" t="s">
        <v>4700</v>
      </c>
      <c r="C240" t="s">
        <v>5038</v>
      </c>
    </row>
    <row r="241" spans="1:3" x14ac:dyDescent="0.2">
      <c r="A241" t="s">
        <v>5199</v>
      </c>
      <c r="B241" t="s">
        <v>4710</v>
      </c>
      <c r="C241" t="s">
        <v>5055</v>
      </c>
    </row>
    <row r="242" spans="1:3" x14ac:dyDescent="0.2">
      <c r="A242" t="s">
        <v>5215</v>
      </c>
      <c r="B242" t="s">
        <v>4714</v>
      </c>
      <c r="C242" t="s">
        <v>5069</v>
      </c>
    </row>
    <row r="243" spans="1:3" x14ac:dyDescent="0.2">
      <c r="A243" t="s">
        <v>5223</v>
      </c>
      <c r="B243" t="s">
        <v>4719</v>
      </c>
      <c r="C243" t="s">
        <v>5076</v>
      </c>
    </row>
    <row r="244" spans="1:3" x14ac:dyDescent="0.2">
      <c r="A244" t="s">
        <v>5229</v>
      </c>
      <c r="B244" t="s">
        <v>4723</v>
      </c>
      <c r="C244" t="s">
        <v>5080</v>
      </c>
    </row>
    <row r="245" spans="1:3" x14ac:dyDescent="0.2">
      <c r="A245" t="s">
        <v>5245</v>
      </c>
      <c r="B245" t="s">
        <v>4727</v>
      </c>
      <c r="C245" t="s">
        <v>5085</v>
      </c>
    </row>
    <row r="246" spans="1:3" x14ac:dyDescent="0.2">
      <c r="A246" t="s">
        <v>5248</v>
      </c>
      <c r="B246" t="s">
        <v>4730</v>
      </c>
      <c r="C246" t="s">
        <v>5087</v>
      </c>
    </row>
    <row r="247" spans="1:3" x14ac:dyDescent="0.2">
      <c r="A247" t="s">
        <v>5250</v>
      </c>
      <c r="B247" t="s">
        <v>4732</v>
      </c>
      <c r="C247" t="s">
        <v>5091</v>
      </c>
    </row>
    <row r="248" spans="1:3" x14ac:dyDescent="0.2">
      <c r="A248" t="s">
        <v>5252</v>
      </c>
      <c r="B248" t="s">
        <v>4734</v>
      </c>
      <c r="C248" t="s">
        <v>5093</v>
      </c>
    </row>
    <row r="249" spans="1:3" x14ac:dyDescent="0.2">
      <c r="A249" t="s">
        <v>5254</v>
      </c>
      <c r="B249" t="s">
        <v>4736</v>
      </c>
      <c r="C249" t="s">
        <v>5095</v>
      </c>
    </row>
    <row r="250" spans="1:3" x14ac:dyDescent="0.2">
      <c r="A250" t="s">
        <v>5260</v>
      </c>
      <c r="B250" t="s">
        <v>4738</v>
      </c>
      <c r="C250" t="s">
        <v>5097</v>
      </c>
    </row>
    <row r="251" spans="1:3" x14ac:dyDescent="0.2">
      <c r="A251" t="s">
        <v>5262</v>
      </c>
      <c r="B251" t="s">
        <v>4740</v>
      </c>
      <c r="C251" t="s">
        <v>5099</v>
      </c>
    </row>
    <row r="252" spans="1:3" x14ac:dyDescent="0.2">
      <c r="A252" t="s">
        <v>5277</v>
      </c>
      <c r="B252" t="s">
        <v>4742</v>
      </c>
      <c r="C252" t="s">
        <v>5104</v>
      </c>
    </row>
    <row r="253" spans="1:3" x14ac:dyDescent="0.2">
      <c r="A253" t="s">
        <v>5285</v>
      </c>
      <c r="B253" t="s">
        <v>4744</v>
      </c>
      <c r="C253" t="s">
        <v>5112</v>
      </c>
    </row>
    <row r="254" spans="1:3" x14ac:dyDescent="0.2">
      <c r="A254" t="s">
        <v>5287</v>
      </c>
      <c r="B254" t="s">
        <v>4746</v>
      </c>
      <c r="C254" t="s">
        <v>5149</v>
      </c>
    </row>
    <row r="255" spans="1:3" x14ac:dyDescent="0.2">
      <c r="A255" t="s">
        <v>5289</v>
      </c>
      <c r="B255" t="s">
        <v>4748</v>
      </c>
      <c r="C255" t="s">
        <v>5151</v>
      </c>
    </row>
    <row r="256" spans="1:3" x14ac:dyDescent="0.2">
      <c r="A256" t="s">
        <v>5297</v>
      </c>
      <c r="B256" t="s">
        <v>4750</v>
      </c>
      <c r="C256" t="s">
        <v>5162</v>
      </c>
    </row>
    <row r="257" spans="1:3" x14ac:dyDescent="0.2">
      <c r="A257" t="s">
        <v>5299</v>
      </c>
      <c r="B257" t="s">
        <v>4763</v>
      </c>
      <c r="C257" t="s">
        <v>5169</v>
      </c>
    </row>
    <row r="258" spans="1:3" x14ac:dyDescent="0.2">
      <c r="A258" t="s">
        <v>5303</v>
      </c>
      <c r="B258" t="s">
        <v>4765</v>
      </c>
      <c r="C258" t="s">
        <v>5171</v>
      </c>
    </row>
    <row r="259" spans="1:3" x14ac:dyDescent="0.2">
      <c r="A259" t="s">
        <v>5305</v>
      </c>
      <c r="B259" t="s">
        <v>4767</v>
      </c>
      <c r="C259" t="s">
        <v>5178</v>
      </c>
    </row>
    <row r="260" spans="1:3" x14ac:dyDescent="0.2">
      <c r="A260" t="s">
        <v>5310</v>
      </c>
      <c r="B260" t="s">
        <v>4769</v>
      </c>
      <c r="C260" t="s">
        <v>5180</v>
      </c>
    </row>
    <row r="261" spans="1:3" x14ac:dyDescent="0.2">
      <c r="A261" t="s">
        <v>5315</v>
      </c>
      <c r="B261" t="s">
        <v>4772</v>
      </c>
      <c r="C261" t="s">
        <v>5195</v>
      </c>
    </row>
    <row r="262" spans="1:3" x14ac:dyDescent="0.2">
      <c r="A262" t="s">
        <v>5318</v>
      </c>
      <c r="B262" t="s">
        <v>4774</v>
      </c>
      <c r="C262" t="s">
        <v>5197</v>
      </c>
    </row>
    <row r="263" spans="1:3" x14ac:dyDescent="0.2">
      <c r="A263" t="s">
        <v>5320</v>
      </c>
      <c r="B263" t="s">
        <v>4780</v>
      </c>
      <c r="C263" t="s">
        <v>5207</v>
      </c>
    </row>
    <row r="264" spans="1:3" x14ac:dyDescent="0.2">
      <c r="A264" t="s">
        <v>5322</v>
      </c>
      <c r="B264" t="s">
        <v>4782</v>
      </c>
      <c r="C264" t="s">
        <v>5237</v>
      </c>
    </row>
    <row r="265" spans="1:3" x14ac:dyDescent="0.2">
      <c r="A265" t="s">
        <v>5328</v>
      </c>
      <c r="B265" t="s">
        <v>4784</v>
      </c>
      <c r="C265" t="s">
        <v>5239</v>
      </c>
    </row>
    <row r="266" spans="1:3" x14ac:dyDescent="0.2">
      <c r="A266" t="s">
        <v>5349</v>
      </c>
      <c r="B266" t="s">
        <v>4790</v>
      </c>
      <c r="C266" t="s">
        <v>5241</v>
      </c>
    </row>
    <row r="267" spans="1:3" x14ac:dyDescent="0.2">
      <c r="A267" t="s">
        <v>5352</v>
      </c>
      <c r="B267" t="s">
        <v>4795</v>
      </c>
      <c r="C267" t="s">
        <v>5243</v>
      </c>
    </row>
    <row r="268" spans="1:3" x14ac:dyDescent="0.2">
      <c r="A268" t="s">
        <v>5360</v>
      </c>
      <c r="B268" t="s">
        <v>4805</v>
      </c>
      <c r="C268" t="s">
        <v>5254</v>
      </c>
    </row>
    <row r="269" spans="1:3" x14ac:dyDescent="0.2">
      <c r="A269" t="s">
        <v>5362</v>
      </c>
      <c r="B269" t="s">
        <v>4809</v>
      </c>
      <c r="C269" t="s">
        <v>5262</v>
      </c>
    </row>
    <row r="270" spans="1:3" x14ac:dyDescent="0.2">
      <c r="A270" t="s">
        <v>5364</v>
      </c>
      <c r="B270" t="s">
        <v>4811</v>
      </c>
      <c r="C270" t="s">
        <v>5264</v>
      </c>
    </row>
    <row r="271" spans="1:3" x14ac:dyDescent="0.2">
      <c r="A271" t="s">
        <v>5366</v>
      </c>
      <c r="B271" t="s">
        <v>4817</v>
      </c>
      <c r="C271" t="s">
        <v>5268</v>
      </c>
    </row>
    <row r="272" spans="1:3" x14ac:dyDescent="0.2">
      <c r="A272" t="s">
        <v>5368</v>
      </c>
      <c r="B272" t="s">
        <v>4819</v>
      </c>
      <c r="C272" t="s">
        <v>5275</v>
      </c>
    </row>
    <row r="273" spans="1:3" x14ac:dyDescent="0.2">
      <c r="A273" t="s">
        <v>5372</v>
      </c>
      <c r="B273" t="s">
        <v>4837</v>
      </c>
      <c r="C273" t="s">
        <v>5283</v>
      </c>
    </row>
    <row r="274" spans="1:3" x14ac:dyDescent="0.2">
      <c r="A274" t="s">
        <v>5376</v>
      </c>
      <c r="B274" t="s">
        <v>4843</v>
      </c>
      <c r="C274" t="s">
        <v>5285</v>
      </c>
    </row>
    <row r="275" spans="1:3" x14ac:dyDescent="0.2">
      <c r="A275" t="s">
        <v>5379</v>
      </c>
      <c r="B275" t="s">
        <v>4845</v>
      </c>
      <c r="C275" t="s">
        <v>5292</v>
      </c>
    </row>
    <row r="276" spans="1:3" x14ac:dyDescent="0.2">
      <c r="A276" t="s">
        <v>5384</v>
      </c>
      <c r="B276" t="s">
        <v>4847</v>
      </c>
      <c r="C276" t="s">
        <v>5299</v>
      </c>
    </row>
    <row r="277" spans="1:3" x14ac:dyDescent="0.2">
      <c r="A277" t="s">
        <v>5392</v>
      </c>
      <c r="B277" t="s">
        <v>4849</v>
      </c>
      <c r="C277" t="s">
        <v>5303</v>
      </c>
    </row>
    <row r="278" spans="1:3" x14ac:dyDescent="0.2">
      <c r="A278" t="s">
        <v>5398</v>
      </c>
      <c r="B278" t="s">
        <v>4851</v>
      </c>
      <c r="C278" t="s">
        <v>5310</v>
      </c>
    </row>
    <row r="279" spans="1:3" x14ac:dyDescent="0.2">
      <c r="A279" t="s">
        <v>5404</v>
      </c>
      <c r="B279" t="s">
        <v>4853</v>
      </c>
      <c r="C279" t="s">
        <v>5313</v>
      </c>
    </row>
    <row r="280" spans="1:3" x14ac:dyDescent="0.2">
      <c r="A280" t="s">
        <v>5408</v>
      </c>
      <c r="B280" t="s">
        <v>4855</v>
      </c>
      <c r="C280" t="s">
        <v>5330</v>
      </c>
    </row>
    <row r="281" spans="1:3" x14ac:dyDescent="0.2">
      <c r="A281" t="s">
        <v>5424</v>
      </c>
      <c r="B281" t="s">
        <v>4857</v>
      </c>
      <c r="C281" t="s">
        <v>5332</v>
      </c>
    </row>
    <row r="282" spans="1:3" x14ac:dyDescent="0.2">
      <c r="A282" t="s">
        <v>5440</v>
      </c>
      <c r="B282" t="s">
        <v>4859</v>
      </c>
      <c r="C282" t="s">
        <v>5339</v>
      </c>
    </row>
    <row r="283" spans="1:3" x14ac:dyDescent="0.2">
      <c r="A283" t="s">
        <v>5453</v>
      </c>
      <c r="B283" t="s">
        <v>4867</v>
      </c>
      <c r="C283" t="s">
        <v>5341</v>
      </c>
    </row>
    <row r="284" spans="1:3" x14ac:dyDescent="0.2">
      <c r="A284" t="s">
        <v>5465</v>
      </c>
      <c r="B284" t="s">
        <v>4873</v>
      </c>
      <c r="C284" t="s">
        <v>5352</v>
      </c>
    </row>
    <row r="285" spans="1:3" x14ac:dyDescent="0.2">
      <c r="A285" t="s">
        <v>5468</v>
      </c>
      <c r="B285" t="s">
        <v>4875</v>
      </c>
      <c r="C285" t="s">
        <v>5354</v>
      </c>
    </row>
    <row r="286" spans="1:3" x14ac:dyDescent="0.2">
      <c r="A286" t="s">
        <v>5478</v>
      </c>
      <c r="B286" t="s">
        <v>4877</v>
      </c>
      <c r="C286" t="s">
        <v>5356</v>
      </c>
    </row>
    <row r="287" spans="1:3" x14ac:dyDescent="0.2">
      <c r="A287" t="s">
        <v>5499</v>
      </c>
      <c r="B287" t="s">
        <v>4883</v>
      </c>
      <c r="C287" t="s">
        <v>5358</v>
      </c>
    </row>
    <row r="288" spans="1:3" x14ac:dyDescent="0.2">
      <c r="A288" t="s">
        <v>5507</v>
      </c>
      <c r="B288" t="s">
        <v>4895</v>
      </c>
      <c r="C288" t="s">
        <v>5364</v>
      </c>
    </row>
    <row r="289" spans="1:3" x14ac:dyDescent="0.2">
      <c r="A289" t="s">
        <v>5509</v>
      </c>
      <c r="B289" t="s">
        <v>4897</v>
      </c>
      <c r="C289" t="s">
        <v>5370</v>
      </c>
    </row>
    <row r="290" spans="1:3" x14ac:dyDescent="0.2">
      <c r="A290" t="s">
        <v>5513</v>
      </c>
      <c r="B290" t="s">
        <v>4899</v>
      </c>
      <c r="C290" t="s">
        <v>5394</v>
      </c>
    </row>
    <row r="291" spans="1:3" x14ac:dyDescent="0.2">
      <c r="A291" t="s">
        <v>5517</v>
      </c>
      <c r="B291" t="s">
        <v>4915</v>
      </c>
      <c r="C291" t="s">
        <v>5400</v>
      </c>
    </row>
    <row r="292" spans="1:3" x14ac:dyDescent="0.2">
      <c r="A292" t="s">
        <v>5520</v>
      </c>
      <c r="B292" t="s">
        <v>4918</v>
      </c>
      <c r="C292" t="s">
        <v>5402</v>
      </c>
    </row>
    <row r="293" spans="1:3" x14ac:dyDescent="0.2">
      <c r="A293" t="s">
        <v>5536</v>
      </c>
      <c r="B293" t="s">
        <v>4925</v>
      </c>
      <c r="C293" t="s">
        <v>5413</v>
      </c>
    </row>
    <row r="294" spans="1:3" x14ac:dyDescent="0.2">
      <c r="A294" t="s">
        <v>5539</v>
      </c>
      <c r="B294" t="s">
        <v>4929</v>
      </c>
      <c r="C294" t="s">
        <v>5415</v>
      </c>
    </row>
    <row r="295" spans="1:3" x14ac:dyDescent="0.2">
      <c r="A295" t="s">
        <v>5548</v>
      </c>
      <c r="B295" t="s">
        <v>4932</v>
      </c>
      <c r="C295" t="s">
        <v>5422</v>
      </c>
    </row>
    <row r="296" spans="1:3" x14ac:dyDescent="0.2">
      <c r="A296" t="s">
        <v>5552</v>
      </c>
      <c r="B296" t="s">
        <v>4934</v>
      </c>
      <c r="C296" t="s">
        <v>5427</v>
      </c>
    </row>
    <row r="297" spans="1:3" x14ac:dyDescent="0.2">
      <c r="A297" t="s">
        <v>5558</v>
      </c>
      <c r="B297" t="s">
        <v>4938</v>
      </c>
      <c r="C297" t="s">
        <v>5429</v>
      </c>
    </row>
    <row r="298" spans="1:3" x14ac:dyDescent="0.2">
      <c r="A298" t="s">
        <v>5560</v>
      </c>
      <c r="B298" t="s">
        <v>4941</v>
      </c>
      <c r="C298" t="s">
        <v>5433</v>
      </c>
    </row>
    <row r="299" spans="1:3" x14ac:dyDescent="0.2">
      <c r="A299" t="s">
        <v>5562</v>
      </c>
      <c r="B299" t="s">
        <v>4943</v>
      </c>
      <c r="C299" t="s">
        <v>5435</v>
      </c>
    </row>
    <row r="300" spans="1:3" x14ac:dyDescent="0.2">
      <c r="A300" t="s">
        <v>5564</v>
      </c>
      <c r="B300" t="s">
        <v>4948</v>
      </c>
      <c r="C300" t="s">
        <v>5443</v>
      </c>
    </row>
    <row r="301" spans="1:3" x14ac:dyDescent="0.2">
      <c r="A301" t="s">
        <v>5566</v>
      </c>
      <c r="B301" t="s">
        <v>4950</v>
      </c>
      <c r="C301" t="s">
        <v>5446</v>
      </c>
    </row>
    <row r="302" spans="1:3" x14ac:dyDescent="0.2">
      <c r="A302" t="s">
        <v>5568</v>
      </c>
      <c r="B302" t="s">
        <v>4954</v>
      </c>
      <c r="C302" t="s">
        <v>5449</v>
      </c>
    </row>
    <row r="303" spans="1:3" x14ac:dyDescent="0.2">
      <c r="A303" t="s">
        <v>5579</v>
      </c>
      <c r="B303" t="s">
        <v>4959</v>
      </c>
      <c r="C303" t="s">
        <v>5463</v>
      </c>
    </row>
    <row r="304" spans="1:3" x14ac:dyDescent="0.2">
      <c r="A304" t="s">
        <v>5590</v>
      </c>
      <c r="B304" t="s">
        <v>4969</v>
      </c>
      <c r="C304" t="s">
        <v>5468</v>
      </c>
    </row>
    <row r="305" spans="1:3" x14ac:dyDescent="0.2">
      <c r="A305" t="s">
        <v>5594</v>
      </c>
      <c r="B305" t="s">
        <v>4972</v>
      </c>
      <c r="C305" t="s">
        <v>5473</v>
      </c>
    </row>
    <row r="306" spans="1:3" x14ac:dyDescent="0.2">
      <c r="A306" t="s">
        <v>5600</v>
      </c>
      <c r="B306" t="s">
        <v>4974</v>
      </c>
      <c r="C306" t="s">
        <v>5476</v>
      </c>
    </row>
    <row r="307" spans="1:3" x14ac:dyDescent="0.2">
      <c r="A307" t="s">
        <v>5605</v>
      </c>
      <c r="B307" t="s">
        <v>4976</v>
      </c>
      <c r="C307" t="s">
        <v>5487</v>
      </c>
    </row>
    <row r="308" spans="1:3" x14ac:dyDescent="0.2">
      <c r="A308" t="s">
        <v>5607</v>
      </c>
      <c r="B308" t="s">
        <v>4979</v>
      </c>
      <c r="C308" t="s">
        <v>5489</v>
      </c>
    </row>
    <row r="309" spans="1:3" x14ac:dyDescent="0.2">
      <c r="A309" t="s">
        <v>5613</v>
      </c>
      <c r="B309" t="s">
        <v>4981</v>
      </c>
      <c r="C309" t="s">
        <v>5491</v>
      </c>
    </row>
    <row r="310" spans="1:3" x14ac:dyDescent="0.2">
      <c r="A310" t="s">
        <v>5615</v>
      </c>
      <c r="B310" t="s">
        <v>4984</v>
      </c>
      <c r="C310" t="s">
        <v>5493</v>
      </c>
    </row>
    <row r="311" spans="1:3" x14ac:dyDescent="0.2">
      <c r="A311" t="s">
        <v>5619</v>
      </c>
      <c r="B311" t="s">
        <v>5008</v>
      </c>
      <c r="C311" t="s">
        <v>5495</v>
      </c>
    </row>
    <row r="312" spans="1:3" x14ac:dyDescent="0.2">
      <c r="A312" t="s">
        <v>5635</v>
      </c>
      <c r="B312" t="s">
        <v>5012</v>
      </c>
      <c r="C312" t="s">
        <v>5497</v>
      </c>
    </row>
    <row r="313" spans="1:3" x14ac:dyDescent="0.2">
      <c r="A313" t="s">
        <v>5665</v>
      </c>
      <c r="B313" t="s">
        <v>5015</v>
      </c>
      <c r="C313" t="s">
        <v>5499</v>
      </c>
    </row>
    <row r="314" spans="1:3" x14ac:dyDescent="0.2">
      <c r="A314" t="s">
        <v>5669</v>
      </c>
      <c r="B314" t="s">
        <v>5019</v>
      </c>
      <c r="C314" t="s">
        <v>5511</v>
      </c>
    </row>
    <row r="315" spans="1:3" x14ac:dyDescent="0.2">
      <c r="A315" t="s">
        <v>5671</v>
      </c>
      <c r="B315" t="s">
        <v>5021</v>
      </c>
      <c r="C315" t="s">
        <v>5523</v>
      </c>
    </row>
    <row r="316" spans="1:3" x14ac:dyDescent="0.2">
      <c r="A316" t="s">
        <v>5680</v>
      </c>
      <c r="B316" t="s">
        <v>5025</v>
      </c>
      <c r="C316" t="s">
        <v>5529</v>
      </c>
    </row>
    <row r="317" spans="1:3" x14ac:dyDescent="0.2">
      <c r="A317" t="s">
        <v>5689</v>
      </c>
      <c r="B317" t="s">
        <v>5027</v>
      </c>
      <c r="C317" t="s">
        <v>5546</v>
      </c>
    </row>
    <row r="318" spans="1:3" x14ac:dyDescent="0.2">
      <c r="A318" t="s">
        <v>5704</v>
      </c>
      <c r="B318" t="s">
        <v>5030</v>
      </c>
      <c r="C318" t="s">
        <v>5548</v>
      </c>
    </row>
    <row r="319" spans="1:3" x14ac:dyDescent="0.2">
      <c r="A319" t="s">
        <v>5716</v>
      </c>
      <c r="B319" t="s">
        <v>5034</v>
      </c>
      <c r="C319" t="s">
        <v>5550</v>
      </c>
    </row>
    <row r="320" spans="1:3" x14ac:dyDescent="0.2">
      <c r="A320" t="s">
        <v>5725</v>
      </c>
      <c r="B320" t="s">
        <v>5036</v>
      </c>
      <c r="C320" t="s">
        <v>5555</v>
      </c>
    </row>
    <row r="321" spans="1:3" x14ac:dyDescent="0.2">
      <c r="A321" t="s">
        <v>5744</v>
      </c>
      <c r="B321" t="s">
        <v>5042</v>
      </c>
      <c r="C321" t="s">
        <v>5560</v>
      </c>
    </row>
    <row r="322" spans="1:3" x14ac:dyDescent="0.2">
      <c r="A322" t="s">
        <v>5754</v>
      </c>
      <c r="B322" t="s">
        <v>5045</v>
      </c>
      <c r="C322" t="s">
        <v>5568</v>
      </c>
    </row>
    <row r="323" spans="1:3" x14ac:dyDescent="0.2">
      <c r="A323" t="s">
        <v>5757</v>
      </c>
      <c r="B323" t="s">
        <v>5047</v>
      </c>
      <c r="C323" t="s">
        <v>5574</v>
      </c>
    </row>
    <row r="324" spans="1:3" x14ac:dyDescent="0.2">
      <c r="A324" t="s">
        <v>5759</v>
      </c>
      <c r="B324" t="s">
        <v>5049</v>
      </c>
      <c r="C324" t="s">
        <v>5576</v>
      </c>
    </row>
    <row r="325" spans="1:3" x14ac:dyDescent="0.2">
      <c r="A325" t="s">
        <v>5769</v>
      </c>
      <c r="B325" t="s">
        <v>5051</v>
      </c>
      <c r="C325" t="s">
        <v>5582</v>
      </c>
    </row>
    <row r="326" spans="1:3" x14ac:dyDescent="0.2">
      <c r="A326" t="s">
        <v>5792</v>
      </c>
      <c r="B326" t="s">
        <v>5053</v>
      </c>
      <c r="C326" t="s">
        <v>5597</v>
      </c>
    </row>
    <row r="327" spans="1:3" x14ac:dyDescent="0.2">
      <c r="A327" t="s">
        <v>5798</v>
      </c>
      <c r="B327" t="s">
        <v>5057</v>
      </c>
      <c r="C327" t="s">
        <v>5609</v>
      </c>
    </row>
    <row r="328" spans="1:3" x14ac:dyDescent="0.2">
      <c r="A328" t="s">
        <v>5800</v>
      </c>
      <c r="B328" t="s">
        <v>5060</v>
      </c>
      <c r="C328" t="s">
        <v>5617</v>
      </c>
    </row>
    <row r="329" spans="1:3" x14ac:dyDescent="0.2">
      <c r="A329" t="s">
        <v>5803</v>
      </c>
      <c r="B329" t="s">
        <v>5065</v>
      </c>
      <c r="C329" t="s">
        <v>5628</v>
      </c>
    </row>
    <row r="330" spans="1:3" x14ac:dyDescent="0.2">
      <c r="A330" t="s">
        <v>5806</v>
      </c>
      <c r="B330" t="s">
        <v>5069</v>
      </c>
      <c r="C330" t="s">
        <v>5632</v>
      </c>
    </row>
    <row r="331" spans="1:3" x14ac:dyDescent="0.2">
      <c r="A331" t="s">
        <v>5823</v>
      </c>
      <c r="B331" t="s">
        <v>5089</v>
      </c>
      <c r="C331" t="s">
        <v>5637</v>
      </c>
    </row>
    <row r="332" spans="1:3" x14ac:dyDescent="0.2">
      <c r="A332" t="s">
        <v>5826</v>
      </c>
      <c r="B332" t="s">
        <v>5104</v>
      </c>
      <c r="C332" t="s">
        <v>5640</v>
      </c>
    </row>
    <row r="333" spans="1:3" x14ac:dyDescent="0.2">
      <c r="A333" t="s">
        <v>5830</v>
      </c>
      <c r="B333" t="s">
        <v>5106</v>
      </c>
      <c r="C333" t="s">
        <v>5644</v>
      </c>
    </row>
    <row r="334" spans="1:3" x14ac:dyDescent="0.2">
      <c r="A334" t="s">
        <v>5834</v>
      </c>
      <c r="B334" t="s">
        <v>5110</v>
      </c>
      <c r="C334" t="s">
        <v>5648</v>
      </c>
    </row>
    <row r="335" spans="1:3" x14ac:dyDescent="0.2">
      <c r="A335" t="s">
        <v>5836</v>
      </c>
      <c r="B335" t="s">
        <v>5114</v>
      </c>
      <c r="C335" t="s">
        <v>5654</v>
      </c>
    </row>
    <row r="336" spans="1:3" x14ac:dyDescent="0.2">
      <c r="A336" t="s">
        <v>5846</v>
      </c>
      <c r="B336" t="s">
        <v>5117</v>
      </c>
      <c r="C336" t="s">
        <v>5667</v>
      </c>
    </row>
    <row r="337" spans="1:3" x14ac:dyDescent="0.2">
      <c r="A337" t="s">
        <v>5848</v>
      </c>
      <c r="B337" t="s">
        <v>5119</v>
      </c>
      <c r="C337" t="s">
        <v>5677</v>
      </c>
    </row>
    <row r="338" spans="1:3" x14ac:dyDescent="0.2">
      <c r="A338" t="s">
        <v>5856</v>
      </c>
      <c r="B338" t="s">
        <v>5121</v>
      </c>
      <c r="C338" t="s">
        <v>5692</v>
      </c>
    </row>
    <row r="339" spans="1:3" x14ac:dyDescent="0.2">
      <c r="A339" t="s">
        <v>5865</v>
      </c>
      <c r="B339" t="s">
        <v>5123</v>
      </c>
      <c r="C339" t="s">
        <v>5694</v>
      </c>
    </row>
    <row r="340" spans="1:3" x14ac:dyDescent="0.2">
      <c r="A340" t="s">
        <v>5867</v>
      </c>
      <c r="B340" t="s">
        <v>5125</v>
      </c>
      <c r="C340" t="s">
        <v>5712</v>
      </c>
    </row>
    <row r="341" spans="1:3" x14ac:dyDescent="0.2">
      <c r="A341" t="s">
        <v>5870</v>
      </c>
      <c r="B341" t="s">
        <v>5127</v>
      </c>
      <c r="C341" t="s">
        <v>5714</v>
      </c>
    </row>
    <row r="342" spans="1:3" x14ac:dyDescent="0.2">
      <c r="A342" t="s">
        <v>5880</v>
      </c>
      <c r="B342" t="s">
        <v>5129</v>
      </c>
      <c r="C342" t="s">
        <v>5738</v>
      </c>
    </row>
    <row r="343" spans="1:3" x14ac:dyDescent="0.2">
      <c r="A343" t="s">
        <v>5882</v>
      </c>
      <c r="B343" t="s">
        <v>5131</v>
      </c>
      <c r="C343" t="s">
        <v>5740</v>
      </c>
    </row>
    <row r="344" spans="1:3" x14ac:dyDescent="0.2">
      <c r="A344" t="s">
        <v>5888</v>
      </c>
      <c r="B344" t="s">
        <v>5133</v>
      </c>
      <c r="C344" t="s">
        <v>5742</v>
      </c>
    </row>
    <row r="345" spans="1:3" x14ac:dyDescent="0.2">
      <c r="A345" t="s">
        <v>5893</v>
      </c>
      <c r="B345" t="s">
        <v>5135</v>
      </c>
      <c r="C345" t="s">
        <v>5746</v>
      </c>
    </row>
    <row r="346" spans="1:3" x14ac:dyDescent="0.2">
      <c r="A346" t="s">
        <v>5913</v>
      </c>
      <c r="B346" t="s">
        <v>5139</v>
      </c>
      <c r="C346" t="s">
        <v>5748</v>
      </c>
    </row>
    <row r="347" spans="1:3" x14ac:dyDescent="0.2">
      <c r="A347" t="s">
        <v>5919</v>
      </c>
      <c r="B347" t="s">
        <v>5141</v>
      </c>
      <c r="C347" t="s">
        <v>5750</v>
      </c>
    </row>
    <row r="348" spans="1:3" x14ac:dyDescent="0.2">
      <c r="A348" t="s">
        <v>5921</v>
      </c>
      <c r="B348" t="s">
        <v>5156</v>
      </c>
      <c r="C348" t="s">
        <v>5752</v>
      </c>
    </row>
    <row r="349" spans="1:3" x14ac:dyDescent="0.2">
      <c r="A349" t="s">
        <v>5923</v>
      </c>
      <c r="B349" t="s">
        <v>5173</v>
      </c>
      <c r="C349" t="s">
        <v>5765</v>
      </c>
    </row>
    <row r="350" spans="1:3" x14ac:dyDescent="0.2">
      <c r="A350" t="s">
        <v>5933</v>
      </c>
      <c r="B350" t="s">
        <v>5182</v>
      </c>
      <c r="C350" t="s">
        <v>5767</v>
      </c>
    </row>
    <row r="351" spans="1:3" x14ac:dyDescent="0.2">
      <c r="A351" t="s">
        <v>5939</v>
      </c>
      <c r="B351" t="s">
        <v>5189</v>
      </c>
      <c r="C351" t="s">
        <v>5771</v>
      </c>
    </row>
    <row r="352" spans="1:3" x14ac:dyDescent="0.2">
      <c r="A352" t="s">
        <v>5946</v>
      </c>
      <c r="B352" t="s">
        <v>5191</v>
      </c>
      <c r="C352" t="s">
        <v>5773</v>
      </c>
    </row>
    <row r="353" spans="1:3" x14ac:dyDescent="0.2">
      <c r="A353" t="s">
        <v>5950</v>
      </c>
      <c r="B353" t="s">
        <v>5195</v>
      </c>
      <c r="C353" t="s">
        <v>5775</v>
      </c>
    </row>
    <row r="354" spans="1:3" x14ac:dyDescent="0.2">
      <c r="A354" t="s">
        <v>5958</v>
      </c>
      <c r="B354" t="s">
        <v>5203</v>
      </c>
      <c r="C354" t="s">
        <v>5777</v>
      </c>
    </row>
    <row r="355" spans="1:3" x14ac:dyDescent="0.2">
      <c r="A355" t="s">
        <v>5960</v>
      </c>
      <c r="B355" t="s">
        <v>5205</v>
      </c>
      <c r="C355" t="s">
        <v>5779</v>
      </c>
    </row>
    <row r="356" spans="1:3" x14ac:dyDescent="0.2">
      <c r="A356" t="s">
        <v>5964</v>
      </c>
      <c r="B356" t="s">
        <v>5207</v>
      </c>
      <c r="C356" t="s">
        <v>5781</v>
      </c>
    </row>
    <row r="357" spans="1:3" x14ac:dyDescent="0.2">
      <c r="A357" t="s">
        <v>5966</v>
      </c>
      <c r="B357" t="s">
        <v>5209</v>
      </c>
      <c r="C357" t="s">
        <v>5783</v>
      </c>
    </row>
    <row r="358" spans="1:3" x14ac:dyDescent="0.2">
      <c r="A358" t="s">
        <v>5969</v>
      </c>
      <c r="B358" t="s">
        <v>5211</v>
      </c>
      <c r="C358" t="s">
        <v>5785</v>
      </c>
    </row>
    <row r="359" spans="1:3" x14ac:dyDescent="0.2">
      <c r="A359" t="s">
        <v>5977</v>
      </c>
      <c r="B359" t="s">
        <v>5213</v>
      </c>
      <c r="C359" t="s">
        <v>5790</v>
      </c>
    </row>
    <row r="360" spans="1:3" x14ac:dyDescent="0.2">
      <c r="A360" t="s">
        <v>5986</v>
      </c>
      <c r="B360" t="s">
        <v>5215</v>
      </c>
      <c r="C360" t="s">
        <v>5796</v>
      </c>
    </row>
    <row r="361" spans="1:3" x14ac:dyDescent="0.2">
      <c r="A361" t="s">
        <v>5992</v>
      </c>
      <c r="B361" t="s">
        <v>5217</v>
      </c>
      <c r="C361" t="s">
        <v>5800</v>
      </c>
    </row>
    <row r="362" spans="1:3" x14ac:dyDescent="0.2">
      <c r="A362" t="s">
        <v>5996</v>
      </c>
      <c r="B362" t="s">
        <v>5219</v>
      </c>
      <c r="C362" t="s">
        <v>5810</v>
      </c>
    </row>
    <row r="363" spans="1:3" x14ac:dyDescent="0.2">
      <c r="A363" t="s">
        <v>5998</v>
      </c>
      <c r="B363" t="s">
        <v>5225</v>
      </c>
      <c r="C363" t="s">
        <v>5812</v>
      </c>
    </row>
    <row r="364" spans="1:3" x14ac:dyDescent="0.2">
      <c r="A364" t="s">
        <v>6000</v>
      </c>
      <c r="B364" t="s">
        <v>5227</v>
      </c>
      <c r="C364" t="s">
        <v>5815</v>
      </c>
    </row>
    <row r="365" spans="1:3" x14ac:dyDescent="0.2">
      <c r="A365" t="s">
        <v>6006</v>
      </c>
      <c r="B365" t="s">
        <v>5229</v>
      </c>
      <c r="C365" t="s">
        <v>5817</v>
      </c>
    </row>
    <row r="366" spans="1:3" x14ac:dyDescent="0.2">
      <c r="A366" t="s">
        <v>6008</v>
      </c>
      <c r="B366" t="s">
        <v>5231</v>
      </c>
      <c r="C366" t="s">
        <v>5836</v>
      </c>
    </row>
    <row r="367" spans="1:3" x14ac:dyDescent="0.2">
      <c r="A367" t="s">
        <v>6010</v>
      </c>
      <c r="B367" t="s">
        <v>5233</v>
      </c>
      <c r="C367" t="s">
        <v>5863</v>
      </c>
    </row>
    <row r="368" spans="1:3" x14ac:dyDescent="0.2">
      <c r="A368" t="s">
        <v>6017</v>
      </c>
      <c r="B368" t="s">
        <v>5235</v>
      </c>
      <c r="C368" t="s">
        <v>5884</v>
      </c>
    </row>
    <row r="369" spans="1:3" x14ac:dyDescent="0.2">
      <c r="A369" t="s">
        <v>6021</v>
      </c>
      <c r="B369" t="s">
        <v>5245</v>
      </c>
      <c r="C369" t="s">
        <v>5895</v>
      </c>
    </row>
    <row r="370" spans="1:3" x14ac:dyDescent="0.2">
      <c r="A370" t="s">
        <v>6035</v>
      </c>
      <c r="B370" t="s">
        <v>5248</v>
      </c>
      <c r="C370" t="s">
        <v>5899</v>
      </c>
    </row>
    <row r="371" spans="1:3" x14ac:dyDescent="0.2">
      <c r="A371" t="s">
        <v>6039</v>
      </c>
      <c r="B371" t="s">
        <v>5250</v>
      </c>
      <c r="C371" t="s">
        <v>5904</v>
      </c>
    </row>
    <row r="372" spans="1:3" x14ac:dyDescent="0.2">
      <c r="A372" t="s">
        <v>6056</v>
      </c>
      <c r="B372" t="s">
        <v>5252</v>
      </c>
      <c r="C372" t="s">
        <v>5910</v>
      </c>
    </row>
    <row r="373" spans="1:3" x14ac:dyDescent="0.2">
      <c r="A373" t="s">
        <v>6061</v>
      </c>
      <c r="B373" t="s">
        <v>5256</v>
      </c>
      <c r="C373" t="s">
        <v>5915</v>
      </c>
    </row>
    <row r="374" spans="1:3" x14ac:dyDescent="0.2">
      <c r="A374" t="s">
        <v>6068</v>
      </c>
      <c r="B374" t="s">
        <v>5266</v>
      </c>
      <c r="C374" t="s">
        <v>5923</v>
      </c>
    </row>
    <row r="375" spans="1:3" x14ac:dyDescent="0.2">
      <c r="A375" t="s">
        <v>6070</v>
      </c>
      <c r="B375" t="s">
        <v>5270</v>
      </c>
      <c r="C375" t="s">
        <v>5941</v>
      </c>
    </row>
    <row r="376" spans="1:3" x14ac:dyDescent="0.2">
      <c r="A376" t="s">
        <v>6073</v>
      </c>
      <c r="B376" t="s">
        <v>5272</v>
      </c>
      <c r="C376" t="s">
        <v>5944</v>
      </c>
    </row>
    <row r="377" spans="1:3" x14ac:dyDescent="0.2">
      <c r="A377" t="s">
        <v>6076</v>
      </c>
      <c r="B377" t="s">
        <v>5279</v>
      </c>
      <c r="C377" t="s">
        <v>5962</v>
      </c>
    </row>
    <row r="378" spans="1:3" x14ac:dyDescent="0.2">
      <c r="A378" t="s">
        <v>6092</v>
      </c>
      <c r="B378" t="s">
        <v>5281</v>
      </c>
      <c r="C378" t="s">
        <v>5973</v>
      </c>
    </row>
    <row r="379" spans="1:3" x14ac:dyDescent="0.2">
      <c r="A379" t="s">
        <v>6101</v>
      </c>
      <c r="B379" t="s">
        <v>5285</v>
      </c>
      <c r="C379" t="s">
        <v>5990</v>
      </c>
    </row>
    <row r="380" spans="1:3" x14ac:dyDescent="0.2">
      <c r="A380" t="s">
        <v>6109</v>
      </c>
      <c r="B380" t="s">
        <v>5289</v>
      </c>
      <c r="C380" t="s">
        <v>5994</v>
      </c>
    </row>
    <row r="381" spans="1:3" x14ac:dyDescent="0.2">
      <c r="A381" t="s">
        <v>6132</v>
      </c>
      <c r="B381" t="s">
        <v>5295</v>
      </c>
      <c r="C381" t="s">
        <v>6013</v>
      </c>
    </row>
    <row r="382" spans="1:3" x14ac:dyDescent="0.2">
      <c r="A382" t="s">
        <v>6136</v>
      </c>
      <c r="B382" t="s">
        <v>5299</v>
      </c>
      <c r="C382" t="s">
        <v>6019</v>
      </c>
    </row>
    <row r="383" spans="1:3" x14ac:dyDescent="0.2">
      <c r="A383" t="s">
        <v>6143</v>
      </c>
      <c r="B383" t="s">
        <v>5310</v>
      </c>
      <c r="C383" t="s">
        <v>6021</v>
      </c>
    </row>
    <row r="384" spans="1:3" x14ac:dyDescent="0.2">
      <c r="A384" t="s">
        <v>6146</v>
      </c>
      <c r="B384" t="s">
        <v>5322</v>
      </c>
      <c r="C384" t="s">
        <v>6024</v>
      </c>
    </row>
    <row r="385" spans="1:3" x14ac:dyDescent="0.2">
      <c r="A385" t="s">
        <v>6155</v>
      </c>
      <c r="B385" t="s">
        <v>5324</v>
      </c>
      <c r="C385" t="s">
        <v>6026</v>
      </c>
    </row>
    <row r="386" spans="1:3" x14ac:dyDescent="0.2">
      <c r="A386" t="s">
        <v>6161</v>
      </c>
      <c r="B386" t="s">
        <v>5326</v>
      </c>
      <c r="C386" t="s">
        <v>6030</v>
      </c>
    </row>
    <row r="387" spans="1:3" x14ac:dyDescent="0.2">
      <c r="A387" t="s">
        <v>6164</v>
      </c>
      <c r="B387" t="s">
        <v>5334</v>
      </c>
      <c r="C387" t="s">
        <v>6041</v>
      </c>
    </row>
    <row r="388" spans="1:3" x14ac:dyDescent="0.2">
      <c r="A388" t="s">
        <v>6166</v>
      </c>
      <c r="B388" t="s">
        <v>5336</v>
      </c>
      <c r="C388" t="s">
        <v>6043</v>
      </c>
    </row>
    <row r="389" spans="1:3" x14ac:dyDescent="0.2">
      <c r="A389" t="s">
        <v>6171</v>
      </c>
      <c r="B389" t="s">
        <v>5343</v>
      </c>
      <c r="C389" t="s">
        <v>6051</v>
      </c>
    </row>
    <row r="390" spans="1:3" x14ac:dyDescent="0.2">
      <c r="A390" t="s">
        <v>6173</v>
      </c>
      <c r="B390" t="s">
        <v>5352</v>
      </c>
      <c r="C390" t="s">
        <v>6059</v>
      </c>
    </row>
    <row r="391" spans="1:3" x14ac:dyDescent="0.2">
      <c r="A391" t="s">
        <v>6177</v>
      </c>
      <c r="B391" t="s">
        <v>5370</v>
      </c>
      <c r="C391" t="s">
        <v>6063</v>
      </c>
    </row>
    <row r="392" spans="1:3" x14ac:dyDescent="0.2">
      <c r="A392" t="s">
        <v>6179</v>
      </c>
      <c r="B392" t="s">
        <v>5374</v>
      </c>
      <c r="C392" t="s">
        <v>6078</v>
      </c>
    </row>
    <row r="393" spans="1:3" x14ac:dyDescent="0.2">
      <c r="A393" t="s">
        <v>6183</v>
      </c>
      <c r="B393" t="s">
        <v>5382</v>
      </c>
      <c r="C393" t="s">
        <v>6080</v>
      </c>
    </row>
    <row r="394" spans="1:3" x14ac:dyDescent="0.2">
      <c r="A394" t="s">
        <v>6188</v>
      </c>
      <c r="B394" t="s">
        <v>5388</v>
      </c>
      <c r="C394" t="s">
        <v>6088</v>
      </c>
    </row>
    <row r="395" spans="1:3" x14ac:dyDescent="0.2">
      <c r="A395" t="s">
        <v>6190</v>
      </c>
      <c r="B395" t="s">
        <v>5390</v>
      </c>
      <c r="C395" t="s">
        <v>6092</v>
      </c>
    </row>
    <row r="396" spans="1:3" x14ac:dyDescent="0.2">
      <c r="A396" t="s">
        <v>6198</v>
      </c>
      <c r="B396" t="s">
        <v>5392</v>
      </c>
      <c r="C396" t="s">
        <v>6096</v>
      </c>
    </row>
    <row r="397" spans="1:3" x14ac:dyDescent="0.2">
      <c r="A397" t="s">
        <v>6202</v>
      </c>
      <c r="B397" t="s">
        <v>5396</v>
      </c>
      <c r="C397" t="s">
        <v>6103</v>
      </c>
    </row>
    <row r="398" spans="1:3" x14ac:dyDescent="0.2">
      <c r="A398" t="s">
        <v>6206</v>
      </c>
      <c r="B398" t="s">
        <v>5406</v>
      </c>
      <c r="C398" t="s">
        <v>6107</v>
      </c>
    </row>
    <row r="399" spans="1:3" x14ac:dyDescent="0.2">
      <c r="A399" t="s">
        <v>6213</v>
      </c>
      <c r="B399" t="s">
        <v>5411</v>
      </c>
      <c r="C399" t="s">
        <v>6115</v>
      </c>
    </row>
    <row r="400" spans="1:3" x14ac:dyDescent="0.2">
      <c r="A400" t="s">
        <v>6215</v>
      </c>
      <c r="B400" t="s">
        <v>5413</v>
      </c>
      <c r="C400" t="s">
        <v>6124</v>
      </c>
    </row>
    <row r="401" spans="1:3" x14ac:dyDescent="0.2">
      <c r="A401" t="s">
        <v>6217</v>
      </c>
      <c r="B401" t="s">
        <v>5418</v>
      </c>
      <c r="C401" t="s">
        <v>6130</v>
      </c>
    </row>
    <row r="402" spans="1:3" x14ac:dyDescent="0.2">
      <c r="A402" t="s">
        <v>6219</v>
      </c>
      <c r="B402" t="s">
        <v>5420</v>
      </c>
      <c r="C402" t="s">
        <v>6134</v>
      </c>
    </row>
    <row r="403" spans="1:3" x14ac:dyDescent="0.2">
      <c r="A403" t="s">
        <v>6223</v>
      </c>
      <c r="B403" t="s">
        <v>5427</v>
      </c>
      <c r="C403" t="s">
        <v>6136</v>
      </c>
    </row>
    <row r="404" spans="1:3" x14ac:dyDescent="0.2">
      <c r="A404" t="s">
        <v>6226</v>
      </c>
      <c r="B404" t="s">
        <v>5429</v>
      </c>
      <c r="C404" t="s">
        <v>6143</v>
      </c>
    </row>
    <row r="405" spans="1:3" x14ac:dyDescent="0.2">
      <c r="A405" t="s">
        <v>6230</v>
      </c>
      <c r="B405" t="s">
        <v>5431</v>
      </c>
      <c r="C405" t="s">
        <v>6153</v>
      </c>
    </row>
    <row r="406" spans="1:3" x14ac:dyDescent="0.2">
      <c r="A406" t="s">
        <v>6232</v>
      </c>
      <c r="B406" t="s">
        <v>5433</v>
      </c>
      <c r="C406" t="s">
        <v>6181</v>
      </c>
    </row>
    <row r="407" spans="1:3" x14ac:dyDescent="0.2">
      <c r="A407" t="s">
        <v>6234</v>
      </c>
      <c r="B407" t="s">
        <v>5437</v>
      </c>
      <c r="C407" t="s">
        <v>6186</v>
      </c>
    </row>
    <row r="408" spans="1:3" x14ac:dyDescent="0.2">
      <c r="A408" t="s">
        <v>6243</v>
      </c>
      <c r="B408" t="s">
        <v>5451</v>
      </c>
      <c r="C408" t="s">
        <v>6192</v>
      </c>
    </row>
    <row r="409" spans="1:3" x14ac:dyDescent="0.2">
      <c r="A409" t="s">
        <v>6251</v>
      </c>
      <c r="B409" t="s">
        <v>5455</v>
      </c>
      <c r="C409" t="s">
        <v>6196</v>
      </c>
    </row>
    <row r="410" spans="1:3" x14ac:dyDescent="0.2">
      <c r="A410" t="s">
        <v>6269</v>
      </c>
      <c r="B410" t="s">
        <v>5458</v>
      </c>
      <c r="C410" t="s">
        <v>6202</v>
      </c>
    </row>
    <row r="411" spans="1:3" x14ac:dyDescent="0.2">
      <c r="A411" t="s">
        <v>6275</v>
      </c>
      <c r="B411" t="s">
        <v>5468</v>
      </c>
      <c r="C411" t="s">
        <v>6209</v>
      </c>
    </row>
    <row r="412" spans="1:3" x14ac:dyDescent="0.2">
      <c r="A412" t="s">
        <v>6279</v>
      </c>
      <c r="B412" t="s">
        <v>5480</v>
      </c>
      <c r="C412" t="s">
        <v>6215</v>
      </c>
    </row>
    <row r="413" spans="1:3" x14ac:dyDescent="0.2">
      <c r="A413" t="s">
        <v>6291</v>
      </c>
      <c r="B413" t="s">
        <v>5482</v>
      </c>
      <c r="C413" t="s">
        <v>6219</v>
      </c>
    </row>
    <row r="414" spans="1:3" x14ac:dyDescent="0.2">
      <c r="A414" t="s">
        <v>6296</v>
      </c>
      <c r="B414" t="s">
        <v>5485</v>
      </c>
      <c r="C414" t="s">
        <v>6236</v>
      </c>
    </row>
    <row r="415" spans="1:3" x14ac:dyDescent="0.2">
      <c r="A415" t="s">
        <v>6298</v>
      </c>
      <c r="B415" t="s">
        <v>5501</v>
      </c>
      <c r="C415" t="s">
        <v>6238</v>
      </c>
    </row>
    <row r="416" spans="1:3" x14ac:dyDescent="0.2">
      <c r="A416" t="s">
        <v>6302</v>
      </c>
      <c r="B416" t="s">
        <v>5503</v>
      </c>
      <c r="C416" t="s">
        <v>6246</v>
      </c>
    </row>
    <row r="417" spans="1:3" x14ac:dyDescent="0.2">
      <c r="A417" t="s">
        <v>6305</v>
      </c>
      <c r="B417" t="s">
        <v>5505</v>
      </c>
      <c r="C417" t="s">
        <v>6254</v>
      </c>
    </row>
    <row r="418" spans="1:3" x14ac:dyDescent="0.2">
      <c r="A418" t="s">
        <v>6307</v>
      </c>
      <c r="B418" t="s">
        <v>5509</v>
      </c>
      <c r="C418" t="s">
        <v>6258</v>
      </c>
    </row>
    <row r="419" spans="1:3" x14ac:dyDescent="0.2">
      <c r="A419" t="s">
        <v>6311</v>
      </c>
      <c r="B419" t="s">
        <v>5527</v>
      </c>
      <c r="C419" t="s">
        <v>6264</v>
      </c>
    </row>
    <row r="420" spans="1:3" x14ac:dyDescent="0.2">
      <c r="A420" t="s">
        <v>6315</v>
      </c>
      <c r="B420" t="s">
        <v>5532</v>
      </c>
      <c r="C420" t="s">
        <v>6269</v>
      </c>
    </row>
    <row r="421" spans="1:3" x14ac:dyDescent="0.2">
      <c r="A421" t="s">
        <v>6317</v>
      </c>
      <c r="B421" t="s">
        <v>5534</v>
      </c>
      <c r="C421" t="s">
        <v>6271</v>
      </c>
    </row>
    <row r="422" spans="1:3" x14ac:dyDescent="0.2">
      <c r="A422" t="s">
        <v>6323</v>
      </c>
      <c r="B422" t="s">
        <v>5541</v>
      </c>
      <c r="C422" t="s">
        <v>6277</v>
      </c>
    </row>
    <row r="423" spans="1:3" x14ac:dyDescent="0.2">
      <c r="A423" t="s">
        <v>6330</v>
      </c>
      <c r="B423" t="s">
        <v>5572</v>
      </c>
      <c r="C423" t="s">
        <v>6287</v>
      </c>
    </row>
    <row r="424" spans="1:3" x14ac:dyDescent="0.2">
      <c r="A424" t="s">
        <v>6332</v>
      </c>
      <c r="B424" t="s">
        <v>5576</v>
      </c>
      <c r="C424" t="s">
        <v>6309</v>
      </c>
    </row>
    <row r="425" spans="1:3" x14ac:dyDescent="0.2">
      <c r="A425" t="s">
        <v>6339</v>
      </c>
      <c r="B425" t="s">
        <v>5582</v>
      </c>
      <c r="C425" t="s">
        <v>6321</v>
      </c>
    </row>
    <row r="426" spans="1:3" x14ac:dyDescent="0.2">
      <c r="A426" t="s">
        <v>6342</v>
      </c>
      <c r="B426" t="s">
        <v>5584</v>
      </c>
      <c r="C426" t="s">
        <v>6336</v>
      </c>
    </row>
    <row r="427" spans="1:3" x14ac:dyDescent="0.2">
      <c r="A427" t="s">
        <v>6344</v>
      </c>
      <c r="B427" t="s">
        <v>5586</v>
      </c>
      <c r="C427" t="s">
        <v>6349</v>
      </c>
    </row>
    <row r="428" spans="1:3" x14ac:dyDescent="0.2">
      <c r="A428" t="s">
        <v>6347</v>
      </c>
      <c r="B428" t="s">
        <v>5588</v>
      </c>
      <c r="C428" t="s">
        <v>6352</v>
      </c>
    </row>
    <row r="429" spans="1:3" x14ac:dyDescent="0.2">
      <c r="A429" t="s">
        <v>6355</v>
      </c>
      <c r="B429" t="s">
        <v>5590</v>
      </c>
      <c r="C429" t="s">
        <v>6357</v>
      </c>
    </row>
    <row r="430" spans="1:3" x14ac:dyDescent="0.2">
      <c r="A430" t="s">
        <v>6357</v>
      </c>
      <c r="B430" t="s">
        <v>5592</v>
      </c>
      <c r="C430" t="s">
        <v>6359</v>
      </c>
    </row>
    <row r="431" spans="1:3" x14ac:dyDescent="0.2">
      <c r="A431" t="s">
        <v>6363</v>
      </c>
      <c r="B431" t="s">
        <v>5603</v>
      </c>
      <c r="C431" t="s">
        <v>6361</v>
      </c>
    </row>
    <row r="432" spans="1:3" x14ac:dyDescent="0.2">
      <c r="A432" t="s">
        <v>6365</v>
      </c>
      <c r="B432" t="s">
        <v>5617</v>
      </c>
      <c r="C432" t="s">
        <v>6369</v>
      </c>
    </row>
    <row r="433" spans="1:3" x14ac:dyDescent="0.2">
      <c r="A433" t="s">
        <v>6375</v>
      </c>
      <c r="B433" t="s">
        <v>5621</v>
      </c>
      <c r="C433" t="s">
        <v>6371</v>
      </c>
    </row>
    <row r="434" spans="1:3" x14ac:dyDescent="0.2">
      <c r="A434" t="s">
        <v>6379</v>
      </c>
      <c r="B434" t="s">
        <v>5624</v>
      </c>
      <c r="C434" t="s">
        <v>6373</v>
      </c>
    </row>
    <row r="435" spans="1:3" x14ac:dyDescent="0.2">
      <c r="A435" t="s">
        <v>6381</v>
      </c>
      <c r="B435" t="s">
        <v>5626</v>
      </c>
      <c r="C435" t="s">
        <v>6375</v>
      </c>
    </row>
    <row r="436" spans="1:3" x14ac:dyDescent="0.2">
      <c r="A436" t="s">
        <v>6388</v>
      </c>
      <c r="B436" t="s">
        <v>5630</v>
      </c>
      <c r="C436" t="s">
        <v>6390</v>
      </c>
    </row>
    <row r="437" spans="1:3" x14ac:dyDescent="0.2">
      <c r="A437" t="s">
        <v>6393</v>
      </c>
      <c r="B437" t="s">
        <v>5642</v>
      </c>
      <c r="C437" t="s">
        <v>6404</v>
      </c>
    </row>
    <row r="438" spans="1:3" x14ac:dyDescent="0.2">
      <c r="A438" t="s">
        <v>6400</v>
      </c>
      <c r="B438" t="s">
        <v>5652</v>
      </c>
      <c r="C438" t="s">
        <v>6411</v>
      </c>
    </row>
    <row r="439" spans="1:3" x14ac:dyDescent="0.2">
      <c r="A439" t="s">
        <v>6402</v>
      </c>
      <c r="B439" t="s">
        <v>5656</v>
      </c>
      <c r="C439" t="s">
        <v>6418</v>
      </c>
    </row>
    <row r="440" spans="1:3" x14ac:dyDescent="0.2">
      <c r="A440" t="s">
        <v>6404</v>
      </c>
      <c r="B440" t="s">
        <v>5658</v>
      </c>
      <c r="C440" t="s">
        <v>6424</v>
      </c>
    </row>
    <row r="441" spans="1:3" x14ac:dyDescent="0.2">
      <c r="A441" t="s">
        <v>6406</v>
      </c>
      <c r="B441" t="s">
        <v>5663</v>
      </c>
      <c r="C441" t="s">
        <v>6433</v>
      </c>
    </row>
    <row r="442" spans="1:3" x14ac:dyDescent="0.2">
      <c r="A442" t="s">
        <v>6420</v>
      </c>
      <c r="B442" t="s">
        <v>5673</v>
      </c>
      <c r="C442" t="s">
        <v>6441</v>
      </c>
    </row>
    <row r="443" spans="1:3" x14ac:dyDescent="0.2">
      <c r="A443" t="s">
        <v>6422</v>
      </c>
      <c r="B443" t="s">
        <v>5675</v>
      </c>
      <c r="C443" t="s">
        <v>6443</v>
      </c>
    </row>
    <row r="444" spans="1:3" x14ac:dyDescent="0.2">
      <c r="A444" t="s">
        <v>6429</v>
      </c>
      <c r="B444" t="s">
        <v>5683</v>
      </c>
      <c r="C444" t="s">
        <v>6445</v>
      </c>
    </row>
    <row r="445" spans="1:3" x14ac:dyDescent="0.2">
      <c r="A445" t="s">
        <v>6431</v>
      </c>
      <c r="B445" t="s">
        <v>5685</v>
      </c>
      <c r="C445" t="s">
        <v>6453</v>
      </c>
    </row>
    <row r="446" spans="1:3" x14ac:dyDescent="0.2">
      <c r="A446" t="s">
        <v>6443</v>
      </c>
      <c r="B446" t="s">
        <v>5687</v>
      </c>
      <c r="C446" t="s">
        <v>6496</v>
      </c>
    </row>
    <row r="447" spans="1:3" x14ac:dyDescent="0.2">
      <c r="A447" t="s">
        <v>6447</v>
      </c>
      <c r="B447" t="s">
        <v>5696</v>
      </c>
      <c r="C447" t="s">
        <v>6508</v>
      </c>
    </row>
    <row r="448" spans="1:3" x14ac:dyDescent="0.2">
      <c r="A448" t="s">
        <v>6451</v>
      </c>
      <c r="B448" t="s">
        <v>5700</v>
      </c>
      <c r="C448" t="s">
        <v>6510</v>
      </c>
    </row>
    <row r="449" spans="1:3" x14ac:dyDescent="0.2">
      <c r="A449" t="s">
        <v>6457</v>
      </c>
      <c r="B449" t="s">
        <v>5702</v>
      </c>
      <c r="C449" t="s">
        <v>6512</v>
      </c>
    </row>
    <row r="450" spans="1:3" x14ac:dyDescent="0.2">
      <c r="A450" t="s">
        <v>6462</v>
      </c>
      <c r="B450" t="s">
        <v>5706</v>
      </c>
      <c r="C450" t="s">
        <v>6514</v>
      </c>
    </row>
    <row r="451" spans="1:3" x14ac:dyDescent="0.2">
      <c r="A451" t="s">
        <v>6464</v>
      </c>
      <c r="B451" t="s">
        <v>5708</v>
      </c>
      <c r="C451" t="s">
        <v>6516</v>
      </c>
    </row>
    <row r="452" spans="1:3" x14ac:dyDescent="0.2">
      <c r="A452" t="s">
        <v>6466</v>
      </c>
      <c r="B452" t="s">
        <v>5710</v>
      </c>
      <c r="C452" t="s">
        <v>6519</v>
      </c>
    </row>
    <row r="453" spans="1:3" x14ac:dyDescent="0.2">
      <c r="A453" t="s">
        <v>6469</v>
      </c>
      <c r="B453" t="s">
        <v>5712</v>
      </c>
      <c r="C453" t="s">
        <v>6534</v>
      </c>
    </row>
    <row r="454" spans="1:3" x14ac:dyDescent="0.2">
      <c r="A454" t="s">
        <v>6476</v>
      </c>
      <c r="B454" t="s">
        <v>5718</v>
      </c>
      <c r="C454" t="s">
        <v>6536</v>
      </c>
    </row>
    <row r="455" spans="1:3" x14ac:dyDescent="0.2">
      <c r="A455" t="s">
        <v>6485</v>
      </c>
      <c r="B455" t="s">
        <v>5722</v>
      </c>
      <c r="C455" t="s">
        <v>6562</v>
      </c>
    </row>
    <row r="456" spans="1:3" x14ac:dyDescent="0.2">
      <c r="A456" t="s">
        <v>6500</v>
      </c>
      <c r="B456" t="s">
        <v>5727</v>
      </c>
      <c r="C456" t="s">
        <v>6566</v>
      </c>
    </row>
    <row r="457" spans="1:3" x14ac:dyDescent="0.2">
      <c r="A457" t="s">
        <v>6502</v>
      </c>
      <c r="B457" t="s">
        <v>5730</v>
      </c>
      <c r="C457" t="s">
        <v>6572</v>
      </c>
    </row>
    <row r="458" spans="1:3" x14ac:dyDescent="0.2">
      <c r="A458" t="s">
        <v>6512</v>
      </c>
      <c r="B458" t="s">
        <v>5732</v>
      </c>
      <c r="C458" t="s">
        <v>6578</v>
      </c>
    </row>
    <row r="459" spans="1:3" x14ac:dyDescent="0.2">
      <c r="A459" t="s">
        <v>6524</v>
      </c>
      <c r="B459" t="s">
        <v>5734</v>
      </c>
      <c r="C459" t="s">
        <v>6581</v>
      </c>
    </row>
    <row r="460" spans="1:3" x14ac:dyDescent="0.2">
      <c r="A460" t="s">
        <v>6529</v>
      </c>
      <c r="B460" t="s">
        <v>5736</v>
      </c>
      <c r="C460" t="s">
        <v>6590</v>
      </c>
    </row>
    <row r="461" spans="1:3" x14ac:dyDescent="0.2">
      <c r="A461" t="s">
        <v>6532</v>
      </c>
      <c r="B461" t="s">
        <v>5738</v>
      </c>
      <c r="C461" t="s">
        <v>6594</v>
      </c>
    </row>
    <row r="462" spans="1:3" x14ac:dyDescent="0.2">
      <c r="A462" t="s">
        <v>6545</v>
      </c>
      <c r="B462" t="s">
        <v>5761</v>
      </c>
      <c r="C462" t="s">
        <v>6615</v>
      </c>
    </row>
    <row r="463" spans="1:3" x14ac:dyDescent="0.2">
      <c r="A463" t="s">
        <v>6566</v>
      </c>
      <c r="B463" t="s">
        <v>5763</v>
      </c>
      <c r="C463" t="s">
        <v>6619</v>
      </c>
    </row>
    <row r="464" spans="1:3" x14ac:dyDescent="0.2">
      <c r="A464" t="s">
        <v>6568</v>
      </c>
      <c r="B464" t="s">
        <v>5787</v>
      </c>
      <c r="C464" t="s">
        <v>6634</v>
      </c>
    </row>
    <row r="465" spans="1:3" x14ac:dyDescent="0.2">
      <c r="A465" t="s">
        <v>6574</v>
      </c>
      <c r="B465" t="s">
        <v>5794</v>
      </c>
      <c r="C465" t="s">
        <v>6636</v>
      </c>
    </row>
    <row r="466" spans="1:3" x14ac:dyDescent="0.2">
      <c r="A466" t="s">
        <v>6576</v>
      </c>
      <c r="B466" t="s">
        <v>5798</v>
      </c>
      <c r="C466" t="s">
        <v>6645</v>
      </c>
    </row>
    <row r="467" spans="1:3" x14ac:dyDescent="0.2">
      <c r="A467" t="s">
        <v>6578</v>
      </c>
      <c r="B467" t="s">
        <v>5808</v>
      </c>
      <c r="C467" t="s">
        <v>6647</v>
      </c>
    </row>
    <row r="468" spans="1:3" x14ac:dyDescent="0.2">
      <c r="A468" t="s">
        <v>6585</v>
      </c>
      <c r="B468" t="s">
        <v>5819</v>
      </c>
      <c r="C468" t="s">
        <v>6674</v>
      </c>
    </row>
    <row r="469" spans="1:3" x14ac:dyDescent="0.2">
      <c r="A469" t="s">
        <v>6587</v>
      </c>
      <c r="B469" t="s">
        <v>5821</v>
      </c>
      <c r="C469" t="s">
        <v>6677</v>
      </c>
    </row>
    <row r="470" spans="1:3" x14ac:dyDescent="0.2">
      <c r="A470" t="s">
        <v>6603</v>
      </c>
      <c r="B470" t="s">
        <v>5823</v>
      </c>
      <c r="C470" t="s">
        <v>6685</v>
      </c>
    </row>
    <row r="471" spans="1:3" x14ac:dyDescent="0.2">
      <c r="A471" t="s">
        <v>6605</v>
      </c>
      <c r="B471" t="s">
        <v>5832</v>
      </c>
      <c r="C471" t="s">
        <v>6689</v>
      </c>
    </row>
    <row r="472" spans="1:3" x14ac:dyDescent="0.2">
      <c r="A472" t="s">
        <v>6617</v>
      </c>
      <c r="B472" t="s">
        <v>5839</v>
      </c>
      <c r="C472" t="s">
        <v>6695</v>
      </c>
    </row>
    <row r="473" spans="1:3" x14ac:dyDescent="0.2">
      <c r="A473" t="s">
        <v>6622</v>
      </c>
      <c r="B473" t="s">
        <v>5841</v>
      </c>
      <c r="C473" t="s">
        <v>6704</v>
      </c>
    </row>
    <row r="474" spans="1:3" x14ac:dyDescent="0.2">
      <c r="A474" t="s">
        <v>6636</v>
      </c>
      <c r="B474" t="s">
        <v>5844</v>
      </c>
      <c r="C474" t="s">
        <v>6706</v>
      </c>
    </row>
    <row r="475" spans="1:3" x14ac:dyDescent="0.2">
      <c r="A475" t="s">
        <v>6638</v>
      </c>
      <c r="B475" t="s">
        <v>5850</v>
      </c>
      <c r="C475" t="s">
        <v>6708</v>
      </c>
    </row>
    <row r="476" spans="1:3" x14ac:dyDescent="0.2">
      <c r="A476" t="s">
        <v>6640</v>
      </c>
      <c r="B476" t="s">
        <v>5852</v>
      </c>
      <c r="C476" t="s">
        <v>6710</v>
      </c>
    </row>
    <row r="477" spans="1:3" x14ac:dyDescent="0.2">
      <c r="A477" t="s">
        <v>6643</v>
      </c>
      <c r="B477" t="s">
        <v>5854</v>
      </c>
      <c r="C477" t="s">
        <v>6712</v>
      </c>
    </row>
    <row r="478" spans="1:3" x14ac:dyDescent="0.2">
      <c r="A478" t="s">
        <v>6645</v>
      </c>
      <c r="B478" t="s">
        <v>5859</v>
      </c>
      <c r="C478" t="s">
        <v>6717</v>
      </c>
    </row>
    <row r="479" spans="1:3" x14ac:dyDescent="0.2">
      <c r="A479" t="s">
        <v>6649</v>
      </c>
      <c r="B479" t="s">
        <v>5861</v>
      </c>
      <c r="C479" t="s">
        <v>6726</v>
      </c>
    </row>
    <row r="480" spans="1:3" x14ac:dyDescent="0.2">
      <c r="A480" t="s">
        <v>6661</v>
      </c>
      <c r="B480" t="s">
        <v>5874</v>
      </c>
      <c r="C480" t="s">
        <v>6728</v>
      </c>
    </row>
    <row r="481" spans="1:3" x14ac:dyDescent="0.2">
      <c r="A481" t="s">
        <v>6663</v>
      </c>
      <c r="B481" t="s">
        <v>5877</v>
      </c>
      <c r="C481" t="s">
        <v>6732</v>
      </c>
    </row>
    <row r="482" spans="1:3" x14ac:dyDescent="0.2">
      <c r="A482" t="s">
        <v>6666</v>
      </c>
      <c r="B482" t="s">
        <v>5884</v>
      </c>
      <c r="C482" t="s">
        <v>6736</v>
      </c>
    </row>
    <row r="483" spans="1:3" x14ac:dyDescent="0.2">
      <c r="A483" t="s">
        <v>6670</v>
      </c>
      <c r="B483" t="s">
        <v>5886</v>
      </c>
      <c r="C483" t="s">
        <v>6745</v>
      </c>
    </row>
    <row r="484" spans="1:3" x14ac:dyDescent="0.2">
      <c r="A484" t="s">
        <v>6672</v>
      </c>
      <c r="B484" t="s">
        <v>5891</v>
      </c>
      <c r="C484" t="s">
        <v>6757</v>
      </c>
    </row>
    <row r="485" spans="1:3" x14ac:dyDescent="0.2">
      <c r="A485" t="s">
        <v>6674</v>
      </c>
      <c r="B485" t="s">
        <v>5897</v>
      </c>
      <c r="C485" t="s">
        <v>6759</v>
      </c>
    </row>
    <row r="486" spans="1:3" x14ac:dyDescent="0.2">
      <c r="A486" t="s">
        <v>6677</v>
      </c>
      <c r="B486" t="s">
        <v>5906</v>
      </c>
      <c r="C486" t="s">
        <v>6764</v>
      </c>
    </row>
    <row r="487" spans="1:3" x14ac:dyDescent="0.2">
      <c r="A487" t="s">
        <v>6679</v>
      </c>
      <c r="B487" t="s">
        <v>5908</v>
      </c>
      <c r="C487" t="s">
        <v>6766</v>
      </c>
    </row>
    <row r="488" spans="1:3" x14ac:dyDescent="0.2">
      <c r="A488" t="s">
        <v>6681</v>
      </c>
      <c r="B488" t="s">
        <v>5917</v>
      </c>
      <c r="C488" t="s">
        <v>6768</v>
      </c>
    </row>
    <row r="489" spans="1:3" x14ac:dyDescent="0.2">
      <c r="A489" t="s">
        <v>6691</v>
      </c>
      <c r="B489" t="s">
        <v>5929</v>
      </c>
      <c r="C489" t="s">
        <v>6770</v>
      </c>
    </row>
    <row r="490" spans="1:3" x14ac:dyDescent="0.2">
      <c r="A490" t="s">
        <v>6693</v>
      </c>
      <c r="B490" t="s">
        <v>5931</v>
      </c>
      <c r="C490" t="s">
        <v>6788</v>
      </c>
    </row>
    <row r="491" spans="1:3" x14ac:dyDescent="0.2">
      <c r="A491" t="s">
        <v>6697</v>
      </c>
      <c r="B491" t="s">
        <v>5933</v>
      </c>
      <c r="C491" t="s">
        <v>6790</v>
      </c>
    </row>
    <row r="492" spans="1:3" x14ac:dyDescent="0.2">
      <c r="A492" t="s">
        <v>6700</v>
      </c>
      <c r="B492" t="s">
        <v>5937</v>
      </c>
      <c r="C492" t="s">
        <v>6803</v>
      </c>
    </row>
    <row r="493" spans="1:3" x14ac:dyDescent="0.2">
      <c r="A493" t="s">
        <v>6702</v>
      </c>
      <c r="B493" t="s">
        <v>5948</v>
      </c>
      <c r="C493" t="s">
        <v>6805</v>
      </c>
    </row>
    <row r="494" spans="1:3" x14ac:dyDescent="0.2">
      <c r="A494" t="s">
        <v>6706</v>
      </c>
      <c r="B494" t="s">
        <v>5954</v>
      </c>
      <c r="C494" t="s">
        <v>6809</v>
      </c>
    </row>
    <row r="495" spans="1:3" x14ac:dyDescent="0.2">
      <c r="A495" t="s">
        <v>6714</v>
      </c>
      <c r="B495" t="s">
        <v>5956</v>
      </c>
      <c r="C495" t="s">
        <v>6819</v>
      </c>
    </row>
    <row r="496" spans="1:3" x14ac:dyDescent="0.2">
      <c r="A496" t="s">
        <v>6724</v>
      </c>
      <c r="B496" t="s">
        <v>5960</v>
      </c>
      <c r="C496" t="s">
        <v>6825</v>
      </c>
    </row>
    <row r="497" spans="1:3" x14ac:dyDescent="0.2">
      <c r="A497" t="s">
        <v>6732</v>
      </c>
      <c r="B497" t="s">
        <v>5973</v>
      </c>
      <c r="C497" t="s">
        <v>6831</v>
      </c>
    </row>
    <row r="498" spans="1:3" x14ac:dyDescent="0.2">
      <c r="A498" t="s">
        <v>6741</v>
      </c>
      <c r="B498" t="s">
        <v>5975</v>
      </c>
      <c r="C498" t="s">
        <v>6841</v>
      </c>
    </row>
    <row r="499" spans="1:3" x14ac:dyDescent="0.2">
      <c r="A499" t="s">
        <v>6747</v>
      </c>
      <c r="B499" t="s">
        <v>5979</v>
      </c>
      <c r="C499" t="s">
        <v>6854</v>
      </c>
    </row>
    <row r="500" spans="1:3" x14ac:dyDescent="0.2">
      <c r="A500" t="s">
        <v>6754</v>
      </c>
      <c r="B500" t="s">
        <v>5982</v>
      </c>
      <c r="C500" t="s">
        <v>6863</v>
      </c>
    </row>
    <row r="501" spans="1:3" x14ac:dyDescent="0.2">
      <c r="A501" t="s">
        <v>6762</v>
      </c>
      <c r="B501" t="s">
        <v>5984</v>
      </c>
      <c r="C501" t="s">
        <v>6865</v>
      </c>
    </row>
    <row r="502" spans="1:3" x14ac:dyDescent="0.2">
      <c r="A502" t="s">
        <v>6774</v>
      </c>
      <c r="B502" t="s">
        <v>5988</v>
      </c>
      <c r="C502" t="s">
        <v>6867</v>
      </c>
    </row>
    <row r="503" spans="1:3" x14ac:dyDescent="0.2">
      <c r="A503" t="s">
        <v>6776</v>
      </c>
      <c r="B503" t="s">
        <v>5990</v>
      </c>
      <c r="C503" t="s">
        <v>6871</v>
      </c>
    </row>
    <row r="504" spans="1:3" x14ac:dyDescent="0.2">
      <c r="A504" t="s">
        <v>6778</v>
      </c>
      <c r="B504" t="s">
        <v>5998</v>
      </c>
      <c r="C504" t="s">
        <v>6884</v>
      </c>
    </row>
    <row r="505" spans="1:3" x14ac:dyDescent="0.2">
      <c r="A505" t="s">
        <v>6780</v>
      </c>
      <c r="B505" t="s">
        <v>6002</v>
      </c>
      <c r="C505" t="s">
        <v>6897</v>
      </c>
    </row>
    <row r="506" spans="1:3" x14ac:dyDescent="0.2">
      <c r="A506" t="s">
        <v>6783</v>
      </c>
      <c r="B506" t="s">
        <v>6004</v>
      </c>
      <c r="C506" t="s">
        <v>6901</v>
      </c>
    </row>
    <row r="507" spans="1:3" x14ac:dyDescent="0.2">
      <c r="A507" t="s">
        <v>6785</v>
      </c>
      <c r="B507" t="s">
        <v>6015</v>
      </c>
      <c r="C507" t="s">
        <v>6909</v>
      </c>
    </row>
    <row r="508" spans="1:3" x14ac:dyDescent="0.2">
      <c r="A508" t="s">
        <v>6788</v>
      </c>
      <c r="B508" t="s">
        <v>6021</v>
      </c>
      <c r="C508" t="s">
        <v>6911</v>
      </c>
    </row>
    <row r="509" spans="1:3" x14ac:dyDescent="0.2">
      <c r="A509" t="s">
        <v>6794</v>
      </c>
      <c r="B509" t="s">
        <v>6047</v>
      </c>
      <c r="C509" t="s">
        <v>6939</v>
      </c>
    </row>
    <row r="510" spans="1:3" x14ac:dyDescent="0.2">
      <c r="A510" t="s">
        <v>6811</v>
      </c>
      <c r="B510" t="s">
        <v>6049</v>
      </c>
      <c r="C510" t="s">
        <v>6941</v>
      </c>
    </row>
    <row r="511" spans="1:3" x14ac:dyDescent="0.2">
      <c r="A511" t="s">
        <v>6814</v>
      </c>
      <c r="B511" t="s">
        <v>6054</v>
      </c>
      <c r="C511" t="s">
        <v>6943</v>
      </c>
    </row>
    <row r="512" spans="1:3" x14ac:dyDescent="0.2">
      <c r="A512" t="s">
        <v>6817</v>
      </c>
      <c r="B512" t="s">
        <v>6059</v>
      </c>
      <c r="C512" t="s">
        <v>6948</v>
      </c>
    </row>
    <row r="513" spans="1:3" x14ac:dyDescent="0.2">
      <c r="A513" t="s">
        <v>6819</v>
      </c>
      <c r="B513" t="s">
        <v>6063</v>
      </c>
      <c r="C513" t="s">
        <v>6955</v>
      </c>
    </row>
    <row r="514" spans="1:3" x14ac:dyDescent="0.2">
      <c r="A514" t="s">
        <v>6821</v>
      </c>
      <c r="B514" t="s">
        <v>6066</v>
      </c>
      <c r="C514" t="s">
        <v>6957</v>
      </c>
    </row>
    <row r="515" spans="1:3" x14ac:dyDescent="0.2">
      <c r="A515" t="s">
        <v>6827</v>
      </c>
      <c r="B515" t="s">
        <v>6078</v>
      </c>
      <c r="C515" t="s">
        <v>6972</v>
      </c>
    </row>
    <row r="516" spans="1:3" x14ac:dyDescent="0.2">
      <c r="A516" t="s">
        <v>6839</v>
      </c>
      <c r="B516" t="s">
        <v>6080</v>
      </c>
      <c r="C516" t="s">
        <v>6986</v>
      </c>
    </row>
    <row r="517" spans="1:3" x14ac:dyDescent="0.2">
      <c r="A517" t="s">
        <v>6841</v>
      </c>
      <c r="B517" t="s">
        <v>6082</v>
      </c>
      <c r="C517" t="s">
        <v>6988</v>
      </c>
    </row>
    <row r="518" spans="1:3" x14ac:dyDescent="0.2">
      <c r="A518" t="s">
        <v>6843</v>
      </c>
      <c r="B518" t="s">
        <v>6084</v>
      </c>
      <c r="C518" t="s">
        <v>6995</v>
      </c>
    </row>
    <row r="519" spans="1:3" x14ac:dyDescent="0.2">
      <c r="A519" t="s">
        <v>6848</v>
      </c>
      <c r="B519" t="s">
        <v>6086</v>
      </c>
      <c r="C519" t="s">
        <v>6997</v>
      </c>
    </row>
    <row r="520" spans="1:3" x14ac:dyDescent="0.2">
      <c r="A520" t="s">
        <v>6869</v>
      </c>
      <c r="B520" t="s">
        <v>6094</v>
      </c>
      <c r="C520" t="s">
        <v>6999</v>
      </c>
    </row>
    <row r="521" spans="1:3" x14ac:dyDescent="0.2">
      <c r="A521" t="s">
        <v>6879</v>
      </c>
      <c r="B521" t="s">
        <v>6098</v>
      </c>
      <c r="C521" t="s">
        <v>7011</v>
      </c>
    </row>
    <row r="522" spans="1:3" x14ac:dyDescent="0.2">
      <c r="A522" t="s">
        <v>6881</v>
      </c>
      <c r="B522" t="s">
        <v>6103</v>
      </c>
      <c r="C522" t="s">
        <v>7015</v>
      </c>
    </row>
    <row r="523" spans="1:3" x14ac:dyDescent="0.2">
      <c r="A523" t="s">
        <v>6890</v>
      </c>
      <c r="B523" t="s">
        <v>6105</v>
      </c>
      <c r="C523" t="s">
        <v>7055</v>
      </c>
    </row>
    <row r="524" spans="1:3" x14ac:dyDescent="0.2">
      <c r="A524" t="s">
        <v>6903</v>
      </c>
      <c r="B524" t="s">
        <v>6112</v>
      </c>
      <c r="C524" t="s">
        <v>7070</v>
      </c>
    </row>
    <row r="525" spans="1:3" x14ac:dyDescent="0.2">
      <c r="A525" t="s">
        <v>6921</v>
      </c>
      <c r="B525" t="s">
        <v>6115</v>
      </c>
      <c r="C525" t="s">
        <v>7079</v>
      </c>
    </row>
    <row r="526" spans="1:3" x14ac:dyDescent="0.2">
      <c r="A526" t="s">
        <v>6923</v>
      </c>
      <c r="B526" t="s">
        <v>6117</v>
      </c>
      <c r="C526" t="s">
        <v>7085</v>
      </c>
    </row>
    <row r="527" spans="1:3" x14ac:dyDescent="0.2">
      <c r="A527" t="s">
        <v>6926</v>
      </c>
      <c r="B527" t="s">
        <v>6120</v>
      </c>
      <c r="C527" t="s">
        <v>7094</v>
      </c>
    </row>
    <row r="528" spans="1:3" x14ac:dyDescent="0.2">
      <c r="A528" t="s">
        <v>6933</v>
      </c>
      <c r="B528" t="s">
        <v>6122</v>
      </c>
      <c r="C528" t="s">
        <v>7096</v>
      </c>
    </row>
    <row r="529" spans="1:3" x14ac:dyDescent="0.2">
      <c r="A529" t="s">
        <v>6937</v>
      </c>
      <c r="B529" t="s">
        <v>6124</v>
      </c>
      <c r="C529" t="s">
        <v>7136</v>
      </c>
    </row>
    <row r="530" spans="1:3" x14ac:dyDescent="0.2">
      <c r="A530" t="s">
        <v>6941</v>
      </c>
      <c r="B530" t="s">
        <v>6126</v>
      </c>
      <c r="C530" t="s">
        <v>7138</v>
      </c>
    </row>
    <row r="531" spans="1:3" x14ac:dyDescent="0.2">
      <c r="A531" t="s">
        <v>6951</v>
      </c>
      <c r="B531" t="s">
        <v>6128</v>
      </c>
      <c r="C531" t="s">
        <v>7152</v>
      </c>
    </row>
    <row r="532" spans="1:3" x14ac:dyDescent="0.2">
      <c r="A532" t="s">
        <v>6953</v>
      </c>
      <c r="B532" t="s">
        <v>6138</v>
      </c>
      <c r="C532" t="s">
        <v>7164</v>
      </c>
    </row>
    <row r="533" spans="1:3" x14ac:dyDescent="0.2">
      <c r="A533" t="s">
        <v>6966</v>
      </c>
      <c r="B533" t="s">
        <v>6140</v>
      </c>
      <c r="C533" t="s">
        <v>7168</v>
      </c>
    </row>
    <row r="534" spans="1:3" x14ac:dyDescent="0.2">
      <c r="A534" t="s">
        <v>6976</v>
      </c>
      <c r="B534" t="s">
        <v>6143</v>
      </c>
      <c r="C534" t="s">
        <v>7170</v>
      </c>
    </row>
    <row r="535" spans="1:3" x14ac:dyDescent="0.2">
      <c r="A535" t="s">
        <v>6980</v>
      </c>
      <c r="B535" t="s">
        <v>6148</v>
      </c>
      <c r="C535" t="s">
        <v>7180</v>
      </c>
    </row>
    <row r="536" spans="1:3" x14ac:dyDescent="0.2">
      <c r="A536" t="s">
        <v>6982</v>
      </c>
      <c r="B536" t="s">
        <v>6158</v>
      </c>
      <c r="C536" t="s">
        <v>7186</v>
      </c>
    </row>
    <row r="537" spans="1:3" x14ac:dyDescent="0.2">
      <c r="A537" t="s">
        <v>6997</v>
      </c>
      <c r="B537" t="s">
        <v>6169</v>
      </c>
      <c r="C537" t="s">
        <v>7192</v>
      </c>
    </row>
    <row r="538" spans="1:3" x14ac:dyDescent="0.2">
      <c r="A538" t="s">
        <v>7001</v>
      </c>
      <c r="B538" t="s">
        <v>6175</v>
      </c>
      <c r="C538" t="s">
        <v>7200</v>
      </c>
    </row>
    <row r="539" spans="1:3" x14ac:dyDescent="0.2">
      <c r="A539" t="s">
        <v>7015</v>
      </c>
      <c r="B539" t="s">
        <v>6177</v>
      </c>
      <c r="C539" t="s">
        <v>7207</v>
      </c>
    </row>
    <row r="540" spans="1:3" x14ac:dyDescent="0.2">
      <c r="A540" t="s">
        <v>7019</v>
      </c>
      <c r="B540" t="s">
        <v>6179</v>
      </c>
      <c r="C540" t="s">
        <v>7212</v>
      </c>
    </row>
    <row r="541" spans="1:3" x14ac:dyDescent="0.2">
      <c r="A541" t="s">
        <v>7025</v>
      </c>
      <c r="B541" t="s">
        <v>6186</v>
      </c>
      <c r="C541" t="s">
        <v>7217</v>
      </c>
    </row>
    <row r="542" spans="1:3" x14ac:dyDescent="0.2">
      <c r="A542" t="s">
        <v>7027</v>
      </c>
      <c r="B542" t="s">
        <v>6194</v>
      </c>
      <c r="C542" t="s">
        <v>7219</v>
      </c>
    </row>
    <row r="543" spans="1:3" x14ac:dyDescent="0.2">
      <c r="A543" t="s">
        <v>7030</v>
      </c>
      <c r="B543" t="s">
        <v>6200</v>
      </c>
      <c r="C543" t="s">
        <v>7250</v>
      </c>
    </row>
    <row r="544" spans="1:3" x14ac:dyDescent="0.2">
      <c r="A544" t="s">
        <v>7033</v>
      </c>
      <c r="B544" t="s">
        <v>6202</v>
      </c>
      <c r="C544" t="s">
        <v>7269</v>
      </c>
    </row>
    <row r="545" spans="1:3" x14ac:dyDescent="0.2">
      <c r="A545" t="s">
        <v>7036</v>
      </c>
      <c r="B545" t="s">
        <v>6204</v>
      </c>
      <c r="C545" t="s">
        <v>7295</v>
      </c>
    </row>
    <row r="546" spans="1:3" x14ac:dyDescent="0.2">
      <c r="A546" t="s">
        <v>7042</v>
      </c>
      <c r="B546" t="s">
        <v>6209</v>
      </c>
      <c r="C546" t="s">
        <v>7329</v>
      </c>
    </row>
    <row r="547" spans="1:3" x14ac:dyDescent="0.2">
      <c r="A547" t="s">
        <v>7057</v>
      </c>
      <c r="B547" t="s">
        <v>6211</v>
      </c>
      <c r="C547" t="s">
        <v>7331</v>
      </c>
    </row>
    <row r="548" spans="1:3" x14ac:dyDescent="0.2">
      <c r="A548" t="s">
        <v>7060</v>
      </c>
      <c r="B548" t="s">
        <v>6213</v>
      </c>
      <c r="C548" t="s">
        <v>7335</v>
      </c>
    </row>
    <row r="549" spans="1:3" x14ac:dyDescent="0.2">
      <c r="A549" t="s">
        <v>7062</v>
      </c>
      <c r="B549" t="s">
        <v>6215</v>
      </c>
      <c r="C549" t="s">
        <v>7356</v>
      </c>
    </row>
    <row r="550" spans="1:3" x14ac:dyDescent="0.2">
      <c r="A550" t="s">
        <v>7066</v>
      </c>
      <c r="B550" t="s">
        <v>6221</v>
      </c>
      <c r="C550" t="s">
        <v>7359</v>
      </c>
    </row>
    <row r="551" spans="1:3" x14ac:dyDescent="0.2">
      <c r="A551" t="s">
        <v>7070</v>
      </c>
      <c r="B551" t="s">
        <v>6240</v>
      </c>
      <c r="C551" t="s">
        <v>7377</v>
      </c>
    </row>
    <row r="552" spans="1:3" x14ac:dyDescent="0.2">
      <c r="A552" t="s">
        <v>7079</v>
      </c>
      <c r="B552" t="s">
        <v>6249</v>
      </c>
      <c r="C552" t="s">
        <v>7381</v>
      </c>
    </row>
    <row r="553" spans="1:3" x14ac:dyDescent="0.2">
      <c r="A553" t="s">
        <v>7081</v>
      </c>
      <c r="B553" t="s">
        <v>6256</v>
      </c>
      <c r="C553" t="s">
        <v>7385</v>
      </c>
    </row>
    <row r="554" spans="1:3" x14ac:dyDescent="0.2">
      <c r="A554" t="s">
        <v>7092</v>
      </c>
      <c r="B554" t="s">
        <v>6262</v>
      </c>
      <c r="C554" t="s">
        <v>7387</v>
      </c>
    </row>
    <row r="555" spans="1:3" x14ac:dyDescent="0.2">
      <c r="A555" t="s">
        <v>7098</v>
      </c>
      <c r="B555" t="s">
        <v>6267</v>
      </c>
      <c r="C555" t="s">
        <v>7401</v>
      </c>
    </row>
    <row r="556" spans="1:3" x14ac:dyDescent="0.2">
      <c r="A556" t="s">
        <v>7101</v>
      </c>
      <c r="B556" t="s">
        <v>6273</v>
      </c>
      <c r="C556" t="s">
        <v>7407</v>
      </c>
    </row>
    <row r="557" spans="1:3" x14ac:dyDescent="0.2">
      <c r="A557" t="s">
        <v>7108</v>
      </c>
      <c r="B557" t="s">
        <v>6284</v>
      </c>
      <c r="C557" t="s">
        <v>7429</v>
      </c>
    </row>
    <row r="558" spans="1:3" x14ac:dyDescent="0.2">
      <c r="A558" t="s">
        <v>7110</v>
      </c>
      <c r="B558" t="s">
        <v>6287</v>
      </c>
      <c r="C558" t="s">
        <v>7432</v>
      </c>
    </row>
    <row r="559" spans="1:3" x14ac:dyDescent="0.2">
      <c r="A559" t="s">
        <v>7112</v>
      </c>
      <c r="B559" t="s">
        <v>6289</v>
      </c>
      <c r="C559" t="s">
        <v>7448</v>
      </c>
    </row>
    <row r="560" spans="1:3" x14ac:dyDescent="0.2">
      <c r="A560" t="s">
        <v>7114</v>
      </c>
      <c r="B560" t="s">
        <v>6319</v>
      </c>
      <c r="C560" t="s">
        <v>7457</v>
      </c>
    </row>
    <row r="561" spans="1:3" x14ac:dyDescent="0.2">
      <c r="A561" t="s">
        <v>7116</v>
      </c>
      <c r="B561" t="s">
        <v>6328</v>
      </c>
      <c r="C561" t="s">
        <v>7461</v>
      </c>
    </row>
    <row r="562" spans="1:3" x14ac:dyDescent="0.2">
      <c r="A562" t="s">
        <v>7118</v>
      </c>
      <c r="B562" t="s">
        <v>6367</v>
      </c>
      <c r="C562" t="s">
        <v>7464</v>
      </c>
    </row>
    <row r="563" spans="1:3" x14ac:dyDescent="0.2">
      <c r="A563" t="s">
        <v>7120</v>
      </c>
      <c r="B563" t="s">
        <v>6377</v>
      </c>
      <c r="C563" t="s">
        <v>7468</v>
      </c>
    </row>
    <row r="564" spans="1:3" x14ac:dyDescent="0.2">
      <c r="A564" t="s">
        <v>7122</v>
      </c>
      <c r="B564" t="s">
        <v>6385</v>
      </c>
      <c r="C564" t="s">
        <v>7471</v>
      </c>
    </row>
    <row r="565" spans="1:3" x14ac:dyDescent="0.2">
      <c r="A565" t="s">
        <v>7124</v>
      </c>
      <c r="B565" t="s">
        <v>6398</v>
      </c>
      <c r="C565" t="s">
        <v>7473</v>
      </c>
    </row>
    <row r="566" spans="1:3" x14ac:dyDescent="0.2">
      <c r="A566" t="s">
        <v>7126</v>
      </c>
      <c r="B566" t="s">
        <v>6414</v>
      </c>
      <c r="C566" t="s">
        <v>7486</v>
      </c>
    </row>
    <row r="567" spans="1:3" x14ac:dyDescent="0.2">
      <c r="A567" t="s">
        <v>7128</v>
      </c>
      <c r="B567" t="s">
        <v>6416</v>
      </c>
      <c r="C567" t="s">
        <v>7489</v>
      </c>
    </row>
    <row r="568" spans="1:3" x14ac:dyDescent="0.2">
      <c r="A568" t="s">
        <v>7130</v>
      </c>
      <c r="B568" t="s">
        <v>6424</v>
      </c>
      <c r="C568" t="s">
        <v>7497</v>
      </c>
    </row>
    <row r="569" spans="1:3" x14ac:dyDescent="0.2">
      <c r="A569" t="s">
        <v>7132</v>
      </c>
      <c r="B569" t="s">
        <v>6426</v>
      </c>
      <c r="C569" t="s">
        <v>7499</v>
      </c>
    </row>
    <row r="570" spans="1:3" x14ac:dyDescent="0.2">
      <c r="A570" t="s">
        <v>7138</v>
      </c>
      <c r="B570" t="s">
        <v>6429</v>
      </c>
      <c r="C570" t="s">
        <v>7504</v>
      </c>
    </row>
    <row r="571" spans="1:3" x14ac:dyDescent="0.2">
      <c r="A571" t="s">
        <v>7140</v>
      </c>
      <c r="B571" t="s">
        <v>6431</v>
      </c>
      <c r="C571" t="s">
        <v>7508</v>
      </c>
    </row>
    <row r="572" spans="1:3" x14ac:dyDescent="0.2">
      <c r="A572" t="s">
        <v>7142</v>
      </c>
      <c r="B572" t="s">
        <v>6435</v>
      </c>
      <c r="C572" t="s">
        <v>7523</v>
      </c>
    </row>
    <row r="573" spans="1:3" x14ac:dyDescent="0.2">
      <c r="A573" t="s">
        <v>7144</v>
      </c>
      <c r="B573" t="s">
        <v>6438</v>
      </c>
      <c r="C573" t="s">
        <v>7528</v>
      </c>
    </row>
    <row r="574" spans="1:3" x14ac:dyDescent="0.2">
      <c r="A574" t="s">
        <v>7150</v>
      </c>
      <c r="B574" t="s">
        <v>6441</v>
      </c>
      <c r="C574" t="s">
        <v>7544</v>
      </c>
    </row>
    <row r="575" spans="1:3" x14ac:dyDescent="0.2">
      <c r="A575" t="s">
        <v>7152</v>
      </c>
      <c r="B575" t="s">
        <v>6449</v>
      </c>
      <c r="C575" t="s">
        <v>7546</v>
      </c>
    </row>
    <row r="576" spans="1:3" x14ac:dyDescent="0.2">
      <c r="A576" t="s">
        <v>7156</v>
      </c>
      <c r="B576" t="s">
        <v>6455</v>
      </c>
      <c r="C576" t="s">
        <v>7550</v>
      </c>
    </row>
    <row r="577" spans="1:3" x14ac:dyDescent="0.2">
      <c r="A577" t="s">
        <v>7158</v>
      </c>
      <c r="B577" t="s">
        <v>6460</v>
      </c>
      <c r="C577" t="s">
        <v>7561</v>
      </c>
    </row>
    <row r="578" spans="1:3" x14ac:dyDescent="0.2">
      <c r="A578" t="s">
        <v>7164</v>
      </c>
      <c r="B578" t="s">
        <v>6466</v>
      </c>
      <c r="C578" t="s">
        <v>7571</v>
      </c>
    </row>
    <row r="579" spans="1:3" x14ac:dyDescent="0.2">
      <c r="A579" t="s">
        <v>7166</v>
      </c>
      <c r="B579" t="s">
        <v>6471</v>
      </c>
      <c r="C579" t="s">
        <v>7573</v>
      </c>
    </row>
    <row r="580" spans="1:3" x14ac:dyDescent="0.2">
      <c r="A580" t="s">
        <v>7174</v>
      </c>
      <c r="B580" t="s">
        <v>6478</v>
      </c>
      <c r="C580" t="s">
        <v>7579</v>
      </c>
    </row>
    <row r="581" spans="1:3" x14ac:dyDescent="0.2">
      <c r="A581" t="s">
        <v>7184</v>
      </c>
      <c r="B581" t="s">
        <v>6483</v>
      </c>
      <c r="C581" t="s">
        <v>7581</v>
      </c>
    </row>
    <row r="582" spans="1:3" x14ac:dyDescent="0.2">
      <c r="A582" t="s">
        <v>7194</v>
      </c>
      <c r="B582" t="s">
        <v>6488</v>
      </c>
      <c r="C582" t="s">
        <v>7585</v>
      </c>
    </row>
    <row r="583" spans="1:3" x14ac:dyDescent="0.2">
      <c r="A583" t="s">
        <v>7203</v>
      </c>
      <c r="B583" t="s">
        <v>6490</v>
      </c>
      <c r="C583" t="s">
        <v>7605</v>
      </c>
    </row>
    <row r="584" spans="1:3" x14ac:dyDescent="0.2">
      <c r="A584" t="s">
        <v>7205</v>
      </c>
      <c r="B584" t="s">
        <v>6492</v>
      </c>
      <c r="C584" t="s">
        <v>7614</v>
      </c>
    </row>
    <row r="585" spans="1:3" x14ac:dyDescent="0.2">
      <c r="A585" t="s">
        <v>7214</v>
      </c>
      <c r="B585" t="s">
        <v>6494</v>
      </c>
      <c r="C585" t="s">
        <v>7632</v>
      </c>
    </row>
    <row r="586" spans="1:3" x14ac:dyDescent="0.2">
      <c r="A586" t="s">
        <v>7217</v>
      </c>
      <c r="B586" t="s">
        <v>6498</v>
      </c>
      <c r="C586" t="s">
        <v>7638</v>
      </c>
    </row>
    <row r="587" spans="1:3" x14ac:dyDescent="0.2">
      <c r="A587" t="s">
        <v>7219</v>
      </c>
      <c r="B587" t="s">
        <v>6502</v>
      </c>
      <c r="C587" t="s">
        <v>7649</v>
      </c>
    </row>
    <row r="588" spans="1:3" x14ac:dyDescent="0.2">
      <c r="A588" t="s">
        <v>7222</v>
      </c>
      <c r="B588" t="s">
        <v>6504</v>
      </c>
      <c r="C588" t="s">
        <v>7651</v>
      </c>
    </row>
    <row r="589" spans="1:3" x14ac:dyDescent="0.2">
      <c r="A589" t="s">
        <v>7231</v>
      </c>
      <c r="B589" t="s">
        <v>6506</v>
      </c>
      <c r="C589" t="s">
        <v>7653</v>
      </c>
    </row>
    <row r="590" spans="1:3" x14ac:dyDescent="0.2">
      <c r="A590" t="s">
        <v>7234</v>
      </c>
      <c r="B590" t="s">
        <v>6516</v>
      </c>
      <c r="C590" t="s">
        <v>7655</v>
      </c>
    </row>
    <row r="591" spans="1:3" x14ac:dyDescent="0.2">
      <c r="A591" t="s">
        <v>7238</v>
      </c>
      <c r="B591" t="s">
        <v>6522</v>
      </c>
      <c r="C591" t="s">
        <v>7689</v>
      </c>
    </row>
    <row r="592" spans="1:3" x14ac:dyDescent="0.2">
      <c r="A592" t="s">
        <v>7240</v>
      </c>
      <c r="B592" t="s">
        <v>6524</v>
      </c>
      <c r="C592" t="s">
        <v>7693</v>
      </c>
    </row>
    <row r="593" spans="1:3" x14ac:dyDescent="0.2">
      <c r="A593" t="s">
        <v>7244</v>
      </c>
      <c r="B593" t="s">
        <v>6526</v>
      </c>
      <c r="C593" t="s">
        <v>7695</v>
      </c>
    </row>
    <row r="594" spans="1:3" x14ac:dyDescent="0.2">
      <c r="A594" t="s">
        <v>7248</v>
      </c>
      <c r="B594" t="s">
        <v>6538</v>
      </c>
      <c r="C594" t="s">
        <v>7703</v>
      </c>
    </row>
    <row r="595" spans="1:3" x14ac:dyDescent="0.2">
      <c r="A595" t="s">
        <v>7252</v>
      </c>
      <c r="B595" t="s">
        <v>6540</v>
      </c>
      <c r="C595" t="s">
        <v>7707</v>
      </c>
    </row>
    <row r="596" spans="1:3" x14ac:dyDescent="0.2">
      <c r="A596" t="s">
        <v>7255</v>
      </c>
      <c r="B596" t="s">
        <v>6543</v>
      </c>
      <c r="C596" t="s">
        <v>7713</v>
      </c>
    </row>
    <row r="597" spans="1:3" x14ac:dyDescent="0.2">
      <c r="A597" t="s">
        <v>7257</v>
      </c>
      <c r="B597" t="s">
        <v>6552</v>
      </c>
      <c r="C597" t="s">
        <v>7718</v>
      </c>
    </row>
    <row r="598" spans="1:3" x14ac:dyDescent="0.2">
      <c r="A598" t="s">
        <v>7275</v>
      </c>
      <c r="B598" t="s">
        <v>6556</v>
      </c>
      <c r="C598" t="s">
        <v>7720</v>
      </c>
    </row>
    <row r="599" spans="1:3" x14ac:dyDescent="0.2">
      <c r="A599" t="s">
        <v>7277</v>
      </c>
      <c r="B599" t="s">
        <v>6558</v>
      </c>
      <c r="C599" t="s">
        <v>7740</v>
      </c>
    </row>
    <row r="600" spans="1:3" x14ac:dyDescent="0.2">
      <c r="A600" t="s">
        <v>7279</v>
      </c>
      <c r="B600" t="s">
        <v>6560</v>
      </c>
      <c r="C600" t="s">
        <v>7745</v>
      </c>
    </row>
    <row r="601" spans="1:3" x14ac:dyDescent="0.2">
      <c r="A601" t="s">
        <v>7293</v>
      </c>
      <c r="B601" t="s">
        <v>6564</v>
      </c>
      <c r="C601" t="s">
        <v>7800</v>
      </c>
    </row>
    <row r="602" spans="1:3" x14ac:dyDescent="0.2">
      <c r="A602" t="s">
        <v>7295</v>
      </c>
      <c r="B602" t="s">
        <v>6566</v>
      </c>
      <c r="C602" t="s">
        <v>7804</v>
      </c>
    </row>
    <row r="603" spans="1:3" x14ac:dyDescent="0.2">
      <c r="A603" t="s">
        <v>7303</v>
      </c>
      <c r="B603" t="s">
        <v>6570</v>
      </c>
      <c r="C603" t="s">
        <v>7814</v>
      </c>
    </row>
    <row r="604" spans="1:3" x14ac:dyDescent="0.2">
      <c r="A604" t="s">
        <v>7307</v>
      </c>
      <c r="B604" t="s">
        <v>6592</v>
      </c>
      <c r="C604" t="s">
        <v>7818</v>
      </c>
    </row>
    <row r="605" spans="1:3" x14ac:dyDescent="0.2">
      <c r="A605" t="s">
        <v>7315</v>
      </c>
      <c r="B605" t="s">
        <v>6597</v>
      </c>
      <c r="C605" t="s">
        <v>7825</v>
      </c>
    </row>
    <row r="606" spans="1:3" x14ac:dyDescent="0.2">
      <c r="A606" t="s">
        <v>7337</v>
      </c>
      <c r="B606" t="s">
        <v>6607</v>
      </c>
      <c r="C606" t="s">
        <v>7830</v>
      </c>
    </row>
    <row r="607" spans="1:3" x14ac:dyDescent="0.2">
      <c r="A607" t="s">
        <v>7339</v>
      </c>
      <c r="B607" t="s">
        <v>6609</v>
      </c>
      <c r="C607" t="s">
        <v>7852</v>
      </c>
    </row>
    <row r="608" spans="1:3" x14ac:dyDescent="0.2">
      <c r="A608" t="s">
        <v>7344</v>
      </c>
      <c r="B608" t="s">
        <v>6624</v>
      </c>
      <c r="C608" t="s">
        <v>7855</v>
      </c>
    </row>
    <row r="609" spans="1:3" x14ac:dyDescent="0.2">
      <c r="A609" t="s">
        <v>7349</v>
      </c>
      <c r="B609" t="s">
        <v>6626</v>
      </c>
      <c r="C609" t="s">
        <v>7862</v>
      </c>
    </row>
    <row r="610" spans="1:3" x14ac:dyDescent="0.2">
      <c r="A610" t="s">
        <v>7359</v>
      </c>
      <c r="B610" t="s">
        <v>6628</v>
      </c>
      <c r="C610" t="s">
        <v>7865</v>
      </c>
    </row>
    <row r="611" spans="1:3" x14ac:dyDescent="0.2">
      <c r="A611" t="s">
        <v>7363</v>
      </c>
      <c r="B611" t="s">
        <v>6631</v>
      </c>
      <c r="C611" t="s">
        <v>7867</v>
      </c>
    </row>
    <row r="612" spans="1:3" x14ac:dyDescent="0.2">
      <c r="A612" t="s">
        <v>7365</v>
      </c>
      <c r="B612" t="s">
        <v>6636</v>
      </c>
      <c r="C612" t="s">
        <v>7878</v>
      </c>
    </row>
    <row r="613" spans="1:3" x14ac:dyDescent="0.2">
      <c r="A613" t="s">
        <v>7367</v>
      </c>
      <c r="B613" t="s">
        <v>6651</v>
      </c>
      <c r="C613" t="s">
        <v>7891</v>
      </c>
    </row>
    <row r="614" spans="1:3" x14ac:dyDescent="0.2">
      <c r="A614" t="s">
        <v>7370</v>
      </c>
      <c r="B614" t="s">
        <v>6655</v>
      </c>
      <c r="C614" t="s">
        <v>7897</v>
      </c>
    </row>
    <row r="615" spans="1:3" x14ac:dyDescent="0.2">
      <c r="A615" t="s">
        <v>7374</v>
      </c>
      <c r="B615" t="s">
        <v>6657</v>
      </c>
      <c r="C615" t="s">
        <v>7899</v>
      </c>
    </row>
    <row r="616" spans="1:3" x14ac:dyDescent="0.2">
      <c r="A616" t="s">
        <v>7377</v>
      </c>
      <c r="B616" t="s">
        <v>6659</v>
      </c>
      <c r="C616" t="s">
        <v>7902</v>
      </c>
    </row>
    <row r="617" spans="1:3" x14ac:dyDescent="0.2">
      <c r="A617" t="s">
        <v>7379</v>
      </c>
      <c r="B617" t="s">
        <v>6666</v>
      </c>
      <c r="C617" t="s">
        <v>7904</v>
      </c>
    </row>
    <row r="618" spans="1:3" x14ac:dyDescent="0.2">
      <c r="A618" t="s">
        <v>7392</v>
      </c>
      <c r="B618" t="s">
        <v>6668</v>
      </c>
      <c r="C618" t="s">
        <v>7906</v>
      </c>
    </row>
    <row r="619" spans="1:3" x14ac:dyDescent="0.2">
      <c r="A619" t="s">
        <v>7397</v>
      </c>
      <c r="B619" t="s">
        <v>6687</v>
      </c>
      <c r="C619" t="s">
        <v>7908</v>
      </c>
    </row>
    <row r="620" spans="1:3" x14ac:dyDescent="0.2">
      <c r="A620" t="s">
        <v>7403</v>
      </c>
      <c r="B620" t="s">
        <v>6697</v>
      </c>
      <c r="C620" t="s">
        <v>7910</v>
      </c>
    </row>
    <row r="621" spans="1:3" x14ac:dyDescent="0.2">
      <c r="A621" t="s">
        <v>7407</v>
      </c>
      <c r="B621" t="s">
        <v>6702</v>
      </c>
      <c r="C621" t="s">
        <v>7921</v>
      </c>
    </row>
    <row r="622" spans="1:3" x14ac:dyDescent="0.2">
      <c r="A622" t="s">
        <v>7409</v>
      </c>
      <c r="B622" t="s">
        <v>6706</v>
      </c>
      <c r="C622" t="s">
        <v>7923</v>
      </c>
    </row>
    <row r="623" spans="1:3" x14ac:dyDescent="0.2">
      <c r="A623" t="s">
        <v>7411</v>
      </c>
      <c r="B623" t="s">
        <v>6708</v>
      </c>
      <c r="C623" t="s">
        <v>7925</v>
      </c>
    </row>
    <row r="624" spans="1:3" x14ac:dyDescent="0.2">
      <c r="A624" t="s">
        <v>7413</v>
      </c>
      <c r="B624" t="s">
        <v>6710</v>
      </c>
      <c r="C624" t="s">
        <v>7931</v>
      </c>
    </row>
    <row r="625" spans="1:3" x14ac:dyDescent="0.2">
      <c r="A625" t="s">
        <v>7417</v>
      </c>
      <c r="B625" t="s">
        <v>6712</v>
      </c>
      <c r="C625" t="s">
        <v>7937</v>
      </c>
    </row>
    <row r="626" spans="1:3" x14ac:dyDescent="0.2">
      <c r="A626" t="s">
        <v>7420</v>
      </c>
      <c r="B626" t="s">
        <v>6730</v>
      </c>
      <c r="C626" t="s">
        <v>7958</v>
      </c>
    </row>
    <row r="627" spans="1:3" x14ac:dyDescent="0.2">
      <c r="A627" t="s">
        <v>7427</v>
      </c>
      <c r="B627" t="s">
        <v>6734</v>
      </c>
      <c r="C627" t="s">
        <v>7978</v>
      </c>
    </row>
    <row r="628" spans="1:3" x14ac:dyDescent="0.2">
      <c r="A628" t="s">
        <v>7435</v>
      </c>
      <c r="B628" t="s">
        <v>6739</v>
      </c>
      <c r="C628" t="s">
        <v>7980</v>
      </c>
    </row>
    <row r="629" spans="1:3" x14ac:dyDescent="0.2">
      <c r="A629" t="s">
        <v>7438</v>
      </c>
      <c r="B629" t="s">
        <v>6743</v>
      </c>
      <c r="C629" t="s">
        <v>7986</v>
      </c>
    </row>
    <row r="630" spans="1:3" x14ac:dyDescent="0.2">
      <c r="A630" t="s">
        <v>7441</v>
      </c>
      <c r="B630" t="s">
        <v>6749</v>
      </c>
      <c r="C630" t="s">
        <v>7999</v>
      </c>
    </row>
    <row r="631" spans="1:3" x14ac:dyDescent="0.2">
      <c r="A631" t="s">
        <v>7443</v>
      </c>
      <c r="B631" t="s">
        <v>6752</v>
      </c>
      <c r="C631" t="s">
        <v>8006</v>
      </c>
    </row>
    <row r="632" spans="1:3" x14ac:dyDescent="0.2">
      <c r="A632" t="s">
        <v>7450</v>
      </c>
      <c r="B632" t="s">
        <v>6757</v>
      </c>
      <c r="C632" t="s">
        <v>8009</v>
      </c>
    </row>
    <row r="633" spans="1:3" x14ac:dyDescent="0.2">
      <c r="A633" t="s">
        <v>7452</v>
      </c>
      <c r="B633" t="s">
        <v>6764</v>
      </c>
      <c r="C633" t="s">
        <v>8021</v>
      </c>
    </row>
    <row r="634" spans="1:3" x14ac:dyDescent="0.2">
      <c r="A634" t="s">
        <v>7459</v>
      </c>
      <c r="B634" t="s">
        <v>6770</v>
      </c>
      <c r="C634" t="s">
        <v>8023</v>
      </c>
    </row>
    <row r="635" spans="1:3" x14ac:dyDescent="0.2">
      <c r="A635" t="s">
        <v>7468</v>
      </c>
      <c r="B635" t="s">
        <v>6772</v>
      </c>
      <c r="C635" t="s">
        <v>8025</v>
      </c>
    </row>
    <row r="636" spans="1:3" x14ac:dyDescent="0.2">
      <c r="A636" t="s">
        <v>7473</v>
      </c>
      <c r="B636" t="s">
        <v>6797</v>
      </c>
      <c r="C636" t="s">
        <v>8040</v>
      </c>
    </row>
    <row r="637" spans="1:3" x14ac:dyDescent="0.2">
      <c r="A637" t="s">
        <v>7475</v>
      </c>
      <c r="B637" t="s">
        <v>6799</v>
      </c>
      <c r="C637" t="s">
        <v>8050</v>
      </c>
    </row>
    <row r="638" spans="1:3" x14ac:dyDescent="0.2">
      <c r="A638" t="s">
        <v>7478</v>
      </c>
      <c r="B638" t="s">
        <v>6801</v>
      </c>
      <c r="C638" t="s">
        <v>8052</v>
      </c>
    </row>
    <row r="639" spans="1:3" x14ac:dyDescent="0.2">
      <c r="A639" t="s">
        <v>7481</v>
      </c>
      <c r="B639" t="s">
        <v>6807</v>
      </c>
      <c r="C639" t="s">
        <v>8056</v>
      </c>
    </row>
    <row r="640" spans="1:3" x14ac:dyDescent="0.2">
      <c r="A640" t="s">
        <v>7484</v>
      </c>
      <c r="B640" t="s">
        <v>6809</v>
      </c>
      <c r="C640" t="s">
        <v>8061</v>
      </c>
    </row>
    <row r="641" spans="1:3" x14ac:dyDescent="0.2">
      <c r="A641" t="s">
        <v>7486</v>
      </c>
      <c r="B641" t="s">
        <v>6819</v>
      </c>
      <c r="C641" t="s">
        <v>8071</v>
      </c>
    </row>
    <row r="642" spans="1:3" x14ac:dyDescent="0.2">
      <c r="A642" t="s">
        <v>7497</v>
      </c>
      <c r="B642" t="s">
        <v>6823</v>
      </c>
      <c r="C642" t="s">
        <v>8073</v>
      </c>
    </row>
    <row r="643" spans="1:3" x14ac:dyDescent="0.2">
      <c r="A643" t="s">
        <v>7501</v>
      </c>
      <c r="B643" t="s">
        <v>6825</v>
      </c>
      <c r="C643" t="s">
        <v>8090</v>
      </c>
    </row>
    <row r="644" spans="1:3" x14ac:dyDescent="0.2">
      <c r="A644" t="s">
        <v>7504</v>
      </c>
      <c r="B644" t="s">
        <v>6835</v>
      </c>
      <c r="C644" t="s">
        <v>8096</v>
      </c>
    </row>
    <row r="645" spans="1:3" x14ac:dyDescent="0.2">
      <c r="A645" t="s">
        <v>7506</v>
      </c>
      <c r="B645" t="s">
        <v>6837</v>
      </c>
      <c r="C645" t="s">
        <v>8098</v>
      </c>
    </row>
    <row r="646" spans="1:3" x14ac:dyDescent="0.2">
      <c r="A646" t="s">
        <v>7510</v>
      </c>
      <c r="B646" t="s">
        <v>6841</v>
      </c>
      <c r="C646" t="s">
        <v>8102</v>
      </c>
    </row>
    <row r="647" spans="1:3" x14ac:dyDescent="0.2">
      <c r="A647" t="s">
        <v>7512</v>
      </c>
      <c r="B647" t="s">
        <v>6845</v>
      </c>
      <c r="C647" t="s">
        <v>8111</v>
      </c>
    </row>
    <row r="648" spans="1:3" x14ac:dyDescent="0.2">
      <c r="A648" t="s">
        <v>7516</v>
      </c>
      <c r="B648" t="s">
        <v>6850</v>
      </c>
      <c r="C648" t="s">
        <v>8115</v>
      </c>
    </row>
    <row r="649" spans="1:3" x14ac:dyDescent="0.2">
      <c r="A649" t="s">
        <v>7526</v>
      </c>
      <c r="B649" t="s">
        <v>6852</v>
      </c>
      <c r="C649" t="s">
        <v>8131</v>
      </c>
    </row>
    <row r="650" spans="1:3" x14ac:dyDescent="0.2">
      <c r="A650" t="s">
        <v>7536</v>
      </c>
      <c r="B650" t="s">
        <v>6861</v>
      </c>
      <c r="C650" t="s">
        <v>8133</v>
      </c>
    </row>
    <row r="651" spans="1:3" x14ac:dyDescent="0.2">
      <c r="A651" t="s">
        <v>7548</v>
      </c>
      <c r="B651" t="s">
        <v>6869</v>
      </c>
      <c r="C651" t="s">
        <v>8137</v>
      </c>
    </row>
    <row r="652" spans="1:3" x14ac:dyDescent="0.2">
      <c r="A652" t="s">
        <v>7550</v>
      </c>
      <c r="B652" t="s">
        <v>6871</v>
      </c>
      <c r="C652" t="s">
        <v>8162</v>
      </c>
    </row>
    <row r="653" spans="1:3" x14ac:dyDescent="0.2">
      <c r="A653" t="s">
        <v>7557</v>
      </c>
      <c r="B653" t="s">
        <v>6873</v>
      </c>
      <c r="C653" t="s">
        <v>8170</v>
      </c>
    </row>
    <row r="654" spans="1:3" x14ac:dyDescent="0.2">
      <c r="A654" t="s">
        <v>7575</v>
      </c>
      <c r="B654" t="s">
        <v>6875</v>
      </c>
      <c r="C654" t="s">
        <v>8173</v>
      </c>
    </row>
    <row r="655" spans="1:3" x14ac:dyDescent="0.2">
      <c r="A655" t="s">
        <v>7577</v>
      </c>
      <c r="B655" t="s">
        <v>6877</v>
      </c>
      <c r="C655" t="s">
        <v>8176</v>
      </c>
    </row>
    <row r="656" spans="1:3" x14ac:dyDescent="0.2">
      <c r="A656" t="s">
        <v>7579</v>
      </c>
      <c r="B656" t="s">
        <v>6879</v>
      </c>
      <c r="C656" t="s">
        <v>8190</v>
      </c>
    </row>
    <row r="657" spans="1:3" x14ac:dyDescent="0.2">
      <c r="A657" t="s">
        <v>7581</v>
      </c>
      <c r="B657" t="s">
        <v>6888</v>
      </c>
      <c r="C657" t="s">
        <v>8192</v>
      </c>
    </row>
    <row r="658" spans="1:3" x14ac:dyDescent="0.2">
      <c r="A658" t="s">
        <v>7583</v>
      </c>
      <c r="B658" t="s">
        <v>6897</v>
      </c>
      <c r="C658" t="s">
        <v>8203</v>
      </c>
    </row>
    <row r="659" spans="1:3" x14ac:dyDescent="0.2">
      <c r="A659" t="s">
        <v>7587</v>
      </c>
      <c r="B659" t="s">
        <v>6899</v>
      </c>
      <c r="C659" t="s">
        <v>8208</v>
      </c>
    </row>
    <row r="660" spans="1:3" x14ac:dyDescent="0.2">
      <c r="A660" t="s">
        <v>7589</v>
      </c>
      <c r="B660" t="s">
        <v>6901</v>
      </c>
      <c r="C660" t="s">
        <v>8210</v>
      </c>
    </row>
    <row r="661" spans="1:3" x14ac:dyDescent="0.2">
      <c r="A661" t="s">
        <v>7598</v>
      </c>
      <c r="B661" t="s">
        <v>6905</v>
      </c>
      <c r="C661" t="s">
        <v>8214</v>
      </c>
    </row>
    <row r="662" spans="1:3" x14ac:dyDescent="0.2">
      <c r="A662" t="s">
        <v>7601</v>
      </c>
      <c r="B662" t="s">
        <v>6909</v>
      </c>
      <c r="C662" t="s">
        <v>8218</v>
      </c>
    </row>
    <row r="663" spans="1:3" x14ac:dyDescent="0.2">
      <c r="A663" t="s">
        <v>7605</v>
      </c>
      <c r="B663" t="s">
        <v>6911</v>
      </c>
      <c r="C663" t="s">
        <v>8227</v>
      </c>
    </row>
    <row r="664" spans="1:3" x14ac:dyDescent="0.2">
      <c r="A664" t="s">
        <v>7612</v>
      </c>
      <c r="B664" t="s">
        <v>6913</v>
      </c>
      <c r="C664" t="s">
        <v>8229</v>
      </c>
    </row>
    <row r="665" spans="1:3" x14ac:dyDescent="0.2">
      <c r="A665" t="s">
        <v>7632</v>
      </c>
      <c r="B665" t="s">
        <v>6915</v>
      </c>
      <c r="C665" t="s">
        <v>8234</v>
      </c>
    </row>
    <row r="666" spans="1:3" x14ac:dyDescent="0.2">
      <c r="A666" t="s">
        <v>7647</v>
      </c>
      <c r="B666" t="s">
        <v>6929</v>
      </c>
      <c r="C666" t="s">
        <v>8247</v>
      </c>
    </row>
    <row r="667" spans="1:3" x14ac:dyDescent="0.2">
      <c r="A667" t="s">
        <v>7649</v>
      </c>
      <c r="B667" t="s">
        <v>6931</v>
      </c>
      <c r="C667" t="s">
        <v>8251</v>
      </c>
    </row>
    <row r="668" spans="1:3" x14ac:dyDescent="0.2">
      <c r="A668" t="s">
        <v>7651</v>
      </c>
      <c r="B668" t="s">
        <v>6935</v>
      </c>
      <c r="C668" t="s">
        <v>8253</v>
      </c>
    </row>
    <row r="669" spans="1:3" x14ac:dyDescent="0.2">
      <c r="A669" t="s">
        <v>7655</v>
      </c>
      <c r="B669" t="s">
        <v>6939</v>
      </c>
      <c r="C669" t="s">
        <v>8255</v>
      </c>
    </row>
    <row r="670" spans="1:3" x14ac:dyDescent="0.2">
      <c r="A670" t="s">
        <v>7660</v>
      </c>
      <c r="B670" t="s">
        <v>6959</v>
      </c>
      <c r="C670" t="s">
        <v>8271</v>
      </c>
    </row>
    <row r="671" spans="1:3" x14ac:dyDescent="0.2">
      <c r="A671" t="s">
        <v>7672</v>
      </c>
      <c r="B671" t="s">
        <v>6961</v>
      </c>
      <c r="C671" t="s">
        <v>8276</v>
      </c>
    </row>
    <row r="672" spans="1:3" x14ac:dyDescent="0.2">
      <c r="A672" t="s">
        <v>7674</v>
      </c>
      <c r="B672" t="s">
        <v>6964</v>
      </c>
      <c r="C672" t="s">
        <v>8287</v>
      </c>
    </row>
    <row r="673" spans="1:3" x14ac:dyDescent="0.2">
      <c r="A673" t="s">
        <v>7680</v>
      </c>
      <c r="B673" t="s">
        <v>6968</v>
      </c>
      <c r="C673" t="s">
        <v>8299</v>
      </c>
    </row>
    <row r="674" spans="1:3" x14ac:dyDescent="0.2">
      <c r="A674" t="s">
        <v>7684</v>
      </c>
      <c r="B674" t="s">
        <v>6970</v>
      </c>
      <c r="C674" t="s">
        <v>8305</v>
      </c>
    </row>
    <row r="675" spans="1:3" x14ac:dyDescent="0.2">
      <c r="A675" t="s">
        <v>7711</v>
      </c>
      <c r="B675" t="s">
        <v>6972</v>
      </c>
      <c r="C675" t="s">
        <v>8309</v>
      </c>
    </row>
    <row r="676" spans="1:3" x14ac:dyDescent="0.2">
      <c r="A676" t="s">
        <v>7718</v>
      </c>
      <c r="B676" t="s">
        <v>6974</v>
      </c>
      <c r="C676" t="s">
        <v>8313</v>
      </c>
    </row>
    <row r="677" spans="1:3" x14ac:dyDescent="0.2">
      <c r="A677" t="s">
        <v>7726</v>
      </c>
      <c r="B677" t="s">
        <v>6978</v>
      </c>
      <c r="C677" t="s">
        <v>8317</v>
      </c>
    </row>
    <row r="678" spans="1:3" x14ac:dyDescent="0.2">
      <c r="A678" t="s">
        <v>7729</v>
      </c>
      <c r="B678" t="s">
        <v>6984</v>
      </c>
      <c r="C678" t="s">
        <v>8333</v>
      </c>
    </row>
    <row r="679" spans="1:3" x14ac:dyDescent="0.2">
      <c r="A679" t="s">
        <v>7732</v>
      </c>
      <c r="B679" t="s">
        <v>6991</v>
      </c>
      <c r="C679" t="s">
        <v>8339</v>
      </c>
    </row>
    <row r="680" spans="1:3" x14ac:dyDescent="0.2">
      <c r="A680" t="s">
        <v>7742</v>
      </c>
      <c r="B680" t="s">
        <v>6993</v>
      </c>
      <c r="C680" t="s">
        <v>8341</v>
      </c>
    </row>
    <row r="681" spans="1:3" x14ac:dyDescent="0.2">
      <c r="A681" t="s">
        <v>7750</v>
      </c>
      <c r="B681" t="s">
        <v>7004</v>
      </c>
      <c r="C681" t="s">
        <v>8343</v>
      </c>
    </row>
    <row r="682" spans="1:3" x14ac:dyDescent="0.2">
      <c r="A682" t="s">
        <v>7760</v>
      </c>
      <c r="B682" t="s">
        <v>7007</v>
      </c>
      <c r="C682" t="s">
        <v>8351</v>
      </c>
    </row>
    <row r="683" spans="1:3" x14ac:dyDescent="0.2">
      <c r="A683" t="s">
        <v>7762</v>
      </c>
      <c r="B683" t="s">
        <v>7017</v>
      </c>
      <c r="C683" t="s">
        <v>8354</v>
      </c>
    </row>
    <row r="684" spans="1:3" x14ac:dyDescent="0.2">
      <c r="A684" t="s">
        <v>7765</v>
      </c>
      <c r="B684" t="s">
        <v>7021</v>
      </c>
      <c r="C684" t="s">
        <v>8361</v>
      </c>
    </row>
    <row r="685" spans="1:3" x14ac:dyDescent="0.2">
      <c r="A685" t="s">
        <v>7767</v>
      </c>
      <c r="B685" t="s">
        <v>7023</v>
      </c>
      <c r="C685" t="s">
        <v>8382</v>
      </c>
    </row>
    <row r="686" spans="1:3" x14ac:dyDescent="0.2">
      <c r="A686" t="s">
        <v>7769</v>
      </c>
      <c r="B686" t="s">
        <v>7040</v>
      </c>
      <c r="C686" t="s">
        <v>8388</v>
      </c>
    </row>
    <row r="687" spans="1:3" x14ac:dyDescent="0.2">
      <c r="A687" t="s">
        <v>7774</v>
      </c>
      <c r="B687" t="s">
        <v>7044</v>
      </c>
      <c r="C687" t="s">
        <v>8394</v>
      </c>
    </row>
    <row r="688" spans="1:3" x14ac:dyDescent="0.2">
      <c r="A688" t="s">
        <v>7776</v>
      </c>
      <c r="B688" t="s">
        <v>7046</v>
      </c>
      <c r="C688" t="s">
        <v>8396</v>
      </c>
    </row>
    <row r="689" spans="1:3" x14ac:dyDescent="0.2">
      <c r="A689" t="s">
        <v>7778</v>
      </c>
      <c r="B689" t="s">
        <v>7049</v>
      </c>
      <c r="C689" t="s">
        <v>8399</v>
      </c>
    </row>
    <row r="690" spans="1:3" x14ac:dyDescent="0.2">
      <c r="A690" t="s">
        <v>7780</v>
      </c>
      <c r="B690" t="s">
        <v>7051</v>
      </c>
      <c r="C690" t="s">
        <v>8403</v>
      </c>
    </row>
    <row r="691" spans="1:3" x14ac:dyDescent="0.2">
      <c r="A691" t="s">
        <v>7784</v>
      </c>
      <c r="B691" t="s">
        <v>7053</v>
      </c>
      <c r="C691" t="s">
        <v>8416</v>
      </c>
    </row>
    <row r="692" spans="1:3" x14ac:dyDescent="0.2">
      <c r="A692" t="s">
        <v>7794</v>
      </c>
      <c r="B692" t="s">
        <v>7055</v>
      </c>
      <c r="C692" t="s">
        <v>8438</v>
      </c>
    </row>
    <row r="693" spans="1:3" x14ac:dyDescent="0.2">
      <c r="A693" t="s">
        <v>7804</v>
      </c>
      <c r="B693" t="s">
        <v>7064</v>
      </c>
      <c r="C693" t="s">
        <v>8446</v>
      </c>
    </row>
    <row r="694" spans="1:3" x14ac:dyDescent="0.2">
      <c r="A694" t="s">
        <v>7807</v>
      </c>
      <c r="B694" t="s">
        <v>7068</v>
      </c>
      <c r="C694" t="s">
        <v>8448</v>
      </c>
    </row>
    <row r="695" spans="1:3" x14ac:dyDescent="0.2">
      <c r="A695" t="s">
        <v>7812</v>
      </c>
      <c r="B695" t="s">
        <v>7070</v>
      </c>
      <c r="C695" t="s">
        <v>8450</v>
      </c>
    </row>
    <row r="696" spans="1:3" x14ac:dyDescent="0.2">
      <c r="A696" t="s">
        <v>7820</v>
      </c>
      <c r="B696" t="s">
        <v>7072</v>
      </c>
      <c r="C696" t="s">
        <v>8470</v>
      </c>
    </row>
    <row r="697" spans="1:3" x14ac:dyDescent="0.2">
      <c r="A697" t="s">
        <v>7822</v>
      </c>
      <c r="B697" t="s">
        <v>7074</v>
      </c>
      <c r="C697" t="s">
        <v>8474</v>
      </c>
    </row>
    <row r="698" spans="1:3" x14ac:dyDescent="0.2">
      <c r="A698" t="s">
        <v>7837</v>
      </c>
      <c r="B698" t="s">
        <v>7077</v>
      </c>
      <c r="C698" t="s">
        <v>8493</v>
      </c>
    </row>
    <row r="699" spans="1:3" x14ac:dyDescent="0.2">
      <c r="A699" t="s">
        <v>7839</v>
      </c>
      <c r="B699" t="s">
        <v>7083</v>
      </c>
      <c r="C699" t="s">
        <v>8517</v>
      </c>
    </row>
    <row r="700" spans="1:3" x14ac:dyDescent="0.2">
      <c r="A700" t="s">
        <v>7843</v>
      </c>
      <c r="B700" t="s">
        <v>7085</v>
      </c>
      <c r="C700" t="s">
        <v>8527</v>
      </c>
    </row>
    <row r="701" spans="1:3" x14ac:dyDescent="0.2">
      <c r="A701" t="s">
        <v>7857</v>
      </c>
      <c r="B701" t="s">
        <v>7088</v>
      </c>
      <c r="C701" t="s">
        <v>8532</v>
      </c>
    </row>
    <row r="702" spans="1:3" x14ac:dyDescent="0.2">
      <c r="A702" t="s">
        <v>7865</v>
      </c>
      <c r="B702" t="s">
        <v>7090</v>
      </c>
      <c r="C702" t="s">
        <v>8534</v>
      </c>
    </row>
    <row r="703" spans="1:3" x14ac:dyDescent="0.2">
      <c r="A703" t="s">
        <v>7867</v>
      </c>
      <c r="B703" t="s">
        <v>7104</v>
      </c>
      <c r="C703" t="s">
        <v>8554</v>
      </c>
    </row>
    <row r="704" spans="1:3" x14ac:dyDescent="0.2">
      <c r="A704" t="s">
        <v>7869</v>
      </c>
      <c r="B704" t="s">
        <v>7106</v>
      </c>
      <c r="C704" t="s">
        <v>8556</v>
      </c>
    </row>
    <row r="705" spans="1:3" x14ac:dyDescent="0.2">
      <c r="A705" t="s">
        <v>7876</v>
      </c>
      <c r="B705" t="s">
        <v>7108</v>
      </c>
      <c r="C705" t="s">
        <v>8566</v>
      </c>
    </row>
    <row r="706" spans="1:3" x14ac:dyDescent="0.2">
      <c r="A706" t="s">
        <v>7887</v>
      </c>
      <c r="B706" t="s">
        <v>7134</v>
      </c>
      <c r="C706" t="s">
        <v>8578</v>
      </c>
    </row>
    <row r="707" spans="1:3" x14ac:dyDescent="0.2">
      <c r="A707" t="s">
        <v>7889</v>
      </c>
      <c r="B707" t="s">
        <v>7136</v>
      </c>
      <c r="C707" t="s">
        <v>8584</v>
      </c>
    </row>
    <row r="708" spans="1:3" x14ac:dyDescent="0.2">
      <c r="A708" t="s">
        <v>7893</v>
      </c>
      <c r="B708" t="s">
        <v>7147</v>
      </c>
      <c r="C708" t="s">
        <v>8589</v>
      </c>
    </row>
    <row r="709" spans="1:3" x14ac:dyDescent="0.2">
      <c r="A709" t="s">
        <v>7895</v>
      </c>
      <c r="B709" t="s">
        <v>7154</v>
      </c>
      <c r="C709" t="s">
        <v>8607</v>
      </c>
    </row>
    <row r="710" spans="1:3" x14ac:dyDescent="0.2">
      <c r="A710" t="s">
        <v>7904</v>
      </c>
      <c r="B710" t="s">
        <v>7160</v>
      </c>
      <c r="C710" t="s">
        <v>8611</v>
      </c>
    </row>
    <row r="711" spans="1:3" x14ac:dyDescent="0.2">
      <c r="A711" t="s">
        <v>7912</v>
      </c>
      <c r="B711" t="s">
        <v>7162</v>
      </c>
      <c r="C711" t="s">
        <v>8615</v>
      </c>
    </row>
    <row r="712" spans="1:3" x14ac:dyDescent="0.2">
      <c r="A712" t="s">
        <v>7914</v>
      </c>
      <c r="B712" t="s">
        <v>7164</v>
      </c>
      <c r="C712" t="s">
        <v>8620</v>
      </c>
    </row>
    <row r="713" spans="1:3" x14ac:dyDescent="0.2">
      <c r="A713" t="s">
        <v>7925</v>
      </c>
      <c r="B713" t="s">
        <v>7168</v>
      </c>
      <c r="C713" t="s">
        <v>8634</v>
      </c>
    </row>
    <row r="714" spans="1:3" x14ac:dyDescent="0.2">
      <c r="A714" t="s">
        <v>7931</v>
      </c>
      <c r="B714" t="s">
        <v>7172</v>
      </c>
      <c r="C714" t="s">
        <v>8649</v>
      </c>
    </row>
    <row r="715" spans="1:3" x14ac:dyDescent="0.2">
      <c r="A715" t="s">
        <v>7933</v>
      </c>
      <c r="B715" t="s">
        <v>7176</v>
      </c>
      <c r="C715" t="s">
        <v>8664</v>
      </c>
    </row>
    <row r="716" spans="1:3" x14ac:dyDescent="0.2">
      <c r="A716" t="s">
        <v>7939</v>
      </c>
      <c r="B716" t="s">
        <v>7182</v>
      </c>
      <c r="C716" t="s">
        <v>8666</v>
      </c>
    </row>
    <row r="717" spans="1:3" x14ac:dyDescent="0.2">
      <c r="A717" t="s">
        <v>7947</v>
      </c>
      <c r="B717" t="s">
        <v>7184</v>
      </c>
      <c r="C717" t="s">
        <v>8676</v>
      </c>
    </row>
    <row r="718" spans="1:3" x14ac:dyDescent="0.2">
      <c r="A718" t="s">
        <v>7950</v>
      </c>
      <c r="B718" t="s">
        <v>7188</v>
      </c>
      <c r="C718" t="s">
        <v>8682</v>
      </c>
    </row>
    <row r="719" spans="1:3" x14ac:dyDescent="0.2">
      <c r="A719" t="s">
        <v>7960</v>
      </c>
      <c r="B719" t="s">
        <v>7190</v>
      </c>
      <c r="C719" t="s">
        <v>8684</v>
      </c>
    </row>
    <row r="720" spans="1:3" x14ac:dyDescent="0.2">
      <c r="A720" t="s">
        <v>7966</v>
      </c>
      <c r="B720" t="s">
        <v>7194</v>
      </c>
      <c r="C720" t="s">
        <v>8688</v>
      </c>
    </row>
    <row r="721" spans="1:3" x14ac:dyDescent="0.2">
      <c r="A721" t="s">
        <v>7973</v>
      </c>
      <c r="B721" t="s">
        <v>7196</v>
      </c>
      <c r="C721" t="s">
        <v>8692</v>
      </c>
    </row>
    <row r="722" spans="1:3" x14ac:dyDescent="0.2">
      <c r="A722" t="s">
        <v>7976</v>
      </c>
      <c r="B722" t="s">
        <v>7205</v>
      </c>
      <c r="C722" t="s">
        <v>8697</v>
      </c>
    </row>
    <row r="723" spans="1:3" x14ac:dyDescent="0.2">
      <c r="A723" t="s">
        <v>7978</v>
      </c>
      <c r="B723" t="s">
        <v>7207</v>
      </c>
      <c r="C723" t="s">
        <v>8699</v>
      </c>
    </row>
    <row r="724" spans="1:3" x14ac:dyDescent="0.2">
      <c r="A724" t="s">
        <v>7984</v>
      </c>
      <c r="B724" t="s">
        <v>7209</v>
      </c>
      <c r="C724" t="s">
        <v>8701</v>
      </c>
    </row>
    <row r="725" spans="1:3" x14ac:dyDescent="0.2">
      <c r="A725" t="s">
        <v>7990</v>
      </c>
      <c r="B725" t="s">
        <v>7219</v>
      </c>
      <c r="C725" t="s">
        <v>8703</v>
      </c>
    </row>
    <row r="726" spans="1:3" x14ac:dyDescent="0.2">
      <c r="A726" t="s">
        <v>7995</v>
      </c>
      <c r="B726" t="s">
        <v>7225</v>
      </c>
      <c r="C726" t="s">
        <v>8733</v>
      </c>
    </row>
    <row r="727" spans="1:3" x14ac:dyDescent="0.2">
      <c r="A727" t="s">
        <v>7997</v>
      </c>
      <c r="B727" t="s">
        <v>7227</v>
      </c>
      <c r="C727" t="s">
        <v>8739</v>
      </c>
    </row>
    <row r="728" spans="1:3" x14ac:dyDescent="0.2">
      <c r="A728" t="s">
        <v>7999</v>
      </c>
      <c r="B728" t="s">
        <v>7229</v>
      </c>
      <c r="C728" t="s">
        <v>8766</v>
      </c>
    </row>
    <row r="729" spans="1:3" x14ac:dyDescent="0.2">
      <c r="A729" t="s">
        <v>8004</v>
      </c>
      <c r="B729" t="s">
        <v>7236</v>
      </c>
      <c r="C729" t="s">
        <v>8771</v>
      </c>
    </row>
    <row r="730" spans="1:3" x14ac:dyDescent="0.2">
      <c r="A730" t="s">
        <v>8013</v>
      </c>
      <c r="B730" t="s">
        <v>7242</v>
      </c>
      <c r="C730" t="s">
        <v>8775</v>
      </c>
    </row>
    <row r="731" spans="1:3" x14ac:dyDescent="0.2">
      <c r="A731" t="s">
        <v>8016</v>
      </c>
      <c r="B731" t="s">
        <v>7257</v>
      </c>
      <c r="C731" t="s">
        <v>8779</v>
      </c>
    </row>
    <row r="732" spans="1:3" x14ac:dyDescent="0.2">
      <c r="A732" t="s">
        <v>8018</v>
      </c>
      <c r="B732" t="s">
        <v>7259</v>
      </c>
      <c r="C732" t="s">
        <v>8787</v>
      </c>
    </row>
    <row r="733" spans="1:3" x14ac:dyDescent="0.2">
      <c r="A733" t="s">
        <v>8027</v>
      </c>
      <c r="B733" t="s">
        <v>7263</v>
      </c>
      <c r="C733" t="s">
        <v>8789</v>
      </c>
    </row>
    <row r="734" spans="1:3" x14ac:dyDescent="0.2">
      <c r="A734" t="s">
        <v>8038</v>
      </c>
      <c r="B734" t="s">
        <v>7267</v>
      </c>
      <c r="C734" t="s">
        <v>8791</v>
      </c>
    </row>
    <row r="735" spans="1:3" x14ac:dyDescent="0.2">
      <c r="A735" t="s">
        <v>8059</v>
      </c>
      <c r="B735" t="s">
        <v>7271</v>
      </c>
      <c r="C735" t="s">
        <v>8799</v>
      </c>
    </row>
    <row r="736" spans="1:3" x14ac:dyDescent="0.2">
      <c r="A736" t="s">
        <v>8063</v>
      </c>
      <c r="B736" t="s">
        <v>7273</v>
      </c>
      <c r="C736" t="s">
        <v>8808</v>
      </c>
    </row>
    <row r="737" spans="1:3" x14ac:dyDescent="0.2">
      <c r="A737" t="s">
        <v>8075</v>
      </c>
      <c r="B737" t="s">
        <v>7275</v>
      </c>
      <c r="C737" t="s">
        <v>8810</v>
      </c>
    </row>
    <row r="738" spans="1:3" x14ac:dyDescent="0.2">
      <c r="A738" t="s">
        <v>8077</v>
      </c>
      <c r="B738" t="s">
        <v>7277</v>
      </c>
      <c r="C738" t="s">
        <v>8812</v>
      </c>
    </row>
    <row r="739" spans="1:3" x14ac:dyDescent="0.2">
      <c r="A739" t="s">
        <v>8081</v>
      </c>
      <c r="B739" t="s">
        <v>7279</v>
      </c>
      <c r="C739" t="s">
        <v>8814</v>
      </c>
    </row>
    <row r="740" spans="1:3" x14ac:dyDescent="0.2">
      <c r="A740" t="s">
        <v>8094</v>
      </c>
      <c r="B740" t="s">
        <v>7281</v>
      </c>
      <c r="C740" t="s">
        <v>8816</v>
      </c>
    </row>
    <row r="741" spans="1:3" x14ac:dyDescent="0.2">
      <c r="A741" t="s">
        <v>8100</v>
      </c>
      <c r="B741" t="s">
        <v>7283</v>
      </c>
      <c r="C741" t="s">
        <v>8818</v>
      </c>
    </row>
    <row r="742" spans="1:3" x14ac:dyDescent="0.2">
      <c r="A742" t="s">
        <v>8102</v>
      </c>
      <c r="B742" t="s">
        <v>7285</v>
      </c>
      <c r="C742" t="s">
        <v>8820</v>
      </c>
    </row>
    <row r="743" spans="1:3" x14ac:dyDescent="0.2">
      <c r="A743" t="s">
        <v>8104</v>
      </c>
      <c r="B743" t="s">
        <v>7287</v>
      </c>
      <c r="C743" t="s">
        <v>8822</v>
      </c>
    </row>
    <row r="744" spans="1:3" x14ac:dyDescent="0.2">
      <c r="A744" t="s">
        <v>8106</v>
      </c>
      <c r="B744" t="s">
        <v>7289</v>
      </c>
      <c r="C744" t="s">
        <v>8827</v>
      </c>
    </row>
    <row r="745" spans="1:3" x14ac:dyDescent="0.2">
      <c r="A745" t="s">
        <v>8117</v>
      </c>
      <c r="B745" t="s">
        <v>7291</v>
      </c>
      <c r="C745" t="s">
        <v>8839</v>
      </c>
    </row>
    <row r="746" spans="1:3" x14ac:dyDescent="0.2">
      <c r="A746" t="s">
        <v>8120</v>
      </c>
      <c r="B746" t="s">
        <v>7297</v>
      </c>
      <c r="C746" t="s">
        <v>8855</v>
      </c>
    </row>
    <row r="747" spans="1:3" x14ac:dyDescent="0.2">
      <c r="A747" t="s">
        <v>8123</v>
      </c>
      <c r="B747" t="s">
        <v>7299</v>
      </c>
      <c r="C747" t="s">
        <v>8860</v>
      </c>
    </row>
    <row r="748" spans="1:3" x14ac:dyDescent="0.2">
      <c r="A748" t="s">
        <v>8131</v>
      </c>
      <c r="B748" t="s">
        <v>7301</v>
      </c>
      <c r="C748" t="s">
        <v>8862</v>
      </c>
    </row>
    <row r="749" spans="1:3" x14ac:dyDescent="0.2">
      <c r="A749" t="s">
        <v>8133</v>
      </c>
      <c r="B749" t="s">
        <v>7305</v>
      </c>
      <c r="C749" t="s">
        <v>8866</v>
      </c>
    </row>
    <row r="750" spans="1:3" x14ac:dyDescent="0.2">
      <c r="A750" t="s">
        <v>8135</v>
      </c>
      <c r="B750" t="s">
        <v>7309</v>
      </c>
      <c r="C750" t="s">
        <v>8870</v>
      </c>
    </row>
    <row r="751" spans="1:3" x14ac:dyDescent="0.2">
      <c r="A751" t="s">
        <v>8137</v>
      </c>
      <c r="B751" t="s">
        <v>7311</v>
      </c>
      <c r="C751" t="s">
        <v>8876</v>
      </c>
    </row>
    <row r="752" spans="1:3" x14ac:dyDescent="0.2">
      <c r="A752" t="s">
        <v>8139</v>
      </c>
      <c r="B752" t="s">
        <v>7313</v>
      </c>
      <c r="C752" t="s">
        <v>8888</v>
      </c>
    </row>
    <row r="753" spans="1:3" x14ac:dyDescent="0.2">
      <c r="A753" t="s">
        <v>8141</v>
      </c>
      <c r="B753" t="s">
        <v>7317</v>
      </c>
      <c r="C753" t="s">
        <v>8894</v>
      </c>
    </row>
    <row r="754" spans="1:3" x14ac:dyDescent="0.2">
      <c r="A754" t="s">
        <v>8155</v>
      </c>
      <c r="B754" t="s">
        <v>7319</v>
      </c>
      <c r="C754" t="s">
        <v>8901</v>
      </c>
    </row>
    <row r="755" spans="1:3" x14ac:dyDescent="0.2">
      <c r="A755" t="s">
        <v>8158</v>
      </c>
      <c r="B755" t="s">
        <v>7321</v>
      </c>
      <c r="C755" t="s">
        <v>8904</v>
      </c>
    </row>
    <row r="756" spans="1:3" x14ac:dyDescent="0.2">
      <c r="A756" t="s">
        <v>8178</v>
      </c>
      <c r="B756" t="s">
        <v>7323</v>
      </c>
      <c r="C756" t="s">
        <v>8906</v>
      </c>
    </row>
    <row r="757" spans="1:3" x14ac:dyDescent="0.2">
      <c r="A757" t="s">
        <v>8180</v>
      </c>
      <c r="B757" t="s">
        <v>7325</v>
      </c>
      <c r="C757" t="s">
        <v>8913</v>
      </c>
    </row>
    <row r="758" spans="1:3" x14ac:dyDescent="0.2">
      <c r="A758" t="s">
        <v>8184</v>
      </c>
      <c r="B758" t="s">
        <v>7327</v>
      </c>
      <c r="C758" t="s">
        <v>8915</v>
      </c>
    </row>
    <row r="759" spans="1:3" x14ac:dyDescent="0.2">
      <c r="A759" t="s">
        <v>8188</v>
      </c>
      <c r="B759" t="s">
        <v>7329</v>
      </c>
      <c r="C759" t="s">
        <v>8923</v>
      </c>
    </row>
    <row r="760" spans="1:3" x14ac:dyDescent="0.2">
      <c r="A760" t="s">
        <v>8190</v>
      </c>
      <c r="B760" t="s">
        <v>7333</v>
      </c>
      <c r="C760" t="s">
        <v>8925</v>
      </c>
    </row>
    <row r="761" spans="1:3" x14ac:dyDescent="0.2">
      <c r="A761" t="s">
        <v>8198</v>
      </c>
      <c r="B761" t="s">
        <v>7335</v>
      </c>
      <c r="C761" t="s">
        <v>8938</v>
      </c>
    </row>
    <row r="762" spans="1:3" x14ac:dyDescent="0.2">
      <c r="A762" t="s">
        <v>8206</v>
      </c>
      <c r="B762" t="s">
        <v>7347</v>
      </c>
      <c r="C762" t="s">
        <v>8942</v>
      </c>
    </row>
    <row r="763" spans="1:3" x14ac:dyDescent="0.2">
      <c r="A763" t="s">
        <v>8212</v>
      </c>
      <c r="B763" t="s">
        <v>7352</v>
      </c>
      <c r="C763" t="s">
        <v>8946</v>
      </c>
    </row>
    <row r="764" spans="1:3" x14ac:dyDescent="0.2">
      <c r="A764" t="s">
        <v>8239</v>
      </c>
      <c r="B764" t="s">
        <v>7354</v>
      </c>
      <c r="C764" t="s">
        <v>8956</v>
      </c>
    </row>
    <row r="765" spans="1:3" x14ac:dyDescent="0.2">
      <c r="A765" t="s">
        <v>8253</v>
      </c>
      <c r="B765" t="s">
        <v>7359</v>
      </c>
      <c r="C765" t="s">
        <v>8976</v>
      </c>
    </row>
    <row r="766" spans="1:3" x14ac:dyDescent="0.2">
      <c r="A766" t="s">
        <v>8255</v>
      </c>
      <c r="B766" t="s">
        <v>7361</v>
      </c>
      <c r="C766" t="s">
        <v>8998</v>
      </c>
    </row>
    <row r="767" spans="1:3" x14ac:dyDescent="0.2">
      <c r="A767" t="s">
        <v>8257</v>
      </c>
      <c r="B767" t="s">
        <v>7363</v>
      </c>
      <c r="C767" t="s">
        <v>9002</v>
      </c>
    </row>
    <row r="768" spans="1:3" x14ac:dyDescent="0.2">
      <c r="A768" t="s">
        <v>8260</v>
      </c>
      <c r="B768" t="s">
        <v>7372</v>
      </c>
      <c r="C768" t="s">
        <v>9004</v>
      </c>
    </row>
    <row r="769" spans="1:3" x14ac:dyDescent="0.2">
      <c r="A769" t="s">
        <v>8263</v>
      </c>
      <c r="B769" t="s">
        <v>7383</v>
      </c>
      <c r="C769" t="s">
        <v>9008</v>
      </c>
    </row>
    <row r="770" spans="1:3" x14ac:dyDescent="0.2">
      <c r="A770" t="s">
        <v>8267</v>
      </c>
      <c r="B770" t="s">
        <v>7385</v>
      </c>
      <c r="C770" t="s">
        <v>9025</v>
      </c>
    </row>
    <row r="771" spans="1:3" x14ac:dyDescent="0.2">
      <c r="A771" t="s">
        <v>8276</v>
      </c>
      <c r="B771" t="s">
        <v>7397</v>
      </c>
      <c r="C771" t="s">
        <v>9027</v>
      </c>
    </row>
    <row r="772" spans="1:3" x14ac:dyDescent="0.2">
      <c r="A772" t="s">
        <v>8278</v>
      </c>
      <c r="B772" t="s">
        <v>7399</v>
      </c>
      <c r="C772" t="s">
        <v>9044</v>
      </c>
    </row>
    <row r="773" spans="1:3" x14ac:dyDescent="0.2">
      <c r="A773" t="s">
        <v>8292</v>
      </c>
      <c r="B773" t="s">
        <v>7405</v>
      </c>
      <c r="C773" t="s">
        <v>9050</v>
      </c>
    </row>
    <row r="774" spans="1:3" x14ac:dyDescent="0.2">
      <c r="A774" t="s">
        <v>8299</v>
      </c>
      <c r="B774" t="s">
        <v>7411</v>
      </c>
      <c r="C774" t="s">
        <v>9053</v>
      </c>
    </row>
    <row r="775" spans="1:3" x14ac:dyDescent="0.2">
      <c r="A775" t="s">
        <v>8302</v>
      </c>
      <c r="B775" t="s">
        <v>7415</v>
      </c>
      <c r="C775" t="s">
        <v>9059</v>
      </c>
    </row>
    <row r="776" spans="1:3" x14ac:dyDescent="0.2">
      <c r="A776" t="s">
        <v>8307</v>
      </c>
      <c r="B776" t="s">
        <v>7425</v>
      </c>
      <c r="C776" t="s">
        <v>9071</v>
      </c>
    </row>
    <row r="777" spans="1:3" x14ac:dyDescent="0.2">
      <c r="A777" t="s">
        <v>8313</v>
      </c>
      <c r="B777" t="s">
        <v>7438</v>
      </c>
      <c r="C777" t="s">
        <v>9085</v>
      </c>
    </row>
    <row r="778" spans="1:3" x14ac:dyDescent="0.2">
      <c r="A778" t="s">
        <v>8327</v>
      </c>
      <c r="B778" t="s">
        <v>7446</v>
      </c>
      <c r="C778" t="s">
        <v>9091</v>
      </c>
    </row>
    <row r="779" spans="1:3" x14ac:dyDescent="0.2">
      <c r="A779" t="s">
        <v>8333</v>
      </c>
      <c r="B779" t="s">
        <v>7448</v>
      </c>
      <c r="C779" t="s">
        <v>9095</v>
      </c>
    </row>
    <row r="780" spans="1:3" x14ac:dyDescent="0.2">
      <c r="A780" t="s">
        <v>8337</v>
      </c>
      <c r="B780" t="s">
        <v>7454</v>
      </c>
      <c r="C780" t="s">
        <v>9099</v>
      </c>
    </row>
    <row r="781" spans="1:3" x14ac:dyDescent="0.2">
      <c r="A781" t="s">
        <v>8339</v>
      </c>
      <c r="B781" t="s">
        <v>7466</v>
      </c>
      <c r="C781" t="s">
        <v>9103</v>
      </c>
    </row>
    <row r="782" spans="1:3" x14ac:dyDescent="0.2">
      <c r="A782" t="s">
        <v>8346</v>
      </c>
      <c r="B782" t="s">
        <v>7473</v>
      </c>
      <c r="C782" t="s">
        <v>9117</v>
      </c>
    </row>
    <row r="783" spans="1:3" x14ac:dyDescent="0.2">
      <c r="A783" t="s">
        <v>8348</v>
      </c>
      <c r="B783" t="s">
        <v>7475</v>
      </c>
      <c r="C783" t="s">
        <v>9124</v>
      </c>
    </row>
    <row r="784" spans="1:3" x14ac:dyDescent="0.2">
      <c r="A784" t="s">
        <v>8356</v>
      </c>
      <c r="B784" t="s">
        <v>7491</v>
      </c>
      <c r="C784" t="s">
        <v>9133</v>
      </c>
    </row>
    <row r="785" spans="1:3" x14ac:dyDescent="0.2">
      <c r="A785" t="s">
        <v>8364</v>
      </c>
      <c r="B785" t="s">
        <v>7493</v>
      </c>
      <c r="C785" t="s">
        <v>9137</v>
      </c>
    </row>
    <row r="786" spans="1:3" x14ac:dyDescent="0.2">
      <c r="A786" t="s">
        <v>8368</v>
      </c>
      <c r="B786" t="s">
        <v>7495</v>
      </c>
      <c r="C786" t="s">
        <v>9144</v>
      </c>
    </row>
    <row r="787" spans="1:3" x14ac:dyDescent="0.2">
      <c r="A787" t="s">
        <v>8371</v>
      </c>
      <c r="B787" t="s">
        <v>7510</v>
      </c>
      <c r="C787" t="s">
        <v>9174</v>
      </c>
    </row>
    <row r="788" spans="1:3" x14ac:dyDescent="0.2">
      <c r="A788" t="s">
        <v>8384</v>
      </c>
      <c r="B788" t="s">
        <v>7520</v>
      </c>
      <c r="C788" t="s">
        <v>9176</v>
      </c>
    </row>
    <row r="789" spans="1:3" x14ac:dyDescent="0.2">
      <c r="A789" t="s">
        <v>8388</v>
      </c>
      <c r="B789" t="s">
        <v>7533</v>
      </c>
      <c r="C789" t="s">
        <v>9193</v>
      </c>
    </row>
    <row r="790" spans="1:3" x14ac:dyDescent="0.2">
      <c r="A790" t="s">
        <v>8392</v>
      </c>
      <c r="B790" t="s">
        <v>7536</v>
      </c>
      <c r="C790" t="s">
        <v>9199</v>
      </c>
    </row>
    <row r="791" spans="1:3" x14ac:dyDescent="0.2">
      <c r="A791" t="s">
        <v>8394</v>
      </c>
      <c r="B791" t="s">
        <v>7538</v>
      </c>
      <c r="C791" t="s">
        <v>9201</v>
      </c>
    </row>
    <row r="792" spans="1:3" x14ac:dyDescent="0.2">
      <c r="A792" t="s">
        <v>8401</v>
      </c>
      <c r="B792" t="s">
        <v>7540</v>
      </c>
      <c r="C792" t="s">
        <v>9203</v>
      </c>
    </row>
    <row r="793" spans="1:3" x14ac:dyDescent="0.2">
      <c r="A793" t="s">
        <v>8411</v>
      </c>
      <c r="B793" t="s">
        <v>7555</v>
      </c>
      <c r="C793" t="s">
        <v>9205</v>
      </c>
    </row>
    <row r="794" spans="1:3" x14ac:dyDescent="0.2">
      <c r="A794" t="s">
        <v>8418</v>
      </c>
      <c r="B794" t="s">
        <v>7557</v>
      </c>
      <c r="C794" t="s">
        <v>9210</v>
      </c>
    </row>
    <row r="795" spans="1:3" x14ac:dyDescent="0.2">
      <c r="A795" t="s">
        <v>8423</v>
      </c>
      <c r="B795" t="s">
        <v>7559</v>
      </c>
      <c r="C795" t="s">
        <v>9224</v>
      </c>
    </row>
    <row r="796" spans="1:3" x14ac:dyDescent="0.2">
      <c r="A796" t="s">
        <v>8436</v>
      </c>
      <c r="B796" t="s">
        <v>7563</v>
      </c>
      <c r="C796" t="s">
        <v>9228</v>
      </c>
    </row>
    <row r="797" spans="1:3" x14ac:dyDescent="0.2">
      <c r="A797" t="s">
        <v>8438</v>
      </c>
      <c r="B797" t="s">
        <v>7565</v>
      </c>
      <c r="C797" t="s">
        <v>9249</v>
      </c>
    </row>
    <row r="798" spans="1:3" x14ac:dyDescent="0.2">
      <c r="A798" t="s">
        <v>8441</v>
      </c>
      <c r="B798" t="s">
        <v>7567</v>
      </c>
      <c r="C798" t="s">
        <v>9253</v>
      </c>
    </row>
    <row r="799" spans="1:3" x14ac:dyDescent="0.2">
      <c r="A799" t="s">
        <v>8444</v>
      </c>
      <c r="B799" t="s">
        <v>7569</v>
      </c>
      <c r="C799" t="s">
        <v>9259</v>
      </c>
    </row>
    <row r="800" spans="1:3" x14ac:dyDescent="0.2">
      <c r="A800" t="s">
        <v>8452</v>
      </c>
      <c r="B800" t="s">
        <v>7573</v>
      </c>
      <c r="C800" t="s">
        <v>9283</v>
      </c>
    </row>
    <row r="801" spans="1:3" x14ac:dyDescent="0.2">
      <c r="A801" t="s">
        <v>8457</v>
      </c>
      <c r="B801" t="s">
        <v>7591</v>
      </c>
      <c r="C801" t="s">
        <v>9288</v>
      </c>
    </row>
    <row r="802" spans="1:3" x14ac:dyDescent="0.2">
      <c r="A802" t="s">
        <v>8460</v>
      </c>
      <c r="B802" t="s">
        <v>7594</v>
      </c>
      <c r="C802" t="s">
        <v>9292</v>
      </c>
    </row>
    <row r="803" spans="1:3" x14ac:dyDescent="0.2">
      <c r="A803" t="s">
        <v>8468</v>
      </c>
      <c r="B803" t="s">
        <v>7596</v>
      </c>
      <c r="C803" t="s">
        <v>9298</v>
      </c>
    </row>
    <row r="804" spans="1:3" x14ac:dyDescent="0.2">
      <c r="A804" t="s">
        <v>8472</v>
      </c>
      <c r="B804" t="s">
        <v>7603</v>
      </c>
      <c r="C804" t="s">
        <v>9302</v>
      </c>
    </row>
    <row r="805" spans="1:3" x14ac:dyDescent="0.2">
      <c r="A805" t="s">
        <v>8479</v>
      </c>
      <c r="B805" t="s">
        <v>7608</v>
      </c>
      <c r="C805" t="s">
        <v>9310</v>
      </c>
    </row>
    <row r="806" spans="1:3" x14ac:dyDescent="0.2">
      <c r="A806" t="s">
        <v>8484</v>
      </c>
      <c r="B806" t="s">
        <v>7610</v>
      </c>
      <c r="C806" t="s">
        <v>9312</v>
      </c>
    </row>
    <row r="807" spans="1:3" x14ac:dyDescent="0.2">
      <c r="A807" t="s">
        <v>8486</v>
      </c>
      <c r="B807" t="s">
        <v>7616</v>
      </c>
      <c r="C807" t="s">
        <v>9316</v>
      </c>
    </row>
    <row r="808" spans="1:3" x14ac:dyDescent="0.2">
      <c r="A808" t="s">
        <v>8488</v>
      </c>
      <c r="B808" t="s">
        <v>7621</v>
      </c>
      <c r="C808" t="s">
        <v>9336</v>
      </c>
    </row>
    <row r="809" spans="1:3" x14ac:dyDescent="0.2">
      <c r="A809" t="s">
        <v>8497</v>
      </c>
      <c r="B809" t="s">
        <v>7623</v>
      </c>
      <c r="C809" t="s">
        <v>9343</v>
      </c>
    </row>
    <row r="810" spans="1:3" x14ac:dyDescent="0.2">
      <c r="A810" t="s">
        <v>8502</v>
      </c>
      <c r="B810" t="s">
        <v>7626</v>
      </c>
      <c r="C810" t="s">
        <v>9345</v>
      </c>
    </row>
    <row r="811" spans="1:3" x14ac:dyDescent="0.2">
      <c r="A811" t="s">
        <v>8506</v>
      </c>
      <c r="B811" t="s">
        <v>7628</v>
      </c>
      <c r="C811" t="s">
        <v>9347</v>
      </c>
    </row>
    <row r="812" spans="1:3" x14ac:dyDescent="0.2">
      <c r="A812" t="s">
        <v>8510</v>
      </c>
      <c r="B812" t="s">
        <v>7630</v>
      </c>
      <c r="C812" t="s">
        <v>9355</v>
      </c>
    </row>
    <row r="813" spans="1:3" x14ac:dyDescent="0.2">
      <c r="A813" t="s">
        <v>8514</v>
      </c>
      <c r="B813" t="s">
        <v>7632</v>
      </c>
      <c r="C813" t="s">
        <v>9359</v>
      </c>
    </row>
    <row r="814" spans="1:3" x14ac:dyDescent="0.2">
      <c r="A814" t="s">
        <v>8522</v>
      </c>
      <c r="B814" t="s">
        <v>7634</v>
      </c>
      <c r="C814" t="s">
        <v>9369</v>
      </c>
    </row>
    <row r="815" spans="1:3" x14ac:dyDescent="0.2">
      <c r="A815" t="s">
        <v>8536</v>
      </c>
      <c r="B815" t="s">
        <v>7636</v>
      </c>
      <c r="C815" t="s">
        <v>9373</v>
      </c>
    </row>
    <row r="816" spans="1:3" x14ac:dyDescent="0.2">
      <c r="A816" t="s">
        <v>8539</v>
      </c>
      <c r="B816" t="s">
        <v>7641</v>
      </c>
      <c r="C816" t="s">
        <v>9376</v>
      </c>
    </row>
    <row r="817" spans="1:3" x14ac:dyDescent="0.2">
      <c r="A817" t="s">
        <v>8541</v>
      </c>
      <c r="B817" t="s">
        <v>7643</v>
      </c>
      <c r="C817" t="s">
        <v>9380</v>
      </c>
    </row>
    <row r="818" spans="1:3" x14ac:dyDescent="0.2">
      <c r="A818" t="s">
        <v>8543</v>
      </c>
      <c r="B818" t="s">
        <v>7645</v>
      </c>
      <c r="C818" t="s">
        <v>9382</v>
      </c>
    </row>
    <row r="819" spans="1:3" x14ac:dyDescent="0.2">
      <c r="A819" t="s">
        <v>8566</v>
      </c>
      <c r="B819" t="s">
        <v>7649</v>
      </c>
      <c r="C819" t="s">
        <v>9384</v>
      </c>
    </row>
    <row r="820" spans="1:3" x14ac:dyDescent="0.2">
      <c r="A820" t="s">
        <v>8568</v>
      </c>
      <c r="B820" t="s">
        <v>7651</v>
      </c>
      <c r="C820" t="s">
        <v>9386</v>
      </c>
    </row>
    <row r="821" spans="1:3" x14ac:dyDescent="0.2">
      <c r="A821" t="s">
        <v>8570</v>
      </c>
      <c r="B821" t="s">
        <v>7653</v>
      </c>
      <c r="C821" t="s">
        <v>9388</v>
      </c>
    </row>
    <row r="822" spans="1:3" x14ac:dyDescent="0.2">
      <c r="A822" t="s">
        <v>8572</v>
      </c>
      <c r="B822" t="s">
        <v>7655</v>
      </c>
      <c r="C822" t="s">
        <v>9390</v>
      </c>
    </row>
    <row r="823" spans="1:3" x14ac:dyDescent="0.2">
      <c r="A823" t="s">
        <v>8582</v>
      </c>
      <c r="B823" t="s">
        <v>7658</v>
      </c>
      <c r="C823" t="s">
        <v>9392</v>
      </c>
    </row>
    <row r="824" spans="1:3" x14ac:dyDescent="0.2">
      <c r="A824" t="s">
        <v>8593</v>
      </c>
      <c r="B824" t="s">
        <v>7663</v>
      </c>
      <c r="C824" t="s">
        <v>9394</v>
      </c>
    </row>
    <row r="825" spans="1:3" x14ac:dyDescent="0.2">
      <c r="A825" t="s">
        <v>8595</v>
      </c>
      <c r="B825" t="s">
        <v>7666</v>
      </c>
      <c r="C825" t="s">
        <v>9396</v>
      </c>
    </row>
    <row r="826" spans="1:3" x14ac:dyDescent="0.2">
      <c r="A826" t="s">
        <v>8609</v>
      </c>
      <c r="B826" t="s">
        <v>7668</v>
      </c>
      <c r="C826" t="s">
        <v>9398</v>
      </c>
    </row>
    <row r="827" spans="1:3" x14ac:dyDescent="0.2">
      <c r="A827" t="s">
        <v>8624</v>
      </c>
      <c r="B827" t="s">
        <v>7670</v>
      </c>
      <c r="C827" t="s">
        <v>9403</v>
      </c>
    </row>
    <row r="828" spans="1:3" x14ac:dyDescent="0.2">
      <c r="A828" t="s">
        <v>8637</v>
      </c>
      <c r="B828" t="s">
        <v>7672</v>
      </c>
      <c r="C828" t="s">
        <v>9410</v>
      </c>
    </row>
    <row r="829" spans="1:3" x14ac:dyDescent="0.2">
      <c r="A829" t="s">
        <v>8651</v>
      </c>
      <c r="B829" t="s">
        <v>7676</v>
      </c>
      <c r="C829" t="s">
        <v>9416</v>
      </c>
    </row>
    <row r="830" spans="1:3" x14ac:dyDescent="0.2">
      <c r="A830" t="s">
        <v>8653</v>
      </c>
      <c r="B830" t="s">
        <v>7678</v>
      </c>
      <c r="C830" t="s">
        <v>9424</v>
      </c>
    </row>
    <row r="831" spans="1:3" x14ac:dyDescent="0.2">
      <c r="A831" t="s">
        <v>8655</v>
      </c>
      <c r="B831" t="s">
        <v>7682</v>
      </c>
      <c r="C831" t="s">
        <v>9434</v>
      </c>
    </row>
    <row r="832" spans="1:3" x14ac:dyDescent="0.2">
      <c r="A832" t="s">
        <v>8657</v>
      </c>
      <c r="B832" t="s">
        <v>7686</v>
      </c>
      <c r="C832" t="s">
        <v>9440</v>
      </c>
    </row>
    <row r="833" spans="1:3" x14ac:dyDescent="0.2">
      <c r="A833" t="s">
        <v>8668</v>
      </c>
      <c r="B833" t="s">
        <v>7689</v>
      </c>
      <c r="C833" t="s">
        <v>9442</v>
      </c>
    </row>
    <row r="834" spans="1:3" x14ac:dyDescent="0.2">
      <c r="A834" t="s">
        <v>8678</v>
      </c>
      <c r="B834" t="s">
        <v>7691</v>
      </c>
      <c r="C834" t="s">
        <v>9444</v>
      </c>
    </row>
    <row r="835" spans="1:3" x14ac:dyDescent="0.2">
      <c r="A835" t="s">
        <v>8680</v>
      </c>
      <c r="B835" t="s">
        <v>7693</v>
      </c>
      <c r="C835" t="s">
        <v>9452</v>
      </c>
    </row>
    <row r="836" spans="1:3" x14ac:dyDescent="0.2">
      <c r="A836" t="s">
        <v>8684</v>
      </c>
      <c r="B836" t="s">
        <v>7697</v>
      </c>
      <c r="C836" t="s">
        <v>9456</v>
      </c>
    </row>
    <row r="837" spans="1:3" x14ac:dyDescent="0.2">
      <c r="A837" t="s">
        <v>8686</v>
      </c>
      <c r="B837" t="s">
        <v>7699</v>
      </c>
      <c r="C837" t="s">
        <v>9466</v>
      </c>
    </row>
    <row r="838" spans="1:3" x14ac:dyDescent="0.2">
      <c r="A838" t="s">
        <v>8697</v>
      </c>
      <c r="B838" t="s">
        <v>7701</v>
      </c>
      <c r="C838" t="s">
        <v>9474</v>
      </c>
    </row>
    <row r="839" spans="1:3" x14ac:dyDescent="0.2">
      <c r="A839" t="s">
        <v>8707</v>
      </c>
      <c r="B839" t="s">
        <v>7703</v>
      </c>
      <c r="C839" t="s">
        <v>9482</v>
      </c>
    </row>
    <row r="840" spans="1:3" x14ac:dyDescent="0.2">
      <c r="A840" t="s">
        <v>8714</v>
      </c>
      <c r="B840" t="s">
        <v>7705</v>
      </c>
      <c r="C840" t="s">
        <v>9485</v>
      </c>
    </row>
    <row r="841" spans="1:3" x14ac:dyDescent="0.2">
      <c r="A841" t="s">
        <v>8716</v>
      </c>
      <c r="B841" t="s">
        <v>7709</v>
      </c>
      <c r="C841" t="s">
        <v>9493</v>
      </c>
    </row>
    <row r="842" spans="1:3" x14ac:dyDescent="0.2">
      <c r="A842" t="s">
        <v>8720</v>
      </c>
      <c r="B842" t="s">
        <v>7715</v>
      </c>
      <c r="C842" t="s">
        <v>9511</v>
      </c>
    </row>
    <row r="843" spans="1:3" x14ac:dyDescent="0.2">
      <c r="A843" t="s">
        <v>8723</v>
      </c>
      <c r="B843" t="s">
        <v>7718</v>
      </c>
      <c r="C843" t="s">
        <v>9517</v>
      </c>
    </row>
    <row r="844" spans="1:3" x14ac:dyDescent="0.2">
      <c r="A844" t="s">
        <v>8726</v>
      </c>
      <c r="B844" t="s">
        <v>7722</v>
      </c>
      <c r="C844" t="s">
        <v>9540</v>
      </c>
    </row>
    <row r="845" spans="1:3" x14ac:dyDescent="0.2">
      <c r="A845" t="s">
        <v>8731</v>
      </c>
      <c r="B845" t="s">
        <v>7724</v>
      </c>
      <c r="C845" t="s">
        <v>9545</v>
      </c>
    </row>
    <row r="846" spans="1:3" x14ac:dyDescent="0.2">
      <c r="A846" t="s">
        <v>8737</v>
      </c>
      <c r="B846" t="s">
        <v>7737</v>
      </c>
      <c r="C846" t="s">
        <v>9547</v>
      </c>
    </row>
    <row r="847" spans="1:3" x14ac:dyDescent="0.2">
      <c r="A847" t="s">
        <v>8742</v>
      </c>
      <c r="B847" t="s">
        <v>7753</v>
      </c>
      <c r="C847" t="s">
        <v>9566</v>
      </c>
    </row>
    <row r="848" spans="1:3" x14ac:dyDescent="0.2">
      <c r="A848" t="s">
        <v>8749</v>
      </c>
      <c r="B848" t="s">
        <v>7756</v>
      </c>
      <c r="C848" t="s">
        <v>9570</v>
      </c>
    </row>
    <row r="849" spans="1:3" x14ac:dyDescent="0.2">
      <c r="A849" t="s">
        <v>8756</v>
      </c>
      <c r="B849" t="s">
        <v>7758</v>
      </c>
      <c r="C849" t="s">
        <v>9572</v>
      </c>
    </row>
    <row r="850" spans="1:3" x14ac:dyDescent="0.2">
      <c r="A850" t="s">
        <v>8758</v>
      </c>
      <c r="B850" t="s">
        <v>7772</v>
      </c>
      <c r="C850" t="s">
        <v>9574</v>
      </c>
    </row>
    <row r="851" spans="1:3" x14ac:dyDescent="0.2">
      <c r="A851" t="s">
        <v>8760</v>
      </c>
      <c r="B851" t="s">
        <v>7776</v>
      </c>
      <c r="C851" t="s">
        <v>9586</v>
      </c>
    </row>
    <row r="852" spans="1:3" x14ac:dyDescent="0.2">
      <c r="A852" t="s">
        <v>8768</v>
      </c>
      <c r="B852" t="s">
        <v>7782</v>
      </c>
      <c r="C852" t="s">
        <v>9589</v>
      </c>
    </row>
    <row r="853" spans="1:3" x14ac:dyDescent="0.2">
      <c r="A853" t="s">
        <v>8775</v>
      </c>
      <c r="B853" t="s">
        <v>7784</v>
      </c>
      <c r="C853" t="s">
        <v>9622</v>
      </c>
    </row>
    <row r="854" spans="1:3" x14ac:dyDescent="0.2">
      <c r="A854" t="s">
        <v>8783</v>
      </c>
      <c r="B854" t="s">
        <v>7787</v>
      </c>
      <c r="C854" t="s">
        <v>9624</v>
      </c>
    </row>
    <row r="855" spans="1:3" x14ac:dyDescent="0.2">
      <c r="A855" t="s">
        <v>8799</v>
      </c>
      <c r="B855" t="s">
        <v>7789</v>
      </c>
      <c r="C855" t="s">
        <v>9628</v>
      </c>
    </row>
    <row r="856" spans="1:3" x14ac:dyDescent="0.2">
      <c r="A856" t="s">
        <v>8801</v>
      </c>
      <c r="B856" t="s">
        <v>7796</v>
      </c>
      <c r="C856" t="s">
        <v>9631</v>
      </c>
    </row>
    <row r="857" spans="1:3" x14ac:dyDescent="0.2">
      <c r="A857" t="s">
        <v>8829</v>
      </c>
      <c r="B857" t="s">
        <v>7798</v>
      </c>
      <c r="C857" t="s">
        <v>9634</v>
      </c>
    </row>
    <row r="858" spans="1:3" x14ac:dyDescent="0.2">
      <c r="A858" t="s">
        <v>8831</v>
      </c>
      <c r="B858" t="s">
        <v>7802</v>
      </c>
      <c r="C858" t="s">
        <v>9637</v>
      </c>
    </row>
    <row r="859" spans="1:3" x14ac:dyDescent="0.2">
      <c r="A859" t="s">
        <v>8836</v>
      </c>
      <c r="B859" t="s">
        <v>7809</v>
      </c>
      <c r="C859" t="s">
        <v>9641</v>
      </c>
    </row>
    <row r="860" spans="1:3" x14ac:dyDescent="0.2">
      <c r="A860" t="s">
        <v>8846</v>
      </c>
      <c r="B860" t="s">
        <v>7827</v>
      </c>
      <c r="C860" t="s">
        <v>9649</v>
      </c>
    </row>
    <row r="861" spans="1:3" x14ac:dyDescent="0.2">
      <c r="A861" t="s">
        <v>8850</v>
      </c>
      <c r="B861" t="s">
        <v>7832</v>
      </c>
      <c r="C861" t="s">
        <v>9663</v>
      </c>
    </row>
    <row r="862" spans="1:3" x14ac:dyDescent="0.2">
      <c r="A862" t="s">
        <v>8860</v>
      </c>
      <c r="B862" t="s">
        <v>7834</v>
      </c>
      <c r="C862" t="s">
        <v>9680</v>
      </c>
    </row>
    <row r="863" spans="1:3" x14ac:dyDescent="0.2">
      <c r="A863" t="s">
        <v>8878</v>
      </c>
      <c r="B863" t="s">
        <v>7841</v>
      </c>
      <c r="C863" t="s">
        <v>9684</v>
      </c>
    </row>
    <row r="864" spans="1:3" x14ac:dyDescent="0.2">
      <c r="A864" t="s">
        <v>8884</v>
      </c>
      <c r="B864" t="s">
        <v>7848</v>
      </c>
      <c r="C864" t="s">
        <v>9689</v>
      </c>
    </row>
    <row r="865" spans="1:3" x14ac:dyDescent="0.2">
      <c r="A865" t="s">
        <v>8886</v>
      </c>
      <c r="B865" t="s">
        <v>7850</v>
      </c>
      <c r="C865" t="s">
        <v>9691</v>
      </c>
    </row>
    <row r="866" spans="1:3" x14ac:dyDescent="0.2">
      <c r="A866" t="s">
        <v>8890</v>
      </c>
      <c r="B866" t="s">
        <v>7859</v>
      </c>
      <c r="C866" t="s">
        <v>9694</v>
      </c>
    </row>
    <row r="867" spans="1:3" x14ac:dyDescent="0.2">
      <c r="A867" t="s">
        <v>8892</v>
      </c>
      <c r="B867" t="s">
        <v>7865</v>
      </c>
      <c r="C867" t="s">
        <v>9704</v>
      </c>
    </row>
    <row r="868" spans="1:3" x14ac:dyDescent="0.2">
      <c r="A868" t="s">
        <v>8897</v>
      </c>
      <c r="B868" t="s">
        <v>7871</v>
      </c>
      <c r="C868" t="s">
        <v>9722</v>
      </c>
    </row>
    <row r="869" spans="1:3" x14ac:dyDescent="0.2">
      <c r="A869" t="s">
        <v>8901</v>
      </c>
      <c r="B869" t="s">
        <v>7874</v>
      </c>
      <c r="C869" t="s">
        <v>9724</v>
      </c>
    </row>
    <row r="870" spans="1:3" x14ac:dyDescent="0.2">
      <c r="A870" t="s">
        <v>8919</v>
      </c>
      <c r="B870" t="s">
        <v>7881</v>
      </c>
      <c r="C870" t="s">
        <v>9746</v>
      </c>
    </row>
    <row r="871" spans="1:3" x14ac:dyDescent="0.2">
      <c r="A871" t="s">
        <v>8927</v>
      </c>
      <c r="B871" t="s">
        <v>7883</v>
      </c>
      <c r="C871" t="s">
        <v>9756</v>
      </c>
    </row>
    <row r="872" spans="1:3" x14ac:dyDescent="0.2">
      <c r="A872" t="s">
        <v>8929</v>
      </c>
      <c r="B872" t="s">
        <v>7885</v>
      </c>
      <c r="C872" t="s">
        <v>9760</v>
      </c>
    </row>
    <row r="873" spans="1:3" x14ac:dyDescent="0.2">
      <c r="A873" t="s">
        <v>8931</v>
      </c>
      <c r="B873" t="s">
        <v>7916</v>
      </c>
      <c r="C873" t="s">
        <v>9784</v>
      </c>
    </row>
    <row r="874" spans="1:3" x14ac:dyDescent="0.2">
      <c r="A874" t="s">
        <v>8936</v>
      </c>
      <c r="B874" t="s">
        <v>7918</v>
      </c>
      <c r="C874" t="s">
        <v>9786</v>
      </c>
    </row>
    <row r="875" spans="1:3" x14ac:dyDescent="0.2">
      <c r="A875" t="s">
        <v>8948</v>
      </c>
      <c r="B875" t="s">
        <v>7923</v>
      </c>
      <c r="C875" t="s">
        <v>9797</v>
      </c>
    </row>
    <row r="876" spans="1:3" x14ac:dyDescent="0.2">
      <c r="A876" t="s">
        <v>8950</v>
      </c>
      <c r="B876" t="s">
        <v>7927</v>
      </c>
      <c r="C876" t="s">
        <v>9799</v>
      </c>
    </row>
    <row r="877" spans="1:3" x14ac:dyDescent="0.2">
      <c r="A877" t="s">
        <v>8952</v>
      </c>
      <c r="B877" t="s">
        <v>7929</v>
      </c>
      <c r="C877" t="s">
        <v>9806</v>
      </c>
    </row>
    <row r="878" spans="1:3" x14ac:dyDescent="0.2">
      <c r="A878" t="s">
        <v>8956</v>
      </c>
      <c r="B878" t="s">
        <v>7935</v>
      </c>
      <c r="C878" t="s">
        <v>9808</v>
      </c>
    </row>
    <row r="879" spans="1:3" x14ac:dyDescent="0.2">
      <c r="A879" t="s">
        <v>8971</v>
      </c>
      <c r="B879" t="s">
        <v>7937</v>
      </c>
      <c r="C879" t="s">
        <v>9824</v>
      </c>
    </row>
    <row r="880" spans="1:3" x14ac:dyDescent="0.2">
      <c r="A880" t="s">
        <v>8974</v>
      </c>
      <c r="B880" t="s">
        <v>7939</v>
      </c>
      <c r="C880" t="s">
        <v>9831</v>
      </c>
    </row>
    <row r="881" spans="1:3" x14ac:dyDescent="0.2">
      <c r="A881" t="s">
        <v>8984</v>
      </c>
      <c r="B881" t="s">
        <v>7942</v>
      </c>
      <c r="C881" t="s">
        <v>9833</v>
      </c>
    </row>
    <row r="882" spans="1:3" x14ac:dyDescent="0.2">
      <c r="A882" t="s">
        <v>8989</v>
      </c>
      <c r="B882" t="s">
        <v>7944</v>
      </c>
      <c r="C882" t="s">
        <v>9859</v>
      </c>
    </row>
    <row r="883" spans="1:3" x14ac:dyDescent="0.2">
      <c r="A883" t="s">
        <v>8998</v>
      </c>
      <c r="B883" t="s">
        <v>7953</v>
      </c>
      <c r="C883" t="s">
        <v>9863</v>
      </c>
    </row>
    <row r="884" spans="1:3" x14ac:dyDescent="0.2">
      <c r="A884" t="s">
        <v>9000</v>
      </c>
      <c r="B884" t="s">
        <v>7955</v>
      </c>
      <c r="C884" t="s">
        <v>9872</v>
      </c>
    </row>
    <row r="885" spans="1:3" x14ac:dyDescent="0.2">
      <c r="A885" t="s">
        <v>9008</v>
      </c>
      <c r="B885" t="s">
        <v>7962</v>
      </c>
      <c r="C885" t="s">
        <v>9874</v>
      </c>
    </row>
    <row r="886" spans="1:3" x14ac:dyDescent="0.2">
      <c r="A886" t="s">
        <v>9016</v>
      </c>
      <c r="B886" t="s">
        <v>7964</v>
      </c>
      <c r="C886" t="s">
        <v>9882</v>
      </c>
    </row>
    <row r="887" spans="1:3" x14ac:dyDescent="0.2">
      <c r="A887" t="s">
        <v>9018</v>
      </c>
      <c r="B887" t="s">
        <v>7969</v>
      </c>
      <c r="C887" t="s">
        <v>9890</v>
      </c>
    </row>
    <row r="888" spans="1:3" x14ac:dyDescent="0.2">
      <c r="A888" t="s">
        <v>9029</v>
      </c>
      <c r="B888" t="s">
        <v>7971</v>
      </c>
      <c r="C888" t="s">
        <v>9896</v>
      </c>
    </row>
    <row r="889" spans="1:3" x14ac:dyDescent="0.2">
      <c r="A889" t="s">
        <v>9031</v>
      </c>
      <c r="B889" t="s">
        <v>7982</v>
      </c>
      <c r="C889" t="s">
        <v>9902</v>
      </c>
    </row>
    <row r="890" spans="1:3" x14ac:dyDescent="0.2">
      <c r="A890" t="s">
        <v>9033</v>
      </c>
      <c r="B890" t="s">
        <v>7988</v>
      </c>
      <c r="C890" t="s">
        <v>9907</v>
      </c>
    </row>
    <row r="891" spans="1:3" x14ac:dyDescent="0.2">
      <c r="A891" t="s">
        <v>9035</v>
      </c>
      <c r="B891" t="s">
        <v>7993</v>
      </c>
      <c r="C891" t="s">
        <v>9909</v>
      </c>
    </row>
    <row r="892" spans="1:3" x14ac:dyDescent="0.2">
      <c r="A892" t="s">
        <v>9037</v>
      </c>
      <c r="B892" t="s">
        <v>7999</v>
      </c>
      <c r="C892" t="s">
        <v>9911</v>
      </c>
    </row>
    <row r="893" spans="1:3" x14ac:dyDescent="0.2">
      <c r="A893" t="s">
        <v>9041</v>
      </c>
      <c r="B893" t="s">
        <v>8002</v>
      </c>
      <c r="C893" t="s">
        <v>9923</v>
      </c>
    </row>
    <row r="894" spans="1:3" x14ac:dyDescent="0.2">
      <c r="A894" t="s">
        <v>9046</v>
      </c>
      <c r="B894" t="s">
        <v>8011</v>
      </c>
      <c r="C894" t="s">
        <v>9936</v>
      </c>
    </row>
    <row r="895" spans="1:3" x14ac:dyDescent="0.2">
      <c r="A895" t="s">
        <v>9069</v>
      </c>
      <c r="B895" t="s">
        <v>8029</v>
      </c>
      <c r="C895" t="s">
        <v>9940</v>
      </c>
    </row>
    <row r="896" spans="1:3" x14ac:dyDescent="0.2">
      <c r="A896" t="s">
        <v>9071</v>
      </c>
      <c r="B896" t="s">
        <v>8032</v>
      </c>
      <c r="C896" t="s">
        <v>9942</v>
      </c>
    </row>
    <row r="897" spans="1:3" x14ac:dyDescent="0.2">
      <c r="A897" t="s">
        <v>9075</v>
      </c>
      <c r="B897" t="s">
        <v>8034</v>
      </c>
      <c r="C897" t="s">
        <v>9948</v>
      </c>
    </row>
    <row r="898" spans="1:3" x14ac:dyDescent="0.2">
      <c r="A898" t="s">
        <v>9089</v>
      </c>
      <c r="B898" t="s">
        <v>8036</v>
      </c>
      <c r="C898" t="s">
        <v>9952</v>
      </c>
    </row>
    <row r="899" spans="1:3" x14ac:dyDescent="0.2">
      <c r="A899" t="s">
        <v>9093</v>
      </c>
      <c r="B899" t="s">
        <v>8040</v>
      </c>
      <c r="C899" t="s">
        <v>9956</v>
      </c>
    </row>
    <row r="900" spans="1:3" x14ac:dyDescent="0.2">
      <c r="A900" t="s">
        <v>9095</v>
      </c>
      <c r="B900" t="s">
        <v>8042</v>
      </c>
      <c r="C900" t="s">
        <v>9968</v>
      </c>
    </row>
    <row r="901" spans="1:3" x14ac:dyDescent="0.2">
      <c r="A901" t="s">
        <v>9097</v>
      </c>
      <c r="B901" t="s">
        <v>8044</v>
      </c>
      <c r="C901" t="s">
        <v>9972</v>
      </c>
    </row>
    <row r="902" spans="1:3" x14ac:dyDescent="0.2">
      <c r="A902" t="s">
        <v>9101</v>
      </c>
      <c r="B902" t="s">
        <v>8046</v>
      </c>
      <c r="C902" t="s">
        <v>9982</v>
      </c>
    </row>
    <row r="903" spans="1:3" x14ac:dyDescent="0.2">
      <c r="A903" t="s">
        <v>9107</v>
      </c>
      <c r="B903" t="s">
        <v>8048</v>
      </c>
      <c r="C903" t="s">
        <v>10011</v>
      </c>
    </row>
    <row r="904" spans="1:3" x14ac:dyDescent="0.2">
      <c r="A904" t="s">
        <v>9110</v>
      </c>
      <c r="B904" t="s">
        <v>8050</v>
      </c>
      <c r="C904" t="s">
        <v>10013</v>
      </c>
    </row>
    <row r="905" spans="1:3" x14ac:dyDescent="0.2">
      <c r="A905" t="s">
        <v>9112</v>
      </c>
      <c r="B905" t="s">
        <v>8052</v>
      </c>
      <c r="C905" t="s">
        <v>10015</v>
      </c>
    </row>
    <row r="906" spans="1:3" x14ac:dyDescent="0.2">
      <c r="A906" t="s">
        <v>9114</v>
      </c>
      <c r="B906" t="s">
        <v>8054</v>
      </c>
      <c r="C906" t="s">
        <v>10030</v>
      </c>
    </row>
    <row r="907" spans="1:3" x14ac:dyDescent="0.2">
      <c r="A907" t="s">
        <v>9117</v>
      </c>
      <c r="B907" t="s">
        <v>8066</v>
      </c>
      <c r="C907" t="s">
        <v>10034</v>
      </c>
    </row>
    <row r="908" spans="1:3" x14ac:dyDescent="0.2">
      <c r="A908" t="s">
        <v>9119</v>
      </c>
      <c r="B908" t="s">
        <v>8079</v>
      </c>
      <c r="C908" t="s">
        <v>10043</v>
      </c>
    </row>
    <row r="909" spans="1:3" x14ac:dyDescent="0.2">
      <c r="A909" t="s">
        <v>9121</v>
      </c>
      <c r="B909" t="s">
        <v>8083</v>
      </c>
      <c r="C909" t="s">
        <v>10051</v>
      </c>
    </row>
    <row r="910" spans="1:3" x14ac:dyDescent="0.2">
      <c r="A910" t="s">
        <v>9139</v>
      </c>
      <c r="B910" t="s">
        <v>8085</v>
      </c>
      <c r="C910" t="s">
        <v>10060</v>
      </c>
    </row>
    <row r="911" spans="1:3" x14ac:dyDescent="0.2">
      <c r="A911" t="s">
        <v>9141</v>
      </c>
      <c r="B911" t="s">
        <v>8088</v>
      </c>
      <c r="C911" t="s">
        <v>10064</v>
      </c>
    </row>
    <row r="912" spans="1:3" x14ac:dyDescent="0.2">
      <c r="A912" t="s">
        <v>9146</v>
      </c>
      <c r="B912" t="s">
        <v>8092</v>
      </c>
      <c r="C912" t="s">
        <v>10066</v>
      </c>
    </row>
    <row r="913" spans="1:3" x14ac:dyDescent="0.2">
      <c r="A913" t="s">
        <v>9148</v>
      </c>
      <c r="B913" t="s">
        <v>8102</v>
      </c>
      <c r="C913" t="s">
        <v>10076</v>
      </c>
    </row>
    <row r="914" spans="1:3" x14ac:dyDescent="0.2">
      <c r="A914" t="s">
        <v>9152</v>
      </c>
      <c r="B914" t="s">
        <v>8106</v>
      </c>
      <c r="C914" t="s">
        <v>10091</v>
      </c>
    </row>
    <row r="915" spans="1:3" x14ac:dyDescent="0.2">
      <c r="A915" t="s">
        <v>9154</v>
      </c>
      <c r="B915" t="s">
        <v>8108</v>
      </c>
      <c r="C915" t="s">
        <v>10103</v>
      </c>
    </row>
    <row r="916" spans="1:3" x14ac:dyDescent="0.2">
      <c r="A916" t="s">
        <v>9156</v>
      </c>
      <c r="B916" t="s">
        <v>8113</v>
      </c>
      <c r="C916" t="s">
        <v>10115</v>
      </c>
    </row>
    <row r="917" spans="1:3" x14ac:dyDescent="0.2">
      <c r="A917" t="s">
        <v>9167</v>
      </c>
      <c r="B917" t="s">
        <v>8123</v>
      </c>
      <c r="C917" t="s">
        <v>10117</v>
      </c>
    </row>
    <row r="918" spans="1:3" x14ac:dyDescent="0.2">
      <c r="A918" t="s">
        <v>9174</v>
      </c>
      <c r="B918" t="s">
        <v>8125</v>
      </c>
      <c r="C918" t="s">
        <v>10119</v>
      </c>
    </row>
    <row r="919" spans="1:3" x14ac:dyDescent="0.2">
      <c r="A919" t="s">
        <v>9176</v>
      </c>
      <c r="B919" t="s">
        <v>8127</v>
      </c>
      <c r="C919" t="s">
        <v>10127</v>
      </c>
    </row>
    <row r="920" spans="1:3" x14ac:dyDescent="0.2">
      <c r="A920" t="s">
        <v>9178</v>
      </c>
      <c r="B920" t="s">
        <v>8129</v>
      </c>
      <c r="C920" t="s">
        <v>10136</v>
      </c>
    </row>
    <row r="921" spans="1:3" x14ac:dyDescent="0.2">
      <c r="A921" t="s">
        <v>9181</v>
      </c>
      <c r="B921" t="s">
        <v>8131</v>
      </c>
      <c r="C921" t="s">
        <v>10139</v>
      </c>
    </row>
    <row r="922" spans="1:3" x14ac:dyDescent="0.2">
      <c r="A922" t="s">
        <v>9184</v>
      </c>
      <c r="B922" t="s">
        <v>8135</v>
      </c>
      <c r="C922" t="s">
        <v>10141</v>
      </c>
    </row>
    <row r="923" spans="1:3" x14ac:dyDescent="0.2">
      <c r="A923" t="s">
        <v>9195</v>
      </c>
      <c r="B923" t="s">
        <v>8137</v>
      </c>
      <c r="C923" t="s">
        <v>10160</v>
      </c>
    </row>
    <row r="924" spans="1:3" x14ac:dyDescent="0.2">
      <c r="A924" t="s">
        <v>9207</v>
      </c>
      <c r="B924" t="s">
        <v>8148</v>
      </c>
      <c r="C924" t="s">
        <v>10168</v>
      </c>
    </row>
    <row r="925" spans="1:3" x14ac:dyDescent="0.2">
      <c r="A925" t="s">
        <v>9212</v>
      </c>
      <c r="B925" t="s">
        <v>8151</v>
      </c>
      <c r="C925" t="s">
        <v>10183</v>
      </c>
    </row>
    <row r="926" spans="1:3" x14ac:dyDescent="0.2">
      <c r="A926" t="s">
        <v>9217</v>
      </c>
      <c r="B926" t="s">
        <v>8160</v>
      </c>
      <c r="C926" t="s">
        <v>10185</v>
      </c>
    </row>
    <row r="927" spans="1:3" x14ac:dyDescent="0.2">
      <c r="A927" t="s">
        <v>9222</v>
      </c>
      <c r="B927" t="s">
        <v>8164</v>
      </c>
      <c r="C927" t="s">
        <v>10187</v>
      </c>
    </row>
    <row r="928" spans="1:3" x14ac:dyDescent="0.2">
      <c r="A928" t="s">
        <v>9226</v>
      </c>
      <c r="B928" t="s">
        <v>8166</v>
      </c>
      <c r="C928" t="s">
        <v>10191</v>
      </c>
    </row>
    <row r="929" spans="1:3" x14ac:dyDescent="0.2">
      <c r="A929" t="s">
        <v>9228</v>
      </c>
      <c r="B929" t="s">
        <v>8168</v>
      </c>
      <c r="C929" t="s">
        <v>10193</v>
      </c>
    </row>
    <row r="930" spans="1:3" x14ac:dyDescent="0.2">
      <c r="A930" t="s">
        <v>9231</v>
      </c>
      <c r="B930" t="s">
        <v>8176</v>
      </c>
      <c r="C930" t="s">
        <v>10197</v>
      </c>
    </row>
    <row r="931" spans="1:3" x14ac:dyDescent="0.2">
      <c r="A931" t="s">
        <v>9233</v>
      </c>
      <c r="B931" t="s">
        <v>8180</v>
      </c>
      <c r="C931" t="s">
        <v>10199</v>
      </c>
    </row>
    <row r="932" spans="1:3" x14ac:dyDescent="0.2">
      <c r="A932" t="s">
        <v>9240</v>
      </c>
      <c r="B932" t="s">
        <v>8182</v>
      </c>
      <c r="C932" t="s">
        <v>10201</v>
      </c>
    </row>
    <row r="933" spans="1:3" x14ac:dyDescent="0.2">
      <c r="A933" t="s">
        <v>9253</v>
      </c>
      <c r="B933" t="s">
        <v>8186</v>
      </c>
      <c r="C933" t="s">
        <v>10211</v>
      </c>
    </row>
    <row r="934" spans="1:3" x14ac:dyDescent="0.2">
      <c r="A934" t="s">
        <v>9263</v>
      </c>
      <c r="B934" t="s">
        <v>8194</v>
      </c>
      <c r="C934" t="s">
        <v>10213</v>
      </c>
    </row>
    <row r="935" spans="1:3" x14ac:dyDescent="0.2">
      <c r="A935" t="s">
        <v>9267</v>
      </c>
      <c r="B935" t="s">
        <v>8196</v>
      </c>
      <c r="C935" t="s">
        <v>10215</v>
      </c>
    </row>
    <row r="936" spans="1:3" x14ac:dyDescent="0.2">
      <c r="A936" t="s">
        <v>9270</v>
      </c>
      <c r="B936" t="s">
        <v>8201</v>
      </c>
      <c r="C936" t="s">
        <v>10223</v>
      </c>
    </row>
    <row r="937" spans="1:3" x14ac:dyDescent="0.2">
      <c r="A937" t="s">
        <v>9272</v>
      </c>
      <c r="B937" t="s">
        <v>8216</v>
      </c>
      <c r="C937" t="s">
        <v>10225</v>
      </c>
    </row>
    <row r="938" spans="1:3" x14ac:dyDescent="0.2">
      <c r="A938" t="s">
        <v>9274</v>
      </c>
      <c r="B938" t="s">
        <v>8225</v>
      </c>
      <c r="C938" t="s">
        <v>10228</v>
      </c>
    </row>
    <row r="939" spans="1:3" x14ac:dyDescent="0.2">
      <c r="A939" t="s">
        <v>9276</v>
      </c>
      <c r="B939" t="s">
        <v>8229</v>
      </c>
      <c r="C939" t="s">
        <v>10232</v>
      </c>
    </row>
    <row r="940" spans="1:3" x14ac:dyDescent="0.2">
      <c r="A940" t="s">
        <v>9279</v>
      </c>
      <c r="B940" t="s">
        <v>8231</v>
      </c>
      <c r="C940" t="s">
        <v>10238</v>
      </c>
    </row>
    <row r="941" spans="1:3" x14ac:dyDescent="0.2">
      <c r="A941" t="s">
        <v>9283</v>
      </c>
      <c r="B941" t="s">
        <v>8237</v>
      </c>
      <c r="C941" t="s">
        <v>10245</v>
      </c>
    </row>
    <row r="942" spans="1:3" x14ac:dyDescent="0.2">
      <c r="A942" t="s">
        <v>9286</v>
      </c>
      <c r="B942" t="s">
        <v>8241</v>
      </c>
      <c r="C942" t="s">
        <v>10251</v>
      </c>
    </row>
    <row r="943" spans="1:3" x14ac:dyDescent="0.2">
      <c r="A943" t="s">
        <v>9296</v>
      </c>
      <c r="B943" t="s">
        <v>8243</v>
      </c>
      <c r="C943" t="s">
        <v>10253</v>
      </c>
    </row>
    <row r="944" spans="1:3" x14ac:dyDescent="0.2">
      <c r="A944" t="s">
        <v>9304</v>
      </c>
      <c r="B944" t="s">
        <v>8245</v>
      </c>
      <c r="C944" t="s">
        <v>10255</v>
      </c>
    </row>
    <row r="945" spans="1:3" x14ac:dyDescent="0.2">
      <c r="A945" t="s">
        <v>9314</v>
      </c>
      <c r="B945" t="s">
        <v>8247</v>
      </c>
      <c r="C945" t="s">
        <v>10257</v>
      </c>
    </row>
    <row r="946" spans="1:3" x14ac:dyDescent="0.2">
      <c r="A946" t="s">
        <v>9316</v>
      </c>
      <c r="B946" t="s">
        <v>8249</v>
      </c>
      <c r="C946" t="s">
        <v>10263</v>
      </c>
    </row>
    <row r="947" spans="1:3" x14ac:dyDescent="0.2">
      <c r="A947" t="s">
        <v>9318</v>
      </c>
      <c r="B947" t="s">
        <v>8253</v>
      </c>
      <c r="C947" t="s">
        <v>10265</v>
      </c>
    </row>
    <row r="948" spans="1:3" x14ac:dyDescent="0.2">
      <c r="A948" t="s">
        <v>9320</v>
      </c>
      <c r="B948" t="s">
        <v>8257</v>
      </c>
      <c r="C948" t="s">
        <v>10267</v>
      </c>
    </row>
    <row r="949" spans="1:3" x14ac:dyDescent="0.2">
      <c r="A949" t="s">
        <v>9322</v>
      </c>
      <c r="B949" t="s">
        <v>8263</v>
      </c>
      <c r="C949" t="s">
        <v>10269</v>
      </c>
    </row>
    <row r="950" spans="1:3" x14ac:dyDescent="0.2">
      <c r="A950" t="s">
        <v>9326</v>
      </c>
      <c r="B950" t="s">
        <v>8265</v>
      </c>
      <c r="C950" t="s">
        <v>10281</v>
      </c>
    </row>
    <row r="951" spans="1:3" x14ac:dyDescent="0.2">
      <c r="A951" t="s">
        <v>9329</v>
      </c>
      <c r="B951" t="s">
        <v>8269</v>
      </c>
      <c r="C951" t="s">
        <v>10287</v>
      </c>
    </row>
    <row r="952" spans="1:3" x14ac:dyDescent="0.2">
      <c r="A952" t="s">
        <v>9331</v>
      </c>
      <c r="B952" t="s">
        <v>8273</v>
      </c>
      <c r="C952" t="s">
        <v>10289</v>
      </c>
    </row>
    <row r="953" spans="1:3" x14ac:dyDescent="0.2">
      <c r="A953" t="s">
        <v>9334</v>
      </c>
      <c r="B953" t="s">
        <v>8283</v>
      </c>
      <c r="C953" t="s">
        <v>10316</v>
      </c>
    </row>
    <row r="954" spans="1:3" x14ac:dyDescent="0.2">
      <c r="A954" t="s">
        <v>9345</v>
      </c>
      <c r="B954" t="s">
        <v>8289</v>
      </c>
      <c r="C954" t="s">
        <v>10318</v>
      </c>
    </row>
    <row r="955" spans="1:3" x14ac:dyDescent="0.2">
      <c r="A955" t="s">
        <v>9349</v>
      </c>
      <c r="B955" t="s">
        <v>8296</v>
      </c>
      <c r="C955" t="s">
        <v>10332</v>
      </c>
    </row>
    <row r="956" spans="1:3" x14ac:dyDescent="0.2">
      <c r="A956" t="s">
        <v>9352</v>
      </c>
      <c r="B956" t="s">
        <v>8299</v>
      </c>
      <c r="C956" t="s">
        <v>10349</v>
      </c>
    </row>
    <row r="957" spans="1:3" x14ac:dyDescent="0.2">
      <c r="A957" t="s">
        <v>9382</v>
      </c>
      <c r="B957" t="s">
        <v>8311</v>
      </c>
      <c r="C957" t="s">
        <v>10359</v>
      </c>
    </row>
    <row r="958" spans="1:3" x14ac:dyDescent="0.2">
      <c r="A958" t="s">
        <v>9390</v>
      </c>
      <c r="B958" t="s">
        <v>8315</v>
      </c>
      <c r="C958" t="s">
        <v>10366</v>
      </c>
    </row>
    <row r="959" spans="1:3" x14ac:dyDescent="0.2">
      <c r="A959" t="s">
        <v>9400</v>
      </c>
      <c r="B959" t="s">
        <v>8321</v>
      </c>
      <c r="C959" t="s">
        <v>10379</v>
      </c>
    </row>
    <row r="960" spans="1:3" x14ac:dyDescent="0.2">
      <c r="A960" t="s">
        <v>9403</v>
      </c>
      <c r="B960" t="s">
        <v>8323</v>
      </c>
      <c r="C960" t="s">
        <v>10381</v>
      </c>
    </row>
    <row r="961" spans="1:3" x14ac:dyDescent="0.2">
      <c r="A961" t="s">
        <v>9414</v>
      </c>
      <c r="B961" t="s">
        <v>8325</v>
      </c>
      <c r="C961" t="s">
        <v>10383</v>
      </c>
    </row>
    <row r="962" spans="1:3" x14ac:dyDescent="0.2">
      <c r="A962" t="s">
        <v>9420</v>
      </c>
      <c r="B962" t="s">
        <v>8329</v>
      </c>
      <c r="C962" t="s">
        <v>10385</v>
      </c>
    </row>
    <row r="963" spans="1:3" x14ac:dyDescent="0.2">
      <c r="A963" t="s">
        <v>9422</v>
      </c>
      <c r="B963" t="s">
        <v>8331</v>
      </c>
      <c r="C963" t="s">
        <v>10387</v>
      </c>
    </row>
    <row r="964" spans="1:3" x14ac:dyDescent="0.2">
      <c r="A964" t="s">
        <v>9426</v>
      </c>
      <c r="B964" t="s">
        <v>8333</v>
      </c>
      <c r="C964" t="s">
        <v>10389</v>
      </c>
    </row>
    <row r="965" spans="1:3" x14ac:dyDescent="0.2">
      <c r="A965" t="s">
        <v>9428</v>
      </c>
      <c r="B965" t="s">
        <v>8335</v>
      </c>
      <c r="C965" t="s">
        <v>10393</v>
      </c>
    </row>
    <row r="966" spans="1:3" x14ac:dyDescent="0.2">
      <c r="A966" t="s">
        <v>9460</v>
      </c>
      <c r="B966" t="s">
        <v>8339</v>
      </c>
      <c r="C966" t="s">
        <v>10406</v>
      </c>
    </row>
    <row r="967" spans="1:3" x14ac:dyDescent="0.2">
      <c r="A967" t="s">
        <v>9466</v>
      </c>
      <c r="B967" t="s">
        <v>8341</v>
      </c>
      <c r="C967" t="s">
        <v>10410</v>
      </c>
    </row>
    <row r="968" spans="1:3" x14ac:dyDescent="0.2">
      <c r="A968" t="s">
        <v>9468</v>
      </c>
      <c r="B968" t="s">
        <v>8359</v>
      </c>
      <c r="C968" t="s">
        <v>10424</v>
      </c>
    </row>
    <row r="969" spans="1:3" x14ac:dyDescent="0.2">
      <c r="A969" t="s">
        <v>9471</v>
      </c>
      <c r="B969" t="s">
        <v>8366</v>
      </c>
      <c r="C969" t="s">
        <v>10426</v>
      </c>
    </row>
    <row r="970" spans="1:3" x14ac:dyDescent="0.2">
      <c r="A970" t="s">
        <v>9474</v>
      </c>
      <c r="B970" t="s">
        <v>8373</v>
      </c>
      <c r="C970" t="s">
        <v>10441</v>
      </c>
    </row>
    <row r="971" spans="1:3" x14ac:dyDescent="0.2">
      <c r="A971" t="s">
        <v>9478</v>
      </c>
      <c r="B971" t="s">
        <v>8376</v>
      </c>
      <c r="C971" t="s">
        <v>10449</v>
      </c>
    </row>
    <row r="972" spans="1:3" x14ac:dyDescent="0.2">
      <c r="A972" t="s">
        <v>9480</v>
      </c>
      <c r="B972" t="s">
        <v>8379</v>
      </c>
      <c r="C972" t="s">
        <v>10470</v>
      </c>
    </row>
    <row r="973" spans="1:3" x14ac:dyDescent="0.2">
      <c r="A973" t="s">
        <v>9488</v>
      </c>
      <c r="B973" t="s">
        <v>8386</v>
      </c>
      <c r="C973" t="s">
        <v>10474</v>
      </c>
    </row>
    <row r="974" spans="1:3" x14ac:dyDescent="0.2">
      <c r="A974" t="s">
        <v>9490</v>
      </c>
      <c r="B974" t="s">
        <v>8390</v>
      </c>
      <c r="C974" t="s">
        <v>10480</v>
      </c>
    </row>
    <row r="975" spans="1:3" x14ac:dyDescent="0.2">
      <c r="A975" t="s">
        <v>9501</v>
      </c>
      <c r="B975" t="s">
        <v>8394</v>
      </c>
      <c r="C975" t="s">
        <v>10499</v>
      </c>
    </row>
    <row r="976" spans="1:3" x14ac:dyDescent="0.2">
      <c r="A976" t="s">
        <v>9503</v>
      </c>
      <c r="B976" t="s">
        <v>8405</v>
      </c>
      <c r="C976" t="s">
        <v>10503</v>
      </c>
    </row>
    <row r="977" spans="1:3" x14ac:dyDescent="0.2">
      <c r="A977" t="s">
        <v>9505</v>
      </c>
      <c r="B977" t="s">
        <v>8413</v>
      </c>
      <c r="C977" t="s">
        <v>10514</v>
      </c>
    </row>
    <row r="978" spans="1:3" x14ac:dyDescent="0.2">
      <c r="A978" t="s">
        <v>9507</v>
      </c>
      <c r="B978" t="s">
        <v>8425</v>
      </c>
      <c r="C978" t="s">
        <v>10522</v>
      </c>
    </row>
    <row r="979" spans="1:3" x14ac:dyDescent="0.2">
      <c r="A979" t="s">
        <v>9509</v>
      </c>
      <c r="B979" t="s">
        <v>8428</v>
      </c>
      <c r="C979" t="s">
        <v>10531</v>
      </c>
    </row>
    <row r="980" spans="1:3" x14ac:dyDescent="0.2">
      <c r="A980" t="s">
        <v>9515</v>
      </c>
      <c r="B980" t="s">
        <v>8431</v>
      </c>
      <c r="C980" t="s">
        <v>10537</v>
      </c>
    </row>
    <row r="981" spans="1:3" x14ac:dyDescent="0.2">
      <c r="A981" t="s">
        <v>9522</v>
      </c>
      <c r="B981" t="s">
        <v>8434</v>
      </c>
      <c r="C981" t="s">
        <v>10541</v>
      </c>
    </row>
    <row r="982" spans="1:3" x14ac:dyDescent="0.2">
      <c r="A982" t="s">
        <v>9531</v>
      </c>
      <c r="B982" t="s">
        <v>8438</v>
      </c>
      <c r="C982" t="s">
        <v>10545</v>
      </c>
    </row>
    <row r="983" spans="1:3" x14ac:dyDescent="0.2">
      <c r="A983" t="s">
        <v>9533</v>
      </c>
      <c r="B983" t="s">
        <v>8448</v>
      </c>
      <c r="C983" t="s">
        <v>10556</v>
      </c>
    </row>
    <row r="984" spans="1:3" x14ac:dyDescent="0.2">
      <c r="A984" t="s">
        <v>9547</v>
      </c>
      <c r="B984" t="s">
        <v>8462</v>
      </c>
      <c r="C984" t="s">
        <v>10580</v>
      </c>
    </row>
    <row r="985" spans="1:3" x14ac:dyDescent="0.2">
      <c r="A985" t="s">
        <v>9549</v>
      </c>
      <c r="B985" t="s">
        <v>8464</v>
      </c>
      <c r="C985" t="s">
        <v>10590</v>
      </c>
    </row>
    <row r="986" spans="1:3" x14ac:dyDescent="0.2">
      <c r="A986" t="s">
        <v>9551</v>
      </c>
      <c r="B986" t="s">
        <v>8466</v>
      </c>
      <c r="C986" t="s">
        <v>10609</v>
      </c>
    </row>
    <row r="987" spans="1:3" x14ac:dyDescent="0.2">
      <c r="A987" t="s">
        <v>9555</v>
      </c>
      <c r="B987" t="s">
        <v>8477</v>
      </c>
      <c r="C987" t="s">
        <v>10627</v>
      </c>
    </row>
    <row r="988" spans="1:3" x14ac:dyDescent="0.2">
      <c r="A988" t="s">
        <v>9572</v>
      </c>
      <c r="B988" t="s">
        <v>8484</v>
      </c>
      <c r="C988" t="s">
        <v>10633</v>
      </c>
    </row>
    <row r="989" spans="1:3" x14ac:dyDescent="0.2">
      <c r="A989" t="s">
        <v>9576</v>
      </c>
      <c r="B989" t="s">
        <v>8491</v>
      </c>
      <c r="C989" t="s">
        <v>10643</v>
      </c>
    </row>
    <row r="990" spans="1:3" x14ac:dyDescent="0.2">
      <c r="A990" t="s">
        <v>9578</v>
      </c>
      <c r="B990" t="s">
        <v>8495</v>
      </c>
      <c r="C990" t="s">
        <v>10648</v>
      </c>
    </row>
    <row r="991" spans="1:3" x14ac:dyDescent="0.2">
      <c r="A991" t="s">
        <v>9580</v>
      </c>
      <c r="B991" t="s">
        <v>8500</v>
      </c>
      <c r="C991" t="s">
        <v>10650</v>
      </c>
    </row>
    <row r="992" spans="1:3" x14ac:dyDescent="0.2">
      <c r="A992" t="s">
        <v>9586</v>
      </c>
      <c r="B992" t="s">
        <v>8508</v>
      </c>
      <c r="C992" t="s">
        <v>10661</v>
      </c>
    </row>
    <row r="993" spans="1:3" x14ac:dyDescent="0.2">
      <c r="A993" t="s">
        <v>9591</v>
      </c>
      <c r="B993" t="s">
        <v>8510</v>
      </c>
      <c r="C993" t="s">
        <v>10665</v>
      </c>
    </row>
    <row r="994" spans="1:3" x14ac:dyDescent="0.2">
      <c r="A994" t="s">
        <v>9599</v>
      </c>
      <c r="B994" t="s">
        <v>8512</v>
      </c>
      <c r="C994" t="s">
        <v>10669</v>
      </c>
    </row>
    <row r="995" spans="1:3" x14ac:dyDescent="0.2">
      <c r="A995" t="s">
        <v>9603</v>
      </c>
      <c r="B995" t="s">
        <v>8520</v>
      </c>
      <c r="C995" t="s">
        <v>10675</v>
      </c>
    </row>
    <row r="996" spans="1:3" x14ac:dyDescent="0.2">
      <c r="A996" t="s">
        <v>9605</v>
      </c>
      <c r="B996" t="s">
        <v>8525</v>
      </c>
      <c r="C996" t="s">
        <v>10686</v>
      </c>
    </row>
    <row r="997" spans="1:3" x14ac:dyDescent="0.2">
      <c r="A997" t="s">
        <v>9608</v>
      </c>
      <c r="B997" t="s">
        <v>8530</v>
      </c>
      <c r="C997" t="s">
        <v>10697</v>
      </c>
    </row>
    <row r="998" spans="1:3" x14ac:dyDescent="0.2">
      <c r="A998" t="s">
        <v>9610</v>
      </c>
      <c r="B998" t="s">
        <v>8545</v>
      </c>
      <c r="C998" t="s">
        <v>10701</v>
      </c>
    </row>
    <row r="999" spans="1:3" x14ac:dyDescent="0.2">
      <c r="A999" t="s">
        <v>9613</v>
      </c>
      <c r="B999" t="s">
        <v>8547</v>
      </c>
      <c r="C999" t="s">
        <v>10707</v>
      </c>
    </row>
    <row r="1000" spans="1:3" x14ac:dyDescent="0.2">
      <c r="A1000" t="s">
        <v>9616</v>
      </c>
      <c r="B1000" t="s">
        <v>8550</v>
      </c>
      <c r="C1000" t="s">
        <v>10709</v>
      </c>
    </row>
    <row r="1001" spans="1:3" x14ac:dyDescent="0.2">
      <c r="A1001" t="s">
        <v>9619</v>
      </c>
      <c r="B1001" t="s">
        <v>8552</v>
      </c>
      <c r="C1001" t="s">
        <v>10717</v>
      </c>
    </row>
    <row r="1002" spans="1:3" x14ac:dyDescent="0.2">
      <c r="A1002" t="s">
        <v>9622</v>
      </c>
      <c r="B1002" t="s">
        <v>8554</v>
      </c>
      <c r="C1002" t="s">
        <v>10719</v>
      </c>
    </row>
    <row r="1003" spans="1:3" x14ac:dyDescent="0.2">
      <c r="A1003" t="s">
        <v>9628</v>
      </c>
      <c r="B1003" t="s">
        <v>8558</v>
      </c>
      <c r="C1003" t="s">
        <v>10726</v>
      </c>
    </row>
    <row r="1004" spans="1:3" x14ac:dyDescent="0.2">
      <c r="A1004" t="s">
        <v>9639</v>
      </c>
      <c r="B1004" t="s">
        <v>8560</v>
      </c>
      <c r="C1004" t="s">
        <v>10742</v>
      </c>
    </row>
    <row r="1005" spans="1:3" x14ac:dyDescent="0.2">
      <c r="A1005" t="s">
        <v>9645</v>
      </c>
      <c r="B1005" t="s">
        <v>8562</v>
      </c>
      <c r="C1005" t="s">
        <v>10748</v>
      </c>
    </row>
    <row r="1006" spans="1:3" x14ac:dyDescent="0.2">
      <c r="A1006" t="s">
        <v>9647</v>
      </c>
      <c r="B1006" t="s">
        <v>8564</v>
      </c>
      <c r="C1006" t="s">
        <v>10753</v>
      </c>
    </row>
    <row r="1007" spans="1:3" x14ac:dyDescent="0.2">
      <c r="A1007" t="s">
        <v>9658</v>
      </c>
      <c r="B1007" t="s">
        <v>8572</v>
      </c>
      <c r="C1007" t="s">
        <v>10757</v>
      </c>
    </row>
    <row r="1008" spans="1:3" x14ac:dyDescent="0.2">
      <c r="A1008" t="s">
        <v>9673</v>
      </c>
      <c r="B1008" t="s">
        <v>8574</v>
      </c>
      <c r="C1008" t="s">
        <v>10761</v>
      </c>
    </row>
    <row r="1009" spans="1:3" x14ac:dyDescent="0.2">
      <c r="A1009" t="s">
        <v>9675</v>
      </c>
      <c r="B1009" t="s">
        <v>8576</v>
      </c>
      <c r="C1009" t="s">
        <v>10773</v>
      </c>
    </row>
    <row r="1010" spans="1:3" x14ac:dyDescent="0.2">
      <c r="A1010" t="s">
        <v>9680</v>
      </c>
      <c r="B1010" t="s">
        <v>8578</v>
      </c>
      <c r="C1010" t="s">
        <v>10775</v>
      </c>
    </row>
    <row r="1011" spans="1:3" x14ac:dyDescent="0.2">
      <c r="A1011" t="s">
        <v>9686</v>
      </c>
      <c r="B1011" t="s">
        <v>8580</v>
      </c>
      <c r="C1011" t="s">
        <v>10777</v>
      </c>
    </row>
    <row r="1012" spans="1:3" x14ac:dyDescent="0.2">
      <c r="A1012" t="s">
        <v>9691</v>
      </c>
      <c r="B1012" t="s">
        <v>8586</v>
      </c>
      <c r="C1012" t="s">
        <v>10779</v>
      </c>
    </row>
    <row r="1013" spans="1:3" x14ac:dyDescent="0.2">
      <c r="A1013" t="s">
        <v>9696</v>
      </c>
      <c r="B1013" t="s">
        <v>8591</v>
      </c>
      <c r="C1013" t="s">
        <v>10787</v>
      </c>
    </row>
    <row r="1014" spans="1:3" x14ac:dyDescent="0.2">
      <c r="A1014" t="s">
        <v>9698</v>
      </c>
      <c r="B1014" t="s">
        <v>8595</v>
      </c>
      <c r="C1014" t="s">
        <v>10793</v>
      </c>
    </row>
    <row r="1015" spans="1:3" x14ac:dyDescent="0.2">
      <c r="A1015" t="s">
        <v>9702</v>
      </c>
      <c r="B1015" t="s">
        <v>8597</v>
      </c>
      <c r="C1015" t="s">
        <v>10797</v>
      </c>
    </row>
    <row r="1016" spans="1:3" x14ac:dyDescent="0.2">
      <c r="A1016" t="s">
        <v>9708</v>
      </c>
      <c r="B1016" t="s">
        <v>8600</v>
      </c>
      <c r="C1016" t="s">
        <v>10799</v>
      </c>
    </row>
    <row r="1017" spans="1:3" x14ac:dyDescent="0.2">
      <c r="A1017" t="s">
        <v>9714</v>
      </c>
      <c r="B1017" t="s">
        <v>8602</v>
      </c>
      <c r="C1017" t="s">
        <v>10809</v>
      </c>
    </row>
    <row r="1018" spans="1:3" x14ac:dyDescent="0.2">
      <c r="A1018" t="s">
        <v>9718</v>
      </c>
      <c r="B1018" t="s">
        <v>8605</v>
      </c>
      <c r="C1018" t="s">
        <v>10829</v>
      </c>
    </row>
    <row r="1019" spans="1:3" x14ac:dyDescent="0.2">
      <c r="A1019" t="s">
        <v>9720</v>
      </c>
      <c r="B1019" t="s">
        <v>8617</v>
      </c>
      <c r="C1019" t="s">
        <v>10832</v>
      </c>
    </row>
    <row r="1020" spans="1:3" x14ac:dyDescent="0.2">
      <c r="A1020" t="s">
        <v>9724</v>
      </c>
      <c r="B1020" t="s">
        <v>8626</v>
      </c>
      <c r="C1020" t="s">
        <v>10834</v>
      </c>
    </row>
    <row r="1021" spans="1:3" x14ac:dyDescent="0.2">
      <c r="A1021" t="s">
        <v>9726</v>
      </c>
      <c r="B1021" t="s">
        <v>8628</v>
      </c>
      <c r="C1021" t="s">
        <v>10838</v>
      </c>
    </row>
    <row r="1022" spans="1:3" x14ac:dyDescent="0.2">
      <c r="A1022" t="s">
        <v>9728</v>
      </c>
      <c r="B1022" t="s">
        <v>8630</v>
      </c>
      <c r="C1022" t="s">
        <v>10840</v>
      </c>
    </row>
    <row r="1023" spans="1:3" x14ac:dyDescent="0.2">
      <c r="A1023" t="s">
        <v>9730</v>
      </c>
      <c r="B1023" t="s">
        <v>8632</v>
      </c>
      <c r="C1023" t="s">
        <v>10843</v>
      </c>
    </row>
    <row r="1024" spans="1:3" x14ac:dyDescent="0.2">
      <c r="A1024" t="s">
        <v>9732</v>
      </c>
      <c r="B1024" t="s">
        <v>8637</v>
      </c>
      <c r="C1024" t="s">
        <v>10867</v>
      </c>
    </row>
    <row r="1025" spans="1:3" x14ac:dyDescent="0.2">
      <c r="A1025" t="s">
        <v>9734</v>
      </c>
      <c r="B1025" t="s">
        <v>8639</v>
      </c>
      <c r="C1025" t="s">
        <v>10876</v>
      </c>
    </row>
    <row r="1026" spans="1:3" x14ac:dyDescent="0.2">
      <c r="A1026" t="s">
        <v>9736</v>
      </c>
      <c r="B1026" t="s">
        <v>8641</v>
      </c>
      <c r="C1026" t="s">
        <v>10898</v>
      </c>
    </row>
    <row r="1027" spans="1:3" x14ac:dyDescent="0.2">
      <c r="A1027" t="s">
        <v>9738</v>
      </c>
      <c r="B1027" t="s">
        <v>8644</v>
      </c>
      <c r="C1027" t="s">
        <v>10912</v>
      </c>
    </row>
    <row r="1028" spans="1:3" x14ac:dyDescent="0.2">
      <c r="A1028" t="s">
        <v>9740</v>
      </c>
      <c r="B1028" t="s">
        <v>8647</v>
      </c>
      <c r="C1028" t="s">
        <v>10918</v>
      </c>
    </row>
    <row r="1029" spans="1:3" x14ac:dyDescent="0.2">
      <c r="A1029" t="s">
        <v>9742</v>
      </c>
      <c r="B1029" t="s">
        <v>8661</v>
      </c>
      <c r="C1029" t="s">
        <v>10920</v>
      </c>
    </row>
    <row r="1030" spans="1:3" x14ac:dyDescent="0.2">
      <c r="A1030" t="s">
        <v>9744</v>
      </c>
      <c r="B1030" t="s">
        <v>8664</v>
      </c>
      <c r="C1030" t="s">
        <v>10943</v>
      </c>
    </row>
    <row r="1031" spans="1:3" x14ac:dyDescent="0.2">
      <c r="A1031" t="s">
        <v>9746</v>
      </c>
      <c r="B1031" t="s">
        <v>8670</v>
      </c>
      <c r="C1031" t="s">
        <v>10951</v>
      </c>
    </row>
    <row r="1032" spans="1:3" x14ac:dyDescent="0.2">
      <c r="A1032" t="s">
        <v>9748</v>
      </c>
      <c r="B1032" t="s">
        <v>8672</v>
      </c>
      <c r="C1032" t="s">
        <v>10953</v>
      </c>
    </row>
    <row r="1033" spans="1:3" x14ac:dyDescent="0.2">
      <c r="A1033" t="s">
        <v>9752</v>
      </c>
      <c r="B1033" t="s">
        <v>8674</v>
      </c>
      <c r="C1033" t="s">
        <v>10961</v>
      </c>
    </row>
    <row r="1034" spans="1:3" x14ac:dyDescent="0.2">
      <c r="A1034" t="s">
        <v>9756</v>
      </c>
      <c r="B1034" t="s">
        <v>8684</v>
      </c>
      <c r="C1034" t="s">
        <v>10963</v>
      </c>
    </row>
    <row r="1035" spans="1:3" x14ac:dyDescent="0.2">
      <c r="A1035" t="s">
        <v>9758</v>
      </c>
      <c r="B1035" t="s">
        <v>8688</v>
      </c>
      <c r="C1035" t="s">
        <v>10967</v>
      </c>
    </row>
    <row r="1036" spans="1:3" x14ac:dyDescent="0.2">
      <c r="A1036" t="s">
        <v>9760</v>
      </c>
      <c r="B1036" t="s">
        <v>8690</v>
      </c>
      <c r="C1036" t="s">
        <v>10969</v>
      </c>
    </row>
    <row r="1037" spans="1:3" x14ac:dyDescent="0.2">
      <c r="A1037" t="s">
        <v>9768</v>
      </c>
      <c r="B1037" t="s">
        <v>8695</v>
      </c>
      <c r="C1037" t="s">
        <v>10976</v>
      </c>
    </row>
    <row r="1038" spans="1:3" x14ac:dyDescent="0.2">
      <c r="A1038" t="s">
        <v>9778</v>
      </c>
      <c r="B1038" t="s">
        <v>8705</v>
      </c>
      <c r="C1038" t="s">
        <v>10982</v>
      </c>
    </row>
    <row r="1039" spans="1:3" x14ac:dyDescent="0.2">
      <c r="A1039" t="s">
        <v>9790</v>
      </c>
      <c r="B1039" t="s">
        <v>8710</v>
      </c>
      <c r="C1039" t="s">
        <v>10985</v>
      </c>
    </row>
    <row r="1040" spans="1:3" x14ac:dyDescent="0.2">
      <c r="A1040" t="s">
        <v>9801</v>
      </c>
      <c r="B1040" t="s">
        <v>8712</v>
      </c>
      <c r="C1040" t="s">
        <v>10990</v>
      </c>
    </row>
    <row r="1041" spans="1:3" x14ac:dyDescent="0.2">
      <c r="A1041" t="s">
        <v>9803</v>
      </c>
      <c r="B1041" t="s">
        <v>8718</v>
      </c>
      <c r="C1041" t="s">
        <v>10997</v>
      </c>
    </row>
    <row r="1042" spans="1:3" x14ac:dyDescent="0.2">
      <c r="A1042" t="s">
        <v>9806</v>
      </c>
      <c r="B1042" t="s">
        <v>8729</v>
      </c>
      <c r="C1042" t="s">
        <v>11001</v>
      </c>
    </row>
    <row r="1043" spans="1:3" x14ac:dyDescent="0.2">
      <c r="A1043" t="s">
        <v>9808</v>
      </c>
      <c r="B1043" t="s">
        <v>8731</v>
      </c>
      <c r="C1043" t="s">
        <v>11008</v>
      </c>
    </row>
    <row r="1044" spans="1:3" x14ac:dyDescent="0.2">
      <c r="A1044" t="s">
        <v>9810</v>
      </c>
      <c r="B1044" t="s">
        <v>8735</v>
      </c>
      <c r="C1044" t="s">
        <v>11012</v>
      </c>
    </row>
    <row r="1045" spans="1:3" x14ac:dyDescent="0.2">
      <c r="A1045" t="s">
        <v>9813</v>
      </c>
      <c r="B1045" t="s">
        <v>8747</v>
      </c>
      <c r="C1045" t="s">
        <v>11017</v>
      </c>
    </row>
    <row r="1046" spans="1:3" x14ac:dyDescent="0.2">
      <c r="A1046" t="s">
        <v>9816</v>
      </c>
      <c r="B1046" t="s">
        <v>8752</v>
      </c>
      <c r="C1046" t="s">
        <v>11026</v>
      </c>
    </row>
    <row r="1047" spans="1:3" x14ac:dyDescent="0.2">
      <c r="A1047" t="s">
        <v>9818</v>
      </c>
      <c r="B1047" t="s">
        <v>8754</v>
      </c>
      <c r="C1047" t="s">
        <v>11032</v>
      </c>
    </row>
    <row r="1048" spans="1:3" x14ac:dyDescent="0.2">
      <c r="A1048" t="s">
        <v>9820</v>
      </c>
      <c r="B1048" t="s">
        <v>8762</v>
      </c>
      <c r="C1048" t="s">
        <v>11037</v>
      </c>
    </row>
    <row r="1049" spans="1:3" x14ac:dyDescent="0.2">
      <c r="A1049" t="s">
        <v>9824</v>
      </c>
      <c r="B1049" t="s">
        <v>8764</v>
      </c>
      <c r="C1049" t="s">
        <v>11043</v>
      </c>
    </row>
    <row r="1050" spans="1:3" x14ac:dyDescent="0.2">
      <c r="A1050" t="s">
        <v>9826</v>
      </c>
      <c r="B1050" t="s">
        <v>8777</v>
      </c>
      <c r="C1050" t="s">
        <v>11045</v>
      </c>
    </row>
    <row r="1051" spans="1:3" x14ac:dyDescent="0.2">
      <c r="A1051" t="s">
        <v>9842</v>
      </c>
      <c r="B1051" t="s">
        <v>8787</v>
      </c>
      <c r="C1051" t="s">
        <v>11059</v>
      </c>
    </row>
    <row r="1052" spans="1:3" x14ac:dyDescent="0.2">
      <c r="A1052" t="s">
        <v>9844</v>
      </c>
      <c r="B1052" t="s">
        <v>8791</v>
      </c>
      <c r="C1052" t="s">
        <v>11061</v>
      </c>
    </row>
    <row r="1053" spans="1:3" x14ac:dyDescent="0.2">
      <c r="A1053" t="s">
        <v>9850</v>
      </c>
      <c r="B1053" t="s">
        <v>8793</v>
      </c>
      <c r="C1053" t="s">
        <v>11065</v>
      </c>
    </row>
    <row r="1054" spans="1:3" x14ac:dyDescent="0.2">
      <c r="A1054" t="s">
        <v>9857</v>
      </c>
      <c r="B1054" t="s">
        <v>8796</v>
      </c>
      <c r="C1054" t="s">
        <v>11080</v>
      </c>
    </row>
    <row r="1055" spans="1:3" x14ac:dyDescent="0.2">
      <c r="A1055" t="s">
        <v>9859</v>
      </c>
      <c r="B1055" t="s">
        <v>8801</v>
      </c>
      <c r="C1055" t="s">
        <v>11082</v>
      </c>
    </row>
    <row r="1056" spans="1:3" x14ac:dyDescent="0.2">
      <c r="A1056" t="s">
        <v>9863</v>
      </c>
      <c r="B1056" t="s">
        <v>8824</v>
      </c>
      <c r="C1056" t="s">
        <v>11089</v>
      </c>
    </row>
    <row r="1057" spans="1:3" x14ac:dyDescent="0.2">
      <c r="A1057" t="s">
        <v>9865</v>
      </c>
      <c r="B1057" t="s">
        <v>8833</v>
      </c>
      <c r="C1057" t="s">
        <v>11097</v>
      </c>
    </row>
    <row r="1058" spans="1:3" x14ac:dyDescent="0.2">
      <c r="A1058" t="s">
        <v>9868</v>
      </c>
      <c r="B1058" t="s">
        <v>8842</v>
      </c>
      <c r="C1058" t="s">
        <v>11103</v>
      </c>
    </row>
    <row r="1059" spans="1:3" x14ac:dyDescent="0.2">
      <c r="A1059" t="s">
        <v>9870</v>
      </c>
      <c r="B1059" t="s">
        <v>8844</v>
      </c>
      <c r="C1059" t="s">
        <v>11111</v>
      </c>
    </row>
    <row r="1060" spans="1:3" x14ac:dyDescent="0.2">
      <c r="A1060" t="s">
        <v>9872</v>
      </c>
      <c r="B1060" t="s">
        <v>8848</v>
      </c>
      <c r="C1060" t="s">
        <v>11113</v>
      </c>
    </row>
    <row r="1061" spans="1:3" x14ac:dyDescent="0.2">
      <c r="A1061" t="s">
        <v>9876</v>
      </c>
      <c r="B1061" t="s">
        <v>8858</v>
      </c>
      <c r="C1061" t="s">
        <v>11122</v>
      </c>
    </row>
    <row r="1062" spans="1:3" x14ac:dyDescent="0.2">
      <c r="A1062" t="s">
        <v>9887</v>
      </c>
      <c r="B1062" t="s">
        <v>8860</v>
      </c>
      <c r="C1062" t="s">
        <v>11130</v>
      </c>
    </row>
    <row r="1063" spans="1:3" x14ac:dyDescent="0.2">
      <c r="A1063" t="s">
        <v>9898</v>
      </c>
      <c r="B1063" t="s">
        <v>8864</v>
      </c>
      <c r="C1063" t="s">
        <v>11151</v>
      </c>
    </row>
    <row r="1064" spans="1:3" x14ac:dyDescent="0.2">
      <c r="A1064" t="s">
        <v>9900</v>
      </c>
      <c r="B1064" t="s">
        <v>8868</v>
      </c>
      <c r="C1064" t="s">
        <v>11153</v>
      </c>
    </row>
    <row r="1065" spans="1:3" x14ac:dyDescent="0.2">
      <c r="A1065" t="s">
        <v>9905</v>
      </c>
      <c r="B1065" t="s">
        <v>8872</v>
      </c>
      <c r="C1065" t="s">
        <v>11156</v>
      </c>
    </row>
    <row r="1066" spans="1:3" x14ac:dyDescent="0.2">
      <c r="A1066" t="s">
        <v>9907</v>
      </c>
      <c r="B1066" t="s">
        <v>8878</v>
      </c>
      <c r="C1066" t="s">
        <v>11164</v>
      </c>
    </row>
    <row r="1067" spans="1:3" x14ac:dyDescent="0.2">
      <c r="A1067" t="s">
        <v>9913</v>
      </c>
      <c r="B1067" t="s">
        <v>8880</v>
      </c>
      <c r="C1067" t="s">
        <v>11172</v>
      </c>
    </row>
    <row r="1068" spans="1:3" x14ac:dyDescent="0.2">
      <c r="A1068" t="s">
        <v>9916</v>
      </c>
      <c r="B1068" t="s">
        <v>8894</v>
      </c>
      <c r="C1068" t="s">
        <v>11180</v>
      </c>
    </row>
    <row r="1069" spans="1:3" x14ac:dyDescent="0.2">
      <c r="A1069" t="s">
        <v>9920</v>
      </c>
      <c r="B1069" t="s">
        <v>8897</v>
      </c>
      <c r="C1069" t="s">
        <v>11182</v>
      </c>
    </row>
    <row r="1070" spans="1:3" x14ac:dyDescent="0.2">
      <c r="A1070" t="s">
        <v>9927</v>
      </c>
      <c r="B1070" t="s">
        <v>8899</v>
      </c>
      <c r="C1070" t="s">
        <v>11184</v>
      </c>
    </row>
    <row r="1071" spans="1:3" x14ac:dyDescent="0.2">
      <c r="A1071" t="s">
        <v>9936</v>
      </c>
      <c r="B1071" t="s">
        <v>8901</v>
      </c>
      <c r="C1071" t="s">
        <v>11202</v>
      </c>
    </row>
    <row r="1072" spans="1:3" x14ac:dyDescent="0.2">
      <c r="A1072" t="s">
        <v>9950</v>
      </c>
      <c r="B1072" t="s">
        <v>8908</v>
      </c>
      <c r="C1072" t="s">
        <v>11212</v>
      </c>
    </row>
    <row r="1073" spans="1:3" x14ac:dyDescent="0.2">
      <c r="A1073" t="s">
        <v>9962</v>
      </c>
      <c r="B1073" t="s">
        <v>8910</v>
      </c>
      <c r="C1073" t="s">
        <v>11214</v>
      </c>
    </row>
    <row r="1074" spans="1:3" x14ac:dyDescent="0.2">
      <c r="A1074" t="s">
        <v>9964</v>
      </c>
      <c r="B1074" t="s">
        <v>8917</v>
      </c>
      <c r="C1074" t="s">
        <v>11218</v>
      </c>
    </row>
    <row r="1075" spans="1:3" x14ac:dyDescent="0.2">
      <c r="A1075" t="s">
        <v>9972</v>
      </c>
      <c r="B1075" t="s">
        <v>8925</v>
      </c>
      <c r="C1075" t="s">
        <v>11233</v>
      </c>
    </row>
    <row r="1076" spans="1:3" x14ac:dyDescent="0.2">
      <c r="A1076" t="s">
        <v>9974</v>
      </c>
      <c r="B1076" t="s">
        <v>8940</v>
      </c>
      <c r="C1076" t="s">
        <v>11235</v>
      </c>
    </row>
    <row r="1077" spans="1:3" x14ac:dyDescent="0.2">
      <c r="A1077" t="s">
        <v>9976</v>
      </c>
      <c r="B1077" t="s">
        <v>8944</v>
      </c>
      <c r="C1077" t="s">
        <v>11240</v>
      </c>
    </row>
    <row r="1078" spans="1:3" x14ac:dyDescent="0.2">
      <c r="A1078" t="s">
        <v>9982</v>
      </c>
      <c r="B1078" t="s">
        <v>8946</v>
      </c>
      <c r="C1078" t="s">
        <v>11242</v>
      </c>
    </row>
    <row r="1079" spans="1:3" x14ac:dyDescent="0.2">
      <c r="A1079" t="s">
        <v>9984</v>
      </c>
      <c r="B1079" t="s">
        <v>8954</v>
      </c>
      <c r="C1079" t="s">
        <v>11254</v>
      </c>
    </row>
    <row r="1080" spans="1:3" x14ac:dyDescent="0.2">
      <c r="A1080" t="s">
        <v>9990</v>
      </c>
      <c r="B1080" t="s">
        <v>8956</v>
      </c>
      <c r="C1080" t="s">
        <v>11265</v>
      </c>
    </row>
    <row r="1081" spans="1:3" x14ac:dyDescent="0.2">
      <c r="A1081" t="s">
        <v>9998</v>
      </c>
      <c r="B1081" t="s">
        <v>8960</v>
      </c>
      <c r="C1081" t="s">
        <v>11267</v>
      </c>
    </row>
    <row r="1082" spans="1:3" x14ac:dyDescent="0.2">
      <c r="A1082" t="s">
        <v>10020</v>
      </c>
      <c r="B1082" t="s">
        <v>8965</v>
      </c>
      <c r="C1082" t="s">
        <v>11269</v>
      </c>
    </row>
    <row r="1083" spans="1:3" x14ac:dyDescent="0.2">
      <c r="A1083" t="s">
        <v>10024</v>
      </c>
      <c r="B1083" t="s">
        <v>8967</v>
      </c>
      <c r="C1083" t="s">
        <v>11271</v>
      </c>
    </row>
    <row r="1084" spans="1:3" x14ac:dyDescent="0.2">
      <c r="A1084" t="s">
        <v>10028</v>
      </c>
      <c r="B1084" t="s">
        <v>8969</v>
      </c>
      <c r="C1084" t="s">
        <v>11283</v>
      </c>
    </row>
    <row r="1085" spans="1:3" x14ac:dyDescent="0.2">
      <c r="A1085" t="s">
        <v>10030</v>
      </c>
      <c r="B1085" t="s">
        <v>8974</v>
      </c>
      <c r="C1085" t="s">
        <v>11289</v>
      </c>
    </row>
    <row r="1086" spans="1:3" x14ac:dyDescent="0.2">
      <c r="A1086" t="s">
        <v>10032</v>
      </c>
      <c r="B1086" t="s">
        <v>8978</v>
      </c>
      <c r="C1086" t="s">
        <v>11292</v>
      </c>
    </row>
    <row r="1087" spans="1:3" x14ac:dyDescent="0.2">
      <c r="A1087" t="s">
        <v>10039</v>
      </c>
      <c r="B1087" t="s">
        <v>8980</v>
      </c>
      <c r="C1087" t="s">
        <v>11314</v>
      </c>
    </row>
    <row r="1088" spans="1:3" x14ac:dyDescent="0.2">
      <c r="A1088" t="s">
        <v>10049</v>
      </c>
      <c r="B1088" t="s">
        <v>8982</v>
      </c>
      <c r="C1088" t="s">
        <v>11328</v>
      </c>
    </row>
    <row r="1089" spans="1:3" x14ac:dyDescent="0.2">
      <c r="A1089" t="s">
        <v>10054</v>
      </c>
      <c r="B1089" t="s">
        <v>8987</v>
      </c>
      <c r="C1089" t="s">
        <v>11331</v>
      </c>
    </row>
    <row r="1090" spans="1:3" x14ac:dyDescent="0.2">
      <c r="A1090" t="s">
        <v>10073</v>
      </c>
      <c r="B1090" t="s">
        <v>8992</v>
      </c>
      <c r="C1090" t="s">
        <v>11334</v>
      </c>
    </row>
    <row r="1091" spans="1:3" x14ac:dyDescent="0.2">
      <c r="A1091" t="s">
        <v>10084</v>
      </c>
      <c r="B1091" t="s">
        <v>8994</v>
      </c>
      <c r="C1091" t="s">
        <v>11346</v>
      </c>
    </row>
    <row r="1092" spans="1:3" x14ac:dyDescent="0.2">
      <c r="A1092" t="s">
        <v>10087</v>
      </c>
      <c r="B1092" t="s">
        <v>8996</v>
      </c>
      <c r="C1092" t="s">
        <v>11355</v>
      </c>
    </row>
    <row r="1093" spans="1:3" x14ac:dyDescent="0.2">
      <c r="A1093" t="s">
        <v>10089</v>
      </c>
      <c r="B1093" t="s">
        <v>8998</v>
      </c>
      <c r="C1093" t="s">
        <v>11370</v>
      </c>
    </row>
    <row r="1094" spans="1:3" x14ac:dyDescent="0.2">
      <c r="A1094" t="s">
        <v>10095</v>
      </c>
      <c r="B1094" t="s">
        <v>9006</v>
      </c>
      <c r="C1094" t="s">
        <v>11374</v>
      </c>
    </row>
    <row r="1095" spans="1:3" x14ac:dyDescent="0.2">
      <c r="A1095" t="s">
        <v>10097</v>
      </c>
      <c r="B1095" t="s">
        <v>9010</v>
      </c>
      <c r="C1095" t="s">
        <v>11376</v>
      </c>
    </row>
    <row r="1096" spans="1:3" x14ac:dyDescent="0.2">
      <c r="A1096" t="s">
        <v>10107</v>
      </c>
      <c r="B1096" t="s">
        <v>9012</v>
      </c>
      <c r="C1096" t="s">
        <v>11383</v>
      </c>
    </row>
    <row r="1097" spans="1:3" x14ac:dyDescent="0.2">
      <c r="A1097" t="s">
        <v>10109</v>
      </c>
      <c r="B1097" t="s">
        <v>9014</v>
      </c>
      <c r="C1097" t="s">
        <v>11391</v>
      </c>
    </row>
    <row r="1098" spans="1:3" x14ac:dyDescent="0.2">
      <c r="A1098" t="s">
        <v>10113</v>
      </c>
      <c r="B1098" t="s">
        <v>9016</v>
      </c>
      <c r="C1098" t="s">
        <v>11395</v>
      </c>
    </row>
    <row r="1099" spans="1:3" x14ac:dyDescent="0.2">
      <c r="A1099" t="s">
        <v>10139</v>
      </c>
      <c r="B1099" t="s">
        <v>9018</v>
      </c>
      <c r="C1099" t="s">
        <v>11406</v>
      </c>
    </row>
    <row r="1100" spans="1:3" x14ac:dyDescent="0.2">
      <c r="A1100" t="s">
        <v>10145</v>
      </c>
      <c r="B1100" t="s">
        <v>9020</v>
      </c>
      <c r="C1100" t="s">
        <v>11412</v>
      </c>
    </row>
    <row r="1101" spans="1:3" x14ac:dyDescent="0.2">
      <c r="A1101" t="s">
        <v>10147</v>
      </c>
      <c r="B1101" t="s">
        <v>9023</v>
      </c>
      <c r="C1101" t="s">
        <v>11420</v>
      </c>
    </row>
    <row r="1102" spans="1:3" x14ac:dyDescent="0.2">
      <c r="A1102" t="s">
        <v>10155</v>
      </c>
      <c r="B1102" t="s">
        <v>9035</v>
      </c>
      <c r="C1102" t="s">
        <v>11432</v>
      </c>
    </row>
    <row r="1103" spans="1:3" x14ac:dyDescent="0.2">
      <c r="A1103" t="s">
        <v>10157</v>
      </c>
      <c r="B1103" t="s">
        <v>9037</v>
      </c>
      <c r="C1103" t="s">
        <v>11436</v>
      </c>
    </row>
    <row r="1104" spans="1:3" x14ac:dyDescent="0.2">
      <c r="A1104" t="s">
        <v>10163</v>
      </c>
      <c r="B1104" t="s">
        <v>9039</v>
      </c>
      <c r="C1104" t="s">
        <v>11438</v>
      </c>
    </row>
    <row r="1105" spans="1:3" x14ac:dyDescent="0.2">
      <c r="A1105" t="s">
        <v>10166</v>
      </c>
      <c r="B1105" t="s">
        <v>9056</v>
      </c>
      <c r="C1105" t="s">
        <v>11448</v>
      </c>
    </row>
    <row r="1106" spans="1:3" x14ac:dyDescent="0.2">
      <c r="A1106" t="s">
        <v>10168</v>
      </c>
      <c r="B1106" t="s">
        <v>9059</v>
      </c>
      <c r="C1106" t="s">
        <v>11468</v>
      </c>
    </row>
    <row r="1107" spans="1:3" x14ac:dyDescent="0.2">
      <c r="A1107" t="s">
        <v>10170</v>
      </c>
      <c r="B1107" t="s">
        <v>9061</v>
      </c>
      <c r="C1107" t="s">
        <v>11485</v>
      </c>
    </row>
    <row r="1108" spans="1:3" x14ac:dyDescent="0.2">
      <c r="A1108" t="s">
        <v>10174</v>
      </c>
      <c r="B1108" t="s">
        <v>9063</v>
      </c>
      <c r="C1108" t="s">
        <v>11492</v>
      </c>
    </row>
    <row r="1109" spans="1:3" x14ac:dyDescent="0.2">
      <c r="A1109" t="s">
        <v>10180</v>
      </c>
      <c r="B1109" t="s">
        <v>9066</v>
      </c>
      <c r="C1109" t="s">
        <v>11494</v>
      </c>
    </row>
    <row r="1110" spans="1:3" x14ac:dyDescent="0.2">
      <c r="A1110" t="s">
        <v>10185</v>
      </c>
      <c r="B1110" t="s">
        <v>9073</v>
      </c>
      <c r="C1110" t="s">
        <v>11507</v>
      </c>
    </row>
    <row r="1111" spans="1:3" x14ac:dyDescent="0.2">
      <c r="A1111" t="s">
        <v>10191</v>
      </c>
      <c r="B1111" t="s">
        <v>9077</v>
      </c>
      <c r="C1111" t="s">
        <v>11513</v>
      </c>
    </row>
    <row r="1112" spans="1:3" x14ac:dyDescent="0.2">
      <c r="A1112" t="s">
        <v>10193</v>
      </c>
      <c r="B1112" t="s">
        <v>9081</v>
      </c>
      <c r="C1112" t="s">
        <v>11521</v>
      </c>
    </row>
    <row r="1113" spans="1:3" x14ac:dyDescent="0.2">
      <c r="A1113" t="s">
        <v>10195</v>
      </c>
      <c r="B1113" t="s">
        <v>9087</v>
      </c>
      <c r="C1113" t="s">
        <v>11525</v>
      </c>
    </row>
    <row r="1114" spans="1:3" x14ac:dyDescent="0.2">
      <c r="A1114" t="s">
        <v>10197</v>
      </c>
      <c r="B1114" t="s">
        <v>9089</v>
      </c>
      <c r="C1114" t="s">
        <v>11535</v>
      </c>
    </row>
    <row r="1115" spans="1:3" x14ac:dyDescent="0.2">
      <c r="A1115" t="s">
        <v>10199</v>
      </c>
      <c r="B1115" t="s">
        <v>9105</v>
      </c>
      <c r="C1115" t="s">
        <v>11546</v>
      </c>
    </row>
    <row r="1116" spans="1:3" x14ac:dyDescent="0.2">
      <c r="A1116" t="s">
        <v>10203</v>
      </c>
      <c r="B1116" t="s">
        <v>9121</v>
      </c>
      <c r="C1116" t="s">
        <v>11556</v>
      </c>
    </row>
    <row r="1117" spans="1:3" x14ac:dyDescent="0.2">
      <c r="A1117" t="s">
        <v>10205</v>
      </c>
      <c r="B1117" t="s">
        <v>9124</v>
      </c>
      <c r="C1117" t="s">
        <v>11570</v>
      </c>
    </row>
    <row r="1118" spans="1:3" x14ac:dyDescent="0.2">
      <c r="A1118" t="s">
        <v>10208</v>
      </c>
      <c r="B1118" t="s">
        <v>9127</v>
      </c>
      <c r="C1118" t="s">
        <v>11594</v>
      </c>
    </row>
    <row r="1119" spans="1:3" x14ac:dyDescent="0.2">
      <c r="A1119" t="s">
        <v>10215</v>
      </c>
      <c r="B1119" t="s">
        <v>9129</v>
      </c>
      <c r="C1119" t="s">
        <v>11617</v>
      </c>
    </row>
    <row r="1120" spans="1:3" x14ac:dyDescent="0.2">
      <c r="A1120" t="s">
        <v>10221</v>
      </c>
      <c r="B1120" t="s">
        <v>9131</v>
      </c>
      <c r="C1120" t="s">
        <v>11628</v>
      </c>
    </row>
    <row r="1121" spans="1:3" x14ac:dyDescent="0.2">
      <c r="A1121" t="s">
        <v>10228</v>
      </c>
      <c r="B1121" t="s">
        <v>9135</v>
      </c>
      <c r="C1121" t="s">
        <v>11630</v>
      </c>
    </row>
    <row r="1122" spans="1:3" x14ac:dyDescent="0.2">
      <c r="A1122" t="s">
        <v>10234</v>
      </c>
      <c r="B1122" t="s">
        <v>9150</v>
      </c>
      <c r="C1122" t="s">
        <v>11632</v>
      </c>
    </row>
    <row r="1123" spans="1:3" x14ac:dyDescent="0.2">
      <c r="A1123" t="s">
        <v>10247</v>
      </c>
      <c r="B1123" t="s">
        <v>9158</v>
      </c>
      <c r="C1123" t="s">
        <v>11647</v>
      </c>
    </row>
    <row r="1124" spans="1:3" x14ac:dyDescent="0.2">
      <c r="A1124" t="s">
        <v>10251</v>
      </c>
      <c r="B1124" t="s">
        <v>9160</v>
      </c>
      <c r="C1124" t="s">
        <v>11656</v>
      </c>
    </row>
    <row r="1125" spans="1:3" x14ac:dyDescent="0.2">
      <c r="A1125" t="s">
        <v>10255</v>
      </c>
      <c r="B1125" t="s">
        <v>9162</v>
      </c>
      <c r="C1125" t="s">
        <v>11678</v>
      </c>
    </row>
    <row r="1126" spans="1:3" x14ac:dyDescent="0.2">
      <c r="A1126" t="s">
        <v>10259</v>
      </c>
      <c r="B1126" t="s">
        <v>9170</v>
      </c>
      <c r="C1126" t="s">
        <v>11686</v>
      </c>
    </row>
    <row r="1127" spans="1:3" x14ac:dyDescent="0.2">
      <c r="A1127" t="s">
        <v>10263</v>
      </c>
      <c r="B1127" t="s">
        <v>9187</v>
      </c>
      <c r="C1127" t="s">
        <v>11708</v>
      </c>
    </row>
    <row r="1128" spans="1:3" x14ac:dyDescent="0.2">
      <c r="A1128" t="s">
        <v>10269</v>
      </c>
      <c r="B1128" t="s">
        <v>9189</v>
      </c>
      <c r="C1128" t="s">
        <v>11712</v>
      </c>
    </row>
    <row r="1129" spans="1:3" x14ac:dyDescent="0.2">
      <c r="A1129" t="s">
        <v>10277</v>
      </c>
      <c r="B1129" t="s">
        <v>9191</v>
      </c>
      <c r="C1129" t="s">
        <v>11731</v>
      </c>
    </row>
    <row r="1130" spans="1:3" x14ac:dyDescent="0.2">
      <c r="A1130" t="s">
        <v>10279</v>
      </c>
      <c r="B1130" t="s">
        <v>9197</v>
      </c>
      <c r="C1130" t="s">
        <v>11738</v>
      </c>
    </row>
    <row r="1131" spans="1:3" x14ac:dyDescent="0.2">
      <c r="A1131" t="s">
        <v>10285</v>
      </c>
      <c r="B1131" t="s">
        <v>9205</v>
      </c>
      <c r="C1131" t="s">
        <v>11740</v>
      </c>
    </row>
    <row r="1132" spans="1:3" x14ac:dyDescent="0.2">
      <c r="A1132" t="s">
        <v>10293</v>
      </c>
      <c r="B1132" t="s">
        <v>9214</v>
      </c>
      <c r="C1132" t="s">
        <v>11742</v>
      </c>
    </row>
    <row r="1133" spans="1:3" x14ac:dyDescent="0.2">
      <c r="A1133" t="s">
        <v>10297</v>
      </c>
      <c r="B1133" t="s">
        <v>9219</v>
      </c>
      <c r="C1133" t="s">
        <v>11785</v>
      </c>
    </row>
    <row r="1134" spans="1:3" x14ac:dyDescent="0.2">
      <c r="A1134" t="s">
        <v>10303</v>
      </c>
      <c r="B1134" t="s">
        <v>9224</v>
      </c>
      <c r="C1134" t="s">
        <v>11794</v>
      </c>
    </row>
    <row r="1135" spans="1:3" x14ac:dyDescent="0.2">
      <c r="A1135" t="s">
        <v>10305</v>
      </c>
      <c r="B1135" t="s">
        <v>9228</v>
      </c>
      <c r="C1135" t="s">
        <v>11806</v>
      </c>
    </row>
    <row r="1136" spans="1:3" x14ac:dyDescent="0.2">
      <c r="A1136" t="s">
        <v>10320</v>
      </c>
      <c r="B1136" t="s">
        <v>9235</v>
      </c>
      <c r="C1136" t="s">
        <v>11808</v>
      </c>
    </row>
    <row r="1137" spans="1:3" x14ac:dyDescent="0.2">
      <c r="A1137" t="s">
        <v>10322</v>
      </c>
      <c r="B1137" t="s">
        <v>9243</v>
      </c>
      <c r="C1137" t="s">
        <v>11810</v>
      </c>
    </row>
    <row r="1138" spans="1:3" x14ac:dyDescent="0.2">
      <c r="A1138" t="s">
        <v>10325</v>
      </c>
      <c r="B1138" t="s">
        <v>9245</v>
      </c>
      <c r="C1138" t="s">
        <v>11818</v>
      </c>
    </row>
    <row r="1139" spans="1:3" x14ac:dyDescent="0.2">
      <c r="A1139" t="s">
        <v>10327</v>
      </c>
      <c r="B1139" t="s">
        <v>9247</v>
      </c>
      <c r="C1139" t="s">
        <v>11820</v>
      </c>
    </row>
    <row r="1140" spans="1:3" x14ac:dyDescent="0.2">
      <c r="A1140" t="s">
        <v>10329</v>
      </c>
      <c r="B1140" t="s">
        <v>9251</v>
      </c>
      <c r="C1140" t="s">
        <v>11827</v>
      </c>
    </row>
    <row r="1141" spans="1:3" x14ac:dyDescent="0.2">
      <c r="A1141" t="s">
        <v>10338</v>
      </c>
      <c r="B1141" t="s">
        <v>9255</v>
      </c>
      <c r="C1141" t="s">
        <v>11831</v>
      </c>
    </row>
    <row r="1142" spans="1:3" x14ac:dyDescent="0.2">
      <c r="A1142" t="s">
        <v>10341</v>
      </c>
      <c r="B1142" t="s">
        <v>9259</v>
      </c>
      <c r="C1142" t="s">
        <v>11837</v>
      </c>
    </row>
    <row r="1143" spans="1:3" x14ac:dyDescent="0.2">
      <c r="A1143" t="s">
        <v>10343</v>
      </c>
      <c r="B1143" t="s">
        <v>9261</v>
      </c>
      <c r="C1143" t="s">
        <v>11844</v>
      </c>
    </row>
    <row r="1144" spans="1:3" x14ac:dyDescent="0.2">
      <c r="A1144" t="s">
        <v>10345</v>
      </c>
      <c r="B1144" t="s">
        <v>9265</v>
      </c>
      <c r="C1144" t="s">
        <v>11860</v>
      </c>
    </row>
    <row r="1145" spans="1:3" x14ac:dyDescent="0.2">
      <c r="A1145" t="s">
        <v>10347</v>
      </c>
      <c r="B1145" t="s">
        <v>9267</v>
      </c>
      <c r="C1145" t="s">
        <v>11873</v>
      </c>
    </row>
    <row r="1146" spans="1:3" x14ac:dyDescent="0.2">
      <c r="A1146" t="s">
        <v>10349</v>
      </c>
      <c r="B1146" t="s">
        <v>9281</v>
      </c>
      <c r="C1146" t="s">
        <v>11875</v>
      </c>
    </row>
    <row r="1147" spans="1:3" x14ac:dyDescent="0.2">
      <c r="A1147" t="s">
        <v>10351</v>
      </c>
      <c r="B1147" t="s">
        <v>9290</v>
      </c>
      <c r="C1147" t="s">
        <v>11879</v>
      </c>
    </row>
    <row r="1148" spans="1:3" x14ac:dyDescent="0.2">
      <c r="A1148" t="s">
        <v>10354</v>
      </c>
      <c r="B1148" t="s">
        <v>9300</v>
      </c>
      <c r="C1148" t="s">
        <v>11883</v>
      </c>
    </row>
    <row r="1149" spans="1:3" x14ac:dyDescent="0.2">
      <c r="A1149" t="s">
        <v>10359</v>
      </c>
      <c r="B1149" t="s">
        <v>9306</v>
      </c>
      <c r="C1149" t="s">
        <v>11887</v>
      </c>
    </row>
    <row r="1150" spans="1:3" x14ac:dyDescent="0.2">
      <c r="A1150" t="s">
        <v>10364</v>
      </c>
      <c r="B1150" t="s">
        <v>9308</v>
      </c>
      <c r="C1150" t="s">
        <v>11889</v>
      </c>
    </row>
    <row r="1151" spans="1:3" x14ac:dyDescent="0.2">
      <c r="A1151" t="s">
        <v>10375</v>
      </c>
      <c r="B1151" t="s">
        <v>9312</v>
      </c>
      <c r="C1151" t="s">
        <v>11895</v>
      </c>
    </row>
    <row r="1152" spans="1:3" x14ac:dyDescent="0.2">
      <c r="A1152" t="s">
        <v>10381</v>
      </c>
      <c r="B1152" t="s">
        <v>9320</v>
      </c>
      <c r="C1152" t="s">
        <v>11900</v>
      </c>
    </row>
    <row r="1153" spans="1:3" x14ac:dyDescent="0.2">
      <c r="A1153" t="s">
        <v>10383</v>
      </c>
      <c r="B1153" t="s">
        <v>9324</v>
      </c>
      <c r="C1153" t="s">
        <v>11910</v>
      </c>
    </row>
    <row r="1154" spans="1:3" x14ac:dyDescent="0.2">
      <c r="A1154" t="s">
        <v>10391</v>
      </c>
      <c r="B1154" t="s">
        <v>9338</v>
      </c>
      <c r="C1154" t="s">
        <v>11935</v>
      </c>
    </row>
    <row r="1155" spans="1:3" x14ac:dyDescent="0.2">
      <c r="A1155" t="s">
        <v>10400</v>
      </c>
      <c r="B1155" t="s">
        <v>9361</v>
      </c>
      <c r="C1155" t="s">
        <v>11948</v>
      </c>
    </row>
    <row r="1156" spans="1:3" x14ac:dyDescent="0.2">
      <c r="A1156" t="s">
        <v>10408</v>
      </c>
      <c r="B1156" t="s">
        <v>9367</v>
      </c>
      <c r="C1156" t="s">
        <v>11958</v>
      </c>
    </row>
    <row r="1157" spans="1:3" x14ac:dyDescent="0.2">
      <c r="A1157" t="s">
        <v>10412</v>
      </c>
      <c r="B1157" t="s">
        <v>9371</v>
      </c>
      <c r="C1157" t="s">
        <v>11960</v>
      </c>
    </row>
    <row r="1158" spans="1:3" x14ac:dyDescent="0.2">
      <c r="A1158" t="s">
        <v>10414</v>
      </c>
      <c r="B1158" t="s">
        <v>9378</v>
      </c>
      <c r="C1158" t="s">
        <v>11965</v>
      </c>
    </row>
    <row r="1159" spans="1:3" x14ac:dyDescent="0.2">
      <c r="A1159" t="s">
        <v>10422</v>
      </c>
      <c r="B1159" t="s">
        <v>9398</v>
      </c>
      <c r="C1159" t="s">
        <v>11971</v>
      </c>
    </row>
    <row r="1160" spans="1:3" x14ac:dyDescent="0.2">
      <c r="A1160" t="s">
        <v>10431</v>
      </c>
      <c r="B1160" t="s">
        <v>9407</v>
      </c>
      <c r="C1160" t="s">
        <v>11977</v>
      </c>
    </row>
    <row r="1161" spans="1:3" x14ac:dyDescent="0.2">
      <c r="A1161" t="s">
        <v>10433</v>
      </c>
      <c r="B1161" t="s">
        <v>9412</v>
      </c>
      <c r="C1161" t="s">
        <v>11979</v>
      </c>
    </row>
    <row r="1162" spans="1:3" x14ac:dyDescent="0.2">
      <c r="A1162" t="s">
        <v>10437</v>
      </c>
      <c r="B1162" t="s">
        <v>9424</v>
      </c>
      <c r="C1162" t="s">
        <v>11984</v>
      </c>
    </row>
    <row r="1163" spans="1:3" x14ac:dyDescent="0.2">
      <c r="A1163" t="s">
        <v>10441</v>
      </c>
      <c r="B1163" t="s">
        <v>9432</v>
      </c>
      <c r="C1163" t="s">
        <v>11992</v>
      </c>
    </row>
    <row r="1164" spans="1:3" x14ac:dyDescent="0.2">
      <c r="A1164" t="s">
        <v>10444</v>
      </c>
      <c r="B1164" t="s">
        <v>9434</v>
      </c>
      <c r="C1164" t="s">
        <v>11996</v>
      </c>
    </row>
    <row r="1165" spans="1:3" x14ac:dyDescent="0.2">
      <c r="A1165" t="s">
        <v>10446</v>
      </c>
      <c r="B1165" t="s">
        <v>9436</v>
      </c>
      <c r="C1165" t="s">
        <v>12012</v>
      </c>
    </row>
    <row r="1166" spans="1:3" x14ac:dyDescent="0.2">
      <c r="A1166" t="s">
        <v>10451</v>
      </c>
      <c r="B1166" t="s">
        <v>9438</v>
      </c>
      <c r="C1166" t="s">
        <v>12036</v>
      </c>
    </row>
    <row r="1167" spans="1:3" x14ac:dyDescent="0.2">
      <c r="A1167" t="s">
        <v>10455</v>
      </c>
      <c r="B1167" t="s">
        <v>9446</v>
      </c>
      <c r="C1167" t="s">
        <v>12040</v>
      </c>
    </row>
    <row r="1168" spans="1:3" x14ac:dyDescent="0.2">
      <c r="A1168" t="s">
        <v>10457</v>
      </c>
      <c r="B1168" t="s">
        <v>9448</v>
      </c>
      <c r="C1168" t="s">
        <v>12052</v>
      </c>
    </row>
    <row r="1169" spans="1:3" x14ac:dyDescent="0.2">
      <c r="A1169" t="s">
        <v>10460</v>
      </c>
      <c r="B1169" t="s">
        <v>9450</v>
      </c>
      <c r="C1169" t="s">
        <v>12056</v>
      </c>
    </row>
    <row r="1170" spans="1:3" x14ac:dyDescent="0.2">
      <c r="A1170" t="s">
        <v>10464</v>
      </c>
      <c r="B1170" t="s">
        <v>9454</v>
      </c>
      <c r="C1170" t="s">
        <v>12067</v>
      </c>
    </row>
    <row r="1171" spans="1:3" x14ac:dyDescent="0.2">
      <c r="A1171" t="s">
        <v>10466</v>
      </c>
      <c r="B1171" t="s">
        <v>9458</v>
      </c>
      <c r="C1171" t="s">
        <v>12069</v>
      </c>
    </row>
    <row r="1172" spans="1:3" x14ac:dyDescent="0.2">
      <c r="A1172" t="s">
        <v>10468</v>
      </c>
      <c r="B1172" t="s">
        <v>9464</v>
      </c>
      <c r="C1172" t="s">
        <v>12071</v>
      </c>
    </row>
    <row r="1173" spans="1:3" x14ac:dyDescent="0.2">
      <c r="A1173" t="s">
        <v>10470</v>
      </c>
      <c r="B1173" t="s">
        <v>9476</v>
      </c>
      <c r="C1173" t="s">
        <v>12082</v>
      </c>
    </row>
    <row r="1174" spans="1:3" x14ac:dyDescent="0.2">
      <c r="A1174" t="s">
        <v>10472</v>
      </c>
      <c r="B1174" t="s">
        <v>9482</v>
      </c>
      <c r="C1174" t="s">
        <v>12088</v>
      </c>
    </row>
    <row r="1175" spans="1:3" x14ac:dyDescent="0.2">
      <c r="A1175" t="s">
        <v>10474</v>
      </c>
      <c r="B1175" t="s">
        <v>9485</v>
      </c>
      <c r="C1175" t="s">
        <v>12090</v>
      </c>
    </row>
    <row r="1176" spans="1:3" x14ac:dyDescent="0.2">
      <c r="A1176" t="s">
        <v>10476</v>
      </c>
      <c r="B1176" t="s">
        <v>9490</v>
      </c>
      <c r="C1176" t="s">
        <v>12095</v>
      </c>
    </row>
    <row r="1177" spans="1:3" x14ac:dyDescent="0.2">
      <c r="A1177" t="s">
        <v>10478</v>
      </c>
      <c r="B1177" t="s">
        <v>9496</v>
      </c>
      <c r="C1177" t="s">
        <v>12101</v>
      </c>
    </row>
    <row r="1178" spans="1:3" x14ac:dyDescent="0.2">
      <c r="A1178" t="s">
        <v>10480</v>
      </c>
      <c r="B1178" t="s">
        <v>9498</v>
      </c>
      <c r="C1178" t="s">
        <v>12113</v>
      </c>
    </row>
    <row r="1179" spans="1:3" x14ac:dyDescent="0.2">
      <c r="A1179" t="s">
        <v>10487</v>
      </c>
      <c r="B1179" t="s">
        <v>9513</v>
      </c>
      <c r="C1179" t="s">
        <v>12123</v>
      </c>
    </row>
    <row r="1180" spans="1:3" x14ac:dyDescent="0.2">
      <c r="A1180" t="s">
        <v>10490</v>
      </c>
      <c r="B1180" t="s">
        <v>9526</v>
      </c>
      <c r="C1180" t="s">
        <v>12169</v>
      </c>
    </row>
    <row r="1181" spans="1:3" x14ac:dyDescent="0.2">
      <c r="A1181" t="s">
        <v>10495</v>
      </c>
      <c r="B1181" t="s">
        <v>9529</v>
      </c>
      <c r="C1181" t="s">
        <v>12183</v>
      </c>
    </row>
    <row r="1182" spans="1:3" x14ac:dyDescent="0.2">
      <c r="A1182" t="s">
        <v>10506</v>
      </c>
      <c r="B1182" t="s">
        <v>9536</v>
      </c>
      <c r="C1182" t="s">
        <v>12186</v>
      </c>
    </row>
    <row r="1183" spans="1:3" x14ac:dyDescent="0.2">
      <c r="A1183" t="s">
        <v>10510</v>
      </c>
      <c r="B1183" t="s">
        <v>9538</v>
      </c>
      <c r="C1183" t="s">
        <v>12188</v>
      </c>
    </row>
    <row r="1184" spans="1:3" x14ac:dyDescent="0.2">
      <c r="A1184" t="s">
        <v>10512</v>
      </c>
      <c r="B1184" t="s">
        <v>9542</v>
      </c>
      <c r="C1184" t="s">
        <v>12205</v>
      </c>
    </row>
    <row r="1185" spans="1:3" x14ac:dyDescent="0.2">
      <c r="A1185" t="s">
        <v>10514</v>
      </c>
      <c r="B1185" t="s">
        <v>9553</v>
      </c>
      <c r="C1185" t="s">
        <v>12210</v>
      </c>
    </row>
    <row r="1186" spans="1:3" x14ac:dyDescent="0.2">
      <c r="A1186" t="s">
        <v>10518</v>
      </c>
      <c r="B1186" t="s">
        <v>9557</v>
      </c>
      <c r="C1186" t="s">
        <v>12214</v>
      </c>
    </row>
    <row r="1187" spans="1:3" x14ac:dyDescent="0.2">
      <c r="A1187" t="s">
        <v>10524</v>
      </c>
      <c r="B1187" t="s">
        <v>9559</v>
      </c>
      <c r="C1187" t="s">
        <v>12241</v>
      </c>
    </row>
    <row r="1188" spans="1:3" x14ac:dyDescent="0.2">
      <c r="A1188" t="s">
        <v>10535</v>
      </c>
      <c r="B1188" t="s">
        <v>9568</v>
      </c>
      <c r="C1188" t="s">
        <v>12245</v>
      </c>
    </row>
    <row r="1189" spans="1:3" x14ac:dyDescent="0.2">
      <c r="A1189" t="s">
        <v>10539</v>
      </c>
      <c r="B1189" t="s">
        <v>9572</v>
      </c>
      <c r="C1189" t="s">
        <v>12260</v>
      </c>
    </row>
    <row r="1190" spans="1:3" x14ac:dyDescent="0.2">
      <c r="A1190" t="s">
        <v>10543</v>
      </c>
      <c r="B1190" t="s">
        <v>9582</v>
      </c>
      <c r="C1190" t="s">
        <v>12269</v>
      </c>
    </row>
    <row r="1191" spans="1:3" x14ac:dyDescent="0.2">
      <c r="A1191" t="s">
        <v>10545</v>
      </c>
      <c r="B1191" t="s">
        <v>9594</v>
      </c>
      <c r="C1191" t="s">
        <v>12281</v>
      </c>
    </row>
    <row r="1192" spans="1:3" x14ac:dyDescent="0.2">
      <c r="A1192" t="s">
        <v>10547</v>
      </c>
      <c r="B1192" t="s">
        <v>9597</v>
      </c>
      <c r="C1192" t="s">
        <v>12283</v>
      </c>
    </row>
    <row r="1193" spans="1:3" x14ac:dyDescent="0.2">
      <c r="A1193" t="s">
        <v>10550</v>
      </c>
      <c r="B1193" t="s">
        <v>9610</v>
      </c>
      <c r="C1193" t="s">
        <v>12286</v>
      </c>
    </row>
    <row r="1194" spans="1:3" x14ac:dyDescent="0.2">
      <c r="A1194" t="s">
        <v>10554</v>
      </c>
      <c r="B1194" t="s">
        <v>9639</v>
      </c>
      <c r="C1194" t="s">
        <v>12288</v>
      </c>
    </row>
    <row r="1195" spans="1:3" x14ac:dyDescent="0.2">
      <c r="A1195" t="s">
        <v>10571</v>
      </c>
      <c r="B1195" t="s">
        <v>9643</v>
      </c>
      <c r="C1195" t="s">
        <v>12290</v>
      </c>
    </row>
    <row r="1196" spans="1:3" x14ac:dyDescent="0.2">
      <c r="A1196" t="s">
        <v>10574</v>
      </c>
      <c r="B1196" t="s">
        <v>9652</v>
      </c>
      <c r="C1196" t="s">
        <v>12293</v>
      </c>
    </row>
    <row r="1197" spans="1:3" x14ac:dyDescent="0.2">
      <c r="A1197" t="s">
        <v>10582</v>
      </c>
      <c r="B1197" t="s">
        <v>9654</v>
      </c>
      <c r="C1197" t="s">
        <v>12301</v>
      </c>
    </row>
    <row r="1198" spans="1:3" x14ac:dyDescent="0.2">
      <c r="A1198" t="s">
        <v>10584</v>
      </c>
      <c r="B1198" t="s">
        <v>9658</v>
      </c>
      <c r="C1198" t="s">
        <v>12317</v>
      </c>
    </row>
    <row r="1199" spans="1:3" x14ac:dyDescent="0.2">
      <c r="A1199" t="s">
        <v>10587</v>
      </c>
      <c r="B1199" t="s">
        <v>9660</v>
      </c>
      <c r="C1199" t="s">
        <v>12319</v>
      </c>
    </row>
    <row r="1200" spans="1:3" x14ac:dyDescent="0.2">
      <c r="A1200" t="s">
        <v>10592</v>
      </c>
      <c r="B1200" t="s">
        <v>9666</v>
      </c>
      <c r="C1200" t="s">
        <v>12326</v>
      </c>
    </row>
    <row r="1201" spans="1:3" x14ac:dyDescent="0.2">
      <c r="A1201" t="s">
        <v>10596</v>
      </c>
      <c r="B1201" t="s">
        <v>9680</v>
      </c>
      <c r="C1201" t="s">
        <v>12340</v>
      </c>
    </row>
    <row r="1202" spans="1:3" x14ac:dyDescent="0.2">
      <c r="A1202" t="s">
        <v>10598</v>
      </c>
      <c r="B1202" t="s">
        <v>9682</v>
      </c>
      <c r="C1202" t="s">
        <v>12353</v>
      </c>
    </row>
    <row r="1203" spans="1:3" x14ac:dyDescent="0.2">
      <c r="A1203" t="s">
        <v>10609</v>
      </c>
      <c r="B1203" t="s">
        <v>9684</v>
      </c>
      <c r="C1203" t="s">
        <v>12372</v>
      </c>
    </row>
    <row r="1204" spans="1:3" x14ac:dyDescent="0.2">
      <c r="A1204" t="s">
        <v>10613</v>
      </c>
      <c r="B1204" t="s">
        <v>9700</v>
      </c>
      <c r="C1204" t="s">
        <v>12376</v>
      </c>
    </row>
    <row r="1205" spans="1:3" x14ac:dyDescent="0.2">
      <c r="A1205" t="s">
        <v>10615</v>
      </c>
      <c r="B1205" t="s">
        <v>9706</v>
      </c>
      <c r="C1205" t="s">
        <v>12378</v>
      </c>
    </row>
    <row r="1206" spans="1:3" x14ac:dyDescent="0.2">
      <c r="A1206" t="s">
        <v>10619</v>
      </c>
      <c r="B1206" t="s">
        <v>9710</v>
      </c>
      <c r="C1206" t="s">
        <v>12383</v>
      </c>
    </row>
    <row r="1207" spans="1:3" x14ac:dyDescent="0.2">
      <c r="A1207" t="s">
        <v>10623</v>
      </c>
      <c r="B1207" t="s">
        <v>9712</v>
      </c>
      <c r="C1207" t="s">
        <v>12409</v>
      </c>
    </row>
    <row r="1208" spans="1:3" x14ac:dyDescent="0.2">
      <c r="A1208" t="s">
        <v>10625</v>
      </c>
      <c r="B1208" t="s">
        <v>9716</v>
      </c>
      <c r="C1208" t="s">
        <v>12423</v>
      </c>
    </row>
    <row r="1209" spans="1:3" x14ac:dyDescent="0.2">
      <c r="A1209" t="s">
        <v>10629</v>
      </c>
      <c r="B1209" t="s">
        <v>9728</v>
      </c>
      <c r="C1209" t="s">
        <v>12427</v>
      </c>
    </row>
    <row r="1210" spans="1:3" x14ac:dyDescent="0.2">
      <c r="A1210" t="s">
        <v>10635</v>
      </c>
      <c r="B1210" t="s">
        <v>9750</v>
      </c>
      <c r="C1210" t="s">
        <v>12429</v>
      </c>
    </row>
    <row r="1211" spans="1:3" x14ac:dyDescent="0.2">
      <c r="A1211" t="s">
        <v>10637</v>
      </c>
      <c r="B1211" t="s">
        <v>9754</v>
      </c>
      <c r="C1211" t="s">
        <v>12437</v>
      </c>
    </row>
    <row r="1212" spans="1:3" x14ac:dyDescent="0.2">
      <c r="A1212" t="s">
        <v>10639</v>
      </c>
      <c r="B1212" t="s">
        <v>9762</v>
      </c>
      <c r="C1212" t="s">
        <v>12460</v>
      </c>
    </row>
    <row r="1213" spans="1:3" x14ac:dyDescent="0.2">
      <c r="A1213" t="s">
        <v>10641</v>
      </c>
      <c r="B1213" t="s">
        <v>9764</v>
      </c>
      <c r="C1213" t="s">
        <v>12475</v>
      </c>
    </row>
    <row r="1214" spans="1:3" x14ac:dyDescent="0.2">
      <c r="A1214" t="s">
        <v>10643</v>
      </c>
      <c r="B1214" t="s">
        <v>9766</v>
      </c>
      <c r="C1214" t="s">
        <v>12484</v>
      </c>
    </row>
    <row r="1215" spans="1:3" x14ac:dyDescent="0.2">
      <c r="A1215" t="s">
        <v>10645</v>
      </c>
      <c r="B1215" t="s">
        <v>9770</v>
      </c>
      <c r="C1215" t="s">
        <v>12492</v>
      </c>
    </row>
    <row r="1216" spans="1:3" x14ac:dyDescent="0.2">
      <c r="A1216" t="s">
        <v>10652</v>
      </c>
      <c r="B1216" t="s">
        <v>9772</v>
      </c>
      <c r="C1216" t="s">
        <v>12495</v>
      </c>
    </row>
    <row r="1217" spans="1:3" x14ac:dyDescent="0.2">
      <c r="A1217" t="s">
        <v>10654</v>
      </c>
      <c r="B1217" t="s">
        <v>9775</v>
      </c>
      <c r="C1217" t="s">
        <v>12497</v>
      </c>
    </row>
    <row r="1218" spans="1:3" x14ac:dyDescent="0.2">
      <c r="A1218" t="s">
        <v>10659</v>
      </c>
      <c r="B1218" t="s">
        <v>9780</v>
      </c>
      <c r="C1218" t="s">
        <v>12499</v>
      </c>
    </row>
    <row r="1219" spans="1:3" x14ac:dyDescent="0.2">
      <c r="A1219" t="s">
        <v>10663</v>
      </c>
      <c r="B1219" t="s">
        <v>9782</v>
      </c>
      <c r="C1219" t="s">
        <v>12503</v>
      </c>
    </row>
    <row r="1220" spans="1:3" x14ac:dyDescent="0.2">
      <c r="A1220" t="s">
        <v>10665</v>
      </c>
      <c r="B1220" t="s">
        <v>9788</v>
      </c>
      <c r="C1220" t="s">
        <v>12510</v>
      </c>
    </row>
    <row r="1221" spans="1:3" x14ac:dyDescent="0.2">
      <c r="A1221" t="s">
        <v>10667</v>
      </c>
      <c r="B1221" t="s">
        <v>9794</v>
      </c>
      <c r="C1221" t="s">
        <v>12519</v>
      </c>
    </row>
    <row r="1222" spans="1:3" x14ac:dyDescent="0.2">
      <c r="A1222" t="s">
        <v>10669</v>
      </c>
      <c r="B1222" t="s">
        <v>9806</v>
      </c>
      <c r="C1222" t="s">
        <v>12525</v>
      </c>
    </row>
    <row r="1223" spans="1:3" x14ac:dyDescent="0.2">
      <c r="A1223" t="s">
        <v>10673</v>
      </c>
      <c r="B1223" t="s">
        <v>9808</v>
      </c>
      <c r="C1223" t="s">
        <v>12533</v>
      </c>
    </row>
    <row r="1224" spans="1:3" x14ac:dyDescent="0.2">
      <c r="A1224" t="s">
        <v>10675</v>
      </c>
      <c r="B1224" t="s">
        <v>9822</v>
      </c>
      <c r="C1224" t="s">
        <v>12541</v>
      </c>
    </row>
    <row r="1225" spans="1:3" x14ac:dyDescent="0.2">
      <c r="A1225" t="s">
        <v>10677</v>
      </c>
      <c r="B1225" t="s">
        <v>9824</v>
      </c>
      <c r="C1225" t="s">
        <v>12546</v>
      </c>
    </row>
    <row r="1226" spans="1:3" x14ac:dyDescent="0.2">
      <c r="A1226" t="s">
        <v>10681</v>
      </c>
      <c r="B1226" t="s">
        <v>9829</v>
      </c>
      <c r="C1226" t="s">
        <v>12554</v>
      </c>
    </row>
    <row r="1227" spans="1:3" x14ac:dyDescent="0.2">
      <c r="A1227" t="s">
        <v>10686</v>
      </c>
      <c r="B1227" t="s">
        <v>9831</v>
      </c>
      <c r="C1227" t="s">
        <v>12558</v>
      </c>
    </row>
    <row r="1228" spans="1:3" x14ac:dyDescent="0.2">
      <c r="A1228" t="s">
        <v>10697</v>
      </c>
      <c r="B1228" t="s">
        <v>9835</v>
      </c>
      <c r="C1228" t="s">
        <v>12563</v>
      </c>
    </row>
    <row r="1229" spans="1:3" x14ac:dyDescent="0.2">
      <c r="A1229" t="s">
        <v>10699</v>
      </c>
      <c r="B1229" t="s">
        <v>9837</v>
      </c>
      <c r="C1229" t="s">
        <v>12568</v>
      </c>
    </row>
    <row r="1230" spans="1:3" x14ac:dyDescent="0.2">
      <c r="A1230" t="s">
        <v>10705</v>
      </c>
      <c r="B1230" t="s">
        <v>9840</v>
      </c>
      <c r="C1230" t="s">
        <v>12586</v>
      </c>
    </row>
    <row r="1231" spans="1:3" x14ac:dyDescent="0.2">
      <c r="A1231" t="s">
        <v>10707</v>
      </c>
      <c r="B1231" t="s">
        <v>9842</v>
      </c>
      <c r="C1231" t="s">
        <v>12588</v>
      </c>
    </row>
    <row r="1232" spans="1:3" x14ac:dyDescent="0.2">
      <c r="A1232" t="s">
        <v>10723</v>
      </c>
      <c r="B1232" t="s">
        <v>9848</v>
      </c>
      <c r="C1232" t="s">
        <v>12590</v>
      </c>
    </row>
    <row r="1233" spans="1:3" x14ac:dyDescent="0.2">
      <c r="A1233" t="s">
        <v>10730</v>
      </c>
      <c r="B1233" t="s">
        <v>9855</v>
      </c>
      <c r="C1233" t="s">
        <v>12596</v>
      </c>
    </row>
    <row r="1234" spans="1:3" x14ac:dyDescent="0.2">
      <c r="A1234" t="s">
        <v>10732</v>
      </c>
      <c r="B1234" t="s">
        <v>9859</v>
      </c>
      <c r="C1234" t="s">
        <v>12600</v>
      </c>
    </row>
    <row r="1235" spans="1:3" x14ac:dyDescent="0.2">
      <c r="A1235" t="s">
        <v>10740</v>
      </c>
      <c r="B1235" t="s">
        <v>9861</v>
      </c>
      <c r="C1235" t="s">
        <v>12611</v>
      </c>
    </row>
    <row r="1236" spans="1:3" x14ac:dyDescent="0.2">
      <c r="A1236" t="s">
        <v>10746</v>
      </c>
      <c r="B1236" t="s">
        <v>9863</v>
      </c>
      <c r="C1236" t="s">
        <v>12613</v>
      </c>
    </row>
    <row r="1237" spans="1:3" x14ac:dyDescent="0.2">
      <c r="A1237" t="s">
        <v>10759</v>
      </c>
      <c r="B1237" t="s">
        <v>9870</v>
      </c>
      <c r="C1237" t="s">
        <v>12622</v>
      </c>
    </row>
    <row r="1238" spans="1:3" x14ac:dyDescent="0.2">
      <c r="A1238" t="s">
        <v>10781</v>
      </c>
      <c r="B1238" t="s">
        <v>9872</v>
      </c>
      <c r="C1238" t="s">
        <v>12624</v>
      </c>
    </row>
    <row r="1239" spans="1:3" x14ac:dyDescent="0.2">
      <c r="A1239" t="s">
        <v>10783</v>
      </c>
      <c r="B1239" t="s">
        <v>9879</v>
      </c>
      <c r="C1239" t="s">
        <v>12633</v>
      </c>
    </row>
    <row r="1240" spans="1:3" x14ac:dyDescent="0.2">
      <c r="A1240" t="s">
        <v>10785</v>
      </c>
      <c r="B1240" t="s">
        <v>9884</v>
      </c>
      <c r="C1240" t="s">
        <v>12652</v>
      </c>
    </row>
    <row r="1241" spans="1:3" x14ac:dyDescent="0.2">
      <c r="A1241" t="s">
        <v>10787</v>
      </c>
      <c r="B1241" t="s">
        <v>9890</v>
      </c>
      <c r="C1241" t="s">
        <v>12660</v>
      </c>
    </row>
    <row r="1242" spans="1:3" x14ac:dyDescent="0.2">
      <c r="A1242" t="s">
        <v>10795</v>
      </c>
      <c r="B1242" t="s">
        <v>9892</v>
      </c>
      <c r="C1242" t="s">
        <v>12665</v>
      </c>
    </row>
    <row r="1243" spans="1:3" x14ac:dyDescent="0.2">
      <c r="A1243" t="s">
        <v>10817</v>
      </c>
      <c r="B1243" t="s">
        <v>9894</v>
      </c>
      <c r="C1243" t="s">
        <v>12677</v>
      </c>
    </row>
    <row r="1244" spans="1:3" x14ac:dyDescent="0.2">
      <c r="A1244" t="s">
        <v>10819</v>
      </c>
      <c r="B1244" t="s">
        <v>9896</v>
      </c>
      <c r="C1244" t="s">
        <v>12683</v>
      </c>
    </row>
    <row r="1245" spans="1:3" x14ac:dyDescent="0.2">
      <c r="A1245" t="s">
        <v>10836</v>
      </c>
      <c r="B1245" t="s">
        <v>9900</v>
      </c>
      <c r="C1245" t="s">
        <v>12685</v>
      </c>
    </row>
    <row r="1246" spans="1:3" x14ac:dyDescent="0.2">
      <c r="A1246" t="s">
        <v>10845</v>
      </c>
      <c r="B1246" t="s">
        <v>9909</v>
      </c>
      <c r="C1246" t="s">
        <v>12687</v>
      </c>
    </row>
    <row r="1247" spans="1:3" x14ac:dyDescent="0.2">
      <c r="A1247" t="s">
        <v>10847</v>
      </c>
      <c r="B1247" t="s">
        <v>9918</v>
      </c>
      <c r="C1247" t="s">
        <v>12692</v>
      </c>
    </row>
    <row r="1248" spans="1:3" x14ac:dyDescent="0.2">
      <c r="A1248" t="s">
        <v>10850</v>
      </c>
      <c r="B1248" t="s">
        <v>9925</v>
      </c>
      <c r="C1248" t="s">
        <v>12708</v>
      </c>
    </row>
    <row r="1249" spans="1:3" x14ac:dyDescent="0.2">
      <c r="A1249" t="s">
        <v>10852</v>
      </c>
      <c r="B1249" t="s">
        <v>9932</v>
      </c>
      <c r="C1249" t="s">
        <v>12714</v>
      </c>
    </row>
    <row r="1250" spans="1:3" x14ac:dyDescent="0.2">
      <c r="A1250" t="s">
        <v>10857</v>
      </c>
      <c r="B1250" t="s">
        <v>9934</v>
      </c>
      <c r="C1250" t="s">
        <v>12720</v>
      </c>
    </row>
    <row r="1251" spans="1:3" x14ac:dyDescent="0.2">
      <c r="A1251" t="s">
        <v>10861</v>
      </c>
      <c r="B1251" t="s">
        <v>9936</v>
      </c>
      <c r="C1251" t="s">
        <v>12723</v>
      </c>
    </row>
    <row r="1252" spans="1:3" x14ac:dyDescent="0.2">
      <c r="A1252" t="s">
        <v>10864</v>
      </c>
      <c r="B1252" t="s">
        <v>9938</v>
      </c>
      <c r="C1252" t="s">
        <v>12730</v>
      </c>
    </row>
    <row r="1253" spans="1:3" x14ac:dyDescent="0.2">
      <c r="A1253" t="s">
        <v>10874</v>
      </c>
      <c r="B1253" t="s">
        <v>9940</v>
      </c>
      <c r="C1253" t="s">
        <v>12738</v>
      </c>
    </row>
    <row r="1254" spans="1:3" x14ac:dyDescent="0.2">
      <c r="A1254" t="s">
        <v>10878</v>
      </c>
      <c r="B1254" t="s">
        <v>9942</v>
      </c>
      <c r="C1254" t="s">
        <v>12740</v>
      </c>
    </row>
    <row r="1255" spans="1:3" x14ac:dyDescent="0.2">
      <c r="A1255" t="s">
        <v>10880</v>
      </c>
      <c r="B1255" t="s">
        <v>9944</v>
      </c>
      <c r="C1255" t="s">
        <v>12744</v>
      </c>
    </row>
    <row r="1256" spans="1:3" x14ac:dyDescent="0.2">
      <c r="A1256" t="s">
        <v>10882</v>
      </c>
      <c r="B1256" t="s">
        <v>9946</v>
      </c>
      <c r="C1256" t="s">
        <v>12746</v>
      </c>
    </row>
    <row r="1257" spans="1:3" x14ac:dyDescent="0.2">
      <c r="A1257" t="s">
        <v>10884</v>
      </c>
      <c r="B1257" t="s">
        <v>9948</v>
      </c>
      <c r="C1257" t="s">
        <v>12750</v>
      </c>
    </row>
    <row r="1258" spans="1:3" x14ac:dyDescent="0.2">
      <c r="A1258" t="s">
        <v>10892</v>
      </c>
      <c r="B1258" t="s">
        <v>9950</v>
      </c>
      <c r="C1258" t="s">
        <v>12752</v>
      </c>
    </row>
    <row r="1259" spans="1:3" x14ac:dyDescent="0.2">
      <c r="A1259" t="s">
        <v>10894</v>
      </c>
      <c r="B1259" t="s">
        <v>9954</v>
      </c>
      <c r="C1259" t="s">
        <v>12756</v>
      </c>
    </row>
    <row r="1260" spans="1:3" x14ac:dyDescent="0.2">
      <c r="A1260" t="s">
        <v>10896</v>
      </c>
      <c r="B1260" t="s">
        <v>9956</v>
      </c>
      <c r="C1260" t="s">
        <v>12760</v>
      </c>
    </row>
    <row r="1261" spans="1:3" x14ac:dyDescent="0.2">
      <c r="A1261" t="s">
        <v>10906</v>
      </c>
      <c r="B1261" t="s">
        <v>9958</v>
      </c>
      <c r="C1261" t="s">
        <v>12764</v>
      </c>
    </row>
    <row r="1262" spans="1:3" x14ac:dyDescent="0.2">
      <c r="A1262" t="s">
        <v>10908</v>
      </c>
      <c r="B1262" t="s">
        <v>9960</v>
      </c>
      <c r="C1262" t="s">
        <v>12766</v>
      </c>
    </row>
    <row r="1263" spans="1:3" x14ac:dyDescent="0.2">
      <c r="A1263" t="s">
        <v>10910</v>
      </c>
      <c r="B1263" t="s">
        <v>9966</v>
      </c>
      <c r="C1263" t="s">
        <v>12768</v>
      </c>
    </row>
    <row r="1264" spans="1:3" x14ac:dyDescent="0.2">
      <c r="A1264" t="s">
        <v>10914</v>
      </c>
      <c r="B1264" t="s">
        <v>9972</v>
      </c>
      <c r="C1264" t="s">
        <v>12770</v>
      </c>
    </row>
    <row r="1265" spans="1:3" x14ac:dyDescent="0.2">
      <c r="A1265" t="s">
        <v>10916</v>
      </c>
      <c r="B1265" t="s">
        <v>9976</v>
      </c>
      <c r="C1265" t="s">
        <v>12772</v>
      </c>
    </row>
    <row r="1266" spans="1:3" x14ac:dyDescent="0.2">
      <c r="A1266" t="s">
        <v>10922</v>
      </c>
      <c r="B1266" t="s">
        <v>9978</v>
      </c>
      <c r="C1266" t="s">
        <v>12781</v>
      </c>
    </row>
    <row r="1267" spans="1:3" x14ac:dyDescent="0.2">
      <c r="A1267" t="s">
        <v>10926</v>
      </c>
      <c r="B1267" t="s">
        <v>9980</v>
      </c>
      <c r="C1267" t="s">
        <v>12787</v>
      </c>
    </row>
    <row r="1268" spans="1:3" x14ac:dyDescent="0.2">
      <c r="A1268" t="s">
        <v>10929</v>
      </c>
      <c r="B1268" t="s">
        <v>9982</v>
      </c>
      <c r="C1268" t="s">
        <v>12801</v>
      </c>
    </row>
    <row r="1269" spans="1:3" x14ac:dyDescent="0.2">
      <c r="A1269" t="s">
        <v>10933</v>
      </c>
      <c r="B1269" t="s">
        <v>9984</v>
      </c>
      <c r="C1269" t="s">
        <v>12807</v>
      </c>
    </row>
    <row r="1270" spans="1:3" x14ac:dyDescent="0.2">
      <c r="A1270" t="s">
        <v>10937</v>
      </c>
      <c r="B1270" t="s">
        <v>9986</v>
      </c>
      <c r="C1270" t="s">
        <v>12815</v>
      </c>
    </row>
    <row r="1271" spans="1:3" x14ac:dyDescent="0.2">
      <c r="A1271" t="s">
        <v>10941</v>
      </c>
      <c r="B1271" t="s">
        <v>9988</v>
      </c>
      <c r="C1271" t="s">
        <v>12817</v>
      </c>
    </row>
    <row r="1272" spans="1:3" x14ac:dyDescent="0.2">
      <c r="A1272" t="s">
        <v>10943</v>
      </c>
      <c r="B1272" t="s">
        <v>9996</v>
      </c>
      <c r="C1272" t="s">
        <v>12823</v>
      </c>
    </row>
    <row r="1273" spans="1:3" x14ac:dyDescent="0.2">
      <c r="A1273" t="s">
        <v>10945</v>
      </c>
      <c r="B1273" t="s">
        <v>10002</v>
      </c>
      <c r="C1273" t="s">
        <v>12833</v>
      </c>
    </row>
    <row r="1274" spans="1:3" x14ac:dyDescent="0.2">
      <c r="A1274" t="s">
        <v>10949</v>
      </c>
      <c r="B1274" t="s">
        <v>10009</v>
      </c>
      <c r="C1274" t="s">
        <v>12840</v>
      </c>
    </row>
    <row r="1275" spans="1:3" x14ac:dyDescent="0.2">
      <c r="A1275" t="s">
        <v>10953</v>
      </c>
      <c r="B1275" t="s">
        <v>10011</v>
      </c>
      <c r="C1275" t="s">
        <v>12844</v>
      </c>
    </row>
    <row r="1276" spans="1:3" x14ac:dyDescent="0.2">
      <c r="A1276" t="s">
        <v>10958</v>
      </c>
      <c r="B1276" t="s">
        <v>10013</v>
      </c>
      <c r="C1276" t="s">
        <v>12861</v>
      </c>
    </row>
    <row r="1277" spans="1:3" x14ac:dyDescent="0.2">
      <c r="A1277" t="s">
        <v>10973</v>
      </c>
      <c r="B1277" t="s">
        <v>10017</v>
      </c>
      <c r="C1277" t="s">
        <v>12873</v>
      </c>
    </row>
    <row r="1278" spans="1:3" x14ac:dyDescent="0.2">
      <c r="A1278" t="s">
        <v>10978</v>
      </c>
      <c r="B1278" t="s">
        <v>10028</v>
      </c>
      <c r="C1278" t="s">
        <v>12875</v>
      </c>
    </row>
    <row r="1279" spans="1:3" x14ac:dyDescent="0.2">
      <c r="A1279" t="s">
        <v>10988</v>
      </c>
      <c r="B1279" t="s">
        <v>10034</v>
      </c>
      <c r="C1279" t="s">
        <v>12891</v>
      </c>
    </row>
    <row r="1280" spans="1:3" x14ac:dyDescent="0.2">
      <c r="A1280" t="s">
        <v>10990</v>
      </c>
      <c r="B1280" t="s">
        <v>10037</v>
      </c>
      <c r="C1280" t="s">
        <v>12893</v>
      </c>
    </row>
    <row r="1281" spans="1:3" x14ac:dyDescent="0.2">
      <c r="A1281" t="s">
        <v>10993</v>
      </c>
      <c r="B1281" t="s">
        <v>10041</v>
      </c>
      <c r="C1281" t="s">
        <v>12895</v>
      </c>
    </row>
    <row r="1282" spans="1:3" x14ac:dyDescent="0.2">
      <c r="A1282" t="s">
        <v>10997</v>
      </c>
      <c r="B1282" t="s">
        <v>10045</v>
      </c>
      <c r="C1282" t="s">
        <v>12897</v>
      </c>
    </row>
    <row r="1283" spans="1:3" x14ac:dyDescent="0.2">
      <c r="A1283" t="s">
        <v>11001</v>
      </c>
      <c r="B1283" t="s">
        <v>10047</v>
      </c>
      <c r="C1283" t="s">
        <v>12899</v>
      </c>
    </row>
    <row r="1284" spans="1:3" x14ac:dyDescent="0.2">
      <c r="A1284" t="s">
        <v>11008</v>
      </c>
      <c r="B1284" t="s">
        <v>10049</v>
      </c>
      <c r="C1284" t="s">
        <v>12903</v>
      </c>
    </row>
    <row r="1285" spans="1:3" x14ac:dyDescent="0.2">
      <c r="A1285" t="s">
        <v>11012</v>
      </c>
      <c r="B1285" t="s">
        <v>10054</v>
      </c>
      <c r="C1285" t="s">
        <v>12909</v>
      </c>
    </row>
    <row r="1286" spans="1:3" x14ac:dyDescent="0.2">
      <c r="A1286" t="s">
        <v>11014</v>
      </c>
      <c r="B1286" t="s">
        <v>10056</v>
      </c>
      <c r="C1286" t="s">
        <v>12913</v>
      </c>
    </row>
    <row r="1287" spans="1:3" x14ac:dyDescent="0.2">
      <c r="A1287" t="s">
        <v>11023</v>
      </c>
      <c r="B1287" t="s">
        <v>10058</v>
      </c>
      <c r="C1287" t="s">
        <v>12918</v>
      </c>
    </row>
    <row r="1288" spans="1:3" x14ac:dyDescent="0.2">
      <c r="A1288" t="s">
        <v>11026</v>
      </c>
      <c r="B1288" t="s">
        <v>10060</v>
      </c>
      <c r="C1288" t="s">
        <v>12923</v>
      </c>
    </row>
    <row r="1289" spans="1:3" x14ac:dyDescent="0.2">
      <c r="A1289" t="s">
        <v>11028</v>
      </c>
      <c r="B1289" t="s">
        <v>10062</v>
      </c>
      <c r="C1289" t="s">
        <v>12936</v>
      </c>
    </row>
    <row r="1290" spans="1:3" x14ac:dyDescent="0.2">
      <c r="A1290" t="s">
        <v>11030</v>
      </c>
      <c r="B1290" t="s">
        <v>10066</v>
      </c>
      <c r="C1290" t="s">
        <v>12939</v>
      </c>
    </row>
    <row r="1291" spans="1:3" x14ac:dyDescent="0.2">
      <c r="A1291" t="s">
        <v>11032</v>
      </c>
      <c r="B1291" t="s">
        <v>10068</v>
      </c>
      <c r="C1291" t="s">
        <v>12951</v>
      </c>
    </row>
    <row r="1292" spans="1:3" x14ac:dyDescent="0.2">
      <c r="A1292" t="s">
        <v>11043</v>
      </c>
      <c r="B1292" t="s">
        <v>10070</v>
      </c>
      <c r="C1292" t="s">
        <v>12963</v>
      </c>
    </row>
    <row r="1293" spans="1:3" x14ac:dyDescent="0.2">
      <c r="A1293" t="s">
        <v>11051</v>
      </c>
      <c r="B1293" t="s">
        <v>10076</v>
      </c>
      <c r="C1293" t="s">
        <v>12967</v>
      </c>
    </row>
    <row r="1294" spans="1:3" x14ac:dyDescent="0.2">
      <c r="A1294" t="s">
        <v>11059</v>
      </c>
      <c r="B1294" t="s">
        <v>10078</v>
      </c>
      <c r="C1294" t="s">
        <v>12974</v>
      </c>
    </row>
    <row r="1295" spans="1:3" x14ac:dyDescent="0.2">
      <c r="A1295" t="s">
        <v>11061</v>
      </c>
      <c r="B1295" t="s">
        <v>10080</v>
      </c>
      <c r="C1295" t="s">
        <v>12980</v>
      </c>
    </row>
    <row r="1296" spans="1:3" x14ac:dyDescent="0.2">
      <c r="A1296" t="s">
        <v>11063</v>
      </c>
      <c r="B1296" t="s">
        <v>10082</v>
      </c>
      <c r="C1296" t="s">
        <v>12984</v>
      </c>
    </row>
    <row r="1297" spans="1:3" x14ac:dyDescent="0.2">
      <c r="A1297" t="s">
        <v>11067</v>
      </c>
      <c r="B1297" t="s">
        <v>10087</v>
      </c>
      <c r="C1297" t="s">
        <v>12986</v>
      </c>
    </row>
    <row r="1298" spans="1:3" x14ac:dyDescent="0.2">
      <c r="A1298" t="s">
        <v>11069</v>
      </c>
      <c r="B1298" t="s">
        <v>10091</v>
      </c>
      <c r="C1298" t="s">
        <v>12988</v>
      </c>
    </row>
    <row r="1299" spans="1:3" x14ac:dyDescent="0.2">
      <c r="A1299" t="s">
        <v>11076</v>
      </c>
      <c r="B1299" t="s">
        <v>10093</v>
      </c>
      <c r="C1299" t="s">
        <v>12994</v>
      </c>
    </row>
    <row r="1300" spans="1:3" x14ac:dyDescent="0.2">
      <c r="A1300" t="s">
        <v>11084</v>
      </c>
      <c r="B1300" t="s">
        <v>10099</v>
      </c>
      <c r="C1300" t="s">
        <v>12996</v>
      </c>
    </row>
    <row r="1301" spans="1:3" x14ac:dyDescent="0.2">
      <c r="A1301" t="s">
        <v>11087</v>
      </c>
      <c r="B1301" t="s">
        <v>10101</v>
      </c>
      <c r="C1301" t="s">
        <v>13007</v>
      </c>
    </row>
    <row r="1302" spans="1:3" x14ac:dyDescent="0.2">
      <c r="A1302" t="s">
        <v>11095</v>
      </c>
      <c r="B1302" t="s">
        <v>10105</v>
      </c>
      <c r="C1302" t="s">
        <v>13026</v>
      </c>
    </row>
    <row r="1303" spans="1:3" x14ac:dyDescent="0.2">
      <c r="A1303" t="s">
        <v>11097</v>
      </c>
      <c r="B1303" t="s">
        <v>10107</v>
      </c>
      <c r="C1303" t="s">
        <v>13032</v>
      </c>
    </row>
    <row r="1304" spans="1:3" x14ac:dyDescent="0.2">
      <c r="A1304" t="s">
        <v>11103</v>
      </c>
      <c r="B1304" t="s">
        <v>10111</v>
      </c>
      <c r="C1304" t="s">
        <v>13047</v>
      </c>
    </row>
    <row r="1305" spans="1:3" x14ac:dyDescent="0.2">
      <c r="A1305" t="s">
        <v>11107</v>
      </c>
      <c r="B1305" t="s">
        <v>10117</v>
      </c>
      <c r="C1305" t="s">
        <v>13057</v>
      </c>
    </row>
    <row r="1306" spans="1:3" x14ac:dyDescent="0.2">
      <c r="A1306" t="s">
        <v>11124</v>
      </c>
      <c r="B1306" t="s">
        <v>10122</v>
      </c>
      <c r="C1306" t="s">
        <v>13072</v>
      </c>
    </row>
    <row r="1307" spans="1:3" x14ac:dyDescent="0.2">
      <c r="A1307" t="s">
        <v>11128</v>
      </c>
      <c r="B1307" t="s">
        <v>10129</v>
      </c>
      <c r="C1307" t="s">
        <v>13085</v>
      </c>
    </row>
    <row r="1308" spans="1:3" x14ac:dyDescent="0.2">
      <c r="A1308" t="s">
        <v>11135</v>
      </c>
      <c r="B1308" t="s">
        <v>10133</v>
      </c>
      <c r="C1308" t="s">
        <v>13091</v>
      </c>
    </row>
    <row r="1309" spans="1:3" x14ac:dyDescent="0.2">
      <c r="A1309" t="s">
        <v>11140</v>
      </c>
      <c r="B1309" t="s">
        <v>10139</v>
      </c>
      <c r="C1309" t="s">
        <v>13100</v>
      </c>
    </row>
    <row r="1310" spans="1:3" x14ac:dyDescent="0.2">
      <c r="A1310" t="s">
        <v>11142</v>
      </c>
      <c r="B1310" t="s">
        <v>10150</v>
      </c>
      <c r="C1310" t="s">
        <v>13103</v>
      </c>
    </row>
    <row r="1311" spans="1:3" x14ac:dyDescent="0.2">
      <c r="A1311" t="s">
        <v>11147</v>
      </c>
      <c r="B1311" t="s">
        <v>10152</v>
      </c>
      <c r="C1311" t="s">
        <v>13116</v>
      </c>
    </row>
    <row r="1312" spans="1:3" x14ac:dyDescent="0.2">
      <c r="A1312" t="s">
        <v>11156</v>
      </c>
      <c r="B1312" t="s">
        <v>10168</v>
      </c>
      <c r="C1312" t="s">
        <v>13123</v>
      </c>
    </row>
    <row r="1313" spans="1:3" x14ac:dyDescent="0.2">
      <c r="A1313" t="s">
        <v>11158</v>
      </c>
      <c r="B1313" t="s">
        <v>10176</v>
      </c>
      <c r="C1313" t="s">
        <v>13129</v>
      </c>
    </row>
    <row r="1314" spans="1:3" x14ac:dyDescent="0.2">
      <c r="A1314" t="s">
        <v>11160</v>
      </c>
      <c r="B1314" t="s">
        <v>10178</v>
      </c>
      <c r="C1314" t="s">
        <v>13131</v>
      </c>
    </row>
    <row r="1315" spans="1:3" x14ac:dyDescent="0.2">
      <c r="A1315" t="s">
        <v>11162</v>
      </c>
      <c r="B1315" t="s">
        <v>10183</v>
      </c>
      <c r="C1315" t="s">
        <v>13138</v>
      </c>
    </row>
    <row r="1316" spans="1:3" x14ac:dyDescent="0.2">
      <c r="A1316" t="s">
        <v>11166</v>
      </c>
      <c r="B1316" t="s">
        <v>10185</v>
      </c>
      <c r="C1316" t="s">
        <v>13142</v>
      </c>
    </row>
    <row r="1317" spans="1:3" x14ac:dyDescent="0.2">
      <c r="A1317" t="s">
        <v>11168</v>
      </c>
      <c r="B1317" t="s">
        <v>10187</v>
      </c>
      <c r="C1317" t="s">
        <v>13144</v>
      </c>
    </row>
    <row r="1318" spans="1:3" x14ac:dyDescent="0.2">
      <c r="A1318" t="s">
        <v>11172</v>
      </c>
      <c r="B1318" t="s">
        <v>10189</v>
      </c>
      <c r="C1318" t="s">
        <v>13152</v>
      </c>
    </row>
    <row r="1319" spans="1:3" x14ac:dyDescent="0.2">
      <c r="A1319" t="s">
        <v>11174</v>
      </c>
      <c r="B1319" t="s">
        <v>10191</v>
      </c>
      <c r="C1319" t="s">
        <v>13154</v>
      </c>
    </row>
    <row r="1320" spans="1:3" x14ac:dyDescent="0.2">
      <c r="A1320" t="s">
        <v>11178</v>
      </c>
      <c r="B1320" t="s">
        <v>10193</v>
      </c>
      <c r="C1320" t="s">
        <v>13169</v>
      </c>
    </row>
    <row r="1321" spans="1:3" x14ac:dyDescent="0.2">
      <c r="A1321" t="s">
        <v>11180</v>
      </c>
      <c r="B1321" t="s">
        <v>10197</v>
      </c>
      <c r="C1321" t="s">
        <v>13176</v>
      </c>
    </row>
    <row r="1322" spans="1:3" x14ac:dyDescent="0.2">
      <c r="A1322" t="s">
        <v>11182</v>
      </c>
      <c r="B1322" t="s">
        <v>10199</v>
      </c>
      <c r="C1322" t="s">
        <v>13180</v>
      </c>
    </row>
    <row r="1323" spans="1:3" x14ac:dyDescent="0.2">
      <c r="A1323" t="s">
        <v>11188</v>
      </c>
      <c r="B1323" t="s">
        <v>10203</v>
      </c>
      <c r="C1323" t="s">
        <v>13189</v>
      </c>
    </row>
    <row r="1324" spans="1:3" x14ac:dyDescent="0.2">
      <c r="A1324" t="s">
        <v>11196</v>
      </c>
      <c r="B1324" t="s">
        <v>10211</v>
      </c>
      <c r="C1324" t="s">
        <v>13197</v>
      </c>
    </row>
    <row r="1325" spans="1:3" x14ac:dyDescent="0.2">
      <c r="A1325" t="s">
        <v>11200</v>
      </c>
      <c r="B1325" t="s">
        <v>10213</v>
      </c>
      <c r="C1325" t="s">
        <v>13199</v>
      </c>
    </row>
    <row r="1326" spans="1:3" x14ac:dyDescent="0.2">
      <c r="A1326" t="s">
        <v>11204</v>
      </c>
      <c r="B1326" t="s">
        <v>10215</v>
      </c>
      <c r="C1326" t="s">
        <v>13201</v>
      </c>
    </row>
    <row r="1327" spans="1:3" x14ac:dyDescent="0.2">
      <c r="A1327" t="s">
        <v>11208</v>
      </c>
      <c r="B1327" t="s">
        <v>10217</v>
      </c>
      <c r="C1327" t="s">
        <v>13203</v>
      </c>
    </row>
    <row r="1328" spans="1:3" x14ac:dyDescent="0.2">
      <c r="A1328" t="s">
        <v>11210</v>
      </c>
      <c r="B1328" t="s">
        <v>10219</v>
      </c>
      <c r="C1328" t="s">
        <v>13207</v>
      </c>
    </row>
    <row r="1329" spans="1:3" x14ac:dyDescent="0.2">
      <c r="A1329" t="s">
        <v>11212</v>
      </c>
      <c r="B1329" t="s">
        <v>10230</v>
      </c>
      <c r="C1329" t="s">
        <v>13209</v>
      </c>
    </row>
    <row r="1330" spans="1:3" x14ac:dyDescent="0.2">
      <c r="A1330" t="s">
        <v>11216</v>
      </c>
      <c r="B1330" t="s">
        <v>10236</v>
      </c>
      <c r="C1330" t="s">
        <v>13211</v>
      </c>
    </row>
    <row r="1331" spans="1:3" x14ac:dyDescent="0.2">
      <c r="A1331" t="s">
        <v>11222</v>
      </c>
      <c r="B1331" t="s">
        <v>10238</v>
      </c>
      <c r="C1331" t="s">
        <v>13213</v>
      </c>
    </row>
    <row r="1332" spans="1:3" x14ac:dyDescent="0.2">
      <c r="A1332" t="s">
        <v>11224</v>
      </c>
      <c r="B1332" t="s">
        <v>10240</v>
      </c>
      <c r="C1332" t="s">
        <v>13215</v>
      </c>
    </row>
    <row r="1333" spans="1:3" x14ac:dyDescent="0.2">
      <c r="A1333" t="s">
        <v>11226</v>
      </c>
      <c r="B1333" t="s">
        <v>10242</v>
      </c>
      <c r="C1333" t="s">
        <v>13229</v>
      </c>
    </row>
    <row r="1334" spans="1:3" x14ac:dyDescent="0.2">
      <c r="A1334" t="s">
        <v>11228</v>
      </c>
      <c r="B1334" t="s">
        <v>10247</v>
      </c>
      <c r="C1334" t="s">
        <v>13252</v>
      </c>
    </row>
    <row r="1335" spans="1:3" x14ac:dyDescent="0.2">
      <c r="A1335" t="s">
        <v>11230</v>
      </c>
      <c r="B1335" t="s">
        <v>10249</v>
      </c>
      <c r="C1335" t="s">
        <v>13255</v>
      </c>
    </row>
    <row r="1336" spans="1:3" x14ac:dyDescent="0.2">
      <c r="A1336" t="s">
        <v>11237</v>
      </c>
      <c r="B1336" t="s">
        <v>10257</v>
      </c>
      <c r="C1336" t="s">
        <v>13257</v>
      </c>
    </row>
    <row r="1337" spans="1:3" x14ac:dyDescent="0.2">
      <c r="A1337" t="s">
        <v>11242</v>
      </c>
      <c r="B1337" t="s">
        <v>10259</v>
      </c>
      <c r="C1337" t="s">
        <v>13267</v>
      </c>
    </row>
    <row r="1338" spans="1:3" x14ac:dyDescent="0.2">
      <c r="A1338" t="s">
        <v>11244</v>
      </c>
      <c r="B1338" t="s">
        <v>10261</v>
      </c>
      <c r="C1338" t="s">
        <v>13273</v>
      </c>
    </row>
    <row r="1339" spans="1:3" x14ac:dyDescent="0.2">
      <c r="A1339" t="s">
        <v>11246</v>
      </c>
      <c r="B1339" t="s">
        <v>10271</v>
      </c>
      <c r="C1339" t="s">
        <v>13300</v>
      </c>
    </row>
    <row r="1340" spans="1:3" x14ac:dyDescent="0.2">
      <c r="A1340" t="s">
        <v>11252</v>
      </c>
      <c r="B1340" t="s">
        <v>10273</v>
      </c>
      <c r="C1340" t="s">
        <v>13309</v>
      </c>
    </row>
    <row r="1341" spans="1:3" x14ac:dyDescent="0.2">
      <c r="A1341" t="s">
        <v>11256</v>
      </c>
      <c r="B1341" t="s">
        <v>10275</v>
      </c>
      <c r="C1341" t="s">
        <v>13314</v>
      </c>
    </row>
    <row r="1342" spans="1:3" x14ac:dyDescent="0.2">
      <c r="A1342" t="s">
        <v>11258</v>
      </c>
      <c r="B1342" t="s">
        <v>10279</v>
      </c>
      <c r="C1342" t="s">
        <v>13318</v>
      </c>
    </row>
    <row r="1343" spans="1:3" x14ac:dyDescent="0.2">
      <c r="A1343" t="s">
        <v>11261</v>
      </c>
      <c r="B1343" t="s">
        <v>10281</v>
      </c>
      <c r="C1343" t="s">
        <v>13322</v>
      </c>
    </row>
    <row r="1344" spans="1:3" x14ac:dyDescent="0.2">
      <c r="A1344" t="s">
        <v>11267</v>
      </c>
      <c r="B1344" t="s">
        <v>10283</v>
      </c>
      <c r="C1344" t="s">
        <v>13324</v>
      </c>
    </row>
    <row r="1345" spans="1:3" x14ac:dyDescent="0.2">
      <c r="A1345" t="s">
        <v>11275</v>
      </c>
      <c r="B1345" t="s">
        <v>10285</v>
      </c>
      <c r="C1345" t="s">
        <v>13329</v>
      </c>
    </row>
    <row r="1346" spans="1:3" x14ac:dyDescent="0.2">
      <c r="A1346" t="s">
        <v>11278</v>
      </c>
      <c r="B1346" t="s">
        <v>10289</v>
      </c>
      <c r="C1346" t="s">
        <v>13331</v>
      </c>
    </row>
    <row r="1347" spans="1:3" x14ac:dyDescent="0.2">
      <c r="A1347" t="s">
        <v>11281</v>
      </c>
      <c r="B1347" t="s">
        <v>10299</v>
      </c>
      <c r="C1347" t="s">
        <v>13333</v>
      </c>
    </row>
    <row r="1348" spans="1:3" x14ac:dyDescent="0.2">
      <c r="A1348" t="s">
        <v>11296</v>
      </c>
      <c r="B1348" t="s">
        <v>10301</v>
      </c>
      <c r="C1348" t="s">
        <v>13353</v>
      </c>
    </row>
    <row r="1349" spans="1:3" x14ac:dyDescent="0.2">
      <c r="A1349" t="s">
        <v>11298</v>
      </c>
      <c r="B1349" t="s">
        <v>10307</v>
      </c>
      <c r="C1349" t="s">
        <v>13371</v>
      </c>
    </row>
    <row r="1350" spans="1:3" x14ac:dyDescent="0.2">
      <c r="A1350" t="s">
        <v>11300</v>
      </c>
      <c r="B1350" t="s">
        <v>10309</v>
      </c>
      <c r="C1350" t="s">
        <v>13392</v>
      </c>
    </row>
    <row r="1351" spans="1:3" x14ac:dyDescent="0.2">
      <c r="A1351" t="s">
        <v>11308</v>
      </c>
      <c r="B1351" t="s">
        <v>10311</v>
      </c>
      <c r="C1351" t="s">
        <v>13404</v>
      </c>
    </row>
    <row r="1352" spans="1:3" x14ac:dyDescent="0.2">
      <c r="A1352" t="s">
        <v>11310</v>
      </c>
      <c r="B1352" t="s">
        <v>10313</v>
      </c>
      <c r="C1352" t="s">
        <v>13411</v>
      </c>
    </row>
    <row r="1353" spans="1:3" x14ac:dyDescent="0.2">
      <c r="A1353" t="s">
        <v>11316</v>
      </c>
      <c r="B1353" t="s">
        <v>10334</v>
      </c>
      <c r="C1353" t="s">
        <v>13419</v>
      </c>
    </row>
    <row r="1354" spans="1:3" x14ac:dyDescent="0.2">
      <c r="A1354" t="s">
        <v>11324</v>
      </c>
      <c r="B1354" t="s">
        <v>10336</v>
      </c>
      <c r="C1354" t="s">
        <v>13425</v>
      </c>
    </row>
    <row r="1355" spans="1:3" x14ac:dyDescent="0.2">
      <c r="A1355" t="s">
        <v>11328</v>
      </c>
      <c r="B1355" t="s">
        <v>10341</v>
      </c>
      <c r="C1355" t="s">
        <v>13439</v>
      </c>
    </row>
    <row r="1356" spans="1:3" x14ac:dyDescent="0.2">
      <c r="A1356" t="s">
        <v>11334</v>
      </c>
      <c r="B1356" t="s">
        <v>10343</v>
      </c>
      <c r="C1356" t="s">
        <v>13441</v>
      </c>
    </row>
    <row r="1357" spans="1:3" x14ac:dyDescent="0.2">
      <c r="A1357" t="s">
        <v>11336</v>
      </c>
      <c r="B1357" t="s">
        <v>10354</v>
      </c>
      <c r="C1357" t="s">
        <v>13447</v>
      </c>
    </row>
    <row r="1358" spans="1:3" x14ac:dyDescent="0.2">
      <c r="A1358" t="s">
        <v>11338</v>
      </c>
      <c r="B1358" t="s">
        <v>10356</v>
      </c>
      <c r="C1358" t="s">
        <v>13449</v>
      </c>
    </row>
    <row r="1359" spans="1:3" x14ac:dyDescent="0.2">
      <c r="A1359" t="s">
        <v>11342</v>
      </c>
      <c r="B1359" t="s">
        <v>10369</v>
      </c>
      <c r="C1359" t="s">
        <v>13458</v>
      </c>
    </row>
    <row r="1360" spans="1:3" x14ac:dyDescent="0.2">
      <c r="A1360" t="s">
        <v>11344</v>
      </c>
      <c r="B1360" t="s">
        <v>10371</v>
      </c>
      <c r="C1360" t="s">
        <v>13487</v>
      </c>
    </row>
    <row r="1361" spans="1:3" x14ac:dyDescent="0.2">
      <c r="A1361" t="s">
        <v>11348</v>
      </c>
      <c r="B1361" t="s">
        <v>10373</v>
      </c>
      <c r="C1361" t="s">
        <v>13502</v>
      </c>
    </row>
    <row r="1362" spans="1:3" x14ac:dyDescent="0.2">
      <c r="A1362" t="s">
        <v>11350</v>
      </c>
      <c r="B1362" t="s">
        <v>10377</v>
      </c>
      <c r="C1362" t="s">
        <v>13504</v>
      </c>
    </row>
    <row r="1363" spans="1:3" x14ac:dyDescent="0.2">
      <c r="A1363" t="s">
        <v>11358</v>
      </c>
      <c r="B1363" t="s">
        <v>10381</v>
      </c>
      <c r="C1363" t="s">
        <v>13511</v>
      </c>
    </row>
    <row r="1364" spans="1:3" x14ac:dyDescent="0.2">
      <c r="A1364" t="s">
        <v>11360</v>
      </c>
      <c r="B1364" t="s">
        <v>10395</v>
      </c>
      <c r="C1364" t="s">
        <v>13515</v>
      </c>
    </row>
    <row r="1365" spans="1:3" x14ac:dyDescent="0.2">
      <c r="A1365" t="s">
        <v>11366</v>
      </c>
      <c r="B1365" t="s">
        <v>10402</v>
      </c>
      <c r="C1365" t="s">
        <v>13529</v>
      </c>
    </row>
    <row r="1366" spans="1:3" x14ac:dyDescent="0.2">
      <c r="A1366" t="s">
        <v>11370</v>
      </c>
      <c r="B1366" t="s">
        <v>10404</v>
      </c>
      <c r="C1366" t="s">
        <v>13533</v>
      </c>
    </row>
    <row r="1367" spans="1:3" x14ac:dyDescent="0.2">
      <c r="A1367" t="s">
        <v>11372</v>
      </c>
      <c r="B1367" t="s">
        <v>10410</v>
      </c>
      <c r="C1367" t="s">
        <v>13537</v>
      </c>
    </row>
    <row r="1368" spans="1:3" x14ac:dyDescent="0.2">
      <c r="A1368" t="s">
        <v>11378</v>
      </c>
      <c r="B1368" t="s">
        <v>10416</v>
      </c>
      <c r="C1368" t="s">
        <v>13543</v>
      </c>
    </row>
    <row r="1369" spans="1:3" x14ac:dyDescent="0.2">
      <c r="A1369" t="s">
        <v>11380</v>
      </c>
      <c r="B1369" t="s">
        <v>10418</v>
      </c>
      <c r="C1369" t="s">
        <v>13547</v>
      </c>
    </row>
    <row r="1370" spans="1:3" x14ac:dyDescent="0.2">
      <c r="A1370" t="s">
        <v>11387</v>
      </c>
      <c r="B1370" t="s">
        <v>10420</v>
      </c>
      <c r="C1370" t="s">
        <v>13552</v>
      </c>
    </row>
    <row r="1371" spans="1:3" x14ac:dyDescent="0.2">
      <c r="A1371" t="s">
        <v>11389</v>
      </c>
      <c r="B1371" t="s">
        <v>10424</v>
      </c>
      <c r="C1371" t="s">
        <v>13554</v>
      </c>
    </row>
    <row r="1372" spans="1:3" x14ac:dyDescent="0.2">
      <c r="A1372" t="s">
        <v>11391</v>
      </c>
      <c r="B1372" t="s">
        <v>10428</v>
      </c>
      <c r="C1372" t="s">
        <v>13558</v>
      </c>
    </row>
    <row r="1373" spans="1:3" x14ac:dyDescent="0.2">
      <c r="A1373" t="s">
        <v>11397</v>
      </c>
      <c r="B1373" t="s">
        <v>10435</v>
      </c>
      <c r="C1373" t="s">
        <v>13560</v>
      </c>
    </row>
    <row r="1374" spans="1:3" x14ac:dyDescent="0.2">
      <c r="A1374" t="s">
        <v>11399</v>
      </c>
      <c r="B1374" t="s">
        <v>10439</v>
      </c>
      <c r="C1374" t="s">
        <v>13573</v>
      </c>
    </row>
    <row r="1375" spans="1:3" x14ac:dyDescent="0.2">
      <c r="A1375" t="s">
        <v>11402</v>
      </c>
      <c r="B1375" t="s">
        <v>10444</v>
      </c>
      <c r="C1375" t="s">
        <v>13575</v>
      </c>
    </row>
    <row r="1376" spans="1:3" x14ac:dyDescent="0.2">
      <c r="A1376" t="s">
        <v>11406</v>
      </c>
      <c r="B1376" t="s">
        <v>10449</v>
      </c>
      <c r="C1376" t="s">
        <v>13583</v>
      </c>
    </row>
    <row r="1377" spans="1:3" x14ac:dyDescent="0.2">
      <c r="A1377" t="s">
        <v>11408</v>
      </c>
      <c r="B1377" t="s">
        <v>10453</v>
      </c>
      <c r="C1377" t="s">
        <v>13592</v>
      </c>
    </row>
    <row r="1378" spans="1:3" x14ac:dyDescent="0.2">
      <c r="A1378" t="s">
        <v>11410</v>
      </c>
      <c r="B1378" t="s">
        <v>10457</v>
      </c>
      <c r="C1378" t="s">
        <v>13602</v>
      </c>
    </row>
    <row r="1379" spans="1:3" x14ac:dyDescent="0.2">
      <c r="A1379" t="s">
        <v>11414</v>
      </c>
      <c r="B1379" t="s">
        <v>10462</v>
      </c>
      <c r="C1379" t="s">
        <v>13609</v>
      </c>
    </row>
    <row r="1380" spans="1:3" x14ac:dyDescent="0.2">
      <c r="A1380" t="s">
        <v>11416</v>
      </c>
      <c r="B1380" t="s">
        <v>10464</v>
      </c>
      <c r="C1380" t="s">
        <v>13613</v>
      </c>
    </row>
    <row r="1381" spans="1:3" x14ac:dyDescent="0.2">
      <c r="A1381" t="s">
        <v>11420</v>
      </c>
      <c r="B1381" t="s">
        <v>10480</v>
      </c>
      <c r="C1381" t="s">
        <v>13620</v>
      </c>
    </row>
    <row r="1382" spans="1:3" x14ac:dyDescent="0.2">
      <c r="A1382" t="s">
        <v>11426</v>
      </c>
      <c r="B1382" t="s">
        <v>10482</v>
      </c>
      <c r="C1382" t="s">
        <v>13628</v>
      </c>
    </row>
    <row r="1383" spans="1:3" x14ac:dyDescent="0.2">
      <c r="A1383" t="s">
        <v>11440</v>
      </c>
      <c r="B1383" t="s">
        <v>10485</v>
      </c>
      <c r="C1383" t="s">
        <v>13630</v>
      </c>
    </row>
    <row r="1384" spans="1:3" x14ac:dyDescent="0.2">
      <c r="A1384" t="s">
        <v>11450</v>
      </c>
      <c r="B1384" t="s">
        <v>10493</v>
      </c>
      <c r="C1384" t="s">
        <v>13632</v>
      </c>
    </row>
    <row r="1385" spans="1:3" x14ac:dyDescent="0.2">
      <c r="A1385" t="s">
        <v>11454</v>
      </c>
      <c r="B1385" t="s">
        <v>10497</v>
      </c>
      <c r="C1385" t="s">
        <v>13634</v>
      </c>
    </row>
    <row r="1386" spans="1:3" x14ac:dyDescent="0.2">
      <c r="A1386" t="s">
        <v>11457</v>
      </c>
      <c r="B1386" t="s">
        <v>10501</v>
      </c>
      <c r="C1386" t="s">
        <v>13640</v>
      </c>
    </row>
    <row r="1387" spans="1:3" x14ac:dyDescent="0.2">
      <c r="A1387" t="s">
        <v>11460</v>
      </c>
      <c r="B1387" t="s">
        <v>10503</v>
      </c>
      <c r="C1387" t="s">
        <v>13647</v>
      </c>
    </row>
    <row r="1388" spans="1:3" x14ac:dyDescent="0.2">
      <c r="A1388" t="s">
        <v>11463</v>
      </c>
      <c r="B1388" t="s">
        <v>10508</v>
      </c>
      <c r="C1388" t="s">
        <v>13649</v>
      </c>
    </row>
    <row r="1389" spans="1:3" x14ac:dyDescent="0.2">
      <c r="A1389" t="s">
        <v>11465</v>
      </c>
      <c r="B1389" t="s">
        <v>10510</v>
      </c>
      <c r="C1389" t="s">
        <v>13651</v>
      </c>
    </row>
    <row r="1390" spans="1:3" x14ac:dyDescent="0.2">
      <c r="A1390" t="s">
        <v>11468</v>
      </c>
      <c r="B1390" t="s">
        <v>10512</v>
      </c>
      <c r="C1390" t="s">
        <v>13655</v>
      </c>
    </row>
    <row r="1391" spans="1:3" x14ac:dyDescent="0.2">
      <c r="A1391" t="s">
        <v>11470</v>
      </c>
      <c r="B1391" t="s">
        <v>10514</v>
      </c>
      <c r="C1391" t="s">
        <v>13658</v>
      </c>
    </row>
    <row r="1392" spans="1:3" x14ac:dyDescent="0.2">
      <c r="A1392" t="s">
        <v>11472</v>
      </c>
      <c r="B1392" t="s">
        <v>10520</v>
      </c>
      <c r="C1392" t="s">
        <v>13660</v>
      </c>
    </row>
    <row r="1393" spans="1:3" x14ac:dyDescent="0.2">
      <c r="A1393" t="s">
        <v>11478</v>
      </c>
      <c r="B1393" t="s">
        <v>10527</v>
      </c>
      <c r="C1393" t="s">
        <v>13663</v>
      </c>
    </row>
    <row r="1394" spans="1:3" x14ac:dyDescent="0.2">
      <c r="A1394" t="s">
        <v>11481</v>
      </c>
      <c r="B1394" t="s">
        <v>10529</v>
      </c>
      <c r="C1394" t="s">
        <v>13667</v>
      </c>
    </row>
    <row r="1395" spans="1:3" x14ac:dyDescent="0.2">
      <c r="A1395" t="s">
        <v>11483</v>
      </c>
      <c r="B1395" t="s">
        <v>10533</v>
      </c>
      <c r="C1395" t="s">
        <v>13671</v>
      </c>
    </row>
    <row r="1396" spans="1:3" x14ac:dyDescent="0.2">
      <c r="A1396" t="s">
        <v>11485</v>
      </c>
      <c r="B1396" t="s">
        <v>10552</v>
      </c>
      <c r="C1396" t="s">
        <v>13677</v>
      </c>
    </row>
    <row r="1397" spans="1:3" x14ac:dyDescent="0.2">
      <c r="A1397" t="s">
        <v>11487</v>
      </c>
      <c r="B1397" t="s">
        <v>10554</v>
      </c>
      <c r="C1397" t="s">
        <v>13681</v>
      </c>
    </row>
    <row r="1398" spans="1:3" x14ac:dyDescent="0.2">
      <c r="A1398" t="s">
        <v>11489</v>
      </c>
      <c r="B1398" t="s">
        <v>10559</v>
      </c>
      <c r="C1398" t="s">
        <v>13683</v>
      </c>
    </row>
    <row r="1399" spans="1:3" x14ac:dyDescent="0.2">
      <c r="A1399" t="s">
        <v>11496</v>
      </c>
      <c r="B1399" t="s">
        <v>10561</v>
      </c>
      <c r="C1399" t="s">
        <v>13685</v>
      </c>
    </row>
    <row r="1400" spans="1:3" x14ac:dyDescent="0.2">
      <c r="A1400" t="s">
        <v>11499</v>
      </c>
      <c r="B1400" t="s">
        <v>10563</v>
      </c>
      <c r="C1400" t="s">
        <v>13688</v>
      </c>
    </row>
    <row r="1401" spans="1:3" x14ac:dyDescent="0.2">
      <c r="A1401" t="s">
        <v>11504</v>
      </c>
      <c r="B1401" t="s">
        <v>10566</v>
      </c>
      <c r="C1401" t="s">
        <v>13694</v>
      </c>
    </row>
    <row r="1402" spans="1:3" x14ac:dyDescent="0.2">
      <c r="A1402" t="s">
        <v>11513</v>
      </c>
      <c r="B1402" t="s">
        <v>10569</v>
      </c>
      <c r="C1402" t="s">
        <v>13701</v>
      </c>
    </row>
    <row r="1403" spans="1:3" x14ac:dyDescent="0.2">
      <c r="A1403" t="s">
        <v>11515</v>
      </c>
      <c r="B1403" t="s">
        <v>10576</v>
      </c>
      <c r="C1403" t="s">
        <v>13703</v>
      </c>
    </row>
    <row r="1404" spans="1:3" x14ac:dyDescent="0.2">
      <c r="A1404" t="s">
        <v>11517</v>
      </c>
      <c r="B1404" t="s">
        <v>10578</v>
      </c>
      <c r="C1404" t="s">
        <v>13707</v>
      </c>
    </row>
    <row r="1405" spans="1:3" x14ac:dyDescent="0.2">
      <c r="A1405" t="s">
        <v>11525</v>
      </c>
      <c r="B1405" t="s">
        <v>10590</v>
      </c>
      <c r="C1405" t="s">
        <v>13712</v>
      </c>
    </row>
    <row r="1406" spans="1:3" x14ac:dyDescent="0.2">
      <c r="A1406" t="s">
        <v>11527</v>
      </c>
      <c r="B1406" t="s">
        <v>10594</v>
      </c>
      <c r="C1406" t="s">
        <v>13716</v>
      </c>
    </row>
    <row r="1407" spans="1:3" x14ac:dyDescent="0.2">
      <c r="A1407" t="s">
        <v>11530</v>
      </c>
      <c r="B1407" t="s">
        <v>10600</v>
      </c>
      <c r="C1407" t="s">
        <v>13726</v>
      </c>
    </row>
    <row r="1408" spans="1:3" x14ac:dyDescent="0.2">
      <c r="A1408" t="s">
        <v>11532</v>
      </c>
      <c r="B1408" t="s">
        <v>10602</v>
      </c>
      <c r="C1408" t="s">
        <v>13735</v>
      </c>
    </row>
    <row r="1409" spans="1:3" x14ac:dyDescent="0.2">
      <c r="A1409" t="s">
        <v>11542</v>
      </c>
      <c r="B1409" t="s">
        <v>10604</v>
      </c>
      <c r="C1409" t="s">
        <v>13737</v>
      </c>
    </row>
    <row r="1410" spans="1:3" x14ac:dyDescent="0.2">
      <c r="A1410" t="s">
        <v>11544</v>
      </c>
      <c r="B1410" t="s">
        <v>10607</v>
      </c>
      <c r="C1410" t="s">
        <v>13754</v>
      </c>
    </row>
    <row r="1411" spans="1:3" x14ac:dyDescent="0.2">
      <c r="A1411" t="s">
        <v>11549</v>
      </c>
      <c r="B1411" t="s">
        <v>10609</v>
      </c>
      <c r="C1411" t="s">
        <v>13758</v>
      </c>
    </row>
    <row r="1412" spans="1:3" x14ac:dyDescent="0.2">
      <c r="A1412" t="s">
        <v>11551</v>
      </c>
      <c r="B1412" t="s">
        <v>10611</v>
      </c>
      <c r="C1412" t="s">
        <v>13783</v>
      </c>
    </row>
    <row r="1413" spans="1:3" x14ac:dyDescent="0.2">
      <c r="A1413" t="s">
        <v>11556</v>
      </c>
      <c r="B1413" t="s">
        <v>10631</v>
      </c>
      <c r="C1413" t="s">
        <v>13785</v>
      </c>
    </row>
    <row r="1414" spans="1:3" x14ac:dyDescent="0.2">
      <c r="A1414" t="s">
        <v>11560</v>
      </c>
      <c r="B1414" t="s">
        <v>10657</v>
      </c>
      <c r="C1414" t="s">
        <v>13794</v>
      </c>
    </row>
    <row r="1415" spans="1:3" x14ac:dyDescent="0.2">
      <c r="A1415" t="s">
        <v>11566</v>
      </c>
      <c r="B1415" t="s">
        <v>10671</v>
      </c>
      <c r="C1415" t="s">
        <v>13796</v>
      </c>
    </row>
    <row r="1416" spans="1:3" x14ac:dyDescent="0.2">
      <c r="A1416" t="s">
        <v>11568</v>
      </c>
      <c r="B1416" t="s">
        <v>10679</v>
      </c>
      <c r="C1416" t="s">
        <v>13810</v>
      </c>
    </row>
    <row r="1417" spans="1:3" x14ac:dyDescent="0.2">
      <c r="A1417" t="s">
        <v>11570</v>
      </c>
      <c r="B1417" t="s">
        <v>10683</v>
      </c>
      <c r="C1417" t="s">
        <v>13813</v>
      </c>
    </row>
    <row r="1418" spans="1:3" x14ac:dyDescent="0.2">
      <c r="A1418" t="s">
        <v>11575</v>
      </c>
      <c r="B1418" t="s">
        <v>10686</v>
      </c>
      <c r="C1418" t="s">
        <v>13839</v>
      </c>
    </row>
    <row r="1419" spans="1:3" x14ac:dyDescent="0.2">
      <c r="A1419" t="s">
        <v>11581</v>
      </c>
      <c r="B1419" t="s">
        <v>10689</v>
      </c>
      <c r="C1419" t="s">
        <v>13846</v>
      </c>
    </row>
    <row r="1420" spans="1:3" x14ac:dyDescent="0.2">
      <c r="A1420" t="s">
        <v>11585</v>
      </c>
      <c r="B1420" t="s">
        <v>10691</v>
      </c>
      <c r="C1420" t="s">
        <v>13848</v>
      </c>
    </row>
    <row r="1421" spans="1:3" x14ac:dyDescent="0.2">
      <c r="A1421" t="s">
        <v>11591</v>
      </c>
      <c r="B1421" t="s">
        <v>10693</v>
      </c>
      <c r="C1421" t="s">
        <v>13854</v>
      </c>
    </row>
    <row r="1422" spans="1:3" x14ac:dyDescent="0.2">
      <c r="A1422" t="s">
        <v>11599</v>
      </c>
      <c r="B1422" t="s">
        <v>10695</v>
      </c>
      <c r="C1422" t="s">
        <v>13856</v>
      </c>
    </row>
    <row r="1423" spans="1:3" x14ac:dyDescent="0.2">
      <c r="A1423" t="s">
        <v>11603</v>
      </c>
      <c r="B1423" t="s">
        <v>10699</v>
      </c>
      <c r="C1423" t="s">
        <v>13858</v>
      </c>
    </row>
    <row r="1424" spans="1:3" x14ac:dyDescent="0.2">
      <c r="A1424" t="s">
        <v>11605</v>
      </c>
      <c r="B1424" t="s">
        <v>10701</v>
      </c>
      <c r="C1424" t="s">
        <v>13868</v>
      </c>
    </row>
    <row r="1425" spans="1:3" x14ac:dyDescent="0.2">
      <c r="A1425" t="s">
        <v>11608</v>
      </c>
      <c r="B1425" t="s">
        <v>10703</v>
      </c>
      <c r="C1425" t="s">
        <v>13870</v>
      </c>
    </row>
    <row r="1426" spans="1:3" x14ac:dyDescent="0.2">
      <c r="A1426" t="s">
        <v>11611</v>
      </c>
      <c r="B1426" t="s">
        <v>10711</v>
      </c>
      <c r="C1426" t="s">
        <v>13874</v>
      </c>
    </row>
    <row r="1427" spans="1:3" x14ac:dyDescent="0.2">
      <c r="A1427" t="s">
        <v>11613</v>
      </c>
      <c r="B1427" t="s">
        <v>10713</v>
      </c>
      <c r="C1427" t="s">
        <v>13876</v>
      </c>
    </row>
    <row r="1428" spans="1:3" x14ac:dyDescent="0.2">
      <c r="A1428" t="s">
        <v>11615</v>
      </c>
      <c r="B1428" t="s">
        <v>10715</v>
      </c>
      <c r="C1428" t="s">
        <v>13885</v>
      </c>
    </row>
    <row r="1429" spans="1:3" x14ac:dyDescent="0.2">
      <c r="A1429" t="s">
        <v>11624</v>
      </c>
      <c r="B1429" t="s">
        <v>10717</v>
      </c>
      <c r="C1429" t="s">
        <v>13889</v>
      </c>
    </row>
    <row r="1430" spans="1:3" x14ac:dyDescent="0.2">
      <c r="A1430" t="s">
        <v>11626</v>
      </c>
      <c r="B1430" t="s">
        <v>10719</v>
      </c>
      <c r="C1430" t="s">
        <v>13901</v>
      </c>
    </row>
    <row r="1431" spans="1:3" x14ac:dyDescent="0.2">
      <c r="A1431" t="s">
        <v>11634</v>
      </c>
      <c r="B1431" t="s">
        <v>10721</v>
      </c>
      <c r="C1431" t="s">
        <v>13926</v>
      </c>
    </row>
    <row r="1432" spans="1:3" x14ac:dyDescent="0.2">
      <c r="A1432" t="s">
        <v>11636</v>
      </c>
      <c r="B1432" t="s">
        <v>10723</v>
      </c>
      <c r="C1432" t="s">
        <v>13934</v>
      </c>
    </row>
    <row r="1433" spans="1:3" x14ac:dyDescent="0.2">
      <c r="A1433" t="s">
        <v>11645</v>
      </c>
      <c r="B1433" t="s">
        <v>10728</v>
      </c>
      <c r="C1433" t="s">
        <v>13936</v>
      </c>
    </row>
    <row r="1434" spans="1:3" x14ac:dyDescent="0.2">
      <c r="A1434" t="s">
        <v>11647</v>
      </c>
      <c r="B1434" t="s">
        <v>10734</v>
      </c>
      <c r="C1434" t="s">
        <v>13940</v>
      </c>
    </row>
    <row r="1435" spans="1:3" x14ac:dyDescent="0.2">
      <c r="A1435" t="s">
        <v>11649</v>
      </c>
      <c r="B1435" t="s">
        <v>10736</v>
      </c>
      <c r="C1435" t="s">
        <v>13942</v>
      </c>
    </row>
    <row r="1436" spans="1:3" x14ac:dyDescent="0.2">
      <c r="A1436" t="s">
        <v>11651</v>
      </c>
      <c r="B1436" t="s">
        <v>10738</v>
      </c>
      <c r="C1436" t="s">
        <v>13958</v>
      </c>
    </row>
    <row r="1437" spans="1:3" x14ac:dyDescent="0.2">
      <c r="A1437" t="s">
        <v>11654</v>
      </c>
      <c r="B1437" t="s">
        <v>10744</v>
      </c>
      <c r="C1437" t="s">
        <v>13960</v>
      </c>
    </row>
    <row r="1438" spans="1:3" x14ac:dyDescent="0.2">
      <c r="A1438" t="s">
        <v>11661</v>
      </c>
      <c r="B1438" t="s">
        <v>10751</v>
      </c>
      <c r="C1438" t="s">
        <v>13962</v>
      </c>
    </row>
    <row r="1439" spans="1:3" x14ac:dyDescent="0.2">
      <c r="A1439" t="s">
        <v>11663</v>
      </c>
      <c r="B1439" t="s">
        <v>10755</v>
      </c>
      <c r="C1439" t="s">
        <v>13969</v>
      </c>
    </row>
    <row r="1440" spans="1:3" x14ac:dyDescent="0.2">
      <c r="A1440" t="s">
        <v>11666</v>
      </c>
      <c r="B1440" t="s">
        <v>10763</v>
      </c>
      <c r="C1440" t="s">
        <v>13976</v>
      </c>
    </row>
    <row r="1441" spans="1:3" x14ac:dyDescent="0.2">
      <c r="A1441" t="s">
        <v>11670</v>
      </c>
      <c r="B1441" t="s">
        <v>10765</v>
      </c>
      <c r="C1441" t="s">
        <v>13982</v>
      </c>
    </row>
    <row r="1442" spans="1:3" x14ac:dyDescent="0.2">
      <c r="A1442" t="s">
        <v>11684</v>
      </c>
      <c r="B1442" t="s">
        <v>10767</v>
      </c>
      <c r="C1442" t="s">
        <v>13987</v>
      </c>
    </row>
    <row r="1443" spans="1:3" x14ac:dyDescent="0.2">
      <c r="A1443" t="s">
        <v>11688</v>
      </c>
      <c r="B1443" t="s">
        <v>10769</v>
      </c>
      <c r="C1443" t="s">
        <v>13990</v>
      </c>
    </row>
    <row r="1444" spans="1:3" x14ac:dyDescent="0.2">
      <c r="A1444" t="s">
        <v>11699</v>
      </c>
      <c r="B1444" t="s">
        <v>10771</v>
      </c>
      <c r="C1444" t="s">
        <v>14006</v>
      </c>
    </row>
    <row r="1445" spans="1:3" x14ac:dyDescent="0.2">
      <c r="A1445" t="s">
        <v>11701</v>
      </c>
      <c r="B1445" t="s">
        <v>10779</v>
      </c>
      <c r="C1445" t="s">
        <v>14011</v>
      </c>
    </row>
    <row r="1446" spans="1:3" x14ac:dyDescent="0.2">
      <c r="A1446" t="s">
        <v>11706</v>
      </c>
      <c r="B1446" t="s">
        <v>10783</v>
      </c>
      <c r="C1446" t="s">
        <v>14027</v>
      </c>
    </row>
    <row r="1447" spans="1:3" x14ac:dyDescent="0.2">
      <c r="A1447" t="s">
        <v>11712</v>
      </c>
      <c r="B1447" t="s">
        <v>10785</v>
      </c>
      <c r="C1447" t="s">
        <v>14036</v>
      </c>
    </row>
    <row r="1448" spans="1:3" x14ac:dyDescent="0.2">
      <c r="A1448" t="s">
        <v>11716</v>
      </c>
      <c r="B1448" t="s">
        <v>10789</v>
      </c>
      <c r="C1448" t="s">
        <v>14039</v>
      </c>
    </row>
    <row r="1449" spans="1:3" x14ac:dyDescent="0.2">
      <c r="A1449" t="s">
        <v>11718</v>
      </c>
      <c r="B1449" t="s">
        <v>10791</v>
      </c>
      <c r="C1449" t="s">
        <v>14041</v>
      </c>
    </row>
    <row r="1450" spans="1:3" x14ac:dyDescent="0.2">
      <c r="A1450" t="s">
        <v>11720</v>
      </c>
      <c r="B1450" t="s">
        <v>10795</v>
      </c>
      <c r="C1450" t="s">
        <v>14045</v>
      </c>
    </row>
    <row r="1451" spans="1:3" x14ac:dyDescent="0.2">
      <c r="A1451" t="s">
        <v>11722</v>
      </c>
      <c r="B1451" t="s">
        <v>10797</v>
      </c>
      <c r="C1451" t="s">
        <v>14049</v>
      </c>
    </row>
    <row r="1452" spans="1:3" x14ac:dyDescent="0.2">
      <c r="A1452" t="s">
        <v>11729</v>
      </c>
      <c r="B1452" t="s">
        <v>10801</v>
      </c>
      <c r="C1452" t="s">
        <v>14051</v>
      </c>
    </row>
    <row r="1453" spans="1:3" x14ac:dyDescent="0.2">
      <c r="A1453" t="s">
        <v>11752</v>
      </c>
      <c r="B1453" t="s">
        <v>10803</v>
      </c>
      <c r="C1453" t="s">
        <v>14069</v>
      </c>
    </row>
    <row r="1454" spans="1:3" x14ac:dyDescent="0.2">
      <c r="A1454" t="s">
        <v>11755</v>
      </c>
      <c r="B1454" t="s">
        <v>10805</v>
      </c>
      <c r="C1454" t="s">
        <v>14071</v>
      </c>
    </row>
    <row r="1455" spans="1:3" x14ac:dyDescent="0.2">
      <c r="A1455" t="s">
        <v>11757</v>
      </c>
      <c r="B1455" t="s">
        <v>10807</v>
      </c>
      <c r="C1455" t="s">
        <v>14084</v>
      </c>
    </row>
    <row r="1456" spans="1:3" x14ac:dyDescent="0.2">
      <c r="A1456" t="s">
        <v>11764</v>
      </c>
      <c r="B1456" t="s">
        <v>10811</v>
      </c>
      <c r="C1456" t="s">
        <v>14086</v>
      </c>
    </row>
    <row r="1457" spans="1:3" x14ac:dyDescent="0.2">
      <c r="A1457" t="s">
        <v>11768</v>
      </c>
      <c r="B1457" t="s">
        <v>10813</v>
      </c>
      <c r="C1457" t="s">
        <v>14093</v>
      </c>
    </row>
    <row r="1458" spans="1:3" x14ac:dyDescent="0.2">
      <c r="A1458" t="s">
        <v>11772</v>
      </c>
      <c r="B1458" t="s">
        <v>10815</v>
      </c>
      <c r="C1458" t="s">
        <v>14095</v>
      </c>
    </row>
    <row r="1459" spans="1:3" x14ac:dyDescent="0.2">
      <c r="A1459" t="s">
        <v>11775</v>
      </c>
      <c r="B1459" t="s">
        <v>10817</v>
      </c>
      <c r="C1459" t="s">
        <v>14099</v>
      </c>
    </row>
    <row r="1460" spans="1:3" x14ac:dyDescent="0.2">
      <c r="A1460" t="s">
        <v>11789</v>
      </c>
      <c r="B1460" t="s">
        <v>10819</v>
      </c>
      <c r="C1460" t="s">
        <v>14101</v>
      </c>
    </row>
    <row r="1461" spans="1:3" x14ac:dyDescent="0.2">
      <c r="A1461" t="s">
        <v>11798</v>
      </c>
      <c r="B1461" t="s">
        <v>10821</v>
      </c>
      <c r="C1461" t="s">
        <v>14117</v>
      </c>
    </row>
    <row r="1462" spans="1:3" x14ac:dyDescent="0.2">
      <c r="A1462" t="s">
        <v>11800</v>
      </c>
      <c r="B1462" t="s">
        <v>10823</v>
      </c>
      <c r="C1462" t="s">
        <v>14121</v>
      </c>
    </row>
    <row r="1463" spans="1:3" x14ac:dyDescent="0.2">
      <c r="A1463" t="s">
        <v>11812</v>
      </c>
      <c r="B1463" t="s">
        <v>10825</v>
      </c>
      <c r="C1463" t="s">
        <v>14123</v>
      </c>
    </row>
    <row r="1464" spans="1:3" x14ac:dyDescent="0.2">
      <c r="A1464" t="s">
        <v>11825</v>
      </c>
      <c r="B1464" t="s">
        <v>10827</v>
      </c>
      <c r="C1464" t="s">
        <v>14129</v>
      </c>
    </row>
    <row r="1465" spans="1:3" x14ac:dyDescent="0.2">
      <c r="A1465" t="s">
        <v>11831</v>
      </c>
      <c r="B1465" t="s">
        <v>10832</v>
      </c>
      <c r="C1465" t="s">
        <v>14149</v>
      </c>
    </row>
    <row r="1466" spans="1:3" x14ac:dyDescent="0.2">
      <c r="A1466" t="s">
        <v>11842</v>
      </c>
      <c r="B1466" t="s">
        <v>10850</v>
      </c>
      <c r="C1466" t="s">
        <v>14156</v>
      </c>
    </row>
    <row r="1467" spans="1:3" x14ac:dyDescent="0.2">
      <c r="A1467" t="s">
        <v>11846</v>
      </c>
      <c r="B1467" t="s">
        <v>10855</v>
      </c>
      <c r="C1467" t="s">
        <v>14164</v>
      </c>
    </row>
    <row r="1468" spans="1:3" x14ac:dyDescent="0.2">
      <c r="A1468" t="s">
        <v>11848</v>
      </c>
      <c r="B1468" t="s">
        <v>10859</v>
      </c>
      <c r="C1468" t="s">
        <v>14167</v>
      </c>
    </row>
    <row r="1469" spans="1:3" x14ac:dyDescent="0.2">
      <c r="A1469" t="s">
        <v>11856</v>
      </c>
      <c r="B1469" t="s">
        <v>10869</v>
      </c>
      <c r="C1469" t="s">
        <v>14169</v>
      </c>
    </row>
    <row r="1470" spans="1:3" x14ac:dyDescent="0.2">
      <c r="A1470" t="s">
        <v>11858</v>
      </c>
      <c r="B1470" t="s">
        <v>10872</v>
      </c>
      <c r="C1470" t="s">
        <v>14171</v>
      </c>
    </row>
    <row r="1471" spans="1:3" x14ac:dyDescent="0.2">
      <c r="A1471" t="s">
        <v>11869</v>
      </c>
      <c r="B1471" t="s">
        <v>10886</v>
      </c>
      <c r="C1471" t="s">
        <v>14173</v>
      </c>
    </row>
    <row r="1472" spans="1:3" x14ac:dyDescent="0.2">
      <c r="A1472" t="s">
        <v>11877</v>
      </c>
      <c r="B1472" t="s">
        <v>10888</v>
      </c>
      <c r="C1472" t="s">
        <v>14177</v>
      </c>
    </row>
    <row r="1473" spans="1:3" x14ac:dyDescent="0.2">
      <c r="A1473" t="s">
        <v>11881</v>
      </c>
      <c r="B1473" t="s">
        <v>10890</v>
      </c>
      <c r="C1473" t="s">
        <v>14189</v>
      </c>
    </row>
    <row r="1474" spans="1:3" x14ac:dyDescent="0.2">
      <c r="A1474" t="s">
        <v>11887</v>
      </c>
      <c r="B1474" t="s">
        <v>10900</v>
      </c>
      <c r="C1474" t="s">
        <v>14195</v>
      </c>
    </row>
    <row r="1475" spans="1:3" x14ac:dyDescent="0.2">
      <c r="A1475" t="s">
        <v>11893</v>
      </c>
      <c r="B1475" t="s">
        <v>10902</v>
      </c>
      <c r="C1475" t="s">
        <v>14204</v>
      </c>
    </row>
    <row r="1476" spans="1:3" x14ac:dyDescent="0.2">
      <c r="A1476" t="s">
        <v>11898</v>
      </c>
      <c r="B1476" t="s">
        <v>10904</v>
      </c>
      <c r="C1476" t="s">
        <v>14210</v>
      </c>
    </row>
    <row r="1477" spans="1:3" x14ac:dyDescent="0.2">
      <c r="A1477" t="s">
        <v>11908</v>
      </c>
      <c r="B1477" t="s">
        <v>10908</v>
      </c>
      <c r="C1477" t="s">
        <v>14217</v>
      </c>
    </row>
    <row r="1478" spans="1:3" x14ac:dyDescent="0.2">
      <c r="A1478" t="s">
        <v>11913</v>
      </c>
      <c r="B1478" t="s">
        <v>10916</v>
      </c>
      <c r="C1478" t="s">
        <v>14219</v>
      </c>
    </row>
    <row r="1479" spans="1:3" x14ac:dyDescent="0.2">
      <c r="A1479" t="s">
        <v>11920</v>
      </c>
      <c r="B1479" t="s">
        <v>10924</v>
      </c>
      <c r="C1479" t="s">
        <v>14221</v>
      </c>
    </row>
    <row r="1480" spans="1:3" x14ac:dyDescent="0.2">
      <c r="A1480" t="s">
        <v>11926</v>
      </c>
      <c r="B1480" t="s">
        <v>10931</v>
      </c>
      <c r="C1480" t="s">
        <v>14232</v>
      </c>
    </row>
    <row r="1481" spans="1:3" x14ac:dyDescent="0.2">
      <c r="A1481" t="s">
        <v>11929</v>
      </c>
      <c r="B1481" t="s">
        <v>10935</v>
      </c>
      <c r="C1481" t="s">
        <v>14234</v>
      </c>
    </row>
    <row r="1482" spans="1:3" x14ac:dyDescent="0.2">
      <c r="A1482" t="s">
        <v>11931</v>
      </c>
      <c r="B1482" t="s">
        <v>10939</v>
      </c>
      <c r="C1482" t="s">
        <v>14236</v>
      </c>
    </row>
    <row r="1483" spans="1:3" x14ac:dyDescent="0.2">
      <c r="A1483" t="s">
        <v>11935</v>
      </c>
      <c r="B1483" t="s">
        <v>10947</v>
      </c>
      <c r="C1483" t="s">
        <v>14242</v>
      </c>
    </row>
    <row r="1484" spans="1:3" x14ac:dyDescent="0.2">
      <c r="A1484" t="s">
        <v>11937</v>
      </c>
      <c r="B1484" t="s">
        <v>10951</v>
      </c>
      <c r="C1484" t="s">
        <v>14250</v>
      </c>
    </row>
    <row r="1485" spans="1:3" x14ac:dyDescent="0.2">
      <c r="A1485" t="s">
        <v>11939</v>
      </c>
      <c r="B1485" t="s">
        <v>10956</v>
      </c>
      <c r="C1485" t="s">
        <v>14260</v>
      </c>
    </row>
    <row r="1486" spans="1:3" x14ac:dyDescent="0.2">
      <c r="A1486" t="s">
        <v>11943</v>
      </c>
      <c r="B1486" t="s">
        <v>10961</v>
      </c>
      <c r="C1486" t="s">
        <v>14266</v>
      </c>
    </row>
    <row r="1487" spans="1:3" x14ac:dyDescent="0.2">
      <c r="A1487" t="s">
        <v>11951</v>
      </c>
      <c r="B1487" t="s">
        <v>10965</v>
      </c>
      <c r="C1487" t="s">
        <v>14268</v>
      </c>
    </row>
    <row r="1488" spans="1:3" x14ac:dyDescent="0.2">
      <c r="A1488" t="s">
        <v>11955</v>
      </c>
      <c r="B1488" t="s">
        <v>10971</v>
      </c>
      <c r="C1488" t="s">
        <v>14277</v>
      </c>
    </row>
    <row r="1489" spans="1:3" x14ac:dyDescent="0.2">
      <c r="A1489" t="s">
        <v>11958</v>
      </c>
      <c r="B1489" t="s">
        <v>10980</v>
      </c>
      <c r="C1489" t="s">
        <v>14283</v>
      </c>
    </row>
    <row r="1490" spans="1:3" x14ac:dyDescent="0.2">
      <c r="A1490" t="s">
        <v>11960</v>
      </c>
      <c r="B1490" t="s">
        <v>11001</v>
      </c>
      <c r="C1490" t="s">
        <v>14285</v>
      </c>
    </row>
    <row r="1491" spans="1:3" x14ac:dyDescent="0.2">
      <c r="A1491" t="s">
        <v>11979</v>
      </c>
      <c r="B1491" t="s">
        <v>11003</v>
      </c>
      <c r="C1491" t="s">
        <v>14291</v>
      </c>
    </row>
    <row r="1492" spans="1:3" x14ac:dyDescent="0.2">
      <c r="A1492" t="s">
        <v>11986</v>
      </c>
      <c r="B1492" t="s">
        <v>11005</v>
      </c>
      <c r="C1492" t="s">
        <v>14298</v>
      </c>
    </row>
    <row r="1493" spans="1:3" x14ac:dyDescent="0.2">
      <c r="A1493" t="s">
        <v>11990</v>
      </c>
      <c r="B1493" t="s">
        <v>11008</v>
      </c>
      <c r="C1493" t="s">
        <v>14311</v>
      </c>
    </row>
    <row r="1494" spans="1:3" x14ac:dyDescent="0.2">
      <c r="A1494" t="s">
        <v>11992</v>
      </c>
      <c r="B1494" t="s">
        <v>11010</v>
      </c>
      <c r="C1494" t="s">
        <v>14313</v>
      </c>
    </row>
    <row r="1495" spans="1:3" x14ac:dyDescent="0.2">
      <c r="A1495" t="s">
        <v>11994</v>
      </c>
      <c r="B1495" t="s">
        <v>11012</v>
      </c>
      <c r="C1495" t="s">
        <v>14317</v>
      </c>
    </row>
    <row r="1496" spans="1:3" x14ac:dyDescent="0.2">
      <c r="A1496" t="s">
        <v>11996</v>
      </c>
      <c r="B1496" t="s">
        <v>11021</v>
      </c>
      <c r="C1496" t="s">
        <v>14327</v>
      </c>
    </row>
    <row r="1497" spans="1:3" x14ac:dyDescent="0.2">
      <c r="A1497" t="s">
        <v>11999</v>
      </c>
      <c r="B1497" t="s">
        <v>11026</v>
      </c>
      <c r="C1497" t="s">
        <v>14332</v>
      </c>
    </row>
    <row r="1498" spans="1:3" x14ac:dyDescent="0.2">
      <c r="A1498" t="s">
        <v>12008</v>
      </c>
      <c r="B1498" t="s">
        <v>11032</v>
      </c>
      <c r="C1498" t="s">
        <v>14349</v>
      </c>
    </row>
    <row r="1499" spans="1:3" x14ac:dyDescent="0.2">
      <c r="A1499" t="s">
        <v>12018</v>
      </c>
      <c r="B1499" t="s">
        <v>11035</v>
      </c>
      <c r="C1499" t="s">
        <v>14351</v>
      </c>
    </row>
    <row r="1500" spans="1:3" x14ac:dyDescent="0.2">
      <c r="A1500" t="s">
        <v>12020</v>
      </c>
      <c r="B1500" t="s">
        <v>11039</v>
      </c>
      <c r="C1500" t="s">
        <v>14363</v>
      </c>
    </row>
    <row r="1501" spans="1:3" x14ac:dyDescent="0.2">
      <c r="A1501" t="s">
        <v>12022</v>
      </c>
      <c r="B1501" t="s">
        <v>11041</v>
      </c>
      <c r="C1501" t="s">
        <v>14369</v>
      </c>
    </row>
    <row r="1502" spans="1:3" x14ac:dyDescent="0.2">
      <c r="A1502" t="s">
        <v>12024</v>
      </c>
      <c r="B1502" t="s">
        <v>11043</v>
      </c>
      <c r="C1502" t="s">
        <v>14372</v>
      </c>
    </row>
    <row r="1503" spans="1:3" x14ac:dyDescent="0.2">
      <c r="A1503" t="s">
        <v>12030</v>
      </c>
      <c r="B1503" t="s">
        <v>11047</v>
      </c>
      <c r="C1503" t="s">
        <v>14376</v>
      </c>
    </row>
    <row r="1504" spans="1:3" x14ac:dyDescent="0.2">
      <c r="A1504" t="s">
        <v>12032</v>
      </c>
      <c r="B1504" t="s">
        <v>11049</v>
      </c>
      <c r="C1504" t="s">
        <v>14378</v>
      </c>
    </row>
    <row r="1505" spans="1:3" x14ac:dyDescent="0.2">
      <c r="A1505" t="s">
        <v>12040</v>
      </c>
      <c r="B1505" t="s">
        <v>11053</v>
      </c>
      <c r="C1505" t="s">
        <v>14393</v>
      </c>
    </row>
    <row r="1506" spans="1:3" x14ac:dyDescent="0.2">
      <c r="A1506" t="s">
        <v>12050</v>
      </c>
      <c r="B1506" t="s">
        <v>11055</v>
      </c>
      <c r="C1506" t="s">
        <v>14397</v>
      </c>
    </row>
    <row r="1507" spans="1:3" x14ac:dyDescent="0.2">
      <c r="A1507" t="s">
        <v>12054</v>
      </c>
      <c r="B1507" t="s">
        <v>11057</v>
      </c>
      <c r="C1507" t="s">
        <v>14403</v>
      </c>
    </row>
    <row r="1508" spans="1:3" x14ac:dyDescent="0.2">
      <c r="A1508" t="s">
        <v>12060</v>
      </c>
      <c r="B1508" t="s">
        <v>11069</v>
      </c>
      <c r="C1508" t="s">
        <v>14413</v>
      </c>
    </row>
    <row r="1509" spans="1:3" x14ac:dyDescent="0.2">
      <c r="A1509" t="s">
        <v>12062</v>
      </c>
      <c r="B1509" t="s">
        <v>11071</v>
      </c>
      <c r="C1509" t="s">
        <v>14417</v>
      </c>
    </row>
    <row r="1510" spans="1:3" x14ac:dyDescent="0.2">
      <c r="A1510" t="s">
        <v>12065</v>
      </c>
      <c r="B1510" t="s">
        <v>11074</v>
      </c>
      <c r="C1510" t="s">
        <v>14423</v>
      </c>
    </row>
    <row r="1511" spans="1:3" x14ac:dyDescent="0.2">
      <c r="A1511" t="s">
        <v>12067</v>
      </c>
      <c r="B1511" t="s">
        <v>11078</v>
      </c>
      <c r="C1511" t="s">
        <v>14425</v>
      </c>
    </row>
    <row r="1512" spans="1:3" x14ac:dyDescent="0.2">
      <c r="A1512" t="s">
        <v>12073</v>
      </c>
      <c r="B1512" t="s">
        <v>11080</v>
      </c>
      <c r="C1512" t="s">
        <v>14427</v>
      </c>
    </row>
    <row r="1513" spans="1:3" x14ac:dyDescent="0.2">
      <c r="A1513" t="s">
        <v>12079</v>
      </c>
      <c r="B1513" t="s">
        <v>11082</v>
      </c>
      <c r="C1513" t="s">
        <v>14434</v>
      </c>
    </row>
    <row r="1514" spans="1:3" x14ac:dyDescent="0.2">
      <c r="A1514" t="s">
        <v>12084</v>
      </c>
      <c r="B1514" t="s">
        <v>11092</v>
      </c>
      <c r="C1514" t="s">
        <v>14446</v>
      </c>
    </row>
    <row r="1515" spans="1:3" x14ac:dyDescent="0.2">
      <c r="A1515" t="s">
        <v>12086</v>
      </c>
      <c r="B1515" t="s">
        <v>11097</v>
      </c>
      <c r="C1515" t="s">
        <v>14450</v>
      </c>
    </row>
    <row r="1516" spans="1:3" x14ac:dyDescent="0.2">
      <c r="A1516" t="s">
        <v>12088</v>
      </c>
      <c r="B1516" t="s">
        <v>11099</v>
      </c>
      <c r="C1516" t="s">
        <v>14452</v>
      </c>
    </row>
    <row r="1517" spans="1:3" x14ac:dyDescent="0.2">
      <c r="A1517" t="s">
        <v>12103</v>
      </c>
      <c r="B1517" t="s">
        <v>11101</v>
      </c>
      <c r="C1517" t="s">
        <v>14458</v>
      </c>
    </row>
    <row r="1518" spans="1:3" x14ac:dyDescent="0.2">
      <c r="A1518" t="s">
        <v>12109</v>
      </c>
      <c r="B1518" t="s">
        <v>11103</v>
      </c>
      <c r="C1518" t="s">
        <v>14460</v>
      </c>
    </row>
    <row r="1519" spans="1:3" x14ac:dyDescent="0.2">
      <c r="A1519" t="s">
        <v>12111</v>
      </c>
      <c r="B1519" t="s">
        <v>11105</v>
      </c>
      <c r="C1519" t="s">
        <v>14467</v>
      </c>
    </row>
    <row r="1520" spans="1:3" x14ac:dyDescent="0.2">
      <c r="A1520" t="s">
        <v>12115</v>
      </c>
      <c r="B1520" t="s">
        <v>11109</v>
      </c>
      <c r="C1520" t="s">
        <v>14483</v>
      </c>
    </row>
    <row r="1521" spans="1:3" x14ac:dyDescent="0.2">
      <c r="A1521" t="s">
        <v>12118</v>
      </c>
      <c r="B1521" t="s">
        <v>11113</v>
      </c>
      <c r="C1521" t="s">
        <v>14498</v>
      </c>
    </row>
    <row r="1522" spans="1:3" x14ac:dyDescent="0.2">
      <c r="A1522" t="s">
        <v>12121</v>
      </c>
      <c r="B1522" t="s">
        <v>11115</v>
      </c>
      <c r="C1522" t="s">
        <v>14508</v>
      </c>
    </row>
    <row r="1523" spans="1:3" x14ac:dyDescent="0.2">
      <c r="A1523" t="s">
        <v>12123</v>
      </c>
      <c r="B1523" t="s">
        <v>11117</v>
      </c>
      <c r="C1523" t="s">
        <v>14514</v>
      </c>
    </row>
    <row r="1524" spans="1:3" x14ac:dyDescent="0.2">
      <c r="A1524" t="s">
        <v>12130</v>
      </c>
      <c r="B1524" t="s">
        <v>11120</v>
      </c>
      <c r="C1524" t="s">
        <v>14520</v>
      </c>
    </row>
    <row r="1525" spans="1:3" x14ac:dyDescent="0.2">
      <c r="A1525" t="s">
        <v>12132</v>
      </c>
      <c r="B1525" t="s">
        <v>11122</v>
      </c>
      <c r="C1525" t="s">
        <v>14522</v>
      </c>
    </row>
    <row r="1526" spans="1:3" x14ac:dyDescent="0.2">
      <c r="A1526" t="s">
        <v>12134</v>
      </c>
      <c r="B1526" t="s">
        <v>11126</v>
      </c>
      <c r="C1526" t="s">
        <v>14526</v>
      </c>
    </row>
    <row r="1527" spans="1:3" x14ac:dyDescent="0.2">
      <c r="A1527" t="s">
        <v>12136</v>
      </c>
      <c r="B1527" t="s">
        <v>11132</v>
      </c>
      <c r="C1527" t="s">
        <v>14535</v>
      </c>
    </row>
    <row r="1528" spans="1:3" x14ac:dyDescent="0.2">
      <c r="A1528" t="s">
        <v>12138</v>
      </c>
      <c r="B1528" t="s">
        <v>11138</v>
      </c>
      <c r="C1528" t="s">
        <v>14537</v>
      </c>
    </row>
    <row r="1529" spans="1:3" x14ac:dyDescent="0.2">
      <c r="A1529" t="s">
        <v>12140</v>
      </c>
      <c r="B1529" t="s">
        <v>11156</v>
      </c>
      <c r="C1529" t="s">
        <v>14552</v>
      </c>
    </row>
    <row r="1530" spans="1:3" x14ac:dyDescent="0.2">
      <c r="A1530" t="s">
        <v>12142</v>
      </c>
      <c r="B1530" t="s">
        <v>11170</v>
      </c>
      <c r="C1530" t="s">
        <v>14557</v>
      </c>
    </row>
    <row r="1531" spans="1:3" x14ac:dyDescent="0.2">
      <c r="A1531" t="s">
        <v>12144</v>
      </c>
      <c r="B1531" t="s">
        <v>11172</v>
      </c>
      <c r="C1531" t="s">
        <v>14559</v>
      </c>
    </row>
    <row r="1532" spans="1:3" x14ac:dyDescent="0.2">
      <c r="A1532" t="s">
        <v>12146</v>
      </c>
      <c r="B1532" t="s">
        <v>11176</v>
      </c>
      <c r="C1532" t="s">
        <v>14563</v>
      </c>
    </row>
    <row r="1533" spans="1:3" x14ac:dyDescent="0.2">
      <c r="A1533" t="s">
        <v>12148</v>
      </c>
      <c r="B1533" t="s">
        <v>11186</v>
      </c>
      <c r="C1533" t="s">
        <v>14568</v>
      </c>
    </row>
    <row r="1534" spans="1:3" x14ac:dyDescent="0.2">
      <c r="A1534" t="s">
        <v>12152</v>
      </c>
      <c r="B1534" t="s">
        <v>11190</v>
      </c>
      <c r="C1534" t="s">
        <v>14573</v>
      </c>
    </row>
    <row r="1535" spans="1:3" x14ac:dyDescent="0.2">
      <c r="A1535" t="s">
        <v>12154</v>
      </c>
      <c r="B1535" t="s">
        <v>11192</v>
      </c>
      <c r="C1535" t="s">
        <v>14575</v>
      </c>
    </row>
    <row r="1536" spans="1:3" x14ac:dyDescent="0.2">
      <c r="A1536" t="s">
        <v>12156</v>
      </c>
      <c r="B1536" t="s">
        <v>11194</v>
      </c>
      <c r="C1536" t="s">
        <v>14583</v>
      </c>
    </row>
    <row r="1537" spans="1:3" x14ac:dyDescent="0.2">
      <c r="A1537" t="s">
        <v>12166</v>
      </c>
      <c r="B1537" t="s">
        <v>11198</v>
      </c>
      <c r="C1537" t="s">
        <v>14585</v>
      </c>
    </row>
    <row r="1538" spans="1:3" x14ac:dyDescent="0.2">
      <c r="A1538" t="s">
        <v>12169</v>
      </c>
      <c r="B1538" t="s">
        <v>11206</v>
      </c>
      <c r="C1538" t="s">
        <v>14587</v>
      </c>
    </row>
    <row r="1539" spans="1:3" x14ac:dyDescent="0.2">
      <c r="A1539" t="s">
        <v>12173</v>
      </c>
      <c r="B1539" t="s">
        <v>11212</v>
      </c>
      <c r="C1539" t="s">
        <v>14589</v>
      </c>
    </row>
    <row r="1540" spans="1:3" x14ac:dyDescent="0.2">
      <c r="A1540" t="s">
        <v>12177</v>
      </c>
      <c r="B1540" t="s">
        <v>11220</v>
      </c>
      <c r="C1540" t="s">
        <v>14591</v>
      </c>
    </row>
    <row r="1541" spans="1:3" x14ac:dyDescent="0.2">
      <c r="A1541" t="s">
        <v>12179</v>
      </c>
      <c r="B1541" t="s">
        <v>11222</v>
      </c>
      <c r="C1541" t="s">
        <v>14595</v>
      </c>
    </row>
    <row r="1542" spans="1:3" x14ac:dyDescent="0.2">
      <c r="A1542" t="s">
        <v>12181</v>
      </c>
      <c r="B1542" t="s">
        <v>11224</v>
      </c>
      <c r="C1542" t="s">
        <v>14607</v>
      </c>
    </row>
    <row r="1543" spans="1:3" x14ac:dyDescent="0.2">
      <c r="A1543" t="s">
        <v>12188</v>
      </c>
      <c r="B1543" t="s">
        <v>11242</v>
      </c>
      <c r="C1543" t="s">
        <v>14611</v>
      </c>
    </row>
    <row r="1544" spans="1:3" x14ac:dyDescent="0.2">
      <c r="A1544" t="s">
        <v>12197</v>
      </c>
      <c r="B1544" t="s">
        <v>11244</v>
      </c>
      <c r="C1544" t="s">
        <v>14621</v>
      </c>
    </row>
    <row r="1545" spans="1:3" x14ac:dyDescent="0.2">
      <c r="A1545" t="s">
        <v>12208</v>
      </c>
      <c r="B1545" t="s">
        <v>11248</v>
      </c>
      <c r="C1545" t="s">
        <v>14624</v>
      </c>
    </row>
    <row r="1546" spans="1:3" x14ac:dyDescent="0.2">
      <c r="A1546" t="s">
        <v>12210</v>
      </c>
      <c r="B1546" t="s">
        <v>11254</v>
      </c>
      <c r="C1546" t="s">
        <v>14626</v>
      </c>
    </row>
    <row r="1547" spans="1:3" x14ac:dyDescent="0.2">
      <c r="A1547" t="s">
        <v>12219</v>
      </c>
      <c r="B1547" t="s">
        <v>11263</v>
      </c>
      <c r="C1547" t="s">
        <v>14633</v>
      </c>
    </row>
    <row r="1548" spans="1:3" x14ac:dyDescent="0.2">
      <c r="A1548" t="s">
        <v>12221</v>
      </c>
      <c r="B1548" t="s">
        <v>11271</v>
      </c>
      <c r="C1548" t="s">
        <v>14635</v>
      </c>
    </row>
    <row r="1549" spans="1:3" x14ac:dyDescent="0.2">
      <c r="A1549" t="s">
        <v>12225</v>
      </c>
      <c r="B1549" t="s">
        <v>11273</v>
      </c>
      <c r="C1549" t="s">
        <v>14637</v>
      </c>
    </row>
    <row r="1550" spans="1:3" x14ac:dyDescent="0.2">
      <c r="A1550" t="s">
        <v>12233</v>
      </c>
      <c r="B1550" t="s">
        <v>11285</v>
      </c>
      <c r="C1550" t="s">
        <v>14643</v>
      </c>
    </row>
    <row r="1551" spans="1:3" x14ac:dyDescent="0.2">
      <c r="A1551" t="s">
        <v>12235</v>
      </c>
      <c r="B1551" t="s">
        <v>11287</v>
      </c>
      <c r="C1551" t="s">
        <v>14645</v>
      </c>
    </row>
    <row r="1552" spans="1:3" x14ac:dyDescent="0.2">
      <c r="A1552" t="s">
        <v>12239</v>
      </c>
      <c r="B1552" t="s">
        <v>11302</v>
      </c>
      <c r="C1552" t="s">
        <v>14656</v>
      </c>
    </row>
    <row r="1553" spans="1:3" x14ac:dyDescent="0.2">
      <c r="A1553" t="s">
        <v>12247</v>
      </c>
      <c r="B1553" t="s">
        <v>11304</v>
      </c>
      <c r="C1553" t="s">
        <v>14664</v>
      </c>
    </row>
    <row r="1554" spans="1:3" x14ac:dyDescent="0.2">
      <c r="A1554" t="s">
        <v>12249</v>
      </c>
      <c r="B1554" t="s">
        <v>11308</v>
      </c>
      <c r="C1554" t="s">
        <v>14668</v>
      </c>
    </row>
    <row r="1555" spans="1:3" x14ac:dyDescent="0.2">
      <c r="A1555" t="s">
        <v>12251</v>
      </c>
      <c r="B1555" t="s">
        <v>11320</v>
      </c>
      <c r="C1555" t="s">
        <v>14670</v>
      </c>
    </row>
    <row r="1556" spans="1:3" x14ac:dyDescent="0.2">
      <c r="A1556" t="s">
        <v>12256</v>
      </c>
      <c r="B1556" t="s">
        <v>11326</v>
      </c>
      <c r="C1556" t="s">
        <v>14679</v>
      </c>
    </row>
    <row r="1557" spans="1:3" x14ac:dyDescent="0.2">
      <c r="A1557" t="s">
        <v>12260</v>
      </c>
      <c r="B1557" t="s">
        <v>11334</v>
      </c>
      <c r="C1557" t="s">
        <v>14681</v>
      </c>
    </row>
    <row r="1558" spans="1:3" x14ac:dyDescent="0.2">
      <c r="A1558" t="s">
        <v>12263</v>
      </c>
      <c r="B1558" t="s">
        <v>11346</v>
      </c>
      <c r="C1558" t="s">
        <v>14683</v>
      </c>
    </row>
    <row r="1559" spans="1:3" x14ac:dyDescent="0.2">
      <c r="A1559" t="s">
        <v>12265</v>
      </c>
      <c r="B1559" t="s">
        <v>11350</v>
      </c>
      <c r="C1559" t="s">
        <v>14689</v>
      </c>
    </row>
    <row r="1560" spans="1:3" x14ac:dyDescent="0.2">
      <c r="A1560" t="s">
        <v>12272</v>
      </c>
      <c r="B1560" t="s">
        <v>11352</v>
      </c>
      <c r="C1560" t="s">
        <v>14693</v>
      </c>
    </row>
    <row r="1561" spans="1:3" x14ac:dyDescent="0.2">
      <c r="A1561" t="s">
        <v>12275</v>
      </c>
      <c r="B1561" t="s">
        <v>11355</v>
      </c>
      <c r="C1561" t="s">
        <v>14695</v>
      </c>
    </row>
    <row r="1562" spans="1:3" x14ac:dyDescent="0.2">
      <c r="A1562" t="s">
        <v>12277</v>
      </c>
      <c r="B1562" t="s">
        <v>11362</v>
      </c>
      <c r="C1562" t="s">
        <v>14717</v>
      </c>
    </row>
    <row r="1563" spans="1:3" x14ac:dyDescent="0.2">
      <c r="A1563" t="s">
        <v>12286</v>
      </c>
      <c r="B1563" t="s">
        <v>11364</v>
      </c>
      <c r="C1563" t="s">
        <v>14730</v>
      </c>
    </row>
    <row r="1564" spans="1:3" x14ac:dyDescent="0.2">
      <c r="A1564" t="s">
        <v>12293</v>
      </c>
      <c r="B1564" t="s">
        <v>11366</v>
      </c>
      <c r="C1564" t="s">
        <v>14742</v>
      </c>
    </row>
    <row r="1565" spans="1:3" x14ac:dyDescent="0.2">
      <c r="A1565" t="s">
        <v>12295</v>
      </c>
      <c r="B1565" t="s">
        <v>11370</v>
      </c>
      <c r="C1565" t="s">
        <v>14744</v>
      </c>
    </row>
    <row r="1566" spans="1:3" x14ac:dyDescent="0.2">
      <c r="A1566" t="s">
        <v>12297</v>
      </c>
      <c r="B1566" t="s">
        <v>11378</v>
      </c>
      <c r="C1566" t="s">
        <v>14746</v>
      </c>
    </row>
    <row r="1567" spans="1:3" x14ac:dyDescent="0.2">
      <c r="A1567" t="s">
        <v>12301</v>
      </c>
      <c r="B1567" t="s">
        <v>11383</v>
      </c>
      <c r="C1567" t="s">
        <v>14759</v>
      </c>
    </row>
    <row r="1568" spans="1:3" x14ac:dyDescent="0.2">
      <c r="A1568" t="s">
        <v>12305</v>
      </c>
      <c r="B1568" t="s">
        <v>11385</v>
      </c>
      <c r="C1568" t="s">
        <v>14774</v>
      </c>
    </row>
    <row r="1569" spans="1:3" x14ac:dyDescent="0.2">
      <c r="A1569" t="s">
        <v>12311</v>
      </c>
      <c r="B1569" t="s">
        <v>11389</v>
      </c>
      <c r="C1569" t="s">
        <v>14778</v>
      </c>
    </row>
    <row r="1570" spans="1:3" x14ac:dyDescent="0.2">
      <c r="A1570" t="s">
        <v>12315</v>
      </c>
      <c r="B1570" t="s">
        <v>11391</v>
      </c>
      <c r="C1570" t="s">
        <v>14784</v>
      </c>
    </row>
    <row r="1571" spans="1:3" x14ac:dyDescent="0.2">
      <c r="A1571" t="s">
        <v>12321</v>
      </c>
      <c r="B1571" t="s">
        <v>11393</v>
      </c>
      <c r="C1571" t="s">
        <v>14803</v>
      </c>
    </row>
    <row r="1572" spans="1:3" x14ac:dyDescent="0.2">
      <c r="A1572" t="s">
        <v>12324</v>
      </c>
      <c r="B1572" t="s">
        <v>11404</v>
      </c>
      <c r="C1572" t="s">
        <v>14835</v>
      </c>
    </row>
    <row r="1573" spans="1:3" x14ac:dyDescent="0.2">
      <c r="A1573" t="s">
        <v>12328</v>
      </c>
      <c r="B1573" t="s">
        <v>11406</v>
      </c>
      <c r="C1573" t="s">
        <v>14837</v>
      </c>
    </row>
    <row r="1574" spans="1:3" x14ac:dyDescent="0.2">
      <c r="A1574" t="s">
        <v>12330</v>
      </c>
      <c r="B1574" t="s">
        <v>11418</v>
      </c>
      <c r="C1574" t="s">
        <v>14839</v>
      </c>
    </row>
    <row r="1575" spans="1:3" x14ac:dyDescent="0.2">
      <c r="A1575" t="s">
        <v>12332</v>
      </c>
      <c r="B1575" t="s">
        <v>11422</v>
      </c>
      <c r="C1575" t="s">
        <v>14841</v>
      </c>
    </row>
    <row r="1576" spans="1:3" x14ac:dyDescent="0.2">
      <c r="A1576" t="s">
        <v>12342</v>
      </c>
      <c r="B1576" t="s">
        <v>11424</v>
      </c>
      <c r="C1576" t="s">
        <v>14843</v>
      </c>
    </row>
    <row r="1577" spans="1:3" x14ac:dyDescent="0.2">
      <c r="A1577" t="s">
        <v>12344</v>
      </c>
      <c r="B1577" t="s">
        <v>11429</v>
      </c>
      <c r="C1577" t="s">
        <v>14854</v>
      </c>
    </row>
    <row r="1578" spans="1:3" x14ac:dyDescent="0.2">
      <c r="A1578" t="s">
        <v>12355</v>
      </c>
      <c r="B1578" t="s">
        <v>11432</v>
      </c>
      <c r="C1578" t="s">
        <v>14858</v>
      </c>
    </row>
    <row r="1579" spans="1:3" x14ac:dyDescent="0.2">
      <c r="A1579" t="s">
        <v>12359</v>
      </c>
      <c r="B1579" t="s">
        <v>11434</v>
      </c>
      <c r="C1579" t="s">
        <v>14864</v>
      </c>
    </row>
    <row r="1580" spans="1:3" x14ac:dyDescent="0.2">
      <c r="A1580" t="s">
        <v>12361</v>
      </c>
      <c r="B1580" t="s">
        <v>11442</v>
      </c>
      <c r="C1580" t="s">
        <v>14868</v>
      </c>
    </row>
    <row r="1581" spans="1:3" x14ac:dyDescent="0.2">
      <c r="A1581" t="s">
        <v>12367</v>
      </c>
      <c r="B1581" t="s">
        <v>11444</v>
      </c>
      <c r="C1581" t="s">
        <v>14873</v>
      </c>
    </row>
    <row r="1582" spans="1:3" x14ac:dyDescent="0.2">
      <c r="A1582" t="s">
        <v>12374</v>
      </c>
      <c r="B1582" t="s">
        <v>11446</v>
      </c>
      <c r="C1582" t="s">
        <v>14875</v>
      </c>
    </row>
    <row r="1583" spans="1:3" x14ac:dyDescent="0.2">
      <c r="A1583" t="s">
        <v>12380</v>
      </c>
      <c r="B1583" t="s">
        <v>11452</v>
      </c>
      <c r="C1583" t="s">
        <v>14877</v>
      </c>
    </row>
    <row r="1584" spans="1:3" x14ac:dyDescent="0.2">
      <c r="A1584" t="s">
        <v>12388</v>
      </c>
      <c r="B1584" t="s">
        <v>11468</v>
      </c>
      <c r="C1584" t="s">
        <v>14879</v>
      </c>
    </row>
    <row r="1585" spans="1:3" x14ac:dyDescent="0.2">
      <c r="A1585" t="s">
        <v>12393</v>
      </c>
      <c r="B1585" t="s">
        <v>11472</v>
      </c>
      <c r="C1585" t="s">
        <v>14881</v>
      </c>
    </row>
    <row r="1586" spans="1:3" x14ac:dyDescent="0.2">
      <c r="A1586" t="s">
        <v>12398</v>
      </c>
      <c r="B1586" t="s">
        <v>11474</v>
      </c>
      <c r="C1586" t="s">
        <v>14885</v>
      </c>
    </row>
    <row r="1587" spans="1:3" x14ac:dyDescent="0.2">
      <c r="A1587" t="s">
        <v>12400</v>
      </c>
      <c r="B1587" t="s">
        <v>11476</v>
      </c>
      <c r="C1587" t="s">
        <v>14889</v>
      </c>
    </row>
    <row r="1588" spans="1:3" x14ac:dyDescent="0.2">
      <c r="A1588" t="s">
        <v>12404</v>
      </c>
      <c r="B1588" t="s">
        <v>11485</v>
      </c>
      <c r="C1588" t="s">
        <v>14895</v>
      </c>
    </row>
    <row r="1589" spans="1:3" x14ac:dyDescent="0.2">
      <c r="A1589" t="s">
        <v>12409</v>
      </c>
      <c r="B1589" t="s">
        <v>11502</v>
      </c>
      <c r="C1589" t="s">
        <v>14897</v>
      </c>
    </row>
    <row r="1590" spans="1:3" x14ac:dyDescent="0.2">
      <c r="A1590" t="s">
        <v>12411</v>
      </c>
      <c r="B1590" t="s">
        <v>11504</v>
      </c>
      <c r="C1590" t="s">
        <v>14901</v>
      </c>
    </row>
    <row r="1591" spans="1:3" x14ac:dyDescent="0.2">
      <c r="A1591" t="s">
        <v>12415</v>
      </c>
      <c r="B1591" t="s">
        <v>11509</v>
      </c>
      <c r="C1591" t="s">
        <v>14905</v>
      </c>
    </row>
    <row r="1592" spans="1:3" x14ac:dyDescent="0.2">
      <c r="A1592" t="s">
        <v>12419</v>
      </c>
      <c r="B1592" t="s">
        <v>11511</v>
      </c>
      <c r="C1592" t="s">
        <v>14907</v>
      </c>
    </row>
    <row r="1593" spans="1:3" x14ac:dyDescent="0.2">
      <c r="A1593" t="s">
        <v>12421</v>
      </c>
      <c r="B1593" t="s">
        <v>11515</v>
      </c>
      <c r="C1593" t="s">
        <v>14934</v>
      </c>
    </row>
    <row r="1594" spans="1:3" x14ac:dyDescent="0.2">
      <c r="A1594" t="s">
        <v>12423</v>
      </c>
      <c r="B1594" t="s">
        <v>11519</v>
      </c>
      <c r="C1594" t="s">
        <v>14943</v>
      </c>
    </row>
    <row r="1595" spans="1:3" x14ac:dyDescent="0.2">
      <c r="A1595" t="s">
        <v>12425</v>
      </c>
      <c r="B1595" t="s">
        <v>11521</v>
      </c>
      <c r="C1595" t="s">
        <v>14947</v>
      </c>
    </row>
    <row r="1596" spans="1:3" x14ac:dyDescent="0.2">
      <c r="A1596" t="s">
        <v>12433</v>
      </c>
      <c r="B1596" t="s">
        <v>11523</v>
      </c>
      <c r="C1596" t="s">
        <v>14949</v>
      </c>
    </row>
    <row r="1597" spans="1:3" x14ac:dyDescent="0.2">
      <c r="A1597" t="s">
        <v>12437</v>
      </c>
      <c r="B1597" t="s">
        <v>11525</v>
      </c>
      <c r="C1597" t="s">
        <v>14953</v>
      </c>
    </row>
    <row r="1598" spans="1:3" x14ac:dyDescent="0.2">
      <c r="A1598" t="s">
        <v>12439</v>
      </c>
      <c r="B1598" t="s">
        <v>11538</v>
      </c>
      <c r="C1598" t="s">
        <v>14957</v>
      </c>
    </row>
    <row r="1599" spans="1:3" x14ac:dyDescent="0.2">
      <c r="A1599" t="s">
        <v>12441</v>
      </c>
      <c r="B1599" t="s">
        <v>11540</v>
      </c>
      <c r="C1599" t="s">
        <v>14964</v>
      </c>
    </row>
    <row r="1600" spans="1:3" x14ac:dyDescent="0.2">
      <c r="A1600" t="s">
        <v>12443</v>
      </c>
      <c r="B1600" t="s">
        <v>11542</v>
      </c>
      <c r="C1600" t="s">
        <v>14970</v>
      </c>
    </row>
    <row r="1601" spans="1:3" x14ac:dyDescent="0.2">
      <c r="A1601" t="s">
        <v>12445</v>
      </c>
      <c r="B1601" t="s">
        <v>11549</v>
      </c>
      <c r="C1601" t="s">
        <v>14972</v>
      </c>
    </row>
    <row r="1602" spans="1:3" x14ac:dyDescent="0.2">
      <c r="A1602" t="s">
        <v>12451</v>
      </c>
      <c r="B1602" t="s">
        <v>11551</v>
      </c>
      <c r="C1602" t="s">
        <v>14981</v>
      </c>
    </row>
    <row r="1603" spans="1:3" x14ac:dyDescent="0.2">
      <c r="A1603" t="s">
        <v>12453</v>
      </c>
      <c r="B1603" t="s">
        <v>11554</v>
      </c>
      <c r="C1603" t="s">
        <v>14993</v>
      </c>
    </row>
    <row r="1604" spans="1:3" x14ac:dyDescent="0.2">
      <c r="A1604" t="s">
        <v>12463</v>
      </c>
      <c r="B1604" t="s">
        <v>11556</v>
      </c>
      <c r="C1604" t="s">
        <v>15006</v>
      </c>
    </row>
    <row r="1605" spans="1:3" x14ac:dyDescent="0.2">
      <c r="A1605" t="s">
        <v>12467</v>
      </c>
      <c r="B1605" t="s">
        <v>11562</v>
      </c>
      <c r="C1605" t="s">
        <v>15023</v>
      </c>
    </row>
    <row r="1606" spans="1:3" x14ac:dyDescent="0.2">
      <c r="A1606" t="s">
        <v>12470</v>
      </c>
      <c r="B1606" t="s">
        <v>11564</v>
      </c>
      <c r="C1606" t="s">
        <v>15028</v>
      </c>
    </row>
    <row r="1607" spans="1:3" x14ac:dyDescent="0.2">
      <c r="A1607" t="s">
        <v>12473</v>
      </c>
      <c r="B1607" t="s">
        <v>11568</v>
      </c>
      <c r="C1607" t="s">
        <v>15033</v>
      </c>
    </row>
    <row r="1608" spans="1:3" x14ac:dyDescent="0.2">
      <c r="A1608" t="s">
        <v>12484</v>
      </c>
      <c r="B1608" t="s">
        <v>11572</v>
      </c>
      <c r="C1608" t="s">
        <v>15039</v>
      </c>
    </row>
    <row r="1609" spans="1:3" x14ac:dyDescent="0.2">
      <c r="A1609" t="s">
        <v>12486</v>
      </c>
      <c r="B1609" t="s">
        <v>11577</v>
      </c>
      <c r="C1609" t="s">
        <v>15052</v>
      </c>
    </row>
    <row r="1610" spans="1:3" x14ac:dyDescent="0.2">
      <c r="A1610" t="s">
        <v>12499</v>
      </c>
      <c r="B1610" t="s">
        <v>11579</v>
      </c>
      <c r="C1610" t="s">
        <v>15054</v>
      </c>
    </row>
    <row r="1611" spans="1:3" x14ac:dyDescent="0.2">
      <c r="A1611" t="s">
        <v>12501</v>
      </c>
      <c r="B1611" t="s">
        <v>11583</v>
      </c>
      <c r="C1611" t="s">
        <v>15056</v>
      </c>
    </row>
    <row r="1612" spans="1:3" x14ac:dyDescent="0.2">
      <c r="A1612" t="s">
        <v>12506</v>
      </c>
      <c r="B1612" t="s">
        <v>11587</v>
      </c>
      <c r="C1612" t="s">
        <v>15060</v>
      </c>
    </row>
    <row r="1613" spans="1:3" x14ac:dyDescent="0.2">
      <c r="A1613" t="s">
        <v>12508</v>
      </c>
      <c r="B1613" t="s">
        <v>11589</v>
      </c>
      <c r="C1613" t="s">
        <v>15062</v>
      </c>
    </row>
    <row r="1614" spans="1:3" x14ac:dyDescent="0.2">
      <c r="A1614" t="s">
        <v>12515</v>
      </c>
      <c r="B1614" t="s">
        <v>11594</v>
      </c>
      <c r="C1614" t="s">
        <v>15064</v>
      </c>
    </row>
    <row r="1615" spans="1:3" x14ac:dyDescent="0.2">
      <c r="A1615" t="s">
        <v>12517</v>
      </c>
      <c r="B1615" t="s">
        <v>11596</v>
      </c>
      <c r="C1615" t="s">
        <v>15068</v>
      </c>
    </row>
    <row r="1616" spans="1:3" x14ac:dyDescent="0.2">
      <c r="A1616" t="s">
        <v>12521</v>
      </c>
      <c r="B1616" t="s">
        <v>11601</v>
      </c>
      <c r="C1616" t="s">
        <v>15070</v>
      </c>
    </row>
    <row r="1617" spans="1:3" x14ac:dyDescent="0.2">
      <c r="A1617" t="s">
        <v>12523</v>
      </c>
      <c r="B1617" t="s">
        <v>11619</v>
      </c>
      <c r="C1617" t="s">
        <v>15082</v>
      </c>
    </row>
    <row r="1618" spans="1:3" x14ac:dyDescent="0.2">
      <c r="A1618" t="s">
        <v>12552</v>
      </c>
      <c r="B1618" t="s">
        <v>11621</v>
      </c>
      <c r="C1618" t="s">
        <v>15084</v>
      </c>
    </row>
    <row r="1619" spans="1:3" x14ac:dyDescent="0.2">
      <c r="A1619" t="s">
        <v>12556</v>
      </c>
      <c r="B1619" t="s">
        <v>11638</v>
      </c>
      <c r="C1619" t="s">
        <v>15092</v>
      </c>
    </row>
    <row r="1620" spans="1:3" x14ac:dyDescent="0.2">
      <c r="A1620" t="s">
        <v>12561</v>
      </c>
      <c r="B1620" t="s">
        <v>11641</v>
      </c>
      <c r="C1620" t="s">
        <v>15109</v>
      </c>
    </row>
    <row r="1621" spans="1:3" x14ac:dyDescent="0.2">
      <c r="A1621" t="s">
        <v>12563</v>
      </c>
      <c r="B1621" t="s">
        <v>11643</v>
      </c>
      <c r="C1621" t="s">
        <v>15112</v>
      </c>
    </row>
    <row r="1622" spans="1:3" x14ac:dyDescent="0.2">
      <c r="A1622" t="s">
        <v>12575</v>
      </c>
      <c r="B1622" t="s">
        <v>11658</v>
      </c>
      <c r="C1622" t="s">
        <v>15117</v>
      </c>
    </row>
    <row r="1623" spans="1:3" x14ac:dyDescent="0.2">
      <c r="A1623" t="s">
        <v>12578</v>
      </c>
      <c r="B1623" t="s">
        <v>11674</v>
      </c>
      <c r="C1623" t="s">
        <v>15130</v>
      </c>
    </row>
    <row r="1624" spans="1:3" x14ac:dyDescent="0.2">
      <c r="A1624" t="s">
        <v>12582</v>
      </c>
      <c r="B1624" t="s">
        <v>11676</v>
      </c>
      <c r="C1624" t="s">
        <v>15139</v>
      </c>
    </row>
    <row r="1625" spans="1:3" x14ac:dyDescent="0.2">
      <c r="A1625" t="s">
        <v>12588</v>
      </c>
      <c r="B1625" t="s">
        <v>11681</v>
      </c>
      <c r="C1625" t="s">
        <v>15147</v>
      </c>
    </row>
    <row r="1626" spans="1:3" x14ac:dyDescent="0.2">
      <c r="A1626" t="s">
        <v>12600</v>
      </c>
      <c r="B1626" t="s">
        <v>11691</v>
      </c>
      <c r="C1626" t="s">
        <v>15149</v>
      </c>
    </row>
    <row r="1627" spans="1:3" x14ac:dyDescent="0.2">
      <c r="A1627" t="s">
        <v>12605</v>
      </c>
      <c r="B1627" t="s">
        <v>11693</v>
      </c>
      <c r="C1627" t="s">
        <v>15152</v>
      </c>
    </row>
    <row r="1628" spans="1:3" x14ac:dyDescent="0.2">
      <c r="A1628" t="s">
        <v>12611</v>
      </c>
      <c r="B1628" t="s">
        <v>11695</v>
      </c>
      <c r="C1628" t="s">
        <v>15154</v>
      </c>
    </row>
    <row r="1629" spans="1:3" x14ac:dyDescent="0.2">
      <c r="A1629" t="s">
        <v>12618</v>
      </c>
      <c r="B1629" t="s">
        <v>11697</v>
      </c>
      <c r="C1629" t="s">
        <v>15156</v>
      </c>
    </row>
    <row r="1630" spans="1:3" x14ac:dyDescent="0.2">
      <c r="A1630" t="s">
        <v>12620</v>
      </c>
      <c r="B1630" t="s">
        <v>11701</v>
      </c>
      <c r="C1630" t="s">
        <v>15158</v>
      </c>
    </row>
    <row r="1631" spans="1:3" x14ac:dyDescent="0.2">
      <c r="A1631" t="s">
        <v>12622</v>
      </c>
      <c r="B1631" t="s">
        <v>11704</v>
      </c>
      <c r="C1631" t="s">
        <v>15160</v>
      </c>
    </row>
    <row r="1632" spans="1:3" x14ac:dyDescent="0.2">
      <c r="A1632" t="s">
        <v>12627</v>
      </c>
      <c r="B1632" t="s">
        <v>11706</v>
      </c>
      <c r="C1632" t="s">
        <v>15163</v>
      </c>
    </row>
    <row r="1633" spans="1:3" x14ac:dyDescent="0.2">
      <c r="A1633" t="s">
        <v>12638</v>
      </c>
      <c r="B1633" t="s">
        <v>11710</v>
      </c>
      <c r="C1633" t="s">
        <v>15169</v>
      </c>
    </row>
    <row r="1634" spans="1:3" x14ac:dyDescent="0.2">
      <c r="A1634" t="s">
        <v>12644</v>
      </c>
      <c r="B1634" t="s">
        <v>11712</v>
      </c>
      <c r="C1634" t="s">
        <v>15179</v>
      </c>
    </row>
    <row r="1635" spans="1:3" x14ac:dyDescent="0.2">
      <c r="A1635" t="s">
        <v>12646</v>
      </c>
      <c r="B1635" t="s">
        <v>11714</v>
      </c>
      <c r="C1635" t="s">
        <v>15183</v>
      </c>
    </row>
    <row r="1636" spans="1:3" x14ac:dyDescent="0.2">
      <c r="A1636" t="s">
        <v>12650</v>
      </c>
      <c r="B1636" t="s">
        <v>11724</v>
      </c>
      <c r="C1636" t="s">
        <v>15187</v>
      </c>
    </row>
    <row r="1637" spans="1:3" x14ac:dyDescent="0.2">
      <c r="A1637" t="s">
        <v>12656</v>
      </c>
      <c r="B1637" t="s">
        <v>11727</v>
      </c>
      <c r="C1637" t="s">
        <v>15196</v>
      </c>
    </row>
    <row r="1638" spans="1:3" x14ac:dyDescent="0.2">
      <c r="A1638" t="s">
        <v>12658</v>
      </c>
      <c r="B1638" t="s">
        <v>11733</v>
      </c>
      <c r="C1638" t="s">
        <v>15212</v>
      </c>
    </row>
    <row r="1639" spans="1:3" x14ac:dyDescent="0.2">
      <c r="A1639" t="s">
        <v>12660</v>
      </c>
      <c r="B1639" t="s">
        <v>11736</v>
      </c>
      <c r="C1639" t="s">
        <v>15214</v>
      </c>
    </row>
    <row r="1640" spans="1:3" x14ac:dyDescent="0.2">
      <c r="A1640" t="s">
        <v>12663</v>
      </c>
      <c r="B1640" t="s">
        <v>11738</v>
      </c>
      <c r="C1640" t="s">
        <v>15217</v>
      </c>
    </row>
    <row r="1641" spans="1:3" x14ac:dyDescent="0.2">
      <c r="A1641" t="s">
        <v>12675</v>
      </c>
      <c r="B1641" t="s">
        <v>11744</v>
      </c>
      <c r="C1641" t="s">
        <v>15227</v>
      </c>
    </row>
    <row r="1642" spans="1:3" x14ac:dyDescent="0.2">
      <c r="A1642" t="s">
        <v>12680</v>
      </c>
      <c r="B1642" t="s">
        <v>11746</v>
      </c>
      <c r="C1642" t="s">
        <v>15229</v>
      </c>
    </row>
    <row r="1643" spans="1:3" x14ac:dyDescent="0.2">
      <c r="A1643" t="s">
        <v>12689</v>
      </c>
      <c r="B1643" t="s">
        <v>11748</v>
      </c>
      <c r="C1643" t="s">
        <v>15240</v>
      </c>
    </row>
    <row r="1644" spans="1:3" x14ac:dyDescent="0.2">
      <c r="A1644" t="s">
        <v>12699</v>
      </c>
      <c r="B1644" t="s">
        <v>11750</v>
      </c>
      <c r="C1644" t="s">
        <v>15247</v>
      </c>
    </row>
    <row r="1645" spans="1:3" x14ac:dyDescent="0.2">
      <c r="A1645" t="s">
        <v>12704</v>
      </c>
      <c r="B1645" t="s">
        <v>11757</v>
      </c>
      <c r="C1645" t="s">
        <v>15249</v>
      </c>
    </row>
    <row r="1646" spans="1:3" x14ac:dyDescent="0.2">
      <c r="A1646" t="s">
        <v>12706</v>
      </c>
      <c r="B1646" t="s">
        <v>11760</v>
      </c>
      <c r="C1646" t="s">
        <v>15251</v>
      </c>
    </row>
    <row r="1647" spans="1:3" x14ac:dyDescent="0.2">
      <c r="A1647" t="s">
        <v>12710</v>
      </c>
      <c r="B1647" t="s">
        <v>11762</v>
      </c>
      <c r="C1647" t="s">
        <v>15255</v>
      </c>
    </row>
    <row r="1648" spans="1:3" x14ac:dyDescent="0.2">
      <c r="A1648" t="s">
        <v>12725</v>
      </c>
      <c r="B1648" t="s">
        <v>11770</v>
      </c>
      <c r="C1648" t="s">
        <v>15262</v>
      </c>
    </row>
    <row r="1649" spans="1:3" x14ac:dyDescent="0.2">
      <c r="A1649" t="s">
        <v>12728</v>
      </c>
      <c r="B1649" t="s">
        <v>11775</v>
      </c>
      <c r="C1649" t="s">
        <v>15276</v>
      </c>
    </row>
    <row r="1650" spans="1:3" x14ac:dyDescent="0.2">
      <c r="A1650" t="s">
        <v>12732</v>
      </c>
      <c r="B1650" t="s">
        <v>11777</v>
      </c>
      <c r="C1650" t="s">
        <v>15279</v>
      </c>
    </row>
    <row r="1651" spans="1:3" x14ac:dyDescent="0.2">
      <c r="A1651" t="s">
        <v>12740</v>
      </c>
      <c r="B1651" t="s">
        <v>11779</v>
      </c>
      <c r="C1651" t="s">
        <v>15281</v>
      </c>
    </row>
    <row r="1652" spans="1:3" x14ac:dyDescent="0.2">
      <c r="A1652" t="s">
        <v>12744</v>
      </c>
      <c r="B1652" t="s">
        <v>11781</v>
      </c>
      <c r="C1652" t="s">
        <v>15283</v>
      </c>
    </row>
    <row r="1653" spans="1:3" x14ac:dyDescent="0.2">
      <c r="A1653" t="s">
        <v>12748</v>
      </c>
      <c r="B1653" t="s">
        <v>11783</v>
      </c>
      <c r="C1653" t="s">
        <v>15300</v>
      </c>
    </row>
    <row r="1654" spans="1:3" x14ac:dyDescent="0.2">
      <c r="A1654" t="s">
        <v>12752</v>
      </c>
      <c r="B1654" t="s">
        <v>11792</v>
      </c>
      <c r="C1654" t="s">
        <v>15302</v>
      </c>
    </row>
    <row r="1655" spans="1:3" x14ac:dyDescent="0.2">
      <c r="A1655" t="s">
        <v>12754</v>
      </c>
      <c r="B1655" t="s">
        <v>11794</v>
      </c>
      <c r="C1655" t="s">
        <v>15304</v>
      </c>
    </row>
    <row r="1656" spans="1:3" x14ac:dyDescent="0.2">
      <c r="A1656" t="s">
        <v>12758</v>
      </c>
      <c r="B1656" t="s">
        <v>11796</v>
      </c>
      <c r="C1656" t="s">
        <v>15306</v>
      </c>
    </row>
    <row r="1657" spans="1:3" x14ac:dyDescent="0.2">
      <c r="A1657" t="s">
        <v>12766</v>
      </c>
      <c r="B1657" t="s">
        <v>11802</v>
      </c>
      <c r="C1657" t="s">
        <v>15310</v>
      </c>
    </row>
    <row r="1658" spans="1:3" x14ac:dyDescent="0.2">
      <c r="A1658" t="s">
        <v>12785</v>
      </c>
      <c r="B1658" t="s">
        <v>11804</v>
      </c>
      <c r="C1658" t="s">
        <v>15312</v>
      </c>
    </row>
    <row r="1659" spans="1:3" x14ac:dyDescent="0.2">
      <c r="A1659" t="s">
        <v>12789</v>
      </c>
      <c r="B1659" t="s">
        <v>11814</v>
      </c>
      <c r="C1659" t="s">
        <v>15315</v>
      </c>
    </row>
    <row r="1660" spans="1:3" x14ac:dyDescent="0.2">
      <c r="A1660" t="s">
        <v>12791</v>
      </c>
      <c r="B1660" t="s">
        <v>11816</v>
      </c>
      <c r="C1660" t="s">
        <v>15321</v>
      </c>
    </row>
    <row r="1661" spans="1:3" x14ac:dyDescent="0.2">
      <c r="A1661" t="s">
        <v>12796</v>
      </c>
      <c r="B1661" t="s">
        <v>11818</v>
      </c>
      <c r="C1661" t="s">
        <v>15332</v>
      </c>
    </row>
    <row r="1662" spans="1:3" x14ac:dyDescent="0.2">
      <c r="A1662" t="s">
        <v>12799</v>
      </c>
      <c r="B1662" t="s">
        <v>11820</v>
      </c>
      <c r="C1662" t="s">
        <v>15336</v>
      </c>
    </row>
    <row r="1663" spans="1:3" x14ac:dyDescent="0.2">
      <c r="A1663" t="s">
        <v>12803</v>
      </c>
      <c r="B1663" t="s">
        <v>11822</v>
      </c>
      <c r="C1663" t="s">
        <v>15363</v>
      </c>
    </row>
    <row r="1664" spans="1:3" x14ac:dyDescent="0.2">
      <c r="A1664" t="s">
        <v>12805</v>
      </c>
      <c r="B1664" t="s">
        <v>11829</v>
      </c>
      <c r="C1664" t="s">
        <v>15367</v>
      </c>
    </row>
    <row r="1665" spans="1:3" x14ac:dyDescent="0.2">
      <c r="A1665" t="s">
        <v>12819</v>
      </c>
      <c r="B1665" t="s">
        <v>11831</v>
      </c>
      <c r="C1665" t="s">
        <v>15369</v>
      </c>
    </row>
    <row r="1666" spans="1:3" x14ac:dyDescent="0.2">
      <c r="A1666" t="s">
        <v>12826</v>
      </c>
      <c r="B1666" t="s">
        <v>11835</v>
      </c>
      <c r="C1666" t="s">
        <v>15371</v>
      </c>
    </row>
    <row r="1667" spans="1:3" x14ac:dyDescent="0.2">
      <c r="A1667" t="s">
        <v>12830</v>
      </c>
      <c r="B1667" t="s">
        <v>11837</v>
      </c>
      <c r="C1667" t="s">
        <v>15373</v>
      </c>
    </row>
    <row r="1668" spans="1:3" x14ac:dyDescent="0.2">
      <c r="A1668" t="s">
        <v>12837</v>
      </c>
      <c r="B1668" t="s">
        <v>11840</v>
      </c>
      <c r="C1668" t="s">
        <v>15375</v>
      </c>
    </row>
    <row r="1669" spans="1:3" x14ac:dyDescent="0.2">
      <c r="A1669" t="s">
        <v>12840</v>
      </c>
      <c r="B1669" t="s">
        <v>11850</v>
      </c>
      <c r="C1669" t="s">
        <v>15377</v>
      </c>
    </row>
    <row r="1670" spans="1:3" x14ac:dyDescent="0.2">
      <c r="A1670" t="s">
        <v>12842</v>
      </c>
      <c r="B1670" t="s">
        <v>11852</v>
      </c>
      <c r="C1670" t="s">
        <v>15379</v>
      </c>
    </row>
    <row r="1671" spans="1:3" x14ac:dyDescent="0.2">
      <c r="A1671" t="s">
        <v>12846</v>
      </c>
      <c r="B1671" t="s">
        <v>11854</v>
      </c>
      <c r="C1671" t="s">
        <v>15385</v>
      </c>
    </row>
    <row r="1672" spans="1:3" x14ac:dyDescent="0.2">
      <c r="A1672" t="s">
        <v>12850</v>
      </c>
      <c r="B1672" t="s">
        <v>11863</v>
      </c>
      <c r="C1672" t="s">
        <v>15389</v>
      </c>
    </row>
    <row r="1673" spans="1:3" x14ac:dyDescent="0.2">
      <c r="A1673" t="s">
        <v>12856</v>
      </c>
      <c r="B1673" t="s">
        <v>11865</v>
      </c>
      <c r="C1673" t="s">
        <v>15391</v>
      </c>
    </row>
    <row r="1674" spans="1:3" x14ac:dyDescent="0.2">
      <c r="A1674" t="s">
        <v>12858</v>
      </c>
      <c r="B1674" t="s">
        <v>11867</v>
      </c>
      <c r="C1674" t="s">
        <v>15393</v>
      </c>
    </row>
    <row r="1675" spans="1:3" x14ac:dyDescent="0.2">
      <c r="A1675" t="s">
        <v>12861</v>
      </c>
      <c r="B1675" t="s">
        <v>11871</v>
      </c>
      <c r="C1675" t="s">
        <v>15399</v>
      </c>
    </row>
    <row r="1676" spans="1:3" x14ac:dyDescent="0.2">
      <c r="A1676" t="s">
        <v>12863</v>
      </c>
      <c r="B1676" t="s">
        <v>11885</v>
      </c>
      <c r="C1676" t="s">
        <v>15403</v>
      </c>
    </row>
    <row r="1677" spans="1:3" x14ac:dyDescent="0.2">
      <c r="A1677" t="s">
        <v>12868</v>
      </c>
      <c r="B1677" t="s">
        <v>11891</v>
      </c>
      <c r="C1677" t="s">
        <v>15410</v>
      </c>
    </row>
    <row r="1678" spans="1:3" x14ac:dyDescent="0.2">
      <c r="A1678" t="s">
        <v>12877</v>
      </c>
      <c r="B1678" t="s">
        <v>11902</v>
      </c>
      <c r="C1678" t="s">
        <v>15423</v>
      </c>
    </row>
    <row r="1679" spans="1:3" x14ac:dyDescent="0.2">
      <c r="A1679" t="s">
        <v>12879</v>
      </c>
      <c r="B1679" t="s">
        <v>11904</v>
      </c>
      <c r="C1679" t="s">
        <v>15426</v>
      </c>
    </row>
    <row r="1680" spans="1:3" x14ac:dyDescent="0.2">
      <c r="A1680" t="s">
        <v>12881</v>
      </c>
      <c r="B1680" t="s">
        <v>11906</v>
      </c>
      <c r="C1680" t="s">
        <v>15429</v>
      </c>
    </row>
    <row r="1681" spans="1:3" x14ac:dyDescent="0.2">
      <c r="A1681" t="s">
        <v>12883</v>
      </c>
      <c r="B1681" t="s">
        <v>11910</v>
      </c>
      <c r="C1681" t="s">
        <v>15433</v>
      </c>
    </row>
    <row r="1682" spans="1:3" x14ac:dyDescent="0.2">
      <c r="A1682" t="s">
        <v>12885</v>
      </c>
      <c r="B1682" t="s">
        <v>11915</v>
      </c>
      <c r="C1682" t="s">
        <v>15435</v>
      </c>
    </row>
    <row r="1683" spans="1:3" x14ac:dyDescent="0.2">
      <c r="A1683" t="s">
        <v>12905</v>
      </c>
      <c r="B1683" t="s">
        <v>11933</v>
      </c>
      <c r="C1683" t="s">
        <v>15437</v>
      </c>
    </row>
    <row r="1684" spans="1:3" x14ac:dyDescent="0.2">
      <c r="A1684" t="s">
        <v>12911</v>
      </c>
      <c r="B1684" t="s">
        <v>11935</v>
      </c>
      <c r="C1684" t="s">
        <v>15439</v>
      </c>
    </row>
    <row r="1685" spans="1:3" x14ac:dyDescent="0.2">
      <c r="A1685" t="s">
        <v>12915</v>
      </c>
      <c r="B1685" t="s">
        <v>11941</v>
      </c>
      <c r="C1685" t="s">
        <v>15443</v>
      </c>
    </row>
    <row r="1686" spans="1:3" x14ac:dyDescent="0.2">
      <c r="A1686" t="s">
        <v>12918</v>
      </c>
      <c r="B1686" t="s">
        <v>11945</v>
      </c>
      <c r="C1686" t="s">
        <v>15445</v>
      </c>
    </row>
    <row r="1687" spans="1:3" x14ac:dyDescent="0.2">
      <c r="A1687" t="s">
        <v>12920</v>
      </c>
      <c r="B1687" t="s">
        <v>11953</v>
      </c>
      <c r="C1687" t="s">
        <v>15447</v>
      </c>
    </row>
    <row r="1688" spans="1:3" x14ac:dyDescent="0.2">
      <c r="A1688" t="s">
        <v>12925</v>
      </c>
      <c r="B1688" t="s">
        <v>11958</v>
      </c>
      <c r="C1688" t="s">
        <v>15451</v>
      </c>
    </row>
    <row r="1689" spans="1:3" x14ac:dyDescent="0.2">
      <c r="A1689" t="s">
        <v>12927</v>
      </c>
      <c r="B1689" t="s">
        <v>11960</v>
      </c>
      <c r="C1689" t="s">
        <v>15455</v>
      </c>
    </row>
    <row r="1690" spans="1:3" x14ac:dyDescent="0.2">
      <c r="A1690" t="s">
        <v>12933</v>
      </c>
      <c r="B1690" t="s">
        <v>11963</v>
      </c>
      <c r="C1690" t="s">
        <v>15457</v>
      </c>
    </row>
    <row r="1691" spans="1:3" x14ac:dyDescent="0.2">
      <c r="A1691" t="s">
        <v>12936</v>
      </c>
      <c r="B1691" t="s">
        <v>11967</v>
      </c>
      <c r="C1691" t="s">
        <v>15459</v>
      </c>
    </row>
    <row r="1692" spans="1:3" x14ac:dyDescent="0.2">
      <c r="A1692" t="s">
        <v>12943</v>
      </c>
      <c r="B1692" t="s">
        <v>11969</v>
      </c>
      <c r="C1692" t="s">
        <v>15461</v>
      </c>
    </row>
    <row r="1693" spans="1:3" x14ac:dyDescent="0.2">
      <c r="A1693" t="s">
        <v>12951</v>
      </c>
      <c r="B1693" t="s">
        <v>11971</v>
      </c>
      <c r="C1693" t="s">
        <v>15463</v>
      </c>
    </row>
    <row r="1694" spans="1:3" x14ac:dyDescent="0.2">
      <c r="A1694" t="s">
        <v>12959</v>
      </c>
      <c r="B1694" t="s">
        <v>11973</v>
      </c>
      <c r="C1694" t="s">
        <v>15467</v>
      </c>
    </row>
    <row r="1695" spans="1:3" x14ac:dyDescent="0.2">
      <c r="A1695" t="s">
        <v>12969</v>
      </c>
      <c r="B1695" t="s">
        <v>11979</v>
      </c>
      <c r="C1695" t="s">
        <v>15469</v>
      </c>
    </row>
    <row r="1696" spans="1:3" x14ac:dyDescent="0.2">
      <c r="A1696" t="s">
        <v>12971</v>
      </c>
      <c r="B1696" t="s">
        <v>11981</v>
      </c>
      <c r="C1696" t="s">
        <v>15471</v>
      </c>
    </row>
    <row r="1697" spans="1:3" x14ac:dyDescent="0.2">
      <c r="A1697" t="s">
        <v>12978</v>
      </c>
      <c r="B1697" t="s">
        <v>11988</v>
      </c>
      <c r="C1697" t="s">
        <v>15481</v>
      </c>
    </row>
    <row r="1698" spans="1:3" x14ac:dyDescent="0.2">
      <c r="A1698" t="s">
        <v>12980</v>
      </c>
      <c r="B1698" t="s">
        <v>11996</v>
      </c>
      <c r="C1698" t="s">
        <v>15489</v>
      </c>
    </row>
    <row r="1699" spans="1:3" x14ac:dyDescent="0.2">
      <c r="A1699" t="s">
        <v>12984</v>
      </c>
      <c r="B1699" t="s">
        <v>12001</v>
      </c>
      <c r="C1699" t="s">
        <v>15491</v>
      </c>
    </row>
    <row r="1700" spans="1:3" x14ac:dyDescent="0.2">
      <c r="A1700" t="s">
        <v>12988</v>
      </c>
      <c r="B1700" t="s">
        <v>12004</v>
      </c>
      <c r="C1700" t="s">
        <v>15523</v>
      </c>
    </row>
    <row r="1701" spans="1:3" x14ac:dyDescent="0.2">
      <c r="A1701" t="s">
        <v>12996</v>
      </c>
      <c r="B1701" t="s">
        <v>12006</v>
      </c>
      <c r="C1701" t="s">
        <v>15539</v>
      </c>
    </row>
    <row r="1702" spans="1:3" x14ac:dyDescent="0.2">
      <c r="A1702" t="s">
        <v>12998</v>
      </c>
      <c r="B1702" t="s">
        <v>12010</v>
      </c>
      <c r="C1702" t="s">
        <v>15549</v>
      </c>
    </row>
    <row r="1703" spans="1:3" x14ac:dyDescent="0.2">
      <c r="A1703" t="s">
        <v>13003</v>
      </c>
      <c r="B1703" t="s">
        <v>12014</v>
      </c>
      <c r="C1703" t="s">
        <v>15557</v>
      </c>
    </row>
    <row r="1704" spans="1:3" x14ac:dyDescent="0.2">
      <c r="A1704" t="s">
        <v>13005</v>
      </c>
      <c r="B1704" t="s">
        <v>12016</v>
      </c>
      <c r="C1704" t="s">
        <v>15567</v>
      </c>
    </row>
    <row r="1705" spans="1:3" x14ac:dyDescent="0.2">
      <c r="A1705" t="s">
        <v>13010</v>
      </c>
      <c r="B1705" t="s">
        <v>12026</v>
      </c>
      <c r="C1705" t="s">
        <v>15576</v>
      </c>
    </row>
    <row r="1706" spans="1:3" x14ac:dyDescent="0.2">
      <c r="A1706" t="s">
        <v>13026</v>
      </c>
      <c r="B1706" t="s">
        <v>12028</v>
      </c>
      <c r="C1706" t="s">
        <v>15578</v>
      </c>
    </row>
    <row r="1707" spans="1:3" x14ac:dyDescent="0.2">
      <c r="A1707" t="s">
        <v>13036</v>
      </c>
      <c r="B1707" t="s">
        <v>12034</v>
      </c>
      <c r="C1707" t="s">
        <v>15587</v>
      </c>
    </row>
    <row r="1708" spans="1:3" x14ac:dyDescent="0.2">
      <c r="A1708" t="s">
        <v>13038</v>
      </c>
      <c r="B1708" t="s">
        <v>12038</v>
      </c>
      <c r="C1708" t="s">
        <v>15591</v>
      </c>
    </row>
    <row r="1709" spans="1:3" x14ac:dyDescent="0.2">
      <c r="A1709" t="s">
        <v>13045</v>
      </c>
      <c r="B1709" t="s">
        <v>12040</v>
      </c>
      <c r="C1709" t="s">
        <v>15593</v>
      </c>
    </row>
    <row r="1710" spans="1:3" x14ac:dyDescent="0.2">
      <c r="A1710" t="s">
        <v>13053</v>
      </c>
      <c r="B1710" t="s">
        <v>12042</v>
      </c>
      <c r="C1710" t="s">
        <v>15600</v>
      </c>
    </row>
    <row r="1711" spans="1:3" x14ac:dyDescent="0.2">
      <c r="A1711" t="s">
        <v>13066</v>
      </c>
      <c r="B1711" t="s">
        <v>12044</v>
      </c>
      <c r="C1711" t="s">
        <v>15602</v>
      </c>
    </row>
    <row r="1712" spans="1:3" x14ac:dyDescent="0.2">
      <c r="A1712" t="s">
        <v>13070</v>
      </c>
      <c r="B1712" t="s">
        <v>12046</v>
      </c>
      <c r="C1712" t="s">
        <v>15608</v>
      </c>
    </row>
    <row r="1713" spans="1:3" x14ac:dyDescent="0.2">
      <c r="A1713" t="s">
        <v>13074</v>
      </c>
      <c r="B1713" t="s">
        <v>12048</v>
      </c>
      <c r="C1713" t="s">
        <v>15610</v>
      </c>
    </row>
    <row r="1714" spans="1:3" x14ac:dyDescent="0.2">
      <c r="A1714" t="s">
        <v>13076</v>
      </c>
      <c r="B1714" t="s">
        <v>12050</v>
      </c>
      <c r="C1714" t="s">
        <v>15612</v>
      </c>
    </row>
    <row r="1715" spans="1:3" x14ac:dyDescent="0.2">
      <c r="A1715" t="s">
        <v>13083</v>
      </c>
      <c r="B1715" t="s">
        <v>12058</v>
      </c>
      <c r="C1715" t="s">
        <v>15614</v>
      </c>
    </row>
    <row r="1716" spans="1:3" x14ac:dyDescent="0.2">
      <c r="A1716" t="s">
        <v>13089</v>
      </c>
      <c r="B1716" t="s">
        <v>12067</v>
      </c>
      <c r="C1716" t="s">
        <v>15619</v>
      </c>
    </row>
    <row r="1717" spans="1:3" x14ac:dyDescent="0.2">
      <c r="A1717" t="s">
        <v>13100</v>
      </c>
      <c r="B1717" t="s">
        <v>12075</v>
      </c>
      <c r="C1717" t="s">
        <v>15621</v>
      </c>
    </row>
    <row r="1718" spans="1:3" x14ac:dyDescent="0.2">
      <c r="A1718" t="s">
        <v>13103</v>
      </c>
      <c r="B1718" t="s">
        <v>12077</v>
      </c>
      <c r="C1718" t="s">
        <v>15623</v>
      </c>
    </row>
    <row r="1719" spans="1:3" x14ac:dyDescent="0.2">
      <c r="A1719" t="s">
        <v>13107</v>
      </c>
      <c r="B1719" t="s">
        <v>12084</v>
      </c>
      <c r="C1719" t="s">
        <v>15625</v>
      </c>
    </row>
    <row r="1720" spans="1:3" x14ac:dyDescent="0.2">
      <c r="A1720" t="s">
        <v>13109</v>
      </c>
      <c r="B1720" t="s">
        <v>12088</v>
      </c>
      <c r="C1720" t="s">
        <v>15627</v>
      </c>
    </row>
    <row r="1721" spans="1:3" x14ac:dyDescent="0.2">
      <c r="A1721" t="s">
        <v>13114</v>
      </c>
      <c r="B1721" t="s">
        <v>12093</v>
      </c>
      <c r="C1721" t="s">
        <v>15632</v>
      </c>
    </row>
    <row r="1722" spans="1:3" x14ac:dyDescent="0.2">
      <c r="A1722" t="s">
        <v>13118</v>
      </c>
      <c r="B1722" t="s">
        <v>12099</v>
      </c>
      <c r="C1722" t="s">
        <v>15635</v>
      </c>
    </row>
    <row r="1723" spans="1:3" x14ac:dyDescent="0.2">
      <c r="A1723" t="s">
        <v>13125</v>
      </c>
      <c r="B1723" t="s">
        <v>12105</v>
      </c>
      <c r="C1723" t="s">
        <v>15639</v>
      </c>
    </row>
    <row r="1724" spans="1:3" x14ac:dyDescent="0.2">
      <c r="A1724" t="s">
        <v>13127</v>
      </c>
      <c r="B1724" t="s">
        <v>12107</v>
      </c>
      <c r="C1724" t="s">
        <v>15644</v>
      </c>
    </row>
    <row r="1725" spans="1:3" x14ac:dyDescent="0.2">
      <c r="A1725" t="s">
        <v>13129</v>
      </c>
      <c r="B1725" t="s">
        <v>12109</v>
      </c>
      <c r="C1725" t="s">
        <v>15657</v>
      </c>
    </row>
    <row r="1726" spans="1:3" x14ac:dyDescent="0.2">
      <c r="A1726" t="s">
        <v>13134</v>
      </c>
      <c r="B1726" t="s">
        <v>12115</v>
      </c>
      <c r="C1726" t="s">
        <v>15659</v>
      </c>
    </row>
    <row r="1727" spans="1:3" x14ac:dyDescent="0.2">
      <c r="A1727" t="s">
        <v>13136</v>
      </c>
      <c r="B1727" t="s">
        <v>12123</v>
      </c>
      <c r="C1727" t="s">
        <v>15667</v>
      </c>
    </row>
    <row r="1728" spans="1:3" x14ac:dyDescent="0.2">
      <c r="A1728" t="s">
        <v>13146</v>
      </c>
      <c r="B1728" t="s">
        <v>12125</v>
      </c>
      <c r="C1728" t="s">
        <v>15669</v>
      </c>
    </row>
    <row r="1729" spans="1:3" x14ac:dyDescent="0.2">
      <c r="A1729" t="s">
        <v>13150</v>
      </c>
      <c r="B1729" t="s">
        <v>12127</v>
      </c>
      <c r="C1729" t="s">
        <v>15673</v>
      </c>
    </row>
    <row r="1730" spans="1:3" x14ac:dyDescent="0.2">
      <c r="A1730" t="s">
        <v>13156</v>
      </c>
      <c r="B1730" t="s">
        <v>12150</v>
      </c>
      <c r="C1730" t="s">
        <v>15677</v>
      </c>
    </row>
    <row r="1731" spans="1:3" x14ac:dyDescent="0.2">
      <c r="A1731" t="s">
        <v>13158</v>
      </c>
      <c r="B1731" t="s">
        <v>12152</v>
      </c>
      <c r="C1731" t="s">
        <v>15683</v>
      </c>
    </row>
    <row r="1732" spans="1:3" x14ac:dyDescent="0.2">
      <c r="A1732" t="s">
        <v>13167</v>
      </c>
      <c r="B1732" t="s">
        <v>12158</v>
      </c>
      <c r="C1732" t="s">
        <v>15687</v>
      </c>
    </row>
    <row r="1733" spans="1:3" x14ac:dyDescent="0.2">
      <c r="A1733" t="s">
        <v>13173</v>
      </c>
      <c r="B1733" t="s">
        <v>12162</v>
      </c>
      <c r="C1733" t="s">
        <v>15689</v>
      </c>
    </row>
    <row r="1734" spans="1:3" x14ac:dyDescent="0.2">
      <c r="A1734" t="s">
        <v>13178</v>
      </c>
      <c r="B1734" t="s">
        <v>12171</v>
      </c>
      <c r="C1734" t="s">
        <v>15691</v>
      </c>
    </row>
    <row r="1735" spans="1:3" x14ac:dyDescent="0.2">
      <c r="A1735" t="s">
        <v>13189</v>
      </c>
      <c r="B1735" t="s">
        <v>12173</v>
      </c>
      <c r="C1735" t="s">
        <v>15694</v>
      </c>
    </row>
    <row r="1736" spans="1:3" x14ac:dyDescent="0.2">
      <c r="A1736" t="s">
        <v>13195</v>
      </c>
      <c r="B1736" t="s">
        <v>12175</v>
      </c>
      <c r="C1736" t="s">
        <v>15697</v>
      </c>
    </row>
    <row r="1737" spans="1:3" x14ac:dyDescent="0.2">
      <c r="A1737" t="s">
        <v>13201</v>
      </c>
      <c r="B1737" t="s">
        <v>12191</v>
      </c>
      <c r="C1737" t="s">
        <v>15702</v>
      </c>
    </row>
    <row r="1738" spans="1:3" x14ac:dyDescent="0.2">
      <c r="A1738" t="s">
        <v>13213</v>
      </c>
      <c r="B1738" t="s">
        <v>12193</v>
      </c>
      <c r="C1738" t="s">
        <v>15704</v>
      </c>
    </row>
    <row r="1739" spans="1:3" x14ac:dyDescent="0.2">
      <c r="A1739" t="s">
        <v>13217</v>
      </c>
      <c r="B1739" t="s">
        <v>12195</v>
      </c>
      <c r="C1739" t="s">
        <v>15706</v>
      </c>
    </row>
    <row r="1740" spans="1:3" x14ac:dyDescent="0.2">
      <c r="A1740" t="s">
        <v>13219</v>
      </c>
      <c r="B1740" t="s">
        <v>12199</v>
      </c>
      <c r="C1740" t="s">
        <v>15708</v>
      </c>
    </row>
    <row r="1741" spans="1:3" x14ac:dyDescent="0.2">
      <c r="A1741" t="s">
        <v>13223</v>
      </c>
      <c r="B1741" t="s">
        <v>12201</v>
      </c>
      <c r="C1741" t="s">
        <v>15712</v>
      </c>
    </row>
    <row r="1742" spans="1:3" x14ac:dyDescent="0.2">
      <c r="A1742" t="s">
        <v>13235</v>
      </c>
      <c r="B1742" t="s">
        <v>12212</v>
      </c>
      <c r="C1742" t="s">
        <v>15714</v>
      </c>
    </row>
    <row r="1743" spans="1:3" x14ac:dyDescent="0.2">
      <c r="A1743" t="s">
        <v>13241</v>
      </c>
      <c r="B1743" t="s">
        <v>12214</v>
      </c>
      <c r="C1743" t="s">
        <v>15716</v>
      </c>
    </row>
    <row r="1744" spans="1:3" x14ac:dyDescent="0.2">
      <c r="A1744" t="s">
        <v>13245</v>
      </c>
      <c r="B1744" t="s">
        <v>12217</v>
      </c>
      <c r="C1744" t="s">
        <v>15718</v>
      </c>
    </row>
    <row r="1745" spans="1:3" x14ac:dyDescent="0.2">
      <c r="A1745" t="s">
        <v>13247</v>
      </c>
      <c r="B1745" t="s">
        <v>12223</v>
      </c>
      <c r="C1745" t="s">
        <v>15720</v>
      </c>
    </row>
    <row r="1746" spans="1:3" x14ac:dyDescent="0.2">
      <c r="A1746" t="s">
        <v>13257</v>
      </c>
      <c r="B1746" t="s">
        <v>12227</v>
      </c>
      <c r="C1746" t="s">
        <v>15722</v>
      </c>
    </row>
    <row r="1747" spans="1:3" x14ac:dyDescent="0.2">
      <c r="A1747" t="s">
        <v>13263</v>
      </c>
      <c r="B1747" t="s">
        <v>12229</v>
      </c>
      <c r="C1747" t="s">
        <v>15724</v>
      </c>
    </row>
    <row r="1748" spans="1:3" x14ac:dyDescent="0.2">
      <c r="A1748" t="s">
        <v>13265</v>
      </c>
      <c r="B1748" t="s">
        <v>12231</v>
      </c>
      <c r="C1748" t="s">
        <v>15726</v>
      </c>
    </row>
    <row r="1749" spans="1:3" x14ac:dyDescent="0.2">
      <c r="A1749" t="s">
        <v>13271</v>
      </c>
      <c r="B1749" t="s">
        <v>12237</v>
      </c>
      <c r="C1749" t="s">
        <v>15728</v>
      </c>
    </row>
    <row r="1750" spans="1:3" x14ac:dyDescent="0.2">
      <c r="A1750" t="s">
        <v>13281</v>
      </c>
      <c r="B1750" t="s">
        <v>12241</v>
      </c>
      <c r="C1750" t="s">
        <v>15730</v>
      </c>
    </row>
    <row r="1751" spans="1:3" x14ac:dyDescent="0.2">
      <c r="A1751" t="s">
        <v>13283</v>
      </c>
      <c r="B1751" t="s">
        <v>12243</v>
      </c>
      <c r="C1751" t="s">
        <v>15737</v>
      </c>
    </row>
    <row r="1752" spans="1:3" x14ac:dyDescent="0.2">
      <c r="A1752" t="s">
        <v>13287</v>
      </c>
      <c r="B1752" t="s">
        <v>12254</v>
      </c>
      <c r="C1752" t="s">
        <v>15739</v>
      </c>
    </row>
    <row r="1753" spans="1:3" x14ac:dyDescent="0.2">
      <c r="A1753" t="s">
        <v>13289</v>
      </c>
      <c r="B1753" t="s">
        <v>12267</v>
      </c>
      <c r="C1753" t="s">
        <v>15741</v>
      </c>
    </row>
    <row r="1754" spans="1:3" x14ac:dyDescent="0.2">
      <c r="A1754" t="s">
        <v>13291</v>
      </c>
      <c r="B1754" t="s">
        <v>12281</v>
      </c>
      <c r="C1754" t="s">
        <v>15748</v>
      </c>
    </row>
    <row r="1755" spans="1:3" x14ac:dyDescent="0.2">
      <c r="A1755" t="s">
        <v>13298</v>
      </c>
      <c r="B1755" t="s">
        <v>12288</v>
      </c>
      <c r="C1755" t="s">
        <v>15750</v>
      </c>
    </row>
    <row r="1756" spans="1:3" x14ac:dyDescent="0.2">
      <c r="A1756" t="s">
        <v>13302</v>
      </c>
      <c r="B1756" t="s">
        <v>12293</v>
      </c>
      <c r="C1756" t="s">
        <v>15758</v>
      </c>
    </row>
    <row r="1757" spans="1:3" x14ac:dyDescent="0.2">
      <c r="A1757" t="s">
        <v>13304</v>
      </c>
      <c r="B1757" t="s">
        <v>12303</v>
      </c>
      <c r="C1757" t="s">
        <v>15762</v>
      </c>
    </row>
    <row r="1758" spans="1:3" x14ac:dyDescent="0.2">
      <c r="A1758" t="s">
        <v>13314</v>
      </c>
      <c r="B1758" t="s">
        <v>12305</v>
      </c>
      <c r="C1758" t="s">
        <v>15764</v>
      </c>
    </row>
    <row r="1759" spans="1:3" x14ac:dyDescent="0.2">
      <c r="A1759" t="s">
        <v>13320</v>
      </c>
      <c r="B1759" t="s">
        <v>12307</v>
      </c>
      <c r="C1759" t="s">
        <v>15767</v>
      </c>
    </row>
    <row r="1760" spans="1:3" x14ac:dyDescent="0.2">
      <c r="A1760" t="s">
        <v>13322</v>
      </c>
      <c r="B1760" t="s">
        <v>12309</v>
      </c>
      <c r="C1760" t="s">
        <v>15771</v>
      </c>
    </row>
    <row r="1761" spans="1:3" x14ac:dyDescent="0.2">
      <c r="A1761" t="s">
        <v>13329</v>
      </c>
      <c r="B1761" t="s">
        <v>12311</v>
      </c>
      <c r="C1761" t="s">
        <v>15773</v>
      </c>
    </row>
    <row r="1762" spans="1:3" x14ac:dyDescent="0.2">
      <c r="A1762" t="s">
        <v>13335</v>
      </c>
      <c r="B1762" t="s">
        <v>12313</v>
      </c>
      <c r="C1762" t="s">
        <v>15779</v>
      </c>
    </row>
    <row r="1763" spans="1:3" x14ac:dyDescent="0.2">
      <c r="A1763" t="s">
        <v>13340</v>
      </c>
      <c r="B1763" t="s">
        <v>12334</v>
      </c>
      <c r="C1763" t="s">
        <v>15781</v>
      </c>
    </row>
    <row r="1764" spans="1:3" x14ac:dyDescent="0.2">
      <c r="A1764" t="s">
        <v>13344</v>
      </c>
      <c r="B1764" t="s">
        <v>12336</v>
      </c>
      <c r="C1764" t="s">
        <v>15783</v>
      </c>
    </row>
    <row r="1765" spans="1:3" x14ac:dyDescent="0.2">
      <c r="A1765" t="s">
        <v>13346</v>
      </c>
      <c r="B1765" t="s">
        <v>12344</v>
      </c>
      <c r="C1765" t="s">
        <v>15792</v>
      </c>
    </row>
    <row r="1766" spans="1:3" x14ac:dyDescent="0.2">
      <c r="A1766" t="s">
        <v>13355</v>
      </c>
      <c r="B1766" t="s">
        <v>12347</v>
      </c>
      <c r="C1766" t="s">
        <v>15797</v>
      </c>
    </row>
    <row r="1767" spans="1:3" x14ac:dyDescent="0.2">
      <c r="A1767" t="s">
        <v>13365</v>
      </c>
      <c r="B1767" t="s">
        <v>12351</v>
      </c>
      <c r="C1767" t="s">
        <v>15799</v>
      </c>
    </row>
    <row r="1768" spans="1:3" x14ac:dyDescent="0.2">
      <c r="A1768" t="s">
        <v>13373</v>
      </c>
      <c r="B1768" t="s">
        <v>12357</v>
      </c>
      <c r="C1768" t="s">
        <v>15801</v>
      </c>
    </row>
    <row r="1769" spans="1:3" x14ac:dyDescent="0.2">
      <c r="A1769" t="s">
        <v>13383</v>
      </c>
      <c r="B1769" t="s">
        <v>12363</v>
      </c>
      <c r="C1769" t="s">
        <v>15807</v>
      </c>
    </row>
    <row r="1770" spans="1:3" x14ac:dyDescent="0.2">
      <c r="A1770" t="s">
        <v>13387</v>
      </c>
      <c r="B1770" t="s">
        <v>12365</v>
      </c>
      <c r="C1770" t="s">
        <v>15812</v>
      </c>
    </row>
    <row r="1771" spans="1:3" x14ac:dyDescent="0.2">
      <c r="A1771" t="s">
        <v>13390</v>
      </c>
      <c r="B1771" t="s">
        <v>12369</v>
      </c>
      <c r="C1771" t="s">
        <v>15818</v>
      </c>
    </row>
    <row r="1772" spans="1:3" x14ac:dyDescent="0.2">
      <c r="A1772" t="s">
        <v>13392</v>
      </c>
      <c r="B1772" t="s">
        <v>12386</v>
      </c>
      <c r="C1772" t="s">
        <v>15822</v>
      </c>
    </row>
    <row r="1773" spans="1:3" x14ac:dyDescent="0.2">
      <c r="A1773" t="s">
        <v>13400</v>
      </c>
      <c r="B1773" t="s">
        <v>12396</v>
      </c>
      <c r="C1773" t="s">
        <v>15824</v>
      </c>
    </row>
    <row r="1774" spans="1:3" x14ac:dyDescent="0.2">
      <c r="A1774" t="s">
        <v>13406</v>
      </c>
      <c r="B1774" t="s">
        <v>12400</v>
      </c>
      <c r="C1774" t="s">
        <v>15826</v>
      </c>
    </row>
    <row r="1775" spans="1:3" x14ac:dyDescent="0.2">
      <c r="A1775" t="s">
        <v>13408</v>
      </c>
      <c r="B1775" t="s">
        <v>12407</v>
      </c>
      <c r="C1775" t="s">
        <v>15830</v>
      </c>
    </row>
    <row r="1776" spans="1:3" x14ac:dyDescent="0.2">
      <c r="A1776" t="s">
        <v>13413</v>
      </c>
      <c r="B1776" t="s">
        <v>12409</v>
      </c>
      <c r="C1776" t="s">
        <v>15832</v>
      </c>
    </row>
    <row r="1777" spans="1:3" x14ac:dyDescent="0.2">
      <c r="A1777" t="s">
        <v>13429</v>
      </c>
      <c r="B1777" t="s">
        <v>12413</v>
      </c>
      <c r="C1777" t="s">
        <v>15834</v>
      </c>
    </row>
    <row r="1778" spans="1:3" x14ac:dyDescent="0.2">
      <c r="A1778" t="s">
        <v>13443</v>
      </c>
      <c r="B1778" t="s">
        <v>12417</v>
      </c>
      <c r="C1778" t="s">
        <v>15838</v>
      </c>
    </row>
    <row r="1779" spans="1:3" x14ac:dyDescent="0.2">
      <c r="A1779" t="s">
        <v>13452</v>
      </c>
      <c r="B1779" t="s">
        <v>12429</v>
      </c>
      <c r="C1779" t="s">
        <v>15840</v>
      </c>
    </row>
    <row r="1780" spans="1:3" x14ac:dyDescent="0.2">
      <c r="A1780" t="s">
        <v>13454</v>
      </c>
      <c r="B1780" t="s">
        <v>12431</v>
      </c>
      <c r="C1780" t="s">
        <v>15844</v>
      </c>
    </row>
    <row r="1781" spans="1:3" x14ac:dyDescent="0.2">
      <c r="A1781" t="s">
        <v>13460</v>
      </c>
      <c r="B1781" t="s">
        <v>12433</v>
      </c>
      <c r="C1781" t="s">
        <v>15848</v>
      </c>
    </row>
    <row r="1782" spans="1:3" x14ac:dyDescent="0.2">
      <c r="A1782" t="s">
        <v>13462</v>
      </c>
      <c r="B1782" t="s">
        <v>12435</v>
      </c>
      <c r="C1782" t="s">
        <v>15852</v>
      </c>
    </row>
    <row r="1783" spans="1:3" x14ac:dyDescent="0.2">
      <c r="A1783" t="s">
        <v>13466</v>
      </c>
      <c r="B1783" t="s">
        <v>12437</v>
      </c>
      <c r="C1783" t="s">
        <v>15858</v>
      </c>
    </row>
    <row r="1784" spans="1:3" x14ac:dyDescent="0.2">
      <c r="A1784" t="s">
        <v>13472</v>
      </c>
      <c r="B1784" t="s">
        <v>12449</v>
      </c>
      <c r="C1784" t="s">
        <v>15864</v>
      </c>
    </row>
    <row r="1785" spans="1:3" x14ac:dyDescent="0.2">
      <c r="A1785" t="s">
        <v>13477</v>
      </c>
      <c r="B1785" t="s">
        <v>12456</v>
      </c>
      <c r="C1785" t="s">
        <v>15866</v>
      </c>
    </row>
    <row r="1786" spans="1:3" x14ac:dyDescent="0.2">
      <c r="A1786" t="s">
        <v>13481</v>
      </c>
      <c r="B1786" t="s">
        <v>12458</v>
      </c>
      <c r="C1786" t="s">
        <v>15868</v>
      </c>
    </row>
    <row r="1787" spans="1:3" x14ac:dyDescent="0.2">
      <c r="A1787" t="s">
        <v>13485</v>
      </c>
      <c r="B1787" t="s">
        <v>12465</v>
      </c>
      <c r="C1787" t="s">
        <v>15870</v>
      </c>
    </row>
    <row r="1788" spans="1:3" x14ac:dyDescent="0.2">
      <c r="A1788" t="s">
        <v>13490</v>
      </c>
      <c r="B1788" t="s">
        <v>12467</v>
      </c>
      <c r="C1788" t="s">
        <v>15872</v>
      </c>
    </row>
    <row r="1789" spans="1:3" x14ac:dyDescent="0.2">
      <c r="A1789" t="s">
        <v>13492</v>
      </c>
      <c r="B1789" t="s">
        <v>12477</v>
      </c>
      <c r="C1789" t="s">
        <v>15880</v>
      </c>
    </row>
    <row r="1790" spans="1:3" x14ac:dyDescent="0.2">
      <c r="A1790" t="s">
        <v>13496</v>
      </c>
      <c r="B1790" t="s">
        <v>12479</v>
      </c>
      <c r="C1790" t="s">
        <v>15882</v>
      </c>
    </row>
    <row r="1791" spans="1:3" x14ac:dyDescent="0.2">
      <c r="A1791" t="s">
        <v>13498</v>
      </c>
      <c r="B1791" t="s">
        <v>12484</v>
      </c>
      <c r="C1791" t="s">
        <v>15886</v>
      </c>
    </row>
    <row r="1792" spans="1:3" x14ac:dyDescent="0.2">
      <c r="A1792" t="s">
        <v>13500</v>
      </c>
      <c r="B1792" t="s">
        <v>12499</v>
      </c>
      <c r="C1792" t="s">
        <v>15888</v>
      </c>
    </row>
    <row r="1793" spans="1:3" x14ac:dyDescent="0.2">
      <c r="A1793" t="s">
        <v>13502</v>
      </c>
      <c r="B1793" t="s">
        <v>12521</v>
      </c>
      <c r="C1793" t="s">
        <v>15890</v>
      </c>
    </row>
    <row r="1794" spans="1:3" x14ac:dyDescent="0.2">
      <c r="A1794" t="s">
        <v>13508</v>
      </c>
      <c r="B1794" t="s">
        <v>12525</v>
      </c>
      <c r="C1794" t="s">
        <v>15898</v>
      </c>
    </row>
    <row r="1795" spans="1:3" x14ac:dyDescent="0.2">
      <c r="A1795" t="s">
        <v>13511</v>
      </c>
      <c r="B1795" t="s">
        <v>12527</v>
      </c>
      <c r="C1795" t="s">
        <v>15900</v>
      </c>
    </row>
    <row r="1796" spans="1:3" x14ac:dyDescent="0.2">
      <c r="A1796" t="s">
        <v>13513</v>
      </c>
      <c r="B1796" t="s">
        <v>12529</v>
      </c>
      <c r="C1796" t="s">
        <v>15910</v>
      </c>
    </row>
    <row r="1797" spans="1:3" x14ac:dyDescent="0.2">
      <c r="A1797" t="s">
        <v>13518</v>
      </c>
      <c r="B1797" t="s">
        <v>12531</v>
      </c>
      <c r="C1797" t="s">
        <v>15915</v>
      </c>
    </row>
    <row r="1798" spans="1:3" x14ac:dyDescent="0.2">
      <c r="A1798" t="s">
        <v>13523</v>
      </c>
      <c r="B1798" t="s">
        <v>12535</v>
      </c>
      <c r="C1798" t="s">
        <v>15917</v>
      </c>
    </row>
    <row r="1799" spans="1:3" x14ac:dyDescent="0.2">
      <c r="A1799" t="s">
        <v>13525</v>
      </c>
      <c r="B1799" t="s">
        <v>12537</v>
      </c>
      <c r="C1799" t="s">
        <v>15919</v>
      </c>
    </row>
    <row r="1800" spans="1:3" x14ac:dyDescent="0.2">
      <c r="A1800" t="s">
        <v>13527</v>
      </c>
      <c r="B1800" t="s">
        <v>12539</v>
      </c>
      <c r="C1800" t="s">
        <v>15930</v>
      </c>
    </row>
    <row r="1801" spans="1:3" x14ac:dyDescent="0.2">
      <c r="A1801" t="s">
        <v>13535</v>
      </c>
      <c r="B1801" t="s">
        <v>12548</v>
      </c>
    </row>
    <row r="1802" spans="1:3" x14ac:dyDescent="0.2">
      <c r="A1802" t="s">
        <v>13545</v>
      </c>
      <c r="B1802" t="s">
        <v>12550</v>
      </c>
    </row>
    <row r="1803" spans="1:3" x14ac:dyDescent="0.2">
      <c r="A1803" t="s">
        <v>13547</v>
      </c>
      <c r="B1803" t="s">
        <v>12565</v>
      </c>
    </row>
    <row r="1804" spans="1:3" x14ac:dyDescent="0.2">
      <c r="A1804" t="s">
        <v>13549</v>
      </c>
      <c r="B1804" t="s">
        <v>12570</v>
      </c>
    </row>
    <row r="1805" spans="1:3" x14ac:dyDescent="0.2">
      <c r="A1805" t="s">
        <v>13564</v>
      </c>
      <c r="B1805" t="s">
        <v>12573</v>
      </c>
    </row>
    <row r="1806" spans="1:3" x14ac:dyDescent="0.2">
      <c r="A1806" t="s">
        <v>13575</v>
      </c>
      <c r="B1806" t="s">
        <v>12580</v>
      </c>
    </row>
    <row r="1807" spans="1:3" x14ac:dyDescent="0.2">
      <c r="A1807" t="s">
        <v>13581</v>
      </c>
      <c r="B1807" t="s">
        <v>12584</v>
      </c>
    </row>
    <row r="1808" spans="1:3" x14ac:dyDescent="0.2">
      <c r="A1808" t="s">
        <v>13589</v>
      </c>
      <c r="B1808" t="s">
        <v>12586</v>
      </c>
    </row>
    <row r="1809" spans="1:2" x14ac:dyDescent="0.2">
      <c r="A1809" t="s">
        <v>13594</v>
      </c>
      <c r="B1809" t="s">
        <v>12592</v>
      </c>
    </row>
    <row r="1810" spans="1:2" x14ac:dyDescent="0.2">
      <c r="A1810" t="s">
        <v>13596</v>
      </c>
      <c r="B1810" t="s">
        <v>12594</v>
      </c>
    </row>
    <row r="1811" spans="1:2" x14ac:dyDescent="0.2">
      <c r="A1811" t="s">
        <v>13599</v>
      </c>
      <c r="B1811" t="s">
        <v>12598</v>
      </c>
    </row>
    <row r="1812" spans="1:2" x14ac:dyDescent="0.2">
      <c r="A1812" t="s">
        <v>13602</v>
      </c>
      <c r="B1812" t="s">
        <v>12600</v>
      </c>
    </row>
    <row r="1813" spans="1:2" x14ac:dyDescent="0.2">
      <c r="A1813" t="s">
        <v>13604</v>
      </c>
      <c r="B1813" t="s">
        <v>12602</v>
      </c>
    </row>
    <row r="1814" spans="1:2" x14ac:dyDescent="0.2">
      <c r="A1814" t="s">
        <v>13611</v>
      </c>
      <c r="B1814" t="s">
        <v>12609</v>
      </c>
    </row>
    <row r="1815" spans="1:2" x14ac:dyDescent="0.2">
      <c r="A1815" t="s">
        <v>13615</v>
      </c>
      <c r="B1815" t="s">
        <v>12611</v>
      </c>
    </row>
    <row r="1816" spans="1:2" x14ac:dyDescent="0.2">
      <c r="A1816" t="s">
        <v>13618</v>
      </c>
      <c r="B1816" t="s">
        <v>12616</v>
      </c>
    </row>
    <row r="1817" spans="1:2" x14ac:dyDescent="0.2">
      <c r="A1817" t="s">
        <v>13620</v>
      </c>
      <c r="B1817" t="s">
        <v>12636</v>
      </c>
    </row>
    <row r="1818" spans="1:2" x14ac:dyDescent="0.2">
      <c r="A1818" t="s">
        <v>13624</v>
      </c>
      <c r="B1818" t="s">
        <v>12638</v>
      </c>
    </row>
    <row r="1819" spans="1:2" x14ac:dyDescent="0.2">
      <c r="A1819" t="s">
        <v>13626</v>
      </c>
      <c r="B1819" t="s">
        <v>12640</v>
      </c>
    </row>
    <row r="1820" spans="1:2" x14ac:dyDescent="0.2">
      <c r="A1820" t="s">
        <v>13628</v>
      </c>
      <c r="B1820" t="s">
        <v>12648</v>
      </c>
    </row>
    <row r="1821" spans="1:2" x14ac:dyDescent="0.2">
      <c r="A1821" t="s">
        <v>13630</v>
      </c>
      <c r="B1821" t="s">
        <v>12650</v>
      </c>
    </row>
    <row r="1822" spans="1:2" x14ac:dyDescent="0.2">
      <c r="A1822" t="s">
        <v>13632</v>
      </c>
      <c r="B1822" t="s">
        <v>12654</v>
      </c>
    </row>
    <row r="1823" spans="1:2" x14ac:dyDescent="0.2">
      <c r="A1823" t="s">
        <v>13634</v>
      </c>
      <c r="B1823" t="s">
        <v>12667</v>
      </c>
    </row>
    <row r="1824" spans="1:2" x14ac:dyDescent="0.2">
      <c r="A1824" t="s">
        <v>13638</v>
      </c>
      <c r="B1824" t="s">
        <v>12669</v>
      </c>
    </row>
    <row r="1825" spans="1:2" x14ac:dyDescent="0.2">
      <c r="A1825" t="s">
        <v>13640</v>
      </c>
      <c r="B1825" t="s">
        <v>12671</v>
      </c>
    </row>
    <row r="1826" spans="1:2" x14ac:dyDescent="0.2">
      <c r="A1826" t="s">
        <v>13642</v>
      </c>
      <c r="B1826" t="s">
        <v>12673</v>
      </c>
    </row>
    <row r="1827" spans="1:2" x14ac:dyDescent="0.2">
      <c r="A1827" t="s">
        <v>13645</v>
      </c>
      <c r="B1827" t="s">
        <v>12683</v>
      </c>
    </row>
    <row r="1828" spans="1:2" x14ac:dyDescent="0.2">
      <c r="A1828" t="s">
        <v>13647</v>
      </c>
      <c r="B1828" t="s">
        <v>12696</v>
      </c>
    </row>
    <row r="1829" spans="1:2" x14ac:dyDescent="0.2">
      <c r="A1829" t="s">
        <v>13649</v>
      </c>
      <c r="B1829" t="s">
        <v>12702</v>
      </c>
    </row>
    <row r="1830" spans="1:2" x14ac:dyDescent="0.2">
      <c r="A1830" t="s">
        <v>13669</v>
      </c>
      <c r="B1830" t="s">
        <v>12712</v>
      </c>
    </row>
    <row r="1831" spans="1:2" x14ac:dyDescent="0.2">
      <c r="A1831" t="s">
        <v>13671</v>
      </c>
      <c r="B1831" t="s">
        <v>12716</v>
      </c>
    </row>
    <row r="1832" spans="1:2" x14ac:dyDescent="0.2">
      <c r="A1832" t="s">
        <v>13675</v>
      </c>
      <c r="B1832" t="s">
        <v>12718</v>
      </c>
    </row>
    <row r="1833" spans="1:2" x14ac:dyDescent="0.2">
      <c r="A1833" t="s">
        <v>13679</v>
      </c>
      <c r="B1833" t="s">
        <v>12734</v>
      </c>
    </row>
    <row r="1834" spans="1:2" x14ac:dyDescent="0.2">
      <c r="A1834" t="s">
        <v>13681</v>
      </c>
      <c r="B1834" t="s">
        <v>12736</v>
      </c>
    </row>
    <row r="1835" spans="1:2" x14ac:dyDescent="0.2">
      <c r="A1835" t="s">
        <v>13683</v>
      </c>
      <c r="B1835" t="s">
        <v>12740</v>
      </c>
    </row>
    <row r="1836" spans="1:2" x14ac:dyDescent="0.2">
      <c r="A1836" t="s">
        <v>13690</v>
      </c>
      <c r="B1836" t="s">
        <v>12742</v>
      </c>
    </row>
    <row r="1837" spans="1:2" x14ac:dyDescent="0.2">
      <c r="A1837" t="s">
        <v>13692</v>
      </c>
      <c r="B1837" t="s">
        <v>12744</v>
      </c>
    </row>
    <row r="1838" spans="1:2" x14ac:dyDescent="0.2">
      <c r="A1838" t="s">
        <v>13697</v>
      </c>
      <c r="B1838" t="s">
        <v>12752</v>
      </c>
    </row>
    <row r="1839" spans="1:2" x14ac:dyDescent="0.2">
      <c r="A1839" t="s">
        <v>13703</v>
      </c>
      <c r="B1839" t="s">
        <v>12758</v>
      </c>
    </row>
    <row r="1840" spans="1:2" x14ac:dyDescent="0.2">
      <c r="A1840" t="s">
        <v>13705</v>
      </c>
      <c r="B1840" t="s">
        <v>12762</v>
      </c>
    </row>
    <row r="1841" spans="1:2" x14ac:dyDescent="0.2">
      <c r="A1841" t="s">
        <v>13707</v>
      </c>
      <c r="B1841" t="s">
        <v>12770</v>
      </c>
    </row>
    <row r="1842" spans="1:2" x14ac:dyDescent="0.2">
      <c r="A1842" t="s">
        <v>13709</v>
      </c>
      <c r="B1842" t="s">
        <v>12774</v>
      </c>
    </row>
    <row r="1843" spans="1:2" x14ac:dyDescent="0.2">
      <c r="A1843" t="s">
        <v>13716</v>
      </c>
      <c r="B1843" t="s">
        <v>12776</v>
      </c>
    </row>
    <row r="1844" spans="1:2" x14ac:dyDescent="0.2">
      <c r="A1844" t="s">
        <v>13720</v>
      </c>
      <c r="B1844" t="s">
        <v>12779</v>
      </c>
    </row>
    <row r="1845" spans="1:2" x14ac:dyDescent="0.2">
      <c r="A1845" t="s">
        <v>13722</v>
      </c>
      <c r="B1845" t="s">
        <v>12781</v>
      </c>
    </row>
    <row r="1846" spans="1:2" x14ac:dyDescent="0.2">
      <c r="A1846" t="s">
        <v>13724</v>
      </c>
      <c r="B1846" t="s">
        <v>12783</v>
      </c>
    </row>
    <row r="1847" spans="1:2" x14ac:dyDescent="0.2">
      <c r="A1847" t="s">
        <v>13726</v>
      </c>
      <c r="B1847" t="s">
        <v>12794</v>
      </c>
    </row>
    <row r="1848" spans="1:2" x14ac:dyDescent="0.2">
      <c r="A1848" t="s">
        <v>13730</v>
      </c>
      <c r="B1848" t="s">
        <v>12809</v>
      </c>
    </row>
    <row r="1849" spans="1:2" x14ac:dyDescent="0.2">
      <c r="A1849" t="s">
        <v>13732</v>
      </c>
      <c r="B1849" t="s">
        <v>12811</v>
      </c>
    </row>
    <row r="1850" spans="1:2" x14ac:dyDescent="0.2">
      <c r="A1850" t="s">
        <v>13735</v>
      </c>
      <c r="B1850" t="s">
        <v>12813</v>
      </c>
    </row>
    <row r="1851" spans="1:2" x14ac:dyDescent="0.2">
      <c r="A1851" t="s">
        <v>13748</v>
      </c>
      <c r="B1851" t="s">
        <v>12817</v>
      </c>
    </row>
    <row r="1852" spans="1:2" x14ac:dyDescent="0.2">
      <c r="A1852" t="s">
        <v>13750</v>
      </c>
      <c r="B1852" t="s">
        <v>12821</v>
      </c>
    </row>
    <row r="1853" spans="1:2" x14ac:dyDescent="0.2">
      <c r="A1853" t="s">
        <v>13752</v>
      </c>
      <c r="B1853" t="s">
        <v>12823</v>
      </c>
    </row>
    <row r="1854" spans="1:2" x14ac:dyDescent="0.2">
      <c r="A1854" t="s">
        <v>13766</v>
      </c>
      <c r="B1854" t="s">
        <v>12828</v>
      </c>
    </row>
    <row r="1855" spans="1:2" x14ac:dyDescent="0.2">
      <c r="A1855" t="s">
        <v>13776</v>
      </c>
      <c r="B1855" t="s">
        <v>12835</v>
      </c>
    </row>
    <row r="1856" spans="1:2" x14ac:dyDescent="0.2">
      <c r="A1856" t="s">
        <v>13781</v>
      </c>
      <c r="B1856" t="s">
        <v>12852</v>
      </c>
    </row>
    <row r="1857" spans="1:2" x14ac:dyDescent="0.2">
      <c r="A1857" t="s">
        <v>13783</v>
      </c>
      <c r="B1857" t="s">
        <v>12854</v>
      </c>
    </row>
    <row r="1858" spans="1:2" x14ac:dyDescent="0.2">
      <c r="A1858" t="s">
        <v>13792</v>
      </c>
      <c r="B1858" t="s">
        <v>12861</v>
      </c>
    </row>
    <row r="1859" spans="1:2" x14ac:dyDescent="0.2">
      <c r="A1859" t="s">
        <v>13794</v>
      </c>
      <c r="B1859" t="s">
        <v>12866</v>
      </c>
    </row>
    <row r="1860" spans="1:2" x14ac:dyDescent="0.2">
      <c r="A1860" t="s">
        <v>13798</v>
      </c>
      <c r="B1860" t="s">
        <v>12871</v>
      </c>
    </row>
    <row r="1861" spans="1:2" x14ac:dyDescent="0.2">
      <c r="A1861" t="s">
        <v>13801</v>
      </c>
      <c r="B1861" t="s">
        <v>12873</v>
      </c>
    </row>
    <row r="1862" spans="1:2" x14ac:dyDescent="0.2">
      <c r="A1862" t="s">
        <v>13807</v>
      </c>
      <c r="B1862" t="s">
        <v>12875</v>
      </c>
    </row>
    <row r="1863" spans="1:2" x14ac:dyDescent="0.2">
      <c r="A1863" t="s">
        <v>13813</v>
      </c>
      <c r="B1863" t="s">
        <v>12885</v>
      </c>
    </row>
    <row r="1864" spans="1:2" x14ac:dyDescent="0.2">
      <c r="A1864" t="s">
        <v>13820</v>
      </c>
      <c r="B1864" t="s">
        <v>12887</v>
      </c>
    </row>
    <row r="1865" spans="1:2" x14ac:dyDescent="0.2">
      <c r="A1865" t="s">
        <v>13822</v>
      </c>
      <c r="B1865" t="s">
        <v>12889</v>
      </c>
    </row>
    <row r="1866" spans="1:2" x14ac:dyDescent="0.2">
      <c r="A1866" t="s">
        <v>13824</v>
      </c>
      <c r="B1866" t="s">
        <v>12891</v>
      </c>
    </row>
    <row r="1867" spans="1:2" x14ac:dyDescent="0.2">
      <c r="A1867" t="s">
        <v>13826</v>
      </c>
      <c r="B1867" t="s">
        <v>12901</v>
      </c>
    </row>
    <row r="1868" spans="1:2" x14ac:dyDescent="0.2">
      <c r="A1868" t="s">
        <v>13828</v>
      </c>
      <c r="B1868" t="s">
        <v>12903</v>
      </c>
    </row>
    <row r="1869" spans="1:2" x14ac:dyDescent="0.2">
      <c r="A1869" t="s">
        <v>13830</v>
      </c>
      <c r="B1869" t="s">
        <v>12905</v>
      </c>
    </row>
    <row r="1870" spans="1:2" x14ac:dyDescent="0.2">
      <c r="A1870" t="s">
        <v>13832</v>
      </c>
      <c r="B1870" t="s">
        <v>12913</v>
      </c>
    </row>
    <row r="1871" spans="1:2" x14ac:dyDescent="0.2">
      <c r="A1871" t="s">
        <v>13843</v>
      </c>
      <c r="B1871" t="s">
        <v>12918</v>
      </c>
    </row>
    <row r="1872" spans="1:2" x14ac:dyDescent="0.2">
      <c r="A1872" t="s">
        <v>13854</v>
      </c>
      <c r="B1872" t="s">
        <v>12923</v>
      </c>
    </row>
    <row r="1873" spans="1:2" x14ac:dyDescent="0.2">
      <c r="A1873" t="s">
        <v>13858</v>
      </c>
      <c r="B1873" t="s">
        <v>12929</v>
      </c>
    </row>
    <row r="1874" spans="1:2" x14ac:dyDescent="0.2">
      <c r="A1874" t="s">
        <v>13862</v>
      </c>
      <c r="B1874" t="s">
        <v>12931</v>
      </c>
    </row>
    <row r="1875" spans="1:2" x14ac:dyDescent="0.2">
      <c r="A1875" t="s">
        <v>13864</v>
      </c>
      <c r="B1875" t="s">
        <v>12933</v>
      </c>
    </row>
    <row r="1876" spans="1:2" x14ac:dyDescent="0.2">
      <c r="A1876" t="s">
        <v>13872</v>
      </c>
      <c r="B1876" t="s">
        <v>12945</v>
      </c>
    </row>
    <row r="1877" spans="1:2" x14ac:dyDescent="0.2">
      <c r="A1877" t="s">
        <v>13878</v>
      </c>
      <c r="B1877" t="s">
        <v>12947</v>
      </c>
    </row>
    <row r="1878" spans="1:2" x14ac:dyDescent="0.2">
      <c r="A1878" t="s">
        <v>13889</v>
      </c>
      <c r="B1878" t="s">
        <v>12949</v>
      </c>
    </row>
    <row r="1879" spans="1:2" x14ac:dyDescent="0.2">
      <c r="A1879" t="s">
        <v>13897</v>
      </c>
      <c r="B1879" t="s">
        <v>12953</v>
      </c>
    </row>
    <row r="1880" spans="1:2" x14ac:dyDescent="0.2">
      <c r="A1880" t="s">
        <v>13906</v>
      </c>
      <c r="B1880" t="s">
        <v>12955</v>
      </c>
    </row>
    <row r="1881" spans="1:2" x14ac:dyDescent="0.2">
      <c r="A1881" t="s">
        <v>13909</v>
      </c>
      <c r="B1881" t="s">
        <v>12957</v>
      </c>
    </row>
    <row r="1882" spans="1:2" x14ac:dyDescent="0.2">
      <c r="A1882" t="s">
        <v>13913</v>
      </c>
      <c r="B1882" t="s">
        <v>12961</v>
      </c>
    </row>
    <row r="1883" spans="1:2" x14ac:dyDescent="0.2">
      <c r="A1883" t="s">
        <v>13918</v>
      </c>
      <c r="B1883" t="s">
        <v>12963</v>
      </c>
    </row>
    <row r="1884" spans="1:2" x14ac:dyDescent="0.2">
      <c r="A1884" t="s">
        <v>13920</v>
      </c>
      <c r="B1884" t="s">
        <v>12965</v>
      </c>
    </row>
    <row r="1885" spans="1:2" x14ac:dyDescent="0.2">
      <c r="A1885" t="s">
        <v>13930</v>
      </c>
      <c r="B1885" t="s">
        <v>12976</v>
      </c>
    </row>
    <row r="1886" spans="1:2" x14ac:dyDescent="0.2">
      <c r="A1886" t="s">
        <v>13938</v>
      </c>
      <c r="B1886" t="s">
        <v>12982</v>
      </c>
    </row>
    <row r="1887" spans="1:2" x14ac:dyDescent="0.2">
      <c r="A1887" t="s">
        <v>13952</v>
      </c>
      <c r="B1887" t="s">
        <v>12990</v>
      </c>
    </row>
    <row r="1888" spans="1:2" x14ac:dyDescent="0.2">
      <c r="A1888" t="s">
        <v>13956</v>
      </c>
      <c r="B1888" t="s">
        <v>12992</v>
      </c>
    </row>
    <row r="1889" spans="1:2" x14ac:dyDescent="0.2">
      <c r="A1889" t="s">
        <v>13958</v>
      </c>
      <c r="B1889" t="s">
        <v>12998</v>
      </c>
    </row>
    <row r="1890" spans="1:2" x14ac:dyDescent="0.2">
      <c r="A1890" t="s">
        <v>13978</v>
      </c>
      <c r="B1890" t="s">
        <v>13000</v>
      </c>
    </row>
    <row r="1891" spans="1:2" x14ac:dyDescent="0.2">
      <c r="A1891" t="s">
        <v>13985</v>
      </c>
      <c r="B1891" t="s">
        <v>13013</v>
      </c>
    </row>
    <row r="1892" spans="1:2" x14ac:dyDescent="0.2">
      <c r="A1892" t="s">
        <v>13990</v>
      </c>
      <c r="B1892" t="s">
        <v>13018</v>
      </c>
    </row>
    <row r="1893" spans="1:2" x14ac:dyDescent="0.2">
      <c r="A1893" t="s">
        <v>13992</v>
      </c>
      <c r="B1893" t="s">
        <v>13020</v>
      </c>
    </row>
    <row r="1894" spans="1:2" x14ac:dyDescent="0.2">
      <c r="A1894" t="s">
        <v>13994</v>
      </c>
      <c r="B1894" t="s">
        <v>13022</v>
      </c>
    </row>
    <row r="1895" spans="1:2" x14ac:dyDescent="0.2">
      <c r="A1895" t="s">
        <v>13998</v>
      </c>
      <c r="B1895" t="s">
        <v>13024</v>
      </c>
    </row>
    <row r="1896" spans="1:2" x14ac:dyDescent="0.2">
      <c r="A1896" t="s">
        <v>14000</v>
      </c>
      <c r="B1896" t="s">
        <v>13026</v>
      </c>
    </row>
    <row r="1897" spans="1:2" x14ac:dyDescent="0.2">
      <c r="A1897" t="s">
        <v>14004</v>
      </c>
      <c r="B1897" t="s">
        <v>13028</v>
      </c>
    </row>
    <row r="1898" spans="1:2" x14ac:dyDescent="0.2">
      <c r="A1898" t="s">
        <v>14006</v>
      </c>
      <c r="B1898" t="s">
        <v>13030</v>
      </c>
    </row>
    <row r="1899" spans="1:2" x14ac:dyDescent="0.2">
      <c r="A1899" t="s">
        <v>14008</v>
      </c>
      <c r="B1899" t="s">
        <v>13034</v>
      </c>
    </row>
    <row r="1900" spans="1:2" x14ac:dyDescent="0.2">
      <c r="A1900" t="s">
        <v>14018</v>
      </c>
      <c r="B1900" t="s">
        <v>13047</v>
      </c>
    </row>
    <row r="1901" spans="1:2" x14ac:dyDescent="0.2">
      <c r="A1901" t="s">
        <v>14020</v>
      </c>
      <c r="B1901" t="s">
        <v>13049</v>
      </c>
    </row>
    <row r="1902" spans="1:2" x14ac:dyDescent="0.2">
      <c r="A1902" t="s">
        <v>14023</v>
      </c>
      <c r="B1902" t="s">
        <v>13051</v>
      </c>
    </row>
    <row r="1903" spans="1:2" x14ac:dyDescent="0.2">
      <c r="A1903" t="s">
        <v>14025</v>
      </c>
      <c r="B1903" t="s">
        <v>13055</v>
      </c>
    </row>
    <row r="1904" spans="1:2" x14ac:dyDescent="0.2">
      <c r="A1904" t="s">
        <v>14029</v>
      </c>
      <c r="B1904" t="s">
        <v>13060</v>
      </c>
    </row>
    <row r="1905" spans="1:2" x14ac:dyDescent="0.2">
      <c r="A1905" t="s">
        <v>14031</v>
      </c>
      <c r="B1905" t="s">
        <v>13062</v>
      </c>
    </row>
    <row r="1906" spans="1:2" x14ac:dyDescent="0.2">
      <c r="A1906" t="s">
        <v>14033</v>
      </c>
      <c r="B1906" t="s">
        <v>13064</v>
      </c>
    </row>
    <row r="1907" spans="1:2" x14ac:dyDescent="0.2">
      <c r="A1907" t="s">
        <v>14041</v>
      </c>
      <c r="B1907" t="s">
        <v>13068</v>
      </c>
    </row>
    <row r="1908" spans="1:2" x14ac:dyDescent="0.2">
      <c r="A1908" t="s">
        <v>14047</v>
      </c>
      <c r="B1908" t="s">
        <v>13081</v>
      </c>
    </row>
    <row r="1909" spans="1:2" x14ac:dyDescent="0.2">
      <c r="A1909" t="s">
        <v>14053</v>
      </c>
      <c r="B1909" t="s">
        <v>13083</v>
      </c>
    </row>
    <row r="1910" spans="1:2" x14ac:dyDescent="0.2">
      <c r="A1910" t="s">
        <v>14055</v>
      </c>
      <c r="B1910" t="s">
        <v>13087</v>
      </c>
    </row>
    <row r="1911" spans="1:2" x14ac:dyDescent="0.2">
      <c r="A1911" t="s">
        <v>14063</v>
      </c>
      <c r="B1911" t="s">
        <v>13089</v>
      </c>
    </row>
    <row r="1912" spans="1:2" x14ac:dyDescent="0.2">
      <c r="A1912" t="s">
        <v>14073</v>
      </c>
      <c r="B1912" t="s">
        <v>13098</v>
      </c>
    </row>
    <row r="1913" spans="1:2" x14ac:dyDescent="0.2">
      <c r="A1913" t="s">
        <v>14076</v>
      </c>
      <c r="B1913" t="s">
        <v>13105</v>
      </c>
    </row>
    <row r="1914" spans="1:2" x14ac:dyDescent="0.2">
      <c r="A1914" t="s">
        <v>14078</v>
      </c>
      <c r="B1914" t="s">
        <v>13107</v>
      </c>
    </row>
    <row r="1915" spans="1:2" x14ac:dyDescent="0.2">
      <c r="A1915" t="s">
        <v>14080</v>
      </c>
      <c r="B1915" t="s">
        <v>13112</v>
      </c>
    </row>
    <row r="1916" spans="1:2" x14ac:dyDescent="0.2">
      <c r="A1916" t="s">
        <v>14082</v>
      </c>
      <c r="B1916" t="s">
        <v>13114</v>
      </c>
    </row>
    <row r="1917" spans="1:2" x14ac:dyDescent="0.2">
      <c r="A1917" t="s">
        <v>14084</v>
      </c>
      <c r="B1917" t="s">
        <v>13116</v>
      </c>
    </row>
    <row r="1918" spans="1:2" x14ac:dyDescent="0.2">
      <c r="A1918" t="s">
        <v>14088</v>
      </c>
      <c r="B1918" t="s">
        <v>13120</v>
      </c>
    </row>
    <row r="1919" spans="1:2" x14ac:dyDescent="0.2">
      <c r="A1919" t="s">
        <v>14093</v>
      </c>
      <c r="B1919" t="s">
        <v>13125</v>
      </c>
    </row>
    <row r="1920" spans="1:2" x14ac:dyDescent="0.2">
      <c r="A1920" t="s">
        <v>14097</v>
      </c>
      <c r="B1920" t="s">
        <v>13131</v>
      </c>
    </row>
    <row r="1921" spans="1:2" x14ac:dyDescent="0.2">
      <c r="A1921" t="s">
        <v>14099</v>
      </c>
      <c r="B1921" t="s">
        <v>13140</v>
      </c>
    </row>
    <row r="1922" spans="1:2" x14ac:dyDescent="0.2">
      <c r="A1922" t="s">
        <v>14105</v>
      </c>
      <c r="B1922" t="s">
        <v>13144</v>
      </c>
    </row>
    <row r="1923" spans="1:2" x14ac:dyDescent="0.2">
      <c r="A1923" t="s">
        <v>14107</v>
      </c>
      <c r="B1923" t="s">
        <v>13148</v>
      </c>
    </row>
    <row r="1924" spans="1:2" x14ac:dyDescent="0.2">
      <c r="A1924" t="s">
        <v>14109</v>
      </c>
      <c r="B1924" t="s">
        <v>13160</v>
      </c>
    </row>
    <row r="1925" spans="1:2" x14ac:dyDescent="0.2">
      <c r="A1925" t="s">
        <v>14111</v>
      </c>
      <c r="B1925" t="s">
        <v>13162</v>
      </c>
    </row>
    <row r="1926" spans="1:2" x14ac:dyDescent="0.2">
      <c r="A1926" t="s">
        <v>14113</v>
      </c>
      <c r="B1926" t="s">
        <v>13164</v>
      </c>
    </row>
    <row r="1927" spans="1:2" x14ac:dyDescent="0.2">
      <c r="A1927" t="s">
        <v>14115</v>
      </c>
      <c r="B1927" t="s">
        <v>13171</v>
      </c>
    </row>
    <row r="1928" spans="1:2" x14ac:dyDescent="0.2">
      <c r="A1928" t="s">
        <v>14119</v>
      </c>
      <c r="B1928" t="s">
        <v>13183</v>
      </c>
    </row>
    <row r="1929" spans="1:2" x14ac:dyDescent="0.2">
      <c r="A1929" t="s">
        <v>14125</v>
      </c>
      <c r="B1929" t="s">
        <v>13185</v>
      </c>
    </row>
    <row r="1930" spans="1:2" x14ac:dyDescent="0.2">
      <c r="A1930" t="s">
        <v>14129</v>
      </c>
      <c r="B1930" t="s">
        <v>13189</v>
      </c>
    </row>
    <row r="1931" spans="1:2" x14ac:dyDescent="0.2">
      <c r="A1931" t="s">
        <v>14133</v>
      </c>
      <c r="B1931" t="s">
        <v>13191</v>
      </c>
    </row>
    <row r="1932" spans="1:2" x14ac:dyDescent="0.2">
      <c r="A1932" t="s">
        <v>14138</v>
      </c>
      <c r="B1932" t="s">
        <v>13193</v>
      </c>
    </row>
    <row r="1933" spans="1:2" x14ac:dyDescent="0.2">
      <c r="A1933" t="s">
        <v>14141</v>
      </c>
      <c r="B1933" t="s">
        <v>13195</v>
      </c>
    </row>
    <row r="1934" spans="1:2" x14ac:dyDescent="0.2">
      <c r="A1934" t="s">
        <v>14145</v>
      </c>
      <c r="B1934" t="s">
        <v>13197</v>
      </c>
    </row>
    <row r="1935" spans="1:2" x14ac:dyDescent="0.2">
      <c r="A1935" t="s">
        <v>14151</v>
      </c>
      <c r="B1935" t="s">
        <v>13199</v>
      </c>
    </row>
    <row r="1936" spans="1:2" x14ac:dyDescent="0.2">
      <c r="A1936" t="s">
        <v>14158</v>
      </c>
      <c r="B1936" t="s">
        <v>13201</v>
      </c>
    </row>
    <row r="1937" spans="1:2" x14ac:dyDescent="0.2">
      <c r="A1937" t="s">
        <v>14160</v>
      </c>
      <c r="B1937" t="s">
        <v>13205</v>
      </c>
    </row>
    <row r="1938" spans="1:2" x14ac:dyDescent="0.2">
      <c r="A1938" t="s">
        <v>14167</v>
      </c>
      <c r="B1938" t="s">
        <v>13207</v>
      </c>
    </row>
    <row r="1939" spans="1:2" x14ac:dyDescent="0.2">
      <c r="A1939" t="s">
        <v>14173</v>
      </c>
      <c r="B1939" t="s">
        <v>13211</v>
      </c>
    </row>
    <row r="1940" spans="1:2" x14ac:dyDescent="0.2">
      <c r="A1940" t="s">
        <v>14175</v>
      </c>
      <c r="B1940" t="s">
        <v>13213</v>
      </c>
    </row>
    <row r="1941" spans="1:2" x14ac:dyDescent="0.2">
      <c r="A1941" t="s">
        <v>14179</v>
      </c>
      <c r="B1941" t="s">
        <v>13227</v>
      </c>
    </row>
    <row r="1942" spans="1:2" x14ac:dyDescent="0.2">
      <c r="A1942" t="s">
        <v>14181</v>
      </c>
      <c r="B1942" t="s">
        <v>13231</v>
      </c>
    </row>
    <row r="1943" spans="1:2" x14ac:dyDescent="0.2">
      <c r="A1943" t="s">
        <v>14187</v>
      </c>
      <c r="B1943" t="s">
        <v>13233</v>
      </c>
    </row>
    <row r="1944" spans="1:2" x14ac:dyDescent="0.2">
      <c r="A1944" t="s">
        <v>14193</v>
      </c>
      <c r="B1944" t="s">
        <v>13243</v>
      </c>
    </row>
    <row r="1945" spans="1:2" x14ac:dyDescent="0.2">
      <c r="A1945" t="s">
        <v>14197</v>
      </c>
      <c r="B1945" t="s">
        <v>13250</v>
      </c>
    </row>
    <row r="1946" spans="1:2" x14ac:dyDescent="0.2">
      <c r="A1946" t="s">
        <v>14201</v>
      </c>
      <c r="B1946" t="s">
        <v>13255</v>
      </c>
    </row>
    <row r="1947" spans="1:2" x14ac:dyDescent="0.2">
      <c r="A1947" t="s">
        <v>14206</v>
      </c>
      <c r="B1947" t="s">
        <v>13259</v>
      </c>
    </row>
    <row r="1948" spans="1:2" x14ac:dyDescent="0.2">
      <c r="A1948" t="s">
        <v>14208</v>
      </c>
      <c r="B1948" t="s">
        <v>13261</v>
      </c>
    </row>
    <row r="1949" spans="1:2" x14ac:dyDescent="0.2">
      <c r="A1949" t="s">
        <v>14225</v>
      </c>
      <c r="B1949" t="s">
        <v>13269</v>
      </c>
    </row>
    <row r="1950" spans="1:2" x14ac:dyDescent="0.2">
      <c r="A1950" t="s">
        <v>14229</v>
      </c>
      <c r="B1950" t="s">
        <v>13275</v>
      </c>
    </row>
    <row r="1951" spans="1:2" x14ac:dyDescent="0.2">
      <c r="A1951" t="s">
        <v>14234</v>
      </c>
      <c r="B1951" t="s">
        <v>13277</v>
      </c>
    </row>
    <row r="1952" spans="1:2" x14ac:dyDescent="0.2">
      <c r="A1952" t="s">
        <v>14236</v>
      </c>
      <c r="B1952" t="s">
        <v>13279</v>
      </c>
    </row>
    <row r="1953" spans="1:2" x14ac:dyDescent="0.2">
      <c r="A1953" t="s">
        <v>14240</v>
      </c>
      <c r="B1953" t="s">
        <v>13285</v>
      </c>
    </row>
    <row r="1954" spans="1:2" x14ac:dyDescent="0.2">
      <c r="A1954" t="s">
        <v>14244</v>
      </c>
      <c r="B1954" t="s">
        <v>13293</v>
      </c>
    </row>
    <row r="1955" spans="1:2" x14ac:dyDescent="0.2">
      <c r="A1955" t="s">
        <v>14246</v>
      </c>
      <c r="B1955" t="s">
        <v>13296</v>
      </c>
    </row>
    <row r="1956" spans="1:2" x14ac:dyDescent="0.2">
      <c r="A1956" t="s">
        <v>14248</v>
      </c>
      <c r="B1956" t="s">
        <v>13300</v>
      </c>
    </row>
    <row r="1957" spans="1:2" x14ac:dyDescent="0.2">
      <c r="A1957" t="s">
        <v>14252</v>
      </c>
      <c r="B1957" t="s">
        <v>13307</v>
      </c>
    </row>
    <row r="1958" spans="1:2" x14ac:dyDescent="0.2">
      <c r="A1958" t="s">
        <v>14256</v>
      </c>
      <c r="B1958" t="s">
        <v>13312</v>
      </c>
    </row>
    <row r="1959" spans="1:2" x14ac:dyDescent="0.2">
      <c r="A1959" t="s">
        <v>14271</v>
      </c>
      <c r="B1959" t="s">
        <v>13316</v>
      </c>
    </row>
    <row r="1960" spans="1:2" x14ac:dyDescent="0.2">
      <c r="A1960" t="s">
        <v>14273</v>
      </c>
      <c r="B1960" t="s">
        <v>13318</v>
      </c>
    </row>
    <row r="1961" spans="1:2" x14ac:dyDescent="0.2">
      <c r="A1961" t="s">
        <v>14275</v>
      </c>
      <c r="B1961" t="s">
        <v>13322</v>
      </c>
    </row>
    <row r="1962" spans="1:2" x14ac:dyDescent="0.2">
      <c r="A1962" t="s">
        <v>14283</v>
      </c>
      <c r="B1962" t="s">
        <v>13327</v>
      </c>
    </row>
    <row r="1963" spans="1:2" x14ac:dyDescent="0.2">
      <c r="A1963" t="s">
        <v>14285</v>
      </c>
      <c r="B1963" t="s">
        <v>13329</v>
      </c>
    </row>
    <row r="1964" spans="1:2" x14ac:dyDescent="0.2">
      <c r="A1964" t="s">
        <v>14287</v>
      </c>
      <c r="B1964" t="s">
        <v>13338</v>
      </c>
    </row>
    <row r="1965" spans="1:2" x14ac:dyDescent="0.2">
      <c r="A1965" t="s">
        <v>14289</v>
      </c>
      <c r="B1965" t="s">
        <v>13342</v>
      </c>
    </row>
    <row r="1966" spans="1:2" x14ac:dyDescent="0.2">
      <c r="A1966" t="s">
        <v>14291</v>
      </c>
      <c r="B1966" t="s">
        <v>13348</v>
      </c>
    </row>
    <row r="1967" spans="1:2" x14ac:dyDescent="0.2">
      <c r="A1967" t="s">
        <v>14294</v>
      </c>
      <c r="B1967" t="s">
        <v>13351</v>
      </c>
    </row>
    <row r="1968" spans="1:2" x14ac:dyDescent="0.2">
      <c r="A1968" t="s">
        <v>14296</v>
      </c>
      <c r="B1968" t="s">
        <v>13355</v>
      </c>
    </row>
    <row r="1969" spans="1:2" x14ac:dyDescent="0.2">
      <c r="A1969" t="s">
        <v>14302</v>
      </c>
      <c r="B1969" t="s">
        <v>13357</v>
      </c>
    </row>
    <row r="1970" spans="1:2" x14ac:dyDescent="0.2">
      <c r="A1970" t="s">
        <v>14304</v>
      </c>
      <c r="B1970" t="s">
        <v>13359</v>
      </c>
    </row>
    <row r="1971" spans="1:2" x14ac:dyDescent="0.2">
      <c r="A1971" t="s">
        <v>14311</v>
      </c>
      <c r="B1971" t="s">
        <v>13361</v>
      </c>
    </row>
    <row r="1972" spans="1:2" x14ac:dyDescent="0.2">
      <c r="A1972" t="s">
        <v>14313</v>
      </c>
      <c r="B1972" t="s">
        <v>13367</v>
      </c>
    </row>
    <row r="1973" spans="1:2" x14ac:dyDescent="0.2">
      <c r="A1973" t="s">
        <v>14317</v>
      </c>
      <c r="B1973" t="s">
        <v>13369</v>
      </c>
    </row>
    <row r="1974" spans="1:2" x14ac:dyDescent="0.2">
      <c r="A1974" t="s">
        <v>14321</v>
      </c>
      <c r="B1974" t="s">
        <v>13375</v>
      </c>
    </row>
    <row r="1975" spans="1:2" x14ac:dyDescent="0.2">
      <c r="A1975" t="s">
        <v>14329</v>
      </c>
      <c r="B1975" t="s">
        <v>13377</v>
      </c>
    </row>
    <row r="1976" spans="1:2" x14ac:dyDescent="0.2">
      <c r="A1976" t="s">
        <v>14334</v>
      </c>
      <c r="B1976" t="s">
        <v>13379</v>
      </c>
    </row>
    <row r="1977" spans="1:2" x14ac:dyDescent="0.2">
      <c r="A1977" t="s">
        <v>14338</v>
      </c>
      <c r="B1977" t="s">
        <v>13381</v>
      </c>
    </row>
    <row r="1978" spans="1:2" x14ac:dyDescent="0.2">
      <c r="A1978" t="s">
        <v>14340</v>
      </c>
      <c r="B1978" t="s">
        <v>13385</v>
      </c>
    </row>
    <row r="1979" spans="1:2" x14ac:dyDescent="0.2">
      <c r="A1979" t="s">
        <v>14345</v>
      </c>
      <c r="B1979" t="s">
        <v>13394</v>
      </c>
    </row>
    <row r="1980" spans="1:2" x14ac:dyDescent="0.2">
      <c r="A1980" t="s">
        <v>14347</v>
      </c>
      <c r="B1980" t="s">
        <v>13396</v>
      </c>
    </row>
    <row r="1981" spans="1:2" x14ac:dyDescent="0.2">
      <c r="A1981" t="s">
        <v>14349</v>
      </c>
      <c r="B1981" t="s">
        <v>13398</v>
      </c>
    </row>
    <row r="1982" spans="1:2" x14ac:dyDescent="0.2">
      <c r="A1982" t="s">
        <v>14361</v>
      </c>
      <c r="B1982" t="s">
        <v>13411</v>
      </c>
    </row>
    <row r="1983" spans="1:2" x14ac:dyDescent="0.2">
      <c r="A1983" t="s">
        <v>14365</v>
      </c>
      <c r="B1983" t="s">
        <v>13415</v>
      </c>
    </row>
    <row r="1984" spans="1:2" x14ac:dyDescent="0.2">
      <c r="A1984" t="s">
        <v>14367</v>
      </c>
      <c r="B1984" t="s">
        <v>13417</v>
      </c>
    </row>
    <row r="1985" spans="1:2" x14ac:dyDescent="0.2">
      <c r="A1985" t="s">
        <v>14369</v>
      </c>
      <c r="B1985" t="s">
        <v>13421</v>
      </c>
    </row>
    <row r="1986" spans="1:2" x14ac:dyDescent="0.2">
      <c r="A1986" t="s">
        <v>14372</v>
      </c>
      <c r="B1986" t="s">
        <v>13423</v>
      </c>
    </row>
    <row r="1987" spans="1:2" x14ac:dyDescent="0.2">
      <c r="A1987" t="s">
        <v>14374</v>
      </c>
      <c r="B1987" t="s">
        <v>13427</v>
      </c>
    </row>
    <row r="1988" spans="1:2" x14ac:dyDescent="0.2">
      <c r="A1988" t="s">
        <v>14378</v>
      </c>
      <c r="B1988" t="s">
        <v>13431</v>
      </c>
    </row>
    <row r="1989" spans="1:2" x14ac:dyDescent="0.2">
      <c r="A1989" t="s">
        <v>14380</v>
      </c>
      <c r="B1989" t="s">
        <v>13433</v>
      </c>
    </row>
    <row r="1990" spans="1:2" x14ac:dyDescent="0.2">
      <c r="A1990" t="s">
        <v>14388</v>
      </c>
      <c r="B1990" t="s">
        <v>13435</v>
      </c>
    </row>
    <row r="1991" spans="1:2" x14ac:dyDescent="0.2">
      <c r="A1991" t="s">
        <v>14390</v>
      </c>
      <c r="B1991" t="s">
        <v>13437</v>
      </c>
    </row>
    <row r="1992" spans="1:2" x14ac:dyDescent="0.2">
      <c r="A1992" t="s">
        <v>14399</v>
      </c>
      <c r="B1992" t="s">
        <v>13447</v>
      </c>
    </row>
    <row r="1993" spans="1:2" x14ac:dyDescent="0.2">
      <c r="A1993" t="s">
        <v>14401</v>
      </c>
      <c r="B1993" t="s">
        <v>13456</v>
      </c>
    </row>
    <row r="1994" spans="1:2" x14ac:dyDescent="0.2">
      <c r="A1994" t="s">
        <v>14403</v>
      </c>
      <c r="B1994" t="s">
        <v>13458</v>
      </c>
    </row>
    <row r="1995" spans="1:2" x14ac:dyDescent="0.2">
      <c r="A1995" t="s">
        <v>14405</v>
      </c>
      <c r="B1995" t="s">
        <v>13464</v>
      </c>
    </row>
    <row r="1996" spans="1:2" x14ac:dyDescent="0.2">
      <c r="A1996" t="s">
        <v>14407</v>
      </c>
      <c r="B1996" t="s">
        <v>13468</v>
      </c>
    </row>
    <row r="1997" spans="1:2" x14ac:dyDescent="0.2">
      <c r="A1997" t="s">
        <v>14411</v>
      </c>
      <c r="B1997" t="s">
        <v>13470</v>
      </c>
    </row>
    <row r="1998" spans="1:2" x14ac:dyDescent="0.2">
      <c r="A1998" t="s">
        <v>14415</v>
      </c>
      <c r="B1998" t="s">
        <v>13475</v>
      </c>
    </row>
    <row r="1999" spans="1:2" x14ac:dyDescent="0.2">
      <c r="A1999" t="s">
        <v>14425</v>
      </c>
      <c r="B1999" t="s">
        <v>13479</v>
      </c>
    </row>
    <row r="2000" spans="1:2" x14ac:dyDescent="0.2">
      <c r="A2000" t="s">
        <v>14431</v>
      </c>
      <c r="B2000" t="s">
        <v>13483</v>
      </c>
    </row>
    <row r="2001" spans="1:2" x14ac:dyDescent="0.2">
      <c r="A2001" t="s">
        <v>14438</v>
      </c>
      <c r="B2001" t="s">
        <v>13494</v>
      </c>
    </row>
    <row r="2002" spans="1:2" x14ac:dyDescent="0.2">
      <c r="A2002" t="s">
        <v>14441</v>
      </c>
      <c r="B2002" t="s">
        <v>13502</v>
      </c>
    </row>
    <row r="2003" spans="1:2" x14ac:dyDescent="0.2">
      <c r="A2003" t="s">
        <v>14450</v>
      </c>
      <c r="B2003" t="s">
        <v>13506</v>
      </c>
    </row>
    <row r="2004" spans="1:2" x14ac:dyDescent="0.2">
      <c r="A2004" t="s">
        <v>14452</v>
      </c>
      <c r="B2004" t="s">
        <v>13511</v>
      </c>
    </row>
    <row r="2005" spans="1:2" x14ac:dyDescent="0.2">
      <c r="A2005" t="s">
        <v>14460</v>
      </c>
      <c r="B2005" t="s">
        <v>13521</v>
      </c>
    </row>
    <row r="2006" spans="1:2" x14ac:dyDescent="0.2">
      <c r="A2006" t="s">
        <v>14469</v>
      </c>
      <c r="B2006" t="s">
        <v>13531</v>
      </c>
    </row>
    <row r="2007" spans="1:2" x14ac:dyDescent="0.2">
      <c r="A2007" t="s">
        <v>14471</v>
      </c>
      <c r="B2007" t="s">
        <v>13540</v>
      </c>
    </row>
    <row r="2008" spans="1:2" x14ac:dyDescent="0.2">
      <c r="A2008" t="s">
        <v>14475</v>
      </c>
      <c r="B2008" t="s">
        <v>13545</v>
      </c>
    </row>
    <row r="2009" spans="1:2" x14ac:dyDescent="0.2">
      <c r="A2009" t="s">
        <v>14487</v>
      </c>
      <c r="B2009" t="s">
        <v>13547</v>
      </c>
    </row>
    <row r="2010" spans="1:2" x14ac:dyDescent="0.2">
      <c r="A2010" t="s">
        <v>14490</v>
      </c>
      <c r="B2010" t="s">
        <v>13556</v>
      </c>
    </row>
    <row r="2011" spans="1:2" x14ac:dyDescent="0.2">
      <c r="A2011" t="s">
        <v>14492</v>
      </c>
      <c r="B2011" t="s">
        <v>13560</v>
      </c>
    </row>
    <row r="2012" spans="1:2" x14ac:dyDescent="0.2">
      <c r="A2012" t="s">
        <v>14494</v>
      </c>
      <c r="B2012" t="s">
        <v>13562</v>
      </c>
    </row>
    <row r="2013" spans="1:2" x14ac:dyDescent="0.2">
      <c r="A2013" t="s">
        <v>14502</v>
      </c>
      <c r="B2013" t="s">
        <v>13568</v>
      </c>
    </row>
    <row r="2014" spans="1:2" x14ac:dyDescent="0.2">
      <c r="A2014" t="s">
        <v>14526</v>
      </c>
      <c r="B2014" t="s">
        <v>13577</v>
      </c>
    </row>
    <row r="2015" spans="1:2" x14ac:dyDescent="0.2">
      <c r="A2015" t="s">
        <v>14528</v>
      </c>
      <c r="B2015" t="s">
        <v>13579</v>
      </c>
    </row>
    <row r="2016" spans="1:2" x14ac:dyDescent="0.2">
      <c r="A2016" t="s">
        <v>14530</v>
      </c>
      <c r="B2016" t="s">
        <v>13602</v>
      </c>
    </row>
    <row r="2017" spans="1:2" x14ac:dyDescent="0.2">
      <c r="A2017" t="s">
        <v>14532</v>
      </c>
      <c r="B2017" t="s">
        <v>13607</v>
      </c>
    </row>
    <row r="2018" spans="1:2" x14ac:dyDescent="0.2">
      <c r="A2018" t="s">
        <v>14537</v>
      </c>
      <c r="B2018" t="s">
        <v>13609</v>
      </c>
    </row>
    <row r="2019" spans="1:2" x14ac:dyDescent="0.2">
      <c r="A2019" t="s">
        <v>14539</v>
      </c>
      <c r="B2019" t="s">
        <v>13622</v>
      </c>
    </row>
    <row r="2020" spans="1:2" x14ac:dyDescent="0.2">
      <c r="A2020" t="s">
        <v>14542</v>
      </c>
      <c r="B2020" t="s">
        <v>13628</v>
      </c>
    </row>
    <row r="2021" spans="1:2" x14ac:dyDescent="0.2">
      <c r="A2021" t="s">
        <v>14548</v>
      </c>
      <c r="B2021" t="s">
        <v>13630</v>
      </c>
    </row>
    <row r="2022" spans="1:2" x14ac:dyDescent="0.2">
      <c r="A2022" t="s">
        <v>14555</v>
      </c>
      <c r="B2022" t="s">
        <v>13632</v>
      </c>
    </row>
    <row r="2023" spans="1:2" x14ac:dyDescent="0.2">
      <c r="A2023" t="s">
        <v>14559</v>
      </c>
      <c r="B2023" t="s">
        <v>13634</v>
      </c>
    </row>
    <row r="2024" spans="1:2" x14ac:dyDescent="0.2">
      <c r="A2024" t="s">
        <v>14561</v>
      </c>
      <c r="B2024" t="s">
        <v>13636</v>
      </c>
    </row>
    <row r="2025" spans="1:2" x14ac:dyDescent="0.2">
      <c r="A2025" t="s">
        <v>14565</v>
      </c>
      <c r="B2025" t="s">
        <v>13640</v>
      </c>
    </row>
    <row r="2026" spans="1:2" x14ac:dyDescent="0.2">
      <c r="A2026" t="s">
        <v>14568</v>
      </c>
      <c r="B2026" t="s">
        <v>13651</v>
      </c>
    </row>
    <row r="2027" spans="1:2" x14ac:dyDescent="0.2">
      <c r="A2027" t="s">
        <v>14570</v>
      </c>
      <c r="B2027" t="s">
        <v>13653</v>
      </c>
    </row>
    <row r="2028" spans="1:2" x14ac:dyDescent="0.2">
      <c r="A2028" t="s">
        <v>14577</v>
      </c>
      <c r="B2028" t="s">
        <v>13665</v>
      </c>
    </row>
    <row r="2029" spans="1:2" x14ac:dyDescent="0.2">
      <c r="A2029" t="s">
        <v>14579</v>
      </c>
      <c r="B2029" t="s">
        <v>13667</v>
      </c>
    </row>
    <row r="2030" spans="1:2" x14ac:dyDescent="0.2">
      <c r="A2030" t="s">
        <v>14581</v>
      </c>
      <c r="B2030" t="s">
        <v>13671</v>
      </c>
    </row>
    <row r="2031" spans="1:2" x14ac:dyDescent="0.2">
      <c r="A2031" t="s">
        <v>14595</v>
      </c>
      <c r="B2031" t="s">
        <v>13673</v>
      </c>
    </row>
    <row r="2032" spans="1:2" x14ac:dyDescent="0.2">
      <c r="A2032" t="s">
        <v>14598</v>
      </c>
      <c r="B2032" t="s">
        <v>13677</v>
      </c>
    </row>
    <row r="2033" spans="1:2" x14ac:dyDescent="0.2">
      <c r="A2033" t="s">
        <v>14600</v>
      </c>
      <c r="B2033" t="s">
        <v>13681</v>
      </c>
    </row>
    <row r="2034" spans="1:2" x14ac:dyDescent="0.2">
      <c r="A2034" t="s">
        <v>14602</v>
      </c>
      <c r="B2034" t="s">
        <v>13683</v>
      </c>
    </row>
    <row r="2035" spans="1:2" x14ac:dyDescent="0.2">
      <c r="A2035" t="s">
        <v>14605</v>
      </c>
      <c r="B2035" t="s">
        <v>13690</v>
      </c>
    </row>
    <row r="2036" spans="1:2" x14ac:dyDescent="0.2">
      <c r="A2036" t="s">
        <v>14609</v>
      </c>
      <c r="B2036" t="s">
        <v>13694</v>
      </c>
    </row>
    <row r="2037" spans="1:2" x14ac:dyDescent="0.2">
      <c r="A2037" t="s">
        <v>14613</v>
      </c>
      <c r="B2037" t="s">
        <v>13699</v>
      </c>
    </row>
    <row r="2038" spans="1:2" x14ac:dyDescent="0.2">
      <c r="A2038" t="s">
        <v>14616</v>
      </c>
      <c r="B2038" t="s">
        <v>13714</v>
      </c>
    </row>
    <row r="2039" spans="1:2" x14ac:dyDescent="0.2">
      <c r="A2039" t="s">
        <v>14621</v>
      </c>
      <c r="B2039" t="s">
        <v>13718</v>
      </c>
    </row>
    <row r="2040" spans="1:2" x14ac:dyDescent="0.2">
      <c r="A2040" t="s">
        <v>14624</v>
      </c>
      <c r="B2040" t="s">
        <v>13726</v>
      </c>
    </row>
    <row r="2041" spans="1:2" x14ac:dyDescent="0.2">
      <c r="A2041" t="s">
        <v>14628</v>
      </c>
      <c r="B2041" t="s">
        <v>13728</v>
      </c>
    </row>
    <row r="2042" spans="1:2" x14ac:dyDescent="0.2">
      <c r="A2042" t="s">
        <v>14630</v>
      </c>
      <c r="B2042" t="s">
        <v>13739</v>
      </c>
    </row>
    <row r="2043" spans="1:2" x14ac:dyDescent="0.2">
      <c r="A2043" t="s">
        <v>14635</v>
      </c>
      <c r="B2043" t="s">
        <v>13741</v>
      </c>
    </row>
    <row r="2044" spans="1:2" x14ac:dyDescent="0.2">
      <c r="A2044" t="s">
        <v>14639</v>
      </c>
      <c r="B2044" t="s">
        <v>13756</v>
      </c>
    </row>
    <row r="2045" spans="1:2" x14ac:dyDescent="0.2">
      <c r="A2045" t="s">
        <v>14641</v>
      </c>
      <c r="B2045" t="s">
        <v>13760</v>
      </c>
    </row>
    <row r="2046" spans="1:2" x14ac:dyDescent="0.2">
      <c r="A2046" t="s">
        <v>14650</v>
      </c>
      <c r="B2046" t="s">
        <v>13762</v>
      </c>
    </row>
    <row r="2047" spans="1:2" x14ac:dyDescent="0.2">
      <c r="A2047" t="s">
        <v>14654</v>
      </c>
      <c r="B2047" t="s">
        <v>13764</v>
      </c>
    </row>
    <row r="2048" spans="1:2" x14ac:dyDescent="0.2">
      <c r="A2048" t="s">
        <v>14660</v>
      </c>
      <c r="B2048" t="s">
        <v>13770</v>
      </c>
    </row>
    <row r="2049" spans="1:2" x14ac:dyDescent="0.2">
      <c r="A2049" t="s">
        <v>14662</v>
      </c>
      <c r="B2049" t="s">
        <v>13772</v>
      </c>
    </row>
    <row r="2050" spans="1:2" x14ac:dyDescent="0.2">
      <c r="A2050" t="s">
        <v>14666</v>
      </c>
      <c r="B2050" t="s">
        <v>13774</v>
      </c>
    </row>
    <row r="2051" spans="1:2" x14ac:dyDescent="0.2">
      <c r="A2051" t="s">
        <v>14674</v>
      </c>
      <c r="B2051" t="s">
        <v>13778</v>
      </c>
    </row>
    <row r="2052" spans="1:2" x14ac:dyDescent="0.2">
      <c r="A2052" t="s">
        <v>14677</v>
      </c>
      <c r="B2052" t="s">
        <v>13788</v>
      </c>
    </row>
    <row r="2053" spans="1:2" x14ac:dyDescent="0.2">
      <c r="A2053" t="s">
        <v>14683</v>
      </c>
      <c r="B2053" t="s">
        <v>13790</v>
      </c>
    </row>
    <row r="2054" spans="1:2" x14ac:dyDescent="0.2">
      <c r="A2054" t="s">
        <v>14685</v>
      </c>
      <c r="B2054" t="s">
        <v>13803</v>
      </c>
    </row>
    <row r="2055" spans="1:2" x14ac:dyDescent="0.2">
      <c r="A2055" t="s">
        <v>14687</v>
      </c>
      <c r="B2055" t="s">
        <v>13805</v>
      </c>
    </row>
    <row r="2056" spans="1:2" x14ac:dyDescent="0.2">
      <c r="A2056" t="s">
        <v>14693</v>
      </c>
      <c r="B2056" t="s">
        <v>13818</v>
      </c>
    </row>
    <row r="2057" spans="1:2" x14ac:dyDescent="0.2">
      <c r="A2057" t="s">
        <v>14697</v>
      </c>
      <c r="B2057" t="s">
        <v>13835</v>
      </c>
    </row>
    <row r="2058" spans="1:2" x14ac:dyDescent="0.2">
      <c r="A2058" t="s">
        <v>14699</v>
      </c>
      <c r="B2058" t="s">
        <v>13837</v>
      </c>
    </row>
    <row r="2059" spans="1:2" x14ac:dyDescent="0.2">
      <c r="A2059" t="s">
        <v>14705</v>
      </c>
      <c r="B2059" t="s">
        <v>13841</v>
      </c>
    </row>
    <row r="2060" spans="1:2" x14ac:dyDescent="0.2">
      <c r="A2060" t="s">
        <v>14707</v>
      </c>
      <c r="B2060" t="s">
        <v>13850</v>
      </c>
    </row>
    <row r="2061" spans="1:2" x14ac:dyDescent="0.2">
      <c r="A2061" t="s">
        <v>14709</v>
      </c>
      <c r="B2061" t="s">
        <v>13852</v>
      </c>
    </row>
    <row r="2062" spans="1:2" x14ac:dyDescent="0.2">
      <c r="A2062" t="s">
        <v>14711</v>
      </c>
      <c r="B2062" t="s">
        <v>13858</v>
      </c>
    </row>
    <row r="2063" spans="1:2" x14ac:dyDescent="0.2">
      <c r="A2063" t="s">
        <v>14713</v>
      </c>
      <c r="B2063" t="s">
        <v>13860</v>
      </c>
    </row>
    <row r="2064" spans="1:2" x14ac:dyDescent="0.2">
      <c r="A2064" t="s">
        <v>14715</v>
      </c>
      <c r="B2064" t="s">
        <v>13864</v>
      </c>
    </row>
    <row r="2065" spans="1:2" x14ac:dyDescent="0.2">
      <c r="A2065" t="s">
        <v>14717</v>
      </c>
      <c r="B2065" t="s">
        <v>13866</v>
      </c>
    </row>
    <row r="2066" spans="1:2" x14ac:dyDescent="0.2">
      <c r="A2066" t="s">
        <v>14719</v>
      </c>
      <c r="B2066" t="s">
        <v>13868</v>
      </c>
    </row>
    <row r="2067" spans="1:2" x14ac:dyDescent="0.2">
      <c r="A2067" t="s">
        <v>14723</v>
      </c>
      <c r="B2067" t="s">
        <v>13872</v>
      </c>
    </row>
    <row r="2068" spans="1:2" x14ac:dyDescent="0.2">
      <c r="A2068" t="s">
        <v>14725</v>
      </c>
      <c r="B2068" t="s">
        <v>13883</v>
      </c>
    </row>
    <row r="2069" spans="1:2" x14ac:dyDescent="0.2">
      <c r="A2069" t="s">
        <v>14732</v>
      </c>
      <c r="B2069" t="s">
        <v>13885</v>
      </c>
    </row>
    <row r="2070" spans="1:2" x14ac:dyDescent="0.2">
      <c r="A2070" t="s">
        <v>14735</v>
      </c>
      <c r="B2070" t="s">
        <v>13887</v>
      </c>
    </row>
    <row r="2071" spans="1:2" x14ac:dyDescent="0.2">
      <c r="A2071" t="s">
        <v>14738</v>
      </c>
      <c r="B2071" t="s">
        <v>13891</v>
      </c>
    </row>
    <row r="2072" spans="1:2" x14ac:dyDescent="0.2">
      <c r="A2072" t="s">
        <v>14749</v>
      </c>
      <c r="B2072" t="s">
        <v>13893</v>
      </c>
    </row>
    <row r="2073" spans="1:2" x14ac:dyDescent="0.2">
      <c r="A2073" t="s">
        <v>14751</v>
      </c>
      <c r="B2073" t="s">
        <v>13895</v>
      </c>
    </row>
    <row r="2074" spans="1:2" x14ac:dyDescent="0.2">
      <c r="A2074" t="s">
        <v>14753</v>
      </c>
      <c r="B2074" t="s">
        <v>13899</v>
      </c>
    </row>
    <row r="2075" spans="1:2" x14ac:dyDescent="0.2">
      <c r="A2075" t="s">
        <v>14755</v>
      </c>
      <c r="B2075" t="s">
        <v>13903</v>
      </c>
    </row>
    <row r="2076" spans="1:2" x14ac:dyDescent="0.2">
      <c r="A2076" t="s">
        <v>14759</v>
      </c>
      <c r="B2076" t="s">
        <v>13911</v>
      </c>
    </row>
    <row r="2077" spans="1:2" x14ac:dyDescent="0.2">
      <c r="A2077" t="s">
        <v>14761</v>
      </c>
      <c r="B2077" t="s">
        <v>13916</v>
      </c>
    </row>
    <row r="2078" spans="1:2" x14ac:dyDescent="0.2">
      <c r="A2078" t="s">
        <v>14766</v>
      </c>
      <c r="B2078" t="s">
        <v>13922</v>
      </c>
    </row>
    <row r="2079" spans="1:2" x14ac:dyDescent="0.2">
      <c r="A2079" t="s">
        <v>14768</v>
      </c>
      <c r="B2079" t="s">
        <v>13924</v>
      </c>
    </row>
    <row r="2080" spans="1:2" x14ac:dyDescent="0.2">
      <c r="A2080" t="s">
        <v>14770</v>
      </c>
      <c r="B2080" t="s">
        <v>13928</v>
      </c>
    </row>
    <row r="2081" spans="1:2" x14ac:dyDescent="0.2">
      <c r="A2081" t="s">
        <v>14772</v>
      </c>
      <c r="B2081" t="s">
        <v>13944</v>
      </c>
    </row>
    <row r="2082" spans="1:2" x14ac:dyDescent="0.2">
      <c r="A2082" t="s">
        <v>14774</v>
      </c>
      <c r="B2082" t="s">
        <v>13947</v>
      </c>
    </row>
    <row r="2083" spans="1:2" x14ac:dyDescent="0.2">
      <c r="A2083" t="s">
        <v>14776</v>
      </c>
      <c r="B2083" t="s">
        <v>13950</v>
      </c>
    </row>
    <row r="2084" spans="1:2" x14ac:dyDescent="0.2">
      <c r="A2084" t="s">
        <v>14778</v>
      </c>
      <c r="B2084" t="s">
        <v>13952</v>
      </c>
    </row>
    <row r="2085" spans="1:2" x14ac:dyDescent="0.2">
      <c r="A2085" t="s">
        <v>14781</v>
      </c>
      <c r="B2085" t="s">
        <v>13954</v>
      </c>
    </row>
    <row r="2086" spans="1:2" x14ac:dyDescent="0.2">
      <c r="A2086" t="s">
        <v>14792</v>
      </c>
      <c r="B2086" t="s">
        <v>13965</v>
      </c>
    </row>
    <row r="2087" spans="1:2" x14ac:dyDescent="0.2">
      <c r="A2087" t="s">
        <v>14794</v>
      </c>
      <c r="B2087" t="s">
        <v>13967</v>
      </c>
    </row>
    <row r="2088" spans="1:2" x14ac:dyDescent="0.2">
      <c r="A2088" t="s">
        <v>14796</v>
      </c>
      <c r="B2088" t="s">
        <v>13971</v>
      </c>
    </row>
    <row r="2089" spans="1:2" x14ac:dyDescent="0.2">
      <c r="A2089" t="s">
        <v>14816</v>
      </c>
      <c r="B2089" t="s">
        <v>13973</v>
      </c>
    </row>
    <row r="2090" spans="1:2" x14ac:dyDescent="0.2">
      <c r="A2090" t="s">
        <v>14820</v>
      </c>
      <c r="B2090" t="s">
        <v>13996</v>
      </c>
    </row>
    <row r="2091" spans="1:2" x14ac:dyDescent="0.2">
      <c r="A2091" t="s">
        <v>14827</v>
      </c>
      <c r="B2091" t="s">
        <v>14000</v>
      </c>
    </row>
    <row r="2092" spans="1:2" x14ac:dyDescent="0.2">
      <c r="A2092" t="s">
        <v>14832</v>
      </c>
      <c r="B2092" t="s">
        <v>14002</v>
      </c>
    </row>
    <row r="2093" spans="1:2" x14ac:dyDescent="0.2">
      <c r="A2093" t="s">
        <v>14835</v>
      </c>
      <c r="B2093" t="s">
        <v>14004</v>
      </c>
    </row>
    <row r="2094" spans="1:2" x14ac:dyDescent="0.2">
      <c r="A2094" t="s">
        <v>14837</v>
      </c>
      <c r="B2094" t="s">
        <v>14013</v>
      </c>
    </row>
    <row r="2095" spans="1:2" x14ac:dyDescent="0.2">
      <c r="A2095" t="s">
        <v>14850</v>
      </c>
      <c r="B2095" t="s">
        <v>14015</v>
      </c>
    </row>
    <row r="2096" spans="1:2" x14ac:dyDescent="0.2">
      <c r="A2096" t="s">
        <v>14862</v>
      </c>
      <c r="B2096" t="s">
        <v>14025</v>
      </c>
    </row>
    <row r="2097" spans="1:2" x14ac:dyDescent="0.2">
      <c r="A2097" t="s">
        <v>14864</v>
      </c>
      <c r="B2097" t="s">
        <v>14027</v>
      </c>
    </row>
    <row r="2098" spans="1:2" x14ac:dyDescent="0.2">
      <c r="A2098" t="s">
        <v>14875</v>
      </c>
      <c r="B2098" t="s">
        <v>14029</v>
      </c>
    </row>
    <row r="2099" spans="1:2" x14ac:dyDescent="0.2">
      <c r="A2099" t="s">
        <v>14877</v>
      </c>
      <c r="B2099" t="s">
        <v>14031</v>
      </c>
    </row>
    <row r="2100" spans="1:2" x14ac:dyDescent="0.2">
      <c r="A2100" t="s">
        <v>14885</v>
      </c>
      <c r="B2100" t="s">
        <v>14041</v>
      </c>
    </row>
    <row r="2101" spans="1:2" x14ac:dyDescent="0.2">
      <c r="A2101" t="s">
        <v>14889</v>
      </c>
      <c r="B2101" t="s">
        <v>14043</v>
      </c>
    </row>
    <row r="2102" spans="1:2" x14ac:dyDescent="0.2">
      <c r="A2102" t="s">
        <v>14901</v>
      </c>
      <c r="B2102" t="s">
        <v>14051</v>
      </c>
    </row>
    <row r="2103" spans="1:2" x14ac:dyDescent="0.2">
      <c r="A2103" t="s">
        <v>14913</v>
      </c>
      <c r="B2103" t="s">
        <v>14057</v>
      </c>
    </row>
    <row r="2104" spans="1:2" x14ac:dyDescent="0.2">
      <c r="A2104" t="s">
        <v>14915</v>
      </c>
      <c r="B2104" t="s">
        <v>14059</v>
      </c>
    </row>
    <row r="2105" spans="1:2" x14ac:dyDescent="0.2">
      <c r="A2105" t="s">
        <v>14917</v>
      </c>
      <c r="B2105" t="s">
        <v>14061</v>
      </c>
    </row>
    <row r="2106" spans="1:2" x14ac:dyDescent="0.2">
      <c r="A2106" t="s">
        <v>14919</v>
      </c>
      <c r="B2106" t="s">
        <v>14071</v>
      </c>
    </row>
    <row r="2107" spans="1:2" x14ac:dyDescent="0.2">
      <c r="A2107" t="s">
        <v>14921</v>
      </c>
      <c r="B2107" t="s">
        <v>14090</v>
      </c>
    </row>
    <row r="2108" spans="1:2" x14ac:dyDescent="0.2">
      <c r="A2108" t="s">
        <v>14923</v>
      </c>
      <c r="B2108" t="s">
        <v>14097</v>
      </c>
    </row>
    <row r="2109" spans="1:2" x14ac:dyDescent="0.2">
      <c r="A2109" t="s">
        <v>14925</v>
      </c>
      <c r="B2109" t="s">
        <v>14099</v>
      </c>
    </row>
    <row r="2110" spans="1:2" x14ac:dyDescent="0.2">
      <c r="A2110" t="s">
        <v>14927</v>
      </c>
      <c r="B2110" t="s">
        <v>14127</v>
      </c>
    </row>
    <row r="2111" spans="1:2" x14ac:dyDescent="0.2">
      <c r="A2111" t="s">
        <v>14932</v>
      </c>
      <c r="B2111" t="s">
        <v>14129</v>
      </c>
    </row>
    <row r="2112" spans="1:2" x14ac:dyDescent="0.2">
      <c r="A2112" t="s">
        <v>14936</v>
      </c>
      <c r="B2112" t="s">
        <v>14131</v>
      </c>
    </row>
    <row r="2113" spans="1:2" x14ac:dyDescent="0.2">
      <c r="A2113" t="s">
        <v>14938</v>
      </c>
      <c r="B2113" t="s">
        <v>14136</v>
      </c>
    </row>
    <row r="2114" spans="1:2" x14ac:dyDescent="0.2">
      <c r="A2114" t="s">
        <v>14940</v>
      </c>
      <c r="B2114" t="s">
        <v>14143</v>
      </c>
    </row>
    <row r="2115" spans="1:2" x14ac:dyDescent="0.2">
      <c r="A2115" t="s">
        <v>14949</v>
      </c>
      <c r="B2115" t="s">
        <v>14147</v>
      </c>
    </row>
    <row r="2116" spans="1:2" x14ac:dyDescent="0.2">
      <c r="A2116" t="s">
        <v>14951</v>
      </c>
      <c r="B2116" t="s">
        <v>14149</v>
      </c>
    </row>
    <row r="2117" spans="1:2" x14ac:dyDescent="0.2">
      <c r="A2117" t="s">
        <v>14953</v>
      </c>
      <c r="B2117" t="s">
        <v>14154</v>
      </c>
    </row>
    <row r="2118" spans="1:2" x14ac:dyDescent="0.2">
      <c r="A2118" t="s">
        <v>14955</v>
      </c>
      <c r="B2118" t="s">
        <v>14156</v>
      </c>
    </row>
    <row r="2119" spans="1:2" x14ac:dyDescent="0.2">
      <c r="A2119" t="s">
        <v>14960</v>
      </c>
      <c r="B2119" t="s">
        <v>14162</v>
      </c>
    </row>
    <row r="2120" spans="1:2" x14ac:dyDescent="0.2">
      <c r="A2120" t="s">
        <v>14968</v>
      </c>
      <c r="B2120" t="s">
        <v>14167</v>
      </c>
    </row>
    <row r="2121" spans="1:2" x14ac:dyDescent="0.2">
      <c r="A2121" t="s">
        <v>14970</v>
      </c>
      <c r="B2121" t="s">
        <v>14183</v>
      </c>
    </row>
    <row r="2122" spans="1:2" x14ac:dyDescent="0.2">
      <c r="A2122" t="s">
        <v>14974</v>
      </c>
      <c r="B2122" t="s">
        <v>14185</v>
      </c>
    </row>
    <row r="2123" spans="1:2" x14ac:dyDescent="0.2">
      <c r="A2123" t="s">
        <v>14976</v>
      </c>
      <c r="B2123" t="s">
        <v>14189</v>
      </c>
    </row>
    <row r="2124" spans="1:2" x14ac:dyDescent="0.2">
      <c r="A2124" t="s">
        <v>14983</v>
      </c>
      <c r="B2124" t="s">
        <v>14191</v>
      </c>
    </row>
    <row r="2125" spans="1:2" x14ac:dyDescent="0.2">
      <c r="A2125" t="s">
        <v>14985</v>
      </c>
      <c r="B2125" t="s">
        <v>14197</v>
      </c>
    </row>
    <row r="2126" spans="1:2" x14ac:dyDescent="0.2">
      <c r="A2126" t="s">
        <v>14995</v>
      </c>
      <c r="B2126" t="s">
        <v>14199</v>
      </c>
    </row>
    <row r="2127" spans="1:2" x14ac:dyDescent="0.2">
      <c r="A2127" t="s">
        <v>14997</v>
      </c>
      <c r="B2127" t="s">
        <v>14206</v>
      </c>
    </row>
    <row r="2128" spans="1:2" x14ac:dyDescent="0.2">
      <c r="A2128" t="s">
        <v>15008</v>
      </c>
      <c r="B2128" t="s">
        <v>14215</v>
      </c>
    </row>
    <row r="2129" spans="1:2" x14ac:dyDescent="0.2">
      <c r="A2129" t="s">
        <v>15011</v>
      </c>
      <c r="B2129" t="s">
        <v>14223</v>
      </c>
    </row>
    <row r="2130" spans="1:2" x14ac:dyDescent="0.2">
      <c r="A2130" t="s">
        <v>15019</v>
      </c>
      <c r="B2130" t="s">
        <v>14225</v>
      </c>
    </row>
    <row r="2131" spans="1:2" x14ac:dyDescent="0.2">
      <c r="A2131" t="s">
        <v>15026</v>
      </c>
      <c r="B2131" t="s">
        <v>14227</v>
      </c>
    </row>
    <row r="2132" spans="1:2" x14ac:dyDescent="0.2">
      <c r="A2132" t="s">
        <v>15028</v>
      </c>
      <c r="B2132" t="s">
        <v>14234</v>
      </c>
    </row>
    <row r="2133" spans="1:2" x14ac:dyDescent="0.2">
      <c r="A2133" t="s">
        <v>15030</v>
      </c>
      <c r="B2133" t="s">
        <v>14250</v>
      </c>
    </row>
    <row r="2134" spans="1:2" x14ac:dyDescent="0.2">
      <c r="A2134" t="s">
        <v>15033</v>
      </c>
      <c r="B2134" t="s">
        <v>14252</v>
      </c>
    </row>
    <row r="2135" spans="1:2" x14ac:dyDescent="0.2">
      <c r="A2135" t="s">
        <v>15037</v>
      </c>
      <c r="B2135" t="s">
        <v>14254</v>
      </c>
    </row>
    <row r="2136" spans="1:2" x14ac:dyDescent="0.2">
      <c r="A2136" t="s">
        <v>15041</v>
      </c>
      <c r="B2136" t="s">
        <v>14262</v>
      </c>
    </row>
    <row r="2137" spans="1:2" x14ac:dyDescent="0.2">
      <c r="A2137" t="s">
        <v>15044</v>
      </c>
      <c r="B2137" t="s">
        <v>14280</v>
      </c>
    </row>
    <row r="2138" spans="1:2" x14ac:dyDescent="0.2">
      <c r="A2138" t="s">
        <v>15048</v>
      </c>
      <c r="B2138" t="s">
        <v>14283</v>
      </c>
    </row>
    <row r="2139" spans="1:2" x14ac:dyDescent="0.2">
      <c r="A2139" t="s">
        <v>15050</v>
      </c>
      <c r="B2139" t="s">
        <v>14285</v>
      </c>
    </row>
    <row r="2140" spans="1:2" x14ac:dyDescent="0.2">
      <c r="A2140" t="s">
        <v>15052</v>
      </c>
      <c r="B2140" t="s">
        <v>14291</v>
      </c>
    </row>
    <row r="2141" spans="1:2" x14ac:dyDescent="0.2">
      <c r="A2141" t="s">
        <v>15054</v>
      </c>
      <c r="B2141" t="s">
        <v>14294</v>
      </c>
    </row>
    <row r="2142" spans="1:2" x14ac:dyDescent="0.2">
      <c r="A2142" t="s">
        <v>15066</v>
      </c>
      <c r="B2142" t="s">
        <v>14298</v>
      </c>
    </row>
    <row r="2143" spans="1:2" x14ac:dyDescent="0.2">
      <c r="A2143" t="s">
        <v>15070</v>
      </c>
      <c r="B2143" t="s">
        <v>14300</v>
      </c>
    </row>
    <row r="2144" spans="1:2" x14ac:dyDescent="0.2">
      <c r="A2144" t="s">
        <v>15072</v>
      </c>
      <c r="B2144" t="s">
        <v>14307</v>
      </c>
    </row>
    <row r="2145" spans="1:2" x14ac:dyDescent="0.2">
      <c r="A2145" t="s">
        <v>15074</v>
      </c>
      <c r="B2145" t="s">
        <v>14309</v>
      </c>
    </row>
    <row r="2146" spans="1:2" x14ac:dyDescent="0.2">
      <c r="A2146" t="s">
        <v>15076</v>
      </c>
      <c r="B2146" t="s">
        <v>14311</v>
      </c>
    </row>
    <row r="2147" spans="1:2" x14ac:dyDescent="0.2">
      <c r="A2147" t="s">
        <v>15080</v>
      </c>
      <c r="B2147" t="s">
        <v>14315</v>
      </c>
    </row>
    <row r="2148" spans="1:2" x14ac:dyDescent="0.2">
      <c r="A2148" t="s">
        <v>15086</v>
      </c>
      <c r="B2148" t="s">
        <v>14319</v>
      </c>
    </row>
    <row r="2149" spans="1:2" x14ac:dyDescent="0.2">
      <c r="A2149" t="s">
        <v>15088</v>
      </c>
      <c r="B2149" t="s">
        <v>14323</v>
      </c>
    </row>
    <row r="2150" spans="1:2" x14ac:dyDescent="0.2">
      <c r="A2150" t="s">
        <v>15092</v>
      </c>
      <c r="B2150" t="s">
        <v>14336</v>
      </c>
    </row>
    <row r="2151" spans="1:2" x14ac:dyDescent="0.2">
      <c r="A2151" t="s">
        <v>15096</v>
      </c>
      <c r="B2151" t="s">
        <v>14338</v>
      </c>
    </row>
    <row r="2152" spans="1:2" x14ac:dyDescent="0.2">
      <c r="A2152" t="s">
        <v>15099</v>
      </c>
      <c r="B2152" t="s">
        <v>14342</v>
      </c>
    </row>
    <row r="2153" spans="1:2" x14ac:dyDescent="0.2">
      <c r="A2153" t="s">
        <v>15102</v>
      </c>
      <c r="B2153" t="s">
        <v>14347</v>
      </c>
    </row>
    <row r="2154" spans="1:2" x14ac:dyDescent="0.2">
      <c r="A2154" t="s">
        <v>15105</v>
      </c>
      <c r="B2154" t="s">
        <v>14351</v>
      </c>
    </row>
    <row r="2155" spans="1:2" x14ac:dyDescent="0.2">
      <c r="A2155" t="s">
        <v>15121</v>
      </c>
      <c r="B2155" t="s">
        <v>14353</v>
      </c>
    </row>
    <row r="2156" spans="1:2" x14ac:dyDescent="0.2">
      <c r="A2156" t="s">
        <v>15123</v>
      </c>
      <c r="B2156" t="s">
        <v>14355</v>
      </c>
    </row>
    <row r="2157" spans="1:2" x14ac:dyDescent="0.2">
      <c r="A2157" t="s">
        <v>15125</v>
      </c>
      <c r="B2157" t="s">
        <v>14357</v>
      </c>
    </row>
    <row r="2158" spans="1:2" x14ac:dyDescent="0.2">
      <c r="A2158" t="s">
        <v>15130</v>
      </c>
      <c r="B2158" t="s">
        <v>14359</v>
      </c>
    </row>
    <row r="2159" spans="1:2" x14ac:dyDescent="0.2">
      <c r="A2159" t="s">
        <v>15134</v>
      </c>
      <c r="B2159" t="s">
        <v>14372</v>
      </c>
    </row>
    <row r="2160" spans="1:2" x14ac:dyDescent="0.2">
      <c r="A2160" t="s">
        <v>15139</v>
      </c>
      <c r="B2160" t="s">
        <v>14374</v>
      </c>
    </row>
    <row r="2161" spans="1:2" x14ac:dyDescent="0.2">
      <c r="A2161" t="s">
        <v>15141</v>
      </c>
      <c r="B2161" t="s">
        <v>14378</v>
      </c>
    </row>
    <row r="2162" spans="1:2" x14ac:dyDescent="0.2">
      <c r="A2162" t="s">
        <v>15145</v>
      </c>
      <c r="B2162" t="s">
        <v>14380</v>
      </c>
    </row>
    <row r="2163" spans="1:2" x14ac:dyDescent="0.2">
      <c r="A2163" t="s">
        <v>15147</v>
      </c>
      <c r="B2163" t="s">
        <v>14382</v>
      </c>
    </row>
    <row r="2164" spans="1:2" x14ac:dyDescent="0.2">
      <c r="A2164" t="s">
        <v>15158</v>
      </c>
      <c r="B2164" t="s">
        <v>14384</v>
      </c>
    </row>
    <row r="2165" spans="1:2" x14ac:dyDescent="0.2">
      <c r="A2165" t="s">
        <v>15171</v>
      </c>
      <c r="B2165" t="s">
        <v>14386</v>
      </c>
    </row>
    <row r="2166" spans="1:2" x14ac:dyDescent="0.2">
      <c r="A2166" t="s">
        <v>15173</v>
      </c>
      <c r="B2166" t="s">
        <v>14395</v>
      </c>
    </row>
    <row r="2167" spans="1:2" x14ac:dyDescent="0.2">
      <c r="A2167" t="s">
        <v>15175</v>
      </c>
      <c r="B2167" t="s">
        <v>14399</v>
      </c>
    </row>
    <row r="2168" spans="1:2" x14ac:dyDescent="0.2">
      <c r="A2168" t="s">
        <v>15181</v>
      </c>
      <c r="B2168" t="s">
        <v>14401</v>
      </c>
    </row>
    <row r="2169" spans="1:2" x14ac:dyDescent="0.2">
      <c r="A2169" t="s">
        <v>15183</v>
      </c>
      <c r="B2169" t="s">
        <v>14409</v>
      </c>
    </row>
    <row r="2170" spans="1:2" x14ac:dyDescent="0.2">
      <c r="A2170" t="s">
        <v>15185</v>
      </c>
      <c r="B2170" t="s">
        <v>14417</v>
      </c>
    </row>
    <row r="2171" spans="1:2" x14ac:dyDescent="0.2">
      <c r="A2171" t="s">
        <v>15189</v>
      </c>
      <c r="B2171" t="s">
        <v>14419</v>
      </c>
    </row>
    <row r="2172" spans="1:2" x14ac:dyDescent="0.2">
      <c r="A2172" t="s">
        <v>15193</v>
      </c>
      <c r="B2172" t="s">
        <v>14421</v>
      </c>
    </row>
    <row r="2173" spans="1:2" x14ac:dyDescent="0.2">
      <c r="A2173" t="s">
        <v>15196</v>
      </c>
      <c r="B2173" t="s">
        <v>14429</v>
      </c>
    </row>
    <row r="2174" spans="1:2" x14ac:dyDescent="0.2">
      <c r="A2174" t="s">
        <v>15198</v>
      </c>
      <c r="B2174" t="s">
        <v>14436</v>
      </c>
    </row>
    <row r="2175" spans="1:2" x14ac:dyDescent="0.2">
      <c r="A2175" t="s">
        <v>15200</v>
      </c>
      <c r="B2175" t="s">
        <v>14444</v>
      </c>
    </row>
    <row r="2176" spans="1:2" x14ac:dyDescent="0.2">
      <c r="A2176" t="s">
        <v>15203</v>
      </c>
      <c r="B2176" t="s">
        <v>14448</v>
      </c>
    </row>
    <row r="2177" spans="1:2" x14ac:dyDescent="0.2">
      <c r="A2177" t="s">
        <v>15205</v>
      </c>
      <c r="B2177" t="s">
        <v>14450</v>
      </c>
    </row>
    <row r="2178" spans="1:2" x14ac:dyDescent="0.2">
      <c r="A2178" t="s">
        <v>15207</v>
      </c>
      <c r="B2178" t="s">
        <v>14455</v>
      </c>
    </row>
    <row r="2179" spans="1:2" x14ac:dyDescent="0.2">
      <c r="A2179" t="s">
        <v>15210</v>
      </c>
      <c r="B2179" t="s">
        <v>14460</v>
      </c>
    </row>
    <row r="2180" spans="1:2" x14ac:dyDescent="0.2">
      <c r="A2180" t="s">
        <v>15221</v>
      </c>
      <c r="B2180" t="s">
        <v>14464</v>
      </c>
    </row>
    <row r="2181" spans="1:2" x14ac:dyDescent="0.2">
      <c r="A2181" t="s">
        <v>15223</v>
      </c>
      <c r="B2181" t="s">
        <v>14473</v>
      </c>
    </row>
    <row r="2182" spans="1:2" x14ac:dyDescent="0.2">
      <c r="A2182" t="s">
        <v>15225</v>
      </c>
      <c r="B2182" t="s">
        <v>14479</v>
      </c>
    </row>
    <row r="2183" spans="1:2" x14ac:dyDescent="0.2">
      <c r="A2183" t="s">
        <v>15227</v>
      </c>
      <c r="B2183" t="s">
        <v>14481</v>
      </c>
    </row>
    <row r="2184" spans="1:2" x14ac:dyDescent="0.2">
      <c r="A2184" t="s">
        <v>15229</v>
      </c>
      <c r="B2184" t="s">
        <v>14485</v>
      </c>
    </row>
    <row r="2185" spans="1:2" x14ac:dyDescent="0.2">
      <c r="A2185" t="s">
        <v>15231</v>
      </c>
      <c r="B2185" t="s">
        <v>14496</v>
      </c>
    </row>
    <row r="2186" spans="1:2" x14ac:dyDescent="0.2">
      <c r="A2186" t="s">
        <v>15233</v>
      </c>
      <c r="B2186" t="s">
        <v>14504</v>
      </c>
    </row>
    <row r="2187" spans="1:2" x14ac:dyDescent="0.2">
      <c r="A2187" t="s">
        <v>15236</v>
      </c>
      <c r="B2187" t="s">
        <v>14506</v>
      </c>
    </row>
    <row r="2188" spans="1:2" x14ac:dyDescent="0.2">
      <c r="A2188" t="s">
        <v>15240</v>
      </c>
      <c r="B2188" t="s">
        <v>14510</v>
      </c>
    </row>
    <row r="2189" spans="1:2" x14ac:dyDescent="0.2">
      <c r="A2189" t="s">
        <v>15242</v>
      </c>
      <c r="B2189" t="s">
        <v>14512</v>
      </c>
    </row>
    <row r="2190" spans="1:2" x14ac:dyDescent="0.2">
      <c r="A2190" t="s">
        <v>15244</v>
      </c>
      <c r="B2190" t="s">
        <v>14516</v>
      </c>
    </row>
    <row r="2191" spans="1:2" x14ac:dyDescent="0.2">
      <c r="A2191" t="s">
        <v>15247</v>
      </c>
      <c r="B2191" t="s">
        <v>14522</v>
      </c>
    </row>
    <row r="2192" spans="1:2" x14ac:dyDescent="0.2">
      <c r="A2192" t="s">
        <v>15249</v>
      </c>
      <c r="B2192" t="s">
        <v>14524</v>
      </c>
    </row>
    <row r="2193" spans="1:2" x14ac:dyDescent="0.2">
      <c r="A2193" t="s">
        <v>15253</v>
      </c>
      <c r="B2193" t="s">
        <v>14526</v>
      </c>
    </row>
    <row r="2194" spans="1:2" x14ac:dyDescent="0.2">
      <c r="A2194" t="s">
        <v>15258</v>
      </c>
      <c r="B2194" t="s">
        <v>14535</v>
      </c>
    </row>
    <row r="2195" spans="1:2" x14ac:dyDescent="0.2">
      <c r="A2195" t="s">
        <v>15260</v>
      </c>
      <c r="B2195" t="s">
        <v>14544</v>
      </c>
    </row>
    <row r="2196" spans="1:2" x14ac:dyDescent="0.2">
      <c r="A2196" t="s">
        <v>15264</v>
      </c>
      <c r="B2196" t="s">
        <v>14546</v>
      </c>
    </row>
    <row r="2197" spans="1:2" x14ac:dyDescent="0.2">
      <c r="A2197" t="s">
        <v>15266</v>
      </c>
      <c r="B2197" t="s">
        <v>14550</v>
      </c>
    </row>
    <row r="2198" spans="1:2" x14ac:dyDescent="0.2">
      <c r="A2198" t="s">
        <v>15271</v>
      </c>
      <c r="B2198" t="s">
        <v>14557</v>
      </c>
    </row>
    <row r="2199" spans="1:2" x14ac:dyDescent="0.2">
      <c r="A2199" t="s">
        <v>15273</v>
      </c>
      <c r="B2199" t="s">
        <v>14559</v>
      </c>
    </row>
    <row r="2200" spans="1:2" x14ac:dyDescent="0.2">
      <c r="A2200" t="s">
        <v>15276</v>
      </c>
      <c r="B2200" t="s">
        <v>14579</v>
      </c>
    </row>
    <row r="2201" spans="1:2" x14ac:dyDescent="0.2">
      <c r="A2201" t="s">
        <v>15281</v>
      </c>
      <c r="B2201" t="s">
        <v>14591</v>
      </c>
    </row>
    <row r="2202" spans="1:2" x14ac:dyDescent="0.2">
      <c r="A2202" t="s">
        <v>15283</v>
      </c>
      <c r="B2202" t="s">
        <v>14593</v>
      </c>
    </row>
    <row r="2203" spans="1:2" x14ac:dyDescent="0.2">
      <c r="A2203" t="s">
        <v>15287</v>
      </c>
      <c r="B2203" t="s">
        <v>14595</v>
      </c>
    </row>
    <row r="2204" spans="1:2" x14ac:dyDescent="0.2">
      <c r="A2204" t="s">
        <v>15292</v>
      </c>
      <c r="B2204" t="s">
        <v>14598</v>
      </c>
    </row>
    <row r="2205" spans="1:2" x14ac:dyDescent="0.2">
      <c r="A2205" t="s">
        <v>15294</v>
      </c>
      <c r="B2205" t="s">
        <v>14605</v>
      </c>
    </row>
    <row r="2206" spans="1:2" x14ac:dyDescent="0.2">
      <c r="A2206" t="s">
        <v>15304</v>
      </c>
      <c r="B2206" t="s">
        <v>14607</v>
      </c>
    </row>
    <row r="2207" spans="1:2" x14ac:dyDescent="0.2">
      <c r="A2207" t="s">
        <v>15306</v>
      </c>
      <c r="B2207" t="s">
        <v>14619</v>
      </c>
    </row>
    <row r="2208" spans="1:2" x14ac:dyDescent="0.2">
      <c r="A2208" t="s">
        <v>15308</v>
      </c>
      <c r="B2208" t="s">
        <v>14621</v>
      </c>
    </row>
    <row r="2209" spans="1:2" x14ac:dyDescent="0.2">
      <c r="A2209" t="s">
        <v>15310</v>
      </c>
      <c r="B2209" t="s">
        <v>14624</v>
      </c>
    </row>
    <row r="2210" spans="1:2" x14ac:dyDescent="0.2">
      <c r="A2210" t="s">
        <v>15312</v>
      </c>
      <c r="B2210" t="s">
        <v>14641</v>
      </c>
    </row>
    <row r="2211" spans="1:2" x14ac:dyDescent="0.2">
      <c r="A2211" t="s">
        <v>15330</v>
      </c>
      <c r="B2211" t="s">
        <v>14645</v>
      </c>
    </row>
    <row r="2212" spans="1:2" x14ac:dyDescent="0.2">
      <c r="A2212" t="s">
        <v>15332</v>
      </c>
      <c r="B2212" t="s">
        <v>14647</v>
      </c>
    </row>
    <row r="2213" spans="1:2" x14ac:dyDescent="0.2">
      <c r="A2213" t="s">
        <v>15334</v>
      </c>
      <c r="B2213" t="s">
        <v>14652</v>
      </c>
    </row>
    <row r="2214" spans="1:2" x14ac:dyDescent="0.2">
      <c r="A2214" t="s">
        <v>15336</v>
      </c>
      <c r="B2214" t="s">
        <v>14658</v>
      </c>
    </row>
    <row r="2215" spans="1:2" x14ac:dyDescent="0.2">
      <c r="A2215" t="s">
        <v>15338</v>
      </c>
      <c r="B2215" t="s">
        <v>14668</v>
      </c>
    </row>
    <row r="2216" spans="1:2" x14ac:dyDescent="0.2">
      <c r="A2216" t="s">
        <v>15340</v>
      </c>
      <c r="B2216" t="s">
        <v>14672</v>
      </c>
    </row>
    <row r="2217" spans="1:2" x14ac:dyDescent="0.2">
      <c r="A2217" t="s">
        <v>15342</v>
      </c>
      <c r="B2217" t="s">
        <v>14679</v>
      </c>
    </row>
    <row r="2218" spans="1:2" x14ac:dyDescent="0.2">
      <c r="A2218" t="s">
        <v>15344</v>
      </c>
      <c r="B2218" t="s">
        <v>14685</v>
      </c>
    </row>
    <row r="2219" spans="1:2" x14ac:dyDescent="0.2">
      <c r="A2219" t="s">
        <v>15346</v>
      </c>
      <c r="B2219" t="s">
        <v>14689</v>
      </c>
    </row>
    <row r="2220" spans="1:2" x14ac:dyDescent="0.2">
      <c r="A2220" t="s">
        <v>15348</v>
      </c>
      <c r="B2220" t="s">
        <v>14691</v>
      </c>
    </row>
    <row r="2221" spans="1:2" x14ac:dyDescent="0.2">
      <c r="A2221" t="s">
        <v>15351</v>
      </c>
      <c r="B2221" t="s">
        <v>14725</v>
      </c>
    </row>
    <row r="2222" spans="1:2" x14ac:dyDescent="0.2">
      <c r="A2222" t="s">
        <v>15353</v>
      </c>
      <c r="B2222" t="s">
        <v>14727</v>
      </c>
    </row>
    <row r="2223" spans="1:2" x14ac:dyDescent="0.2">
      <c r="A2223" t="s">
        <v>15355</v>
      </c>
      <c r="B2223" t="s">
        <v>14740</v>
      </c>
    </row>
    <row r="2224" spans="1:2" x14ac:dyDescent="0.2">
      <c r="A2224" t="s">
        <v>15359</v>
      </c>
      <c r="B2224" t="s">
        <v>14742</v>
      </c>
    </row>
    <row r="2225" spans="1:2" x14ac:dyDescent="0.2">
      <c r="A2225" t="s">
        <v>15361</v>
      </c>
      <c r="B2225" t="s">
        <v>14751</v>
      </c>
    </row>
    <row r="2226" spans="1:2" x14ac:dyDescent="0.2">
      <c r="A2226" t="s">
        <v>15363</v>
      </c>
      <c r="B2226" t="s">
        <v>14753</v>
      </c>
    </row>
    <row r="2227" spans="1:2" x14ac:dyDescent="0.2">
      <c r="A2227" t="s">
        <v>15367</v>
      </c>
      <c r="B2227" t="s">
        <v>14755</v>
      </c>
    </row>
    <row r="2228" spans="1:2" x14ac:dyDescent="0.2">
      <c r="A2228" t="s">
        <v>15369</v>
      </c>
      <c r="B2228" t="s">
        <v>14757</v>
      </c>
    </row>
    <row r="2229" spans="1:2" x14ac:dyDescent="0.2">
      <c r="A2229" t="s">
        <v>15371</v>
      </c>
      <c r="B2229" t="s">
        <v>14759</v>
      </c>
    </row>
    <row r="2230" spans="1:2" x14ac:dyDescent="0.2">
      <c r="A2230" t="s">
        <v>15373</v>
      </c>
      <c r="B2230" t="s">
        <v>14784</v>
      </c>
    </row>
    <row r="2231" spans="1:2" x14ac:dyDescent="0.2">
      <c r="A2231" t="s">
        <v>15375</v>
      </c>
      <c r="B2231" t="s">
        <v>14786</v>
      </c>
    </row>
    <row r="2232" spans="1:2" x14ac:dyDescent="0.2">
      <c r="A2232" t="s">
        <v>15377</v>
      </c>
      <c r="B2232" t="s">
        <v>14788</v>
      </c>
    </row>
    <row r="2233" spans="1:2" x14ac:dyDescent="0.2">
      <c r="A2233" t="s">
        <v>15381</v>
      </c>
      <c r="B2233" t="s">
        <v>14790</v>
      </c>
    </row>
    <row r="2234" spans="1:2" x14ac:dyDescent="0.2">
      <c r="A2234" t="s">
        <v>15385</v>
      </c>
      <c r="B2234" t="s">
        <v>14799</v>
      </c>
    </row>
    <row r="2235" spans="1:2" x14ac:dyDescent="0.2">
      <c r="A2235" t="s">
        <v>15389</v>
      </c>
      <c r="B2235" t="s">
        <v>14801</v>
      </c>
    </row>
    <row r="2236" spans="1:2" x14ac:dyDescent="0.2">
      <c r="A2236" t="s">
        <v>15393</v>
      </c>
      <c r="B2236" t="s">
        <v>14806</v>
      </c>
    </row>
    <row r="2237" spans="1:2" x14ac:dyDescent="0.2">
      <c r="A2237" t="s">
        <v>15395</v>
      </c>
      <c r="B2237" t="s">
        <v>14808</v>
      </c>
    </row>
    <row r="2238" spans="1:2" x14ac:dyDescent="0.2">
      <c r="A2238" t="s">
        <v>15401</v>
      </c>
      <c r="B2238" t="s">
        <v>14810</v>
      </c>
    </row>
    <row r="2239" spans="1:2" x14ac:dyDescent="0.2">
      <c r="A2239" t="s">
        <v>15403</v>
      </c>
      <c r="B2239" t="s">
        <v>14812</v>
      </c>
    </row>
    <row r="2240" spans="1:2" x14ac:dyDescent="0.2">
      <c r="A2240" t="s">
        <v>15410</v>
      </c>
      <c r="B2240" t="s">
        <v>14814</v>
      </c>
    </row>
    <row r="2241" spans="1:2" x14ac:dyDescent="0.2">
      <c r="A2241" t="s">
        <v>15414</v>
      </c>
      <c r="B2241" t="s">
        <v>14816</v>
      </c>
    </row>
    <row r="2242" spans="1:2" x14ac:dyDescent="0.2">
      <c r="A2242" t="s">
        <v>15416</v>
      </c>
      <c r="B2242" t="s">
        <v>14818</v>
      </c>
    </row>
    <row r="2243" spans="1:2" x14ac:dyDescent="0.2">
      <c r="A2243" t="s">
        <v>15423</v>
      </c>
      <c r="B2243" t="s">
        <v>14822</v>
      </c>
    </row>
    <row r="2244" spans="1:2" x14ac:dyDescent="0.2">
      <c r="A2244" t="s">
        <v>15455</v>
      </c>
      <c r="B2244" t="s">
        <v>14824</v>
      </c>
    </row>
    <row r="2245" spans="1:2" x14ac:dyDescent="0.2">
      <c r="A2245" t="s">
        <v>15463</v>
      </c>
      <c r="B2245" t="s">
        <v>14829</v>
      </c>
    </row>
    <row r="2246" spans="1:2" x14ac:dyDescent="0.2">
      <c r="A2246" t="s">
        <v>15473</v>
      </c>
      <c r="B2246" t="s">
        <v>14843</v>
      </c>
    </row>
    <row r="2247" spans="1:2" x14ac:dyDescent="0.2">
      <c r="A2247" t="s">
        <v>15475</v>
      </c>
      <c r="B2247" t="s">
        <v>14845</v>
      </c>
    </row>
    <row r="2248" spans="1:2" x14ac:dyDescent="0.2">
      <c r="A2248" t="s">
        <v>15483</v>
      </c>
      <c r="B2248" t="s">
        <v>14847</v>
      </c>
    </row>
    <row r="2249" spans="1:2" x14ac:dyDescent="0.2">
      <c r="A2249" t="s">
        <v>15487</v>
      </c>
      <c r="B2249" t="s">
        <v>14854</v>
      </c>
    </row>
    <row r="2250" spans="1:2" x14ac:dyDescent="0.2">
      <c r="A2250" t="s">
        <v>15489</v>
      </c>
      <c r="B2250" t="s">
        <v>14856</v>
      </c>
    </row>
    <row r="2251" spans="1:2" x14ac:dyDescent="0.2">
      <c r="A2251" t="s">
        <v>15491</v>
      </c>
      <c r="B2251" t="s">
        <v>14858</v>
      </c>
    </row>
    <row r="2252" spans="1:2" x14ac:dyDescent="0.2">
      <c r="A2252" t="s">
        <v>15494</v>
      </c>
      <c r="B2252" t="s">
        <v>14860</v>
      </c>
    </row>
    <row r="2253" spans="1:2" x14ac:dyDescent="0.2">
      <c r="A2253" t="s">
        <v>15497</v>
      </c>
      <c r="B2253" t="s">
        <v>14862</v>
      </c>
    </row>
    <row r="2254" spans="1:2" x14ac:dyDescent="0.2">
      <c r="A2254" t="s">
        <v>15499</v>
      </c>
      <c r="B2254" t="s">
        <v>14864</v>
      </c>
    </row>
    <row r="2255" spans="1:2" x14ac:dyDescent="0.2">
      <c r="A2255" t="s">
        <v>15501</v>
      </c>
      <c r="B2255" t="s">
        <v>14866</v>
      </c>
    </row>
    <row r="2256" spans="1:2" x14ac:dyDescent="0.2">
      <c r="A2256" t="s">
        <v>15503</v>
      </c>
      <c r="B2256" t="s">
        <v>14871</v>
      </c>
    </row>
    <row r="2257" spans="1:2" x14ac:dyDescent="0.2">
      <c r="A2257" t="s">
        <v>15505</v>
      </c>
      <c r="B2257" t="s">
        <v>14877</v>
      </c>
    </row>
    <row r="2258" spans="1:2" x14ac:dyDescent="0.2">
      <c r="A2258" t="s">
        <v>15508</v>
      </c>
      <c r="B2258" t="s">
        <v>14881</v>
      </c>
    </row>
    <row r="2259" spans="1:2" x14ac:dyDescent="0.2">
      <c r="A2259" t="s">
        <v>15510</v>
      </c>
      <c r="B2259" t="s">
        <v>14883</v>
      </c>
    </row>
    <row r="2260" spans="1:2" x14ac:dyDescent="0.2">
      <c r="A2260" t="s">
        <v>15512</v>
      </c>
      <c r="B2260" t="s">
        <v>14885</v>
      </c>
    </row>
    <row r="2261" spans="1:2" x14ac:dyDescent="0.2">
      <c r="A2261" t="s">
        <v>15514</v>
      </c>
      <c r="B2261" t="s">
        <v>14887</v>
      </c>
    </row>
    <row r="2262" spans="1:2" x14ac:dyDescent="0.2">
      <c r="A2262" t="s">
        <v>15516</v>
      </c>
      <c r="B2262" t="s">
        <v>14889</v>
      </c>
    </row>
    <row r="2263" spans="1:2" x14ac:dyDescent="0.2">
      <c r="A2263" t="s">
        <v>15518</v>
      </c>
      <c r="B2263" t="s">
        <v>14893</v>
      </c>
    </row>
    <row r="2264" spans="1:2" x14ac:dyDescent="0.2">
      <c r="A2264" t="s">
        <v>15520</v>
      </c>
      <c r="B2264" t="s">
        <v>14899</v>
      </c>
    </row>
    <row r="2265" spans="1:2" x14ac:dyDescent="0.2">
      <c r="A2265" t="s">
        <v>15523</v>
      </c>
      <c r="B2265" t="s">
        <v>14901</v>
      </c>
    </row>
    <row r="2266" spans="1:2" x14ac:dyDescent="0.2">
      <c r="A2266" t="s">
        <v>15525</v>
      </c>
      <c r="B2266" t="s">
        <v>14903</v>
      </c>
    </row>
    <row r="2267" spans="1:2" x14ac:dyDescent="0.2">
      <c r="A2267" t="s">
        <v>15527</v>
      </c>
      <c r="B2267" t="s">
        <v>14909</v>
      </c>
    </row>
    <row r="2268" spans="1:2" x14ac:dyDescent="0.2">
      <c r="A2268" t="s">
        <v>15529</v>
      </c>
      <c r="B2268" t="s">
        <v>14911</v>
      </c>
    </row>
    <row r="2269" spans="1:2" x14ac:dyDescent="0.2">
      <c r="A2269" t="s">
        <v>15531</v>
      </c>
      <c r="B2269" t="s">
        <v>14929</v>
      </c>
    </row>
    <row r="2270" spans="1:2" x14ac:dyDescent="0.2">
      <c r="A2270" t="s">
        <v>15533</v>
      </c>
      <c r="B2270" t="s">
        <v>14945</v>
      </c>
    </row>
    <row r="2271" spans="1:2" x14ac:dyDescent="0.2">
      <c r="A2271" t="s">
        <v>15535</v>
      </c>
      <c r="B2271" t="s">
        <v>14949</v>
      </c>
    </row>
    <row r="2272" spans="1:2" x14ac:dyDescent="0.2">
      <c r="A2272" t="s">
        <v>15537</v>
      </c>
      <c r="B2272" t="s">
        <v>14962</v>
      </c>
    </row>
    <row r="2273" spans="1:2" x14ac:dyDescent="0.2">
      <c r="A2273" t="s">
        <v>15539</v>
      </c>
      <c r="B2273" t="s">
        <v>14964</v>
      </c>
    </row>
    <row r="2274" spans="1:2" x14ac:dyDescent="0.2">
      <c r="A2274" t="s">
        <v>15541</v>
      </c>
      <c r="B2274" t="s">
        <v>14966</v>
      </c>
    </row>
    <row r="2275" spans="1:2" x14ac:dyDescent="0.2">
      <c r="A2275" t="s">
        <v>15543</v>
      </c>
      <c r="B2275" t="s">
        <v>14970</v>
      </c>
    </row>
    <row r="2276" spans="1:2" x14ac:dyDescent="0.2">
      <c r="A2276" t="s">
        <v>15545</v>
      </c>
      <c r="B2276" t="s">
        <v>14989</v>
      </c>
    </row>
    <row r="2277" spans="1:2" x14ac:dyDescent="0.2">
      <c r="A2277" t="s">
        <v>15547</v>
      </c>
      <c r="B2277" t="s">
        <v>14991</v>
      </c>
    </row>
    <row r="2278" spans="1:2" x14ac:dyDescent="0.2">
      <c r="A2278" t="s">
        <v>15549</v>
      </c>
      <c r="B2278" t="s">
        <v>15000</v>
      </c>
    </row>
    <row r="2279" spans="1:2" x14ac:dyDescent="0.2">
      <c r="A2279" t="s">
        <v>15551</v>
      </c>
      <c r="B2279" t="s">
        <v>15002</v>
      </c>
    </row>
    <row r="2280" spans="1:2" x14ac:dyDescent="0.2">
      <c r="A2280" t="s">
        <v>15553</v>
      </c>
      <c r="B2280" t="s">
        <v>15004</v>
      </c>
    </row>
    <row r="2281" spans="1:2" x14ac:dyDescent="0.2">
      <c r="A2281" t="s">
        <v>15555</v>
      </c>
      <c r="B2281" t="s">
        <v>15015</v>
      </c>
    </row>
    <row r="2282" spans="1:2" x14ac:dyDescent="0.2">
      <c r="A2282" t="s">
        <v>15557</v>
      </c>
      <c r="B2282" t="s">
        <v>15017</v>
      </c>
    </row>
    <row r="2283" spans="1:2" x14ac:dyDescent="0.2">
      <c r="A2283" t="s">
        <v>15559</v>
      </c>
      <c r="B2283" t="s">
        <v>15021</v>
      </c>
    </row>
    <row r="2284" spans="1:2" x14ac:dyDescent="0.2">
      <c r="A2284" t="s">
        <v>15561</v>
      </c>
      <c r="B2284" t="s">
        <v>15028</v>
      </c>
    </row>
    <row r="2285" spans="1:2" x14ac:dyDescent="0.2">
      <c r="A2285" t="s">
        <v>15563</v>
      </c>
      <c r="B2285" t="s">
        <v>15033</v>
      </c>
    </row>
    <row r="2286" spans="1:2" x14ac:dyDescent="0.2">
      <c r="A2286" t="s">
        <v>15565</v>
      </c>
      <c r="B2286" t="s">
        <v>15035</v>
      </c>
    </row>
    <row r="2287" spans="1:2" x14ac:dyDescent="0.2">
      <c r="A2287" t="s">
        <v>15567</v>
      </c>
      <c r="B2287" t="s">
        <v>15041</v>
      </c>
    </row>
    <row r="2288" spans="1:2" x14ac:dyDescent="0.2">
      <c r="A2288" t="s">
        <v>15570</v>
      </c>
      <c r="B2288" t="s">
        <v>15044</v>
      </c>
    </row>
    <row r="2289" spans="1:2" x14ac:dyDescent="0.2">
      <c r="A2289" t="s">
        <v>15572</v>
      </c>
      <c r="B2289" t="s">
        <v>15046</v>
      </c>
    </row>
    <row r="2290" spans="1:2" x14ac:dyDescent="0.2">
      <c r="A2290" t="s">
        <v>15574</v>
      </c>
      <c r="B2290" t="s">
        <v>15056</v>
      </c>
    </row>
    <row r="2291" spans="1:2" x14ac:dyDescent="0.2">
      <c r="A2291" t="s">
        <v>15576</v>
      </c>
      <c r="B2291" t="s">
        <v>15058</v>
      </c>
    </row>
    <row r="2292" spans="1:2" x14ac:dyDescent="0.2">
      <c r="A2292" t="s">
        <v>15578</v>
      </c>
      <c r="B2292" t="s">
        <v>15062</v>
      </c>
    </row>
    <row r="2293" spans="1:2" x14ac:dyDescent="0.2">
      <c r="A2293" t="s">
        <v>15580</v>
      </c>
      <c r="B2293" t="s">
        <v>15078</v>
      </c>
    </row>
    <row r="2294" spans="1:2" x14ac:dyDescent="0.2">
      <c r="A2294" t="s">
        <v>15582</v>
      </c>
      <c r="B2294" t="s">
        <v>15086</v>
      </c>
    </row>
    <row r="2295" spans="1:2" x14ac:dyDescent="0.2">
      <c r="A2295" t="s">
        <v>15584</v>
      </c>
      <c r="B2295" t="s">
        <v>15092</v>
      </c>
    </row>
    <row r="2296" spans="1:2" x14ac:dyDescent="0.2">
      <c r="A2296" t="s">
        <v>15587</v>
      </c>
      <c r="B2296" t="s">
        <v>15105</v>
      </c>
    </row>
    <row r="2297" spans="1:2" x14ac:dyDescent="0.2">
      <c r="A2297" t="s">
        <v>15589</v>
      </c>
      <c r="B2297" t="s">
        <v>15107</v>
      </c>
    </row>
    <row r="2298" spans="1:2" x14ac:dyDescent="0.2">
      <c r="A2298" t="s">
        <v>15591</v>
      </c>
      <c r="B2298" t="s">
        <v>15115</v>
      </c>
    </row>
    <row r="2299" spans="1:2" x14ac:dyDescent="0.2">
      <c r="A2299" t="s">
        <v>15595</v>
      </c>
      <c r="B2299" t="s">
        <v>15119</v>
      </c>
    </row>
    <row r="2300" spans="1:2" x14ac:dyDescent="0.2">
      <c r="A2300" t="s">
        <v>15597</v>
      </c>
      <c r="B2300" t="s">
        <v>15121</v>
      </c>
    </row>
    <row r="2301" spans="1:2" x14ac:dyDescent="0.2">
      <c r="A2301" t="s">
        <v>15600</v>
      </c>
      <c r="B2301" t="s">
        <v>15132</v>
      </c>
    </row>
    <row r="2302" spans="1:2" x14ac:dyDescent="0.2">
      <c r="A2302" t="s">
        <v>15604</v>
      </c>
      <c r="B2302" t="s">
        <v>15137</v>
      </c>
    </row>
    <row r="2303" spans="1:2" x14ac:dyDescent="0.2">
      <c r="A2303" t="s">
        <v>15606</v>
      </c>
      <c r="B2303" t="s">
        <v>15143</v>
      </c>
    </row>
    <row r="2304" spans="1:2" x14ac:dyDescent="0.2">
      <c r="A2304" t="s">
        <v>15608</v>
      </c>
      <c r="B2304" t="s">
        <v>15156</v>
      </c>
    </row>
    <row r="2305" spans="1:2" x14ac:dyDescent="0.2">
      <c r="A2305" t="s">
        <v>15610</v>
      </c>
      <c r="B2305" t="s">
        <v>15158</v>
      </c>
    </row>
    <row r="2306" spans="1:2" x14ac:dyDescent="0.2">
      <c r="A2306" t="s">
        <v>15617</v>
      </c>
      <c r="B2306" t="s">
        <v>15165</v>
      </c>
    </row>
    <row r="2307" spans="1:2" x14ac:dyDescent="0.2">
      <c r="A2307" t="s">
        <v>15619</v>
      </c>
      <c r="B2307" t="s">
        <v>15167</v>
      </c>
    </row>
    <row r="2308" spans="1:2" x14ac:dyDescent="0.2">
      <c r="A2308" t="s">
        <v>15623</v>
      </c>
      <c r="B2308" t="s">
        <v>15169</v>
      </c>
    </row>
    <row r="2309" spans="1:2" x14ac:dyDescent="0.2">
      <c r="A2309" t="s">
        <v>15627</v>
      </c>
      <c r="B2309" t="s">
        <v>15185</v>
      </c>
    </row>
    <row r="2310" spans="1:2" x14ac:dyDescent="0.2">
      <c r="A2310" t="s">
        <v>15629</v>
      </c>
      <c r="B2310" t="s">
        <v>15191</v>
      </c>
    </row>
    <row r="2311" spans="1:2" x14ac:dyDescent="0.2">
      <c r="A2311" t="s">
        <v>15635</v>
      </c>
      <c r="B2311" t="s">
        <v>15214</v>
      </c>
    </row>
    <row r="2312" spans="1:2" x14ac:dyDescent="0.2">
      <c r="A2312" t="s">
        <v>15646</v>
      </c>
      <c r="B2312" t="s">
        <v>15219</v>
      </c>
    </row>
    <row r="2313" spans="1:2" x14ac:dyDescent="0.2">
      <c r="A2313" t="s">
        <v>15649</v>
      </c>
      <c r="B2313" t="s">
        <v>15229</v>
      </c>
    </row>
    <row r="2314" spans="1:2" x14ac:dyDescent="0.2">
      <c r="A2314" t="s">
        <v>15659</v>
      </c>
      <c r="B2314" t="s">
        <v>15238</v>
      </c>
    </row>
    <row r="2315" spans="1:2" x14ac:dyDescent="0.2">
      <c r="A2315" t="s">
        <v>15667</v>
      </c>
      <c r="B2315" t="s">
        <v>15240</v>
      </c>
    </row>
    <row r="2316" spans="1:2" x14ac:dyDescent="0.2">
      <c r="A2316" t="s">
        <v>15669</v>
      </c>
      <c r="B2316" t="s">
        <v>15242</v>
      </c>
    </row>
    <row r="2317" spans="1:2" x14ac:dyDescent="0.2">
      <c r="A2317" t="s">
        <v>15671</v>
      </c>
      <c r="B2317" t="s">
        <v>15247</v>
      </c>
    </row>
    <row r="2318" spans="1:2" x14ac:dyDescent="0.2">
      <c r="A2318" t="s">
        <v>15680</v>
      </c>
      <c r="B2318" t="s">
        <v>15251</v>
      </c>
    </row>
    <row r="2319" spans="1:2" x14ac:dyDescent="0.2">
      <c r="A2319" t="s">
        <v>15683</v>
      </c>
      <c r="B2319" t="s">
        <v>15268</v>
      </c>
    </row>
    <row r="2320" spans="1:2" x14ac:dyDescent="0.2">
      <c r="A2320" t="s">
        <v>15689</v>
      </c>
      <c r="B2320" t="s">
        <v>15271</v>
      </c>
    </row>
    <row r="2321" spans="1:2" x14ac:dyDescent="0.2">
      <c r="A2321" t="s">
        <v>15697</v>
      </c>
      <c r="B2321" t="s">
        <v>15276</v>
      </c>
    </row>
    <row r="2322" spans="1:2" x14ac:dyDescent="0.2">
      <c r="A2322" t="s">
        <v>15700</v>
      </c>
      <c r="B2322" t="s">
        <v>15283</v>
      </c>
    </row>
    <row r="2323" spans="1:2" x14ac:dyDescent="0.2">
      <c r="A2323" t="s">
        <v>15702</v>
      </c>
      <c r="B2323" t="s">
        <v>15292</v>
      </c>
    </row>
    <row r="2324" spans="1:2" x14ac:dyDescent="0.2">
      <c r="A2324" t="s">
        <v>15704</v>
      </c>
      <c r="B2324" t="s">
        <v>15296</v>
      </c>
    </row>
    <row r="2325" spans="1:2" x14ac:dyDescent="0.2">
      <c r="A2325" t="s">
        <v>15706</v>
      </c>
      <c r="B2325" t="s">
        <v>15298</v>
      </c>
    </row>
    <row r="2326" spans="1:2" x14ac:dyDescent="0.2">
      <c r="A2326" t="s">
        <v>15708</v>
      </c>
      <c r="B2326" t="s">
        <v>15304</v>
      </c>
    </row>
    <row r="2327" spans="1:2" x14ac:dyDescent="0.2">
      <c r="A2327" t="s">
        <v>15714</v>
      </c>
      <c r="B2327" t="s">
        <v>15310</v>
      </c>
    </row>
    <row r="2328" spans="1:2" x14ac:dyDescent="0.2">
      <c r="A2328" t="s">
        <v>15718</v>
      </c>
      <c r="B2328" t="s">
        <v>15312</v>
      </c>
    </row>
    <row r="2329" spans="1:2" x14ac:dyDescent="0.2">
      <c r="A2329" t="s">
        <v>15724</v>
      </c>
      <c r="B2329" t="s">
        <v>15315</v>
      </c>
    </row>
    <row r="2330" spans="1:2" x14ac:dyDescent="0.2">
      <c r="A2330" t="s">
        <v>15726</v>
      </c>
      <c r="B2330" t="s">
        <v>15317</v>
      </c>
    </row>
    <row r="2331" spans="1:2" x14ac:dyDescent="0.2">
      <c r="A2331" t="s">
        <v>15728</v>
      </c>
      <c r="B2331" t="s">
        <v>15319</v>
      </c>
    </row>
    <row r="2332" spans="1:2" x14ac:dyDescent="0.2">
      <c r="A2332" t="s">
        <v>15733</v>
      </c>
      <c r="B2332" t="s">
        <v>15326</v>
      </c>
    </row>
    <row r="2333" spans="1:2" x14ac:dyDescent="0.2">
      <c r="A2333" t="s">
        <v>15735</v>
      </c>
      <c r="B2333" t="s">
        <v>15328</v>
      </c>
    </row>
    <row r="2334" spans="1:2" x14ac:dyDescent="0.2">
      <c r="A2334" t="s">
        <v>15737</v>
      </c>
      <c r="B2334" t="s">
        <v>15336</v>
      </c>
    </row>
    <row r="2335" spans="1:2" x14ac:dyDescent="0.2">
      <c r="A2335" t="s">
        <v>15739</v>
      </c>
      <c r="B2335" t="s">
        <v>15363</v>
      </c>
    </row>
    <row r="2336" spans="1:2" x14ac:dyDescent="0.2">
      <c r="A2336" t="s">
        <v>15746</v>
      </c>
      <c r="B2336" t="s">
        <v>15365</v>
      </c>
    </row>
    <row r="2337" spans="1:2" x14ac:dyDescent="0.2">
      <c r="A2337" t="s">
        <v>15748</v>
      </c>
      <c r="B2337" t="s">
        <v>15367</v>
      </c>
    </row>
    <row r="2338" spans="1:2" x14ac:dyDescent="0.2">
      <c r="A2338" t="s">
        <v>15755</v>
      </c>
      <c r="B2338" t="s">
        <v>15369</v>
      </c>
    </row>
    <row r="2339" spans="1:2" x14ac:dyDescent="0.2">
      <c r="A2339" t="s">
        <v>15758</v>
      </c>
      <c r="B2339" t="s">
        <v>15371</v>
      </c>
    </row>
    <row r="2340" spans="1:2" x14ac:dyDescent="0.2">
      <c r="A2340" t="s">
        <v>15764</v>
      </c>
      <c r="B2340" t="s">
        <v>15377</v>
      </c>
    </row>
    <row r="2341" spans="1:2" x14ac:dyDescent="0.2">
      <c r="A2341" t="s">
        <v>15769</v>
      </c>
      <c r="B2341" t="s">
        <v>15383</v>
      </c>
    </row>
    <row r="2342" spans="1:2" x14ac:dyDescent="0.2">
      <c r="A2342" t="s">
        <v>15771</v>
      </c>
      <c r="B2342" t="s">
        <v>15387</v>
      </c>
    </row>
    <row r="2343" spans="1:2" x14ac:dyDescent="0.2">
      <c r="A2343" t="s">
        <v>15773</v>
      </c>
      <c r="B2343" t="s">
        <v>15389</v>
      </c>
    </row>
    <row r="2344" spans="1:2" x14ac:dyDescent="0.2">
      <c r="A2344" t="s">
        <v>15777</v>
      </c>
      <c r="B2344" t="s">
        <v>15397</v>
      </c>
    </row>
    <row r="2345" spans="1:2" x14ac:dyDescent="0.2">
      <c r="A2345" t="s">
        <v>15786</v>
      </c>
      <c r="B2345" t="s">
        <v>15403</v>
      </c>
    </row>
    <row r="2346" spans="1:2" x14ac:dyDescent="0.2">
      <c r="A2346" t="s">
        <v>15797</v>
      </c>
      <c r="B2346" t="s">
        <v>15408</v>
      </c>
    </row>
    <row r="2347" spans="1:2" x14ac:dyDescent="0.2">
      <c r="A2347" t="s">
        <v>15799</v>
      </c>
      <c r="B2347" t="s">
        <v>15410</v>
      </c>
    </row>
    <row r="2348" spans="1:2" x14ac:dyDescent="0.2">
      <c r="A2348" t="s">
        <v>15801</v>
      </c>
      <c r="B2348" t="s">
        <v>15412</v>
      </c>
    </row>
    <row r="2349" spans="1:2" x14ac:dyDescent="0.2">
      <c r="A2349" t="s">
        <v>15814</v>
      </c>
      <c r="B2349" t="s">
        <v>15420</v>
      </c>
    </row>
    <row r="2350" spans="1:2" x14ac:dyDescent="0.2">
      <c r="A2350" t="s">
        <v>15816</v>
      </c>
      <c r="B2350" t="s">
        <v>15423</v>
      </c>
    </row>
    <row r="2351" spans="1:2" x14ac:dyDescent="0.2">
      <c r="A2351" t="s">
        <v>15818</v>
      </c>
      <c r="B2351" t="s">
        <v>15426</v>
      </c>
    </row>
    <row r="2352" spans="1:2" x14ac:dyDescent="0.2">
      <c r="A2352" t="s">
        <v>15826</v>
      </c>
      <c r="B2352" t="s">
        <v>15429</v>
      </c>
    </row>
    <row r="2353" spans="1:2" x14ac:dyDescent="0.2">
      <c r="A2353" t="s">
        <v>15832</v>
      </c>
      <c r="B2353" t="s">
        <v>15431</v>
      </c>
    </row>
    <row r="2354" spans="1:2" x14ac:dyDescent="0.2">
      <c r="A2354" t="s">
        <v>15834</v>
      </c>
      <c r="B2354" t="s">
        <v>15441</v>
      </c>
    </row>
    <row r="2355" spans="1:2" x14ac:dyDescent="0.2">
      <c r="A2355" t="s">
        <v>15836</v>
      </c>
      <c r="B2355" t="s">
        <v>15449</v>
      </c>
    </row>
    <row r="2356" spans="1:2" x14ac:dyDescent="0.2">
      <c r="A2356" t="s">
        <v>15838</v>
      </c>
      <c r="B2356" t="s">
        <v>15453</v>
      </c>
    </row>
    <row r="2357" spans="1:2" x14ac:dyDescent="0.2">
      <c r="A2357" t="s">
        <v>15840</v>
      </c>
      <c r="B2357" t="s">
        <v>15455</v>
      </c>
    </row>
    <row r="2358" spans="1:2" x14ac:dyDescent="0.2">
      <c r="A2358" t="s">
        <v>15844</v>
      </c>
      <c r="B2358" t="s">
        <v>15459</v>
      </c>
    </row>
    <row r="2359" spans="1:2" x14ac:dyDescent="0.2">
      <c r="A2359" t="s">
        <v>15848</v>
      </c>
      <c r="B2359" t="s">
        <v>15461</v>
      </c>
    </row>
    <row r="2360" spans="1:2" x14ac:dyDescent="0.2">
      <c r="A2360" t="s">
        <v>15852</v>
      </c>
      <c r="B2360" t="s">
        <v>15463</v>
      </c>
    </row>
    <row r="2361" spans="1:2" x14ac:dyDescent="0.2">
      <c r="A2361" t="s">
        <v>15854</v>
      </c>
      <c r="B2361" t="s">
        <v>15465</v>
      </c>
    </row>
    <row r="2362" spans="1:2" x14ac:dyDescent="0.2">
      <c r="A2362" t="s">
        <v>15856</v>
      </c>
      <c r="B2362" t="s">
        <v>15479</v>
      </c>
    </row>
    <row r="2363" spans="1:2" x14ac:dyDescent="0.2">
      <c r="A2363" t="s">
        <v>15860</v>
      </c>
      <c r="B2363" t="s">
        <v>15485</v>
      </c>
    </row>
    <row r="2364" spans="1:2" x14ac:dyDescent="0.2">
      <c r="A2364" t="s">
        <v>15862</v>
      </c>
      <c r="B2364" t="s">
        <v>15491</v>
      </c>
    </row>
    <row r="2365" spans="1:2" x14ac:dyDescent="0.2">
      <c r="A2365" t="s">
        <v>15864</v>
      </c>
      <c r="B2365" t="s">
        <v>15557</v>
      </c>
    </row>
    <row r="2366" spans="1:2" x14ac:dyDescent="0.2">
      <c r="A2366" t="s">
        <v>15866</v>
      </c>
      <c r="B2366" t="s">
        <v>15567</v>
      </c>
    </row>
    <row r="2367" spans="1:2" x14ac:dyDescent="0.2">
      <c r="A2367" t="s">
        <v>15872</v>
      </c>
      <c r="B2367" t="s">
        <v>15591</v>
      </c>
    </row>
    <row r="2368" spans="1:2" x14ac:dyDescent="0.2">
      <c r="A2368" t="s">
        <v>15876</v>
      </c>
      <c r="B2368" t="s">
        <v>15600</v>
      </c>
    </row>
    <row r="2369" spans="1:2" x14ac:dyDescent="0.2">
      <c r="A2369" t="s">
        <v>15878</v>
      </c>
      <c r="B2369" t="s">
        <v>15608</v>
      </c>
    </row>
    <row r="2370" spans="1:2" x14ac:dyDescent="0.2">
      <c r="A2370" t="s">
        <v>15880</v>
      </c>
      <c r="B2370" t="s">
        <v>15610</v>
      </c>
    </row>
    <row r="2371" spans="1:2" x14ac:dyDescent="0.2">
      <c r="A2371" t="s">
        <v>15884</v>
      </c>
      <c r="B2371" t="s">
        <v>15617</v>
      </c>
    </row>
    <row r="2372" spans="1:2" x14ac:dyDescent="0.2">
      <c r="A2372" t="s">
        <v>15886</v>
      </c>
      <c r="B2372" t="s">
        <v>15619</v>
      </c>
    </row>
    <row r="2373" spans="1:2" x14ac:dyDescent="0.2">
      <c r="A2373" t="s">
        <v>15890</v>
      </c>
      <c r="B2373" t="s">
        <v>15621</v>
      </c>
    </row>
    <row r="2374" spans="1:2" x14ac:dyDescent="0.2">
      <c r="A2374" t="s">
        <v>15894</v>
      </c>
      <c r="B2374" t="s">
        <v>15623</v>
      </c>
    </row>
    <row r="2375" spans="1:2" x14ac:dyDescent="0.2">
      <c r="A2375" t="s">
        <v>15898</v>
      </c>
      <c r="B2375" t="s">
        <v>15627</v>
      </c>
    </row>
    <row r="2376" spans="1:2" x14ac:dyDescent="0.2">
      <c r="A2376" t="s">
        <v>15903</v>
      </c>
      <c r="B2376" t="s">
        <v>15635</v>
      </c>
    </row>
    <row r="2377" spans="1:2" x14ac:dyDescent="0.2">
      <c r="A2377" t="s">
        <v>15905</v>
      </c>
      <c r="B2377" t="s">
        <v>15637</v>
      </c>
    </row>
    <row r="2378" spans="1:2" x14ac:dyDescent="0.2">
      <c r="A2378" t="s">
        <v>15907</v>
      </c>
      <c r="B2378" t="s">
        <v>15642</v>
      </c>
    </row>
    <row r="2379" spans="1:2" x14ac:dyDescent="0.2">
      <c r="A2379" t="s">
        <v>15910</v>
      </c>
      <c r="B2379" t="s">
        <v>15651</v>
      </c>
    </row>
    <row r="2380" spans="1:2" x14ac:dyDescent="0.2">
      <c r="A2380" t="s">
        <v>15913</v>
      </c>
      <c r="B2380" t="s">
        <v>15655</v>
      </c>
    </row>
    <row r="2381" spans="1:2" x14ac:dyDescent="0.2">
      <c r="A2381" t="s">
        <v>15915</v>
      </c>
      <c r="B2381" t="s">
        <v>15659</v>
      </c>
    </row>
    <row r="2382" spans="1:2" x14ac:dyDescent="0.2">
      <c r="A2382" t="s">
        <v>15922</v>
      </c>
      <c r="B2382" t="s">
        <v>15663</v>
      </c>
    </row>
    <row r="2383" spans="1:2" x14ac:dyDescent="0.2">
      <c r="A2383" t="s">
        <v>15924</v>
      </c>
      <c r="B2383" t="s">
        <v>15665</v>
      </c>
    </row>
    <row r="2384" spans="1:2" x14ac:dyDescent="0.2">
      <c r="A2384" t="s">
        <v>15927</v>
      </c>
      <c r="B2384" t="s">
        <v>15667</v>
      </c>
    </row>
    <row r="2385" spans="1:2" x14ac:dyDescent="0.2">
      <c r="A2385" t="s">
        <v>15932</v>
      </c>
      <c r="B2385" t="s">
        <v>15669</v>
      </c>
    </row>
    <row r="2386" spans="1:2" x14ac:dyDescent="0.2">
      <c r="B2386" t="s">
        <v>15677</v>
      </c>
    </row>
    <row r="2387" spans="1:2" x14ac:dyDescent="0.2">
      <c r="B2387" t="s">
        <v>15683</v>
      </c>
    </row>
    <row r="2388" spans="1:2" x14ac:dyDescent="0.2">
      <c r="B2388" t="s">
        <v>15685</v>
      </c>
    </row>
    <row r="2389" spans="1:2" x14ac:dyDescent="0.2">
      <c r="B2389" t="s">
        <v>15689</v>
      </c>
    </row>
    <row r="2390" spans="1:2" x14ac:dyDescent="0.2">
      <c r="B2390" t="s">
        <v>15697</v>
      </c>
    </row>
    <row r="2391" spans="1:2" x14ac:dyDescent="0.2">
      <c r="B2391" t="s">
        <v>15702</v>
      </c>
    </row>
    <row r="2392" spans="1:2" x14ac:dyDescent="0.2">
      <c r="B2392" t="s">
        <v>15704</v>
      </c>
    </row>
    <row r="2393" spans="1:2" x14ac:dyDescent="0.2">
      <c r="B2393" t="s">
        <v>15706</v>
      </c>
    </row>
    <row r="2394" spans="1:2" x14ac:dyDescent="0.2">
      <c r="B2394" t="s">
        <v>15708</v>
      </c>
    </row>
    <row r="2395" spans="1:2" x14ac:dyDescent="0.2">
      <c r="B2395" t="s">
        <v>15710</v>
      </c>
    </row>
    <row r="2396" spans="1:2" x14ac:dyDescent="0.2">
      <c r="B2396" t="s">
        <v>15714</v>
      </c>
    </row>
    <row r="2397" spans="1:2" x14ac:dyDescent="0.2">
      <c r="B2397" t="s">
        <v>15728</v>
      </c>
    </row>
    <row r="2398" spans="1:2" x14ac:dyDescent="0.2">
      <c r="B2398" t="s">
        <v>15730</v>
      </c>
    </row>
    <row r="2399" spans="1:2" x14ac:dyDescent="0.2">
      <c r="B2399" t="s">
        <v>15737</v>
      </c>
    </row>
    <row r="2400" spans="1:2" x14ac:dyDescent="0.2">
      <c r="B2400" t="s">
        <v>15744</v>
      </c>
    </row>
    <row r="2401" spans="2:2" x14ac:dyDescent="0.2">
      <c r="B2401" t="s">
        <v>15752</v>
      </c>
    </row>
    <row r="2402" spans="2:2" x14ac:dyDescent="0.2">
      <c r="B2402" t="s">
        <v>15758</v>
      </c>
    </row>
    <row r="2403" spans="2:2" x14ac:dyDescent="0.2">
      <c r="B2403" t="s">
        <v>15760</v>
      </c>
    </row>
    <row r="2404" spans="2:2" x14ac:dyDescent="0.2">
      <c r="B2404" t="s">
        <v>15764</v>
      </c>
    </row>
    <row r="2405" spans="2:2" x14ac:dyDescent="0.2">
      <c r="B2405" t="s">
        <v>15771</v>
      </c>
    </row>
    <row r="2406" spans="2:2" x14ac:dyDescent="0.2">
      <c r="B2406" t="s">
        <v>15773</v>
      </c>
    </row>
    <row r="2407" spans="2:2" x14ac:dyDescent="0.2">
      <c r="B2407" t="s">
        <v>15775</v>
      </c>
    </row>
    <row r="2408" spans="2:2" x14ac:dyDescent="0.2">
      <c r="B2408" t="s">
        <v>15781</v>
      </c>
    </row>
    <row r="2409" spans="2:2" x14ac:dyDescent="0.2">
      <c r="B2409" t="s">
        <v>15788</v>
      </c>
    </row>
    <row r="2410" spans="2:2" x14ac:dyDescent="0.2">
      <c r="B2410" t="s">
        <v>15790</v>
      </c>
    </row>
    <row r="2411" spans="2:2" x14ac:dyDescent="0.2">
      <c r="B2411" t="s">
        <v>15795</v>
      </c>
    </row>
    <row r="2412" spans="2:2" x14ac:dyDescent="0.2">
      <c r="B2412" t="s">
        <v>15797</v>
      </c>
    </row>
    <row r="2413" spans="2:2" x14ac:dyDescent="0.2">
      <c r="B2413" t="s">
        <v>15799</v>
      </c>
    </row>
    <row r="2414" spans="2:2" x14ac:dyDescent="0.2">
      <c r="B2414" t="s">
        <v>15801</v>
      </c>
    </row>
    <row r="2415" spans="2:2" x14ac:dyDescent="0.2">
      <c r="B2415" t="s">
        <v>15803</v>
      </c>
    </row>
    <row r="2416" spans="2:2" x14ac:dyDescent="0.2">
      <c r="B2416" t="s">
        <v>15805</v>
      </c>
    </row>
    <row r="2417" spans="2:2" x14ac:dyDescent="0.2">
      <c r="B2417" t="s">
        <v>15807</v>
      </c>
    </row>
    <row r="2418" spans="2:2" x14ac:dyDescent="0.2">
      <c r="B2418" t="s">
        <v>15809</v>
      </c>
    </row>
    <row r="2419" spans="2:2" x14ac:dyDescent="0.2">
      <c r="B2419" t="s">
        <v>15812</v>
      </c>
    </row>
    <row r="2420" spans="2:2" x14ac:dyDescent="0.2">
      <c r="B2420" t="s">
        <v>15816</v>
      </c>
    </row>
    <row r="2421" spans="2:2" x14ac:dyDescent="0.2">
      <c r="B2421" t="s">
        <v>15818</v>
      </c>
    </row>
    <row r="2422" spans="2:2" x14ac:dyDescent="0.2">
      <c r="B2422" t="s">
        <v>15820</v>
      </c>
    </row>
    <row r="2423" spans="2:2" x14ac:dyDescent="0.2">
      <c r="B2423" t="s">
        <v>15824</v>
      </c>
    </row>
    <row r="2424" spans="2:2" x14ac:dyDescent="0.2">
      <c r="B2424" t="s">
        <v>15826</v>
      </c>
    </row>
    <row r="2425" spans="2:2" x14ac:dyDescent="0.2">
      <c r="B2425" t="s">
        <v>15828</v>
      </c>
    </row>
    <row r="2426" spans="2:2" x14ac:dyDescent="0.2">
      <c r="B2426" t="s">
        <v>15832</v>
      </c>
    </row>
    <row r="2427" spans="2:2" x14ac:dyDescent="0.2">
      <c r="B2427" t="s">
        <v>15834</v>
      </c>
    </row>
    <row r="2428" spans="2:2" x14ac:dyDescent="0.2">
      <c r="B2428" t="s">
        <v>15838</v>
      </c>
    </row>
    <row r="2429" spans="2:2" x14ac:dyDescent="0.2">
      <c r="B2429" t="s">
        <v>15840</v>
      </c>
    </row>
    <row r="2430" spans="2:2" x14ac:dyDescent="0.2">
      <c r="B2430" t="s">
        <v>15842</v>
      </c>
    </row>
    <row r="2431" spans="2:2" x14ac:dyDescent="0.2">
      <c r="B2431" t="s">
        <v>15844</v>
      </c>
    </row>
    <row r="2432" spans="2:2" x14ac:dyDescent="0.2">
      <c r="B2432" t="s">
        <v>15846</v>
      </c>
    </row>
    <row r="2433" spans="2:2" x14ac:dyDescent="0.2">
      <c r="B2433" t="s">
        <v>15848</v>
      </c>
    </row>
    <row r="2434" spans="2:2" x14ac:dyDescent="0.2">
      <c r="B2434" t="s">
        <v>15850</v>
      </c>
    </row>
    <row r="2435" spans="2:2" x14ac:dyDescent="0.2">
      <c r="B2435" t="s">
        <v>15852</v>
      </c>
    </row>
    <row r="2436" spans="2:2" x14ac:dyDescent="0.2">
      <c r="B2436" t="s">
        <v>15858</v>
      </c>
    </row>
    <row r="2437" spans="2:2" x14ac:dyDescent="0.2">
      <c r="B2437" t="s">
        <v>15860</v>
      </c>
    </row>
    <row r="2438" spans="2:2" x14ac:dyDescent="0.2">
      <c r="B2438" t="s">
        <v>15862</v>
      </c>
    </row>
    <row r="2439" spans="2:2" x14ac:dyDescent="0.2">
      <c r="B2439" t="s">
        <v>15864</v>
      </c>
    </row>
    <row r="2440" spans="2:2" x14ac:dyDescent="0.2">
      <c r="B2440" t="s">
        <v>15866</v>
      </c>
    </row>
    <row r="2441" spans="2:2" x14ac:dyDescent="0.2">
      <c r="B2441" t="s">
        <v>15880</v>
      </c>
    </row>
    <row r="2442" spans="2:2" x14ac:dyDescent="0.2">
      <c r="B2442" t="s">
        <v>15882</v>
      </c>
    </row>
    <row r="2443" spans="2:2" x14ac:dyDescent="0.2">
      <c r="B2443" t="s">
        <v>15886</v>
      </c>
    </row>
    <row r="2444" spans="2:2" x14ac:dyDescent="0.2">
      <c r="B2444" t="s">
        <v>15888</v>
      </c>
    </row>
    <row r="2445" spans="2:2" x14ac:dyDescent="0.2">
      <c r="B2445" t="s">
        <v>15890</v>
      </c>
    </row>
    <row r="2446" spans="2:2" x14ac:dyDescent="0.2">
      <c r="B2446" t="s">
        <v>15892</v>
      </c>
    </row>
    <row r="2447" spans="2:2" x14ac:dyDescent="0.2">
      <c r="B2447" t="s">
        <v>15898</v>
      </c>
    </row>
    <row r="2448" spans="2:2" x14ac:dyDescent="0.2">
      <c r="B2448" t="s">
        <v>15915</v>
      </c>
    </row>
    <row r="2449" spans="2:2" x14ac:dyDescent="0.2">
      <c r="B2449" t="s">
        <v>15917</v>
      </c>
    </row>
    <row r="2450" spans="2:2" x14ac:dyDescent="0.2">
      <c r="B2450" t="s">
        <v>15922</v>
      </c>
    </row>
    <row r="2451" spans="2:2" x14ac:dyDescent="0.2">
      <c r="B2451" t="s">
        <v>15934</v>
      </c>
    </row>
    <row r="2452" spans="2:2" x14ac:dyDescent="0.2">
      <c r="B2452" t="s">
        <v>15936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C8D8B-FEEA-934E-AEFA-B5AFEF581834}">
  <dimension ref="A1:N63"/>
  <sheetViews>
    <sheetView tabSelected="1" workbookViewId="0">
      <selection activeCell="J30" sqref="J30"/>
    </sheetView>
  </sheetViews>
  <sheetFormatPr baseColWidth="10" defaultColWidth="11" defaultRowHeight="16" x14ac:dyDescent="0.2"/>
  <cols>
    <col min="2" max="2" width="25.33203125" customWidth="1"/>
    <col min="12" max="12" width="12.1640625" bestFit="1" customWidth="1"/>
    <col min="13" max="13" width="17.83203125" bestFit="1" customWidth="1"/>
  </cols>
  <sheetData>
    <row r="1" spans="2:11" x14ac:dyDescent="0.2">
      <c r="B1" t="s">
        <v>3276</v>
      </c>
      <c r="C1" t="s">
        <v>15942</v>
      </c>
      <c r="D1" t="s">
        <v>15943</v>
      </c>
      <c r="E1" t="s">
        <v>15944</v>
      </c>
      <c r="F1" t="s">
        <v>15945</v>
      </c>
      <c r="G1" t="s">
        <v>15946</v>
      </c>
      <c r="H1" t="s">
        <v>15947</v>
      </c>
      <c r="I1" t="s">
        <v>15948</v>
      </c>
      <c r="J1" t="s">
        <v>15949</v>
      </c>
      <c r="K1" t="s">
        <v>15950</v>
      </c>
    </row>
    <row r="2" spans="2:11" x14ac:dyDescent="0.2">
      <c r="B2" t="s">
        <v>3307</v>
      </c>
      <c r="C2">
        <v>255</v>
      </c>
      <c r="D2">
        <v>266</v>
      </c>
      <c r="E2">
        <v>778</v>
      </c>
      <c r="F2">
        <v>645</v>
      </c>
      <c r="G2">
        <v>462</v>
      </c>
      <c r="H2">
        <v>651</v>
      </c>
      <c r="I2">
        <v>1271</v>
      </c>
      <c r="J2">
        <v>600</v>
      </c>
      <c r="K2">
        <v>1004</v>
      </c>
    </row>
    <row r="3" spans="2:11" x14ac:dyDescent="0.2">
      <c r="B3" t="s">
        <v>3327</v>
      </c>
      <c r="C3">
        <v>2586</v>
      </c>
      <c r="D3">
        <v>2385</v>
      </c>
      <c r="E3">
        <v>2659</v>
      </c>
      <c r="F3">
        <v>137</v>
      </c>
      <c r="G3">
        <v>96</v>
      </c>
      <c r="H3">
        <v>1036</v>
      </c>
      <c r="I3">
        <v>1348</v>
      </c>
      <c r="J3">
        <v>735</v>
      </c>
      <c r="K3">
        <v>1915</v>
      </c>
    </row>
    <row r="4" spans="2:11" x14ac:dyDescent="0.2">
      <c r="B4" t="s">
        <v>3391</v>
      </c>
      <c r="C4">
        <v>588</v>
      </c>
      <c r="D4">
        <v>572</v>
      </c>
      <c r="E4">
        <v>1353</v>
      </c>
      <c r="F4">
        <v>2127</v>
      </c>
      <c r="G4">
        <v>1537</v>
      </c>
      <c r="H4">
        <v>683</v>
      </c>
      <c r="I4">
        <v>551</v>
      </c>
      <c r="J4">
        <v>349</v>
      </c>
      <c r="K4">
        <v>1516</v>
      </c>
    </row>
    <row r="5" spans="2:11" x14ac:dyDescent="0.2">
      <c r="B5" t="s">
        <v>3285</v>
      </c>
      <c r="C5">
        <v>13</v>
      </c>
      <c r="D5">
        <v>20</v>
      </c>
      <c r="E5">
        <v>0</v>
      </c>
      <c r="F5">
        <v>355</v>
      </c>
      <c r="G5">
        <v>252</v>
      </c>
      <c r="H5">
        <v>5</v>
      </c>
      <c r="I5">
        <v>288</v>
      </c>
      <c r="J5">
        <v>168</v>
      </c>
      <c r="K5">
        <v>18</v>
      </c>
    </row>
    <row r="6" spans="2:11" x14ac:dyDescent="0.2">
      <c r="B6" t="s">
        <v>4226</v>
      </c>
      <c r="C6">
        <v>73</v>
      </c>
      <c r="D6">
        <v>101</v>
      </c>
      <c r="E6">
        <v>3552</v>
      </c>
      <c r="F6">
        <v>196</v>
      </c>
      <c r="G6">
        <v>135</v>
      </c>
      <c r="H6">
        <v>1734</v>
      </c>
      <c r="I6">
        <v>408</v>
      </c>
      <c r="J6">
        <v>279</v>
      </c>
      <c r="K6">
        <v>4901</v>
      </c>
    </row>
    <row r="7" spans="2:11" x14ac:dyDescent="0.2">
      <c r="B7" t="s">
        <v>4022</v>
      </c>
      <c r="C7">
        <v>20</v>
      </c>
      <c r="D7">
        <v>18</v>
      </c>
      <c r="E7">
        <v>62</v>
      </c>
      <c r="F7">
        <v>18</v>
      </c>
      <c r="G7">
        <v>21</v>
      </c>
      <c r="H7">
        <v>35</v>
      </c>
      <c r="I7">
        <v>42</v>
      </c>
      <c r="J7">
        <v>26</v>
      </c>
      <c r="K7">
        <v>76</v>
      </c>
    </row>
    <row r="8" spans="2:11" x14ac:dyDescent="0.2">
      <c r="B8" t="s">
        <v>3794</v>
      </c>
      <c r="C8">
        <v>27</v>
      </c>
      <c r="D8">
        <v>38</v>
      </c>
      <c r="E8">
        <v>449</v>
      </c>
      <c r="F8">
        <v>32</v>
      </c>
      <c r="G8">
        <v>39</v>
      </c>
      <c r="H8">
        <v>306</v>
      </c>
      <c r="I8">
        <v>67</v>
      </c>
      <c r="J8">
        <v>50</v>
      </c>
      <c r="K8">
        <v>379</v>
      </c>
    </row>
    <row r="9" spans="2:11" x14ac:dyDescent="0.2">
      <c r="B9" t="s">
        <v>3296</v>
      </c>
      <c r="C9">
        <v>2975</v>
      </c>
      <c r="D9">
        <v>2985</v>
      </c>
      <c r="E9">
        <v>14278</v>
      </c>
      <c r="F9">
        <v>4860</v>
      </c>
      <c r="G9">
        <v>3286</v>
      </c>
      <c r="H9">
        <v>8509</v>
      </c>
      <c r="I9">
        <v>12271</v>
      </c>
      <c r="J9">
        <v>6181</v>
      </c>
      <c r="K9">
        <v>15011</v>
      </c>
    </row>
    <row r="10" spans="2:11" x14ac:dyDescent="0.2">
      <c r="B10" t="s">
        <v>13039</v>
      </c>
      <c r="C10">
        <v>4</v>
      </c>
      <c r="D10">
        <v>3</v>
      </c>
      <c r="E10">
        <v>36</v>
      </c>
      <c r="F10">
        <v>1</v>
      </c>
      <c r="G10">
        <v>1</v>
      </c>
      <c r="H10">
        <v>21</v>
      </c>
      <c r="I10">
        <v>3</v>
      </c>
      <c r="J10">
        <v>2</v>
      </c>
      <c r="K10">
        <v>24</v>
      </c>
    </row>
    <row r="11" spans="2:11" x14ac:dyDescent="0.2">
      <c r="B11" t="s">
        <v>6718</v>
      </c>
      <c r="C11">
        <v>6</v>
      </c>
      <c r="D11">
        <v>3</v>
      </c>
      <c r="E11">
        <v>32</v>
      </c>
      <c r="F11">
        <v>5</v>
      </c>
      <c r="G11">
        <v>6</v>
      </c>
      <c r="H11">
        <v>19</v>
      </c>
      <c r="I11">
        <v>4</v>
      </c>
      <c r="J11">
        <v>4</v>
      </c>
      <c r="K11">
        <v>50</v>
      </c>
    </row>
    <row r="12" spans="2:11" x14ac:dyDescent="0.2">
      <c r="B12" t="s">
        <v>9667</v>
      </c>
      <c r="C12">
        <v>0</v>
      </c>
      <c r="D12">
        <v>0</v>
      </c>
      <c r="E12">
        <v>0</v>
      </c>
      <c r="F12">
        <v>2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2:11" x14ac:dyDescent="0.2">
      <c r="B13" t="s">
        <v>4628</v>
      </c>
      <c r="C13">
        <v>0</v>
      </c>
      <c r="D13">
        <v>2</v>
      </c>
      <c r="E13">
        <v>0</v>
      </c>
      <c r="F13">
        <v>3</v>
      </c>
      <c r="G13">
        <v>0</v>
      </c>
      <c r="H13">
        <v>0</v>
      </c>
      <c r="I13">
        <v>3</v>
      </c>
      <c r="J13">
        <v>0</v>
      </c>
      <c r="K13">
        <v>0</v>
      </c>
    </row>
    <row r="14" spans="2:11" x14ac:dyDescent="0.2">
      <c r="B14" t="s">
        <v>8802</v>
      </c>
      <c r="C14">
        <v>0</v>
      </c>
      <c r="D14">
        <v>1</v>
      </c>
      <c r="E14">
        <v>0</v>
      </c>
      <c r="F14">
        <v>2</v>
      </c>
      <c r="G14">
        <v>1</v>
      </c>
      <c r="H14">
        <v>0</v>
      </c>
      <c r="I14">
        <v>0</v>
      </c>
      <c r="J14">
        <v>0</v>
      </c>
      <c r="K14">
        <v>0</v>
      </c>
    </row>
    <row r="15" spans="2:11" x14ac:dyDescent="0.2">
      <c r="B15" t="s">
        <v>9560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1</v>
      </c>
    </row>
    <row r="16" spans="2:11" x14ac:dyDescent="0.2">
      <c r="B16" t="s">
        <v>13092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</row>
    <row r="17" spans="2:11" x14ac:dyDescent="0.2">
      <c r="B17" t="s">
        <v>6855</v>
      </c>
      <c r="C17">
        <v>0</v>
      </c>
      <c r="D17">
        <v>2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1</v>
      </c>
    </row>
    <row r="18" spans="2:11" x14ac:dyDescent="0.2">
      <c r="B18" t="s">
        <v>6891</v>
      </c>
      <c r="C18">
        <v>1</v>
      </c>
      <c r="D18">
        <v>1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2:11" x14ac:dyDescent="0.2">
      <c r="B19" t="s">
        <v>10003</v>
      </c>
      <c r="C19">
        <v>0</v>
      </c>
      <c r="D19">
        <v>0</v>
      </c>
      <c r="E19">
        <v>0</v>
      </c>
      <c r="F19">
        <v>1</v>
      </c>
      <c r="G19">
        <v>1</v>
      </c>
      <c r="H19">
        <v>0</v>
      </c>
      <c r="I19">
        <v>0</v>
      </c>
      <c r="J19">
        <v>0</v>
      </c>
      <c r="K19">
        <v>0</v>
      </c>
    </row>
    <row r="20" spans="2:11" x14ac:dyDescent="0.2">
      <c r="B20" t="s">
        <v>4580</v>
      </c>
      <c r="C20">
        <v>2</v>
      </c>
      <c r="D20">
        <v>7</v>
      </c>
      <c r="E20">
        <v>3</v>
      </c>
      <c r="F20">
        <v>0</v>
      </c>
      <c r="G20">
        <v>0</v>
      </c>
      <c r="H20">
        <v>0</v>
      </c>
      <c r="I20">
        <v>1</v>
      </c>
      <c r="J20">
        <v>0</v>
      </c>
      <c r="K20">
        <v>1</v>
      </c>
    </row>
    <row r="21" spans="2:11" x14ac:dyDescent="0.2">
      <c r="B21" t="s">
        <v>4271</v>
      </c>
      <c r="C21">
        <v>2</v>
      </c>
      <c r="D21">
        <v>3</v>
      </c>
      <c r="E21">
        <v>3</v>
      </c>
      <c r="F21">
        <v>1</v>
      </c>
      <c r="G21">
        <v>0</v>
      </c>
      <c r="H21">
        <v>1</v>
      </c>
      <c r="I21">
        <v>0</v>
      </c>
      <c r="J21">
        <v>2</v>
      </c>
      <c r="K21">
        <v>1</v>
      </c>
    </row>
    <row r="22" spans="2:11" x14ac:dyDescent="0.2">
      <c r="B22" t="s">
        <v>5163</v>
      </c>
      <c r="C22">
        <v>1</v>
      </c>
      <c r="D22">
        <v>3</v>
      </c>
      <c r="E22">
        <v>0</v>
      </c>
      <c r="F22">
        <v>4</v>
      </c>
      <c r="G22">
        <v>2</v>
      </c>
      <c r="H22">
        <v>0</v>
      </c>
      <c r="I22">
        <v>1</v>
      </c>
      <c r="J22">
        <v>0</v>
      </c>
      <c r="K22">
        <v>1</v>
      </c>
    </row>
    <row r="23" spans="2:11" x14ac:dyDescent="0.2">
      <c r="B23" t="s">
        <v>13742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</row>
    <row r="24" spans="2:11" x14ac:dyDescent="0.2">
      <c r="B24" t="s">
        <v>8219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1</v>
      </c>
      <c r="K24">
        <v>1</v>
      </c>
    </row>
    <row r="25" spans="2:11" x14ac:dyDescent="0.2">
      <c r="B25" t="s">
        <v>6546</v>
      </c>
      <c r="C25">
        <v>3</v>
      </c>
      <c r="D25">
        <v>6</v>
      </c>
      <c r="E25">
        <v>5</v>
      </c>
      <c r="F25">
        <v>4</v>
      </c>
      <c r="G25">
        <v>2</v>
      </c>
      <c r="H25">
        <v>4</v>
      </c>
      <c r="I25">
        <v>4</v>
      </c>
      <c r="J25">
        <v>2</v>
      </c>
      <c r="K25">
        <v>4</v>
      </c>
    </row>
    <row r="26" spans="2:11" x14ac:dyDescent="0.2">
      <c r="B26" t="s">
        <v>8142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2:11" x14ac:dyDescent="0.2">
      <c r="B27" t="s">
        <v>3816</v>
      </c>
      <c r="C27">
        <v>6</v>
      </c>
      <c r="D27">
        <v>15</v>
      </c>
      <c r="E27">
        <v>3</v>
      </c>
      <c r="F27">
        <v>27</v>
      </c>
      <c r="G27">
        <v>14</v>
      </c>
      <c r="H27">
        <v>1</v>
      </c>
      <c r="I27">
        <v>0</v>
      </c>
      <c r="J27">
        <v>0</v>
      </c>
      <c r="K27">
        <v>0</v>
      </c>
    </row>
    <row r="28" spans="2:11" x14ac:dyDescent="0.2">
      <c r="B28" t="s">
        <v>3271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30" spans="2:11" x14ac:dyDescent="0.2">
      <c r="B30" t="s">
        <v>3261</v>
      </c>
      <c r="C30" t="s">
        <v>3262</v>
      </c>
      <c r="D30" t="s">
        <v>3263</v>
      </c>
      <c r="E30" t="s">
        <v>3264</v>
      </c>
      <c r="F30" t="s">
        <v>3265</v>
      </c>
      <c r="G30" t="s">
        <v>3266</v>
      </c>
      <c r="H30" t="s">
        <v>3267</v>
      </c>
      <c r="I30" t="s">
        <v>3268</v>
      </c>
      <c r="J30" t="s">
        <v>3269</v>
      </c>
      <c r="K30" t="s">
        <v>3270</v>
      </c>
    </row>
    <row r="31" spans="2:11" x14ac:dyDescent="0.2">
      <c r="B31" t="s">
        <v>29</v>
      </c>
      <c r="C31">
        <v>16991</v>
      </c>
      <c r="D31">
        <v>19617</v>
      </c>
      <c r="E31">
        <v>86893</v>
      </c>
      <c r="F31">
        <v>37651</v>
      </c>
      <c r="G31">
        <v>30664</v>
      </c>
      <c r="H31">
        <v>81322</v>
      </c>
      <c r="I31">
        <v>51453</v>
      </c>
      <c r="J31">
        <v>28191</v>
      </c>
      <c r="K31">
        <v>143043</v>
      </c>
    </row>
    <row r="33" spans="1:13" x14ac:dyDescent="0.2">
      <c r="B33" t="s">
        <v>15951</v>
      </c>
    </row>
    <row r="34" spans="1:13" x14ac:dyDescent="0.2">
      <c r="B34" s="29"/>
      <c r="C34" s="29" t="s">
        <v>3262</v>
      </c>
      <c r="D34" s="29" t="s">
        <v>3263</v>
      </c>
      <c r="E34" s="29" t="s">
        <v>3264</v>
      </c>
      <c r="F34" s="29" t="s">
        <v>3265</v>
      </c>
      <c r="G34" s="29" t="s">
        <v>3266</v>
      </c>
      <c r="H34" s="29" t="s">
        <v>3267</v>
      </c>
      <c r="I34" s="29" t="s">
        <v>3268</v>
      </c>
      <c r="J34" s="29" t="s">
        <v>3269</v>
      </c>
      <c r="K34" s="29" t="s">
        <v>3270</v>
      </c>
    </row>
    <row r="35" spans="1:13" x14ac:dyDescent="0.2">
      <c r="A35">
        <v>1</v>
      </c>
      <c r="B35" s="29" t="s">
        <v>3307</v>
      </c>
      <c r="C35" s="29">
        <f>C2/$C$31</f>
        <v>1.5007945382849743E-2</v>
      </c>
      <c r="D35" s="29">
        <f>D2/$D$31</f>
        <v>1.3559667635214354E-2</v>
      </c>
      <c r="E35" s="29">
        <f>E2/$E$31</f>
        <v>8.9535405613800877E-3</v>
      </c>
      <c r="F35" s="29">
        <f>F2/$F$31</f>
        <v>1.7131019096438341E-2</v>
      </c>
      <c r="G35" s="29">
        <f>G2/$G$31</f>
        <v>1.5066527524132534E-2</v>
      </c>
      <c r="H35" s="29">
        <f>H2/$H$31</f>
        <v>8.0052138412729651E-3</v>
      </c>
      <c r="I35" s="29">
        <f>I2/$I$31</f>
        <v>2.4702155365090472E-2</v>
      </c>
      <c r="J35" s="29">
        <f>J2/$J$31</f>
        <v>2.1283388315419816E-2</v>
      </c>
      <c r="K35" s="29">
        <f>K2/$K$31</f>
        <v>7.018868452143761E-3</v>
      </c>
    </row>
    <row r="36" spans="1:13" x14ac:dyDescent="0.2">
      <c r="A36">
        <v>2</v>
      </c>
      <c r="B36" s="29" t="s">
        <v>3327</v>
      </c>
      <c r="C36" s="29">
        <f t="shared" ref="C36:C44" si="0">C3/$C$31</f>
        <v>0.15219822258842916</v>
      </c>
      <c r="D36" s="29">
        <f t="shared" ref="D36:D44" si="1">D3/$D$31</f>
        <v>0.12157822296987307</v>
      </c>
      <c r="E36" s="29">
        <f t="shared" ref="E36:E44" si="2">E3/$E$31</f>
        <v>3.0600853923791329E-2</v>
      </c>
      <c r="F36" s="29">
        <f t="shared" ref="F36:F44" si="3">F3/$F$31</f>
        <v>3.6386815755225623E-3</v>
      </c>
      <c r="G36" s="29">
        <f t="shared" ref="G36:G44" si="4">G3/$G$31</f>
        <v>3.1307070180015655E-3</v>
      </c>
      <c r="H36" s="29">
        <f t="shared" ref="H36:H44" si="5">H3/$H$31</f>
        <v>1.2739480091488158E-2</v>
      </c>
      <c r="I36" s="29">
        <f t="shared" ref="I36:I44" si="6">I3/$I$31</f>
        <v>2.6198666744407517E-2</v>
      </c>
      <c r="J36" s="29">
        <f t="shared" ref="J36:J44" si="7">J3/$J$31</f>
        <v>2.6072150686389274E-2</v>
      </c>
      <c r="K36" s="29">
        <f t="shared" ref="K36:K44" si="8">K3/$K$31</f>
        <v>1.3387582754835958E-2</v>
      </c>
    </row>
    <row r="37" spans="1:13" x14ac:dyDescent="0.2">
      <c r="A37">
        <v>3</v>
      </c>
      <c r="B37" s="29" t="s">
        <v>3391</v>
      </c>
      <c r="C37" s="29">
        <f t="shared" si="0"/>
        <v>3.4606556412218235E-2</v>
      </c>
      <c r="D37" s="29">
        <f t="shared" si="1"/>
        <v>2.9158383035122599E-2</v>
      </c>
      <c r="E37" s="29">
        <f t="shared" si="2"/>
        <v>1.5570874523839665E-2</v>
      </c>
      <c r="F37" s="29">
        <f t="shared" si="3"/>
        <v>5.6492523438952481E-2</v>
      </c>
      <c r="G37" s="29">
        <f t="shared" si="4"/>
        <v>5.0123923819462561E-2</v>
      </c>
      <c r="H37" s="29">
        <f t="shared" si="5"/>
        <v>8.3987112958363048E-3</v>
      </c>
      <c r="I37" s="29">
        <f t="shared" si="6"/>
        <v>1.0708802207840165E-2</v>
      </c>
      <c r="J37" s="29">
        <f t="shared" si="7"/>
        <v>1.2379837536802525E-2</v>
      </c>
      <c r="K37" s="29">
        <f t="shared" si="8"/>
        <v>1.0598211726543766E-2</v>
      </c>
    </row>
    <row r="38" spans="1:13" x14ac:dyDescent="0.2">
      <c r="A38">
        <v>4</v>
      </c>
      <c r="B38" s="29" t="s">
        <v>3285</v>
      </c>
      <c r="C38" s="29">
        <f t="shared" si="0"/>
        <v>7.6511094108645751E-4</v>
      </c>
      <c r="D38" s="29">
        <f t="shared" si="1"/>
        <v>1.019523882346944E-3</v>
      </c>
      <c r="E38" s="29">
        <f t="shared" si="2"/>
        <v>0</v>
      </c>
      <c r="F38" s="29">
        <f t="shared" si="3"/>
        <v>9.4287004329234279E-3</v>
      </c>
      <c r="G38" s="29">
        <f t="shared" si="4"/>
        <v>8.2181059222541097E-3</v>
      </c>
      <c r="H38" s="29">
        <f t="shared" si="5"/>
        <v>6.1483977275522003E-5</v>
      </c>
      <c r="I38" s="29">
        <f t="shared" si="6"/>
        <v>5.5973412629001223E-3</v>
      </c>
      <c r="J38" s="29">
        <f t="shared" si="7"/>
        <v>5.9593487283175484E-3</v>
      </c>
      <c r="K38" s="29">
        <f t="shared" si="8"/>
        <v>1.2583628699062519E-4</v>
      </c>
    </row>
    <row r="39" spans="1:13" x14ac:dyDescent="0.2">
      <c r="A39">
        <v>5</v>
      </c>
      <c r="B39" s="29" t="s">
        <v>4226</v>
      </c>
      <c r="C39" s="29">
        <f t="shared" si="0"/>
        <v>4.2963922076393385E-3</v>
      </c>
      <c r="D39" s="29">
        <f t="shared" si="1"/>
        <v>5.148595605852067E-3</v>
      </c>
      <c r="E39" s="29">
        <f t="shared" si="2"/>
        <v>4.0877861277663331E-2</v>
      </c>
      <c r="F39" s="29">
        <f t="shared" si="3"/>
        <v>5.2057050277549066E-3</v>
      </c>
      <c r="G39" s="29">
        <f t="shared" si="4"/>
        <v>4.4025567440647015E-3</v>
      </c>
      <c r="H39" s="29">
        <f t="shared" si="5"/>
        <v>2.1322643319151031E-2</v>
      </c>
      <c r="I39" s="29">
        <f t="shared" si="6"/>
        <v>7.9295667891085067E-3</v>
      </c>
      <c r="J39" s="29">
        <f t="shared" si="7"/>
        <v>9.8967755666702142E-3</v>
      </c>
      <c r="K39" s="29">
        <f t="shared" si="8"/>
        <v>3.4262424585614119E-2</v>
      </c>
    </row>
    <row r="40" spans="1:13" x14ac:dyDescent="0.2">
      <c r="A40">
        <v>6</v>
      </c>
      <c r="B40" s="29" t="s">
        <v>4022</v>
      </c>
      <c r="C40" s="29">
        <f t="shared" si="0"/>
        <v>1.1770937555176269E-3</v>
      </c>
      <c r="D40" s="29">
        <f t="shared" si="1"/>
        <v>9.1757149411224954E-4</v>
      </c>
      <c r="E40" s="29">
        <f t="shared" si="2"/>
        <v>7.1352122725651087E-4</v>
      </c>
      <c r="F40" s="29">
        <f t="shared" si="3"/>
        <v>4.7807495152851184E-4</v>
      </c>
      <c r="G40" s="29">
        <f t="shared" si="4"/>
        <v>6.8484216018784244E-4</v>
      </c>
      <c r="H40" s="29">
        <f t="shared" si="5"/>
        <v>4.3038784092865398E-4</v>
      </c>
      <c r="I40" s="29">
        <f t="shared" si="6"/>
        <v>8.1627893417293457E-4</v>
      </c>
      <c r="J40" s="29">
        <f t="shared" si="7"/>
        <v>9.222801603348586E-4</v>
      </c>
      <c r="K40" s="29">
        <f t="shared" si="8"/>
        <v>5.3130876729375086E-4</v>
      </c>
    </row>
    <row r="41" spans="1:13" x14ac:dyDescent="0.2">
      <c r="A41">
        <v>7</v>
      </c>
      <c r="B41" s="29" t="s">
        <v>3794</v>
      </c>
      <c r="C41" s="29">
        <f t="shared" si="0"/>
        <v>1.5890765699487965E-3</v>
      </c>
      <c r="D41" s="29">
        <f t="shared" si="1"/>
        <v>1.9370953764591935E-3</v>
      </c>
      <c r="E41" s="29">
        <f t="shared" si="2"/>
        <v>5.1672746941640868E-3</v>
      </c>
      <c r="F41" s="29">
        <f t="shared" si="3"/>
        <v>8.4991102493957662E-4</v>
      </c>
      <c r="G41" s="29">
        <f t="shared" si="4"/>
        <v>1.2718497260631359E-3</v>
      </c>
      <c r="H41" s="29">
        <f t="shared" si="5"/>
        <v>3.7628194092619465E-3</v>
      </c>
      <c r="I41" s="29">
        <f t="shared" si="6"/>
        <v>1.3021592521330146E-3</v>
      </c>
      <c r="J41" s="29">
        <f t="shared" si="7"/>
        <v>1.7736156929516512E-3</v>
      </c>
      <c r="K41" s="29">
        <f t="shared" si="8"/>
        <v>2.6495529316359415E-3</v>
      </c>
    </row>
    <row r="42" spans="1:13" x14ac:dyDescent="0.2">
      <c r="A42">
        <v>8</v>
      </c>
      <c r="B42" s="29" t="s">
        <v>3296</v>
      </c>
      <c r="C42" s="29">
        <f t="shared" si="0"/>
        <v>0.17509269613324702</v>
      </c>
      <c r="D42" s="29">
        <f t="shared" si="1"/>
        <v>0.15216393944028139</v>
      </c>
      <c r="E42" s="29">
        <f t="shared" si="2"/>
        <v>0.1643170335930397</v>
      </c>
      <c r="F42" s="29">
        <f t="shared" si="3"/>
        <v>0.12908023691269821</v>
      </c>
      <c r="G42" s="29">
        <f t="shared" si="4"/>
        <v>0.10716149230367858</v>
      </c>
      <c r="H42" s="29">
        <f t="shared" si="5"/>
        <v>0.10463343252748333</v>
      </c>
      <c r="I42" s="29">
        <f t="shared" si="6"/>
        <v>0.23848949526752569</v>
      </c>
      <c r="J42" s="29">
        <f t="shared" si="7"/>
        <v>0.21925437196268313</v>
      </c>
      <c r="K42" s="29">
        <f t="shared" si="8"/>
        <v>0.1049404724453486</v>
      </c>
    </row>
    <row r="43" spans="1:13" x14ac:dyDescent="0.2">
      <c r="A43">
        <v>9</v>
      </c>
      <c r="B43" s="29" t="s">
        <v>13039</v>
      </c>
      <c r="C43" s="29">
        <f t="shared" si="0"/>
        <v>2.3541875110352539E-4</v>
      </c>
      <c r="D43" s="29">
        <f t="shared" si="1"/>
        <v>1.529285823520416E-4</v>
      </c>
      <c r="E43" s="29">
        <f t="shared" si="2"/>
        <v>4.1430264808442566E-4</v>
      </c>
      <c r="F43" s="29">
        <f t="shared" si="3"/>
        <v>2.6559719529361769E-5</v>
      </c>
      <c r="G43" s="29">
        <f t="shared" si="4"/>
        <v>3.2611531437516305E-5</v>
      </c>
      <c r="H43" s="29">
        <f t="shared" si="5"/>
        <v>2.5823270455719238E-4</v>
      </c>
      <c r="I43" s="29">
        <f t="shared" si="6"/>
        <v>5.8305638155209609E-5</v>
      </c>
      <c r="J43" s="29">
        <f t="shared" si="7"/>
        <v>7.0944627718066047E-5</v>
      </c>
      <c r="K43" s="29">
        <f t="shared" si="8"/>
        <v>1.6778171598750026E-4</v>
      </c>
    </row>
    <row r="44" spans="1:13" x14ac:dyDescent="0.2">
      <c r="A44">
        <v>10</v>
      </c>
      <c r="B44" s="29" t="s">
        <v>6718</v>
      </c>
      <c r="C44" s="29">
        <f t="shared" si="0"/>
        <v>3.5312812665528812E-4</v>
      </c>
      <c r="D44" s="29">
        <f t="shared" si="1"/>
        <v>1.529285823520416E-4</v>
      </c>
      <c r="E44" s="29">
        <f t="shared" si="2"/>
        <v>3.6826902051948949E-4</v>
      </c>
      <c r="F44" s="29">
        <f t="shared" si="3"/>
        <v>1.3279859764680886E-4</v>
      </c>
      <c r="G44" s="29">
        <f t="shared" si="4"/>
        <v>1.9566918862509784E-4</v>
      </c>
      <c r="H44" s="29">
        <f t="shared" si="5"/>
        <v>2.3363911364698359E-4</v>
      </c>
      <c r="I44" s="29">
        <f t="shared" si="6"/>
        <v>7.7740850873612817E-5</v>
      </c>
      <c r="J44" s="29">
        <f t="shared" si="7"/>
        <v>1.4188925543613209E-4</v>
      </c>
      <c r="K44" s="29">
        <f t="shared" si="8"/>
        <v>3.4954524164062552E-4</v>
      </c>
      <c r="M44" s="30"/>
    </row>
    <row r="45" spans="1:13" x14ac:dyDescent="0.2">
      <c r="A45">
        <v>11</v>
      </c>
      <c r="B45" s="29" t="s">
        <v>15952</v>
      </c>
      <c r="C45" s="29">
        <f t="shared" ref="C45:K45" si="9">SUM(C47:C63)</f>
        <v>1.0005296921899831E-3</v>
      </c>
      <c r="D45" s="29">
        <f t="shared" si="9"/>
        <v>2.0390477646938876E-3</v>
      </c>
      <c r="E45" s="29">
        <f t="shared" si="9"/>
        <v>1.7262610336851069E-4</v>
      </c>
      <c r="F45" s="29">
        <f t="shared" si="9"/>
        <v>1.1951873788212796E-3</v>
      </c>
      <c r="G45" s="29">
        <f t="shared" si="9"/>
        <v>6.8484216018784233E-4</v>
      </c>
      <c r="H45" s="29">
        <f t="shared" si="9"/>
        <v>8.6077568185730801E-5</v>
      </c>
      <c r="I45" s="29">
        <f t="shared" si="9"/>
        <v>1.7491691446562882E-4</v>
      </c>
      <c r="J45" s="29">
        <f>SUM(J47:J63)</f>
        <v>2.4830619701323115E-4</v>
      </c>
      <c r="K45" s="29">
        <f t="shared" si="9"/>
        <v>6.9909048328125109E-5</v>
      </c>
    </row>
    <row r="47" spans="1:13" x14ac:dyDescent="0.2">
      <c r="B47" t="s">
        <v>9667</v>
      </c>
      <c r="C47">
        <f t="shared" ref="C47:C63" si="10">C12/$C$31</f>
        <v>0</v>
      </c>
      <c r="D47">
        <f t="shared" ref="D47:D63" si="11">D12/$D$31</f>
        <v>0</v>
      </c>
      <c r="E47">
        <f t="shared" ref="E47:E63" si="12">E12/$E$31</f>
        <v>0</v>
      </c>
      <c r="F47">
        <f t="shared" ref="F47:F63" si="13">F12/$F$31</f>
        <v>5.3119439058723539E-5</v>
      </c>
      <c r="G47">
        <f t="shared" ref="G47:G63" si="14">G12/$G$31</f>
        <v>0</v>
      </c>
      <c r="H47">
        <f t="shared" ref="H47:H63" si="15">H12/$H$31</f>
        <v>0</v>
      </c>
      <c r="I47">
        <f t="shared" ref="I47:I63" si="16">I12/$I$31</f>
        <v>0</v>
      </c>
      <c r="J47">
        <f t="shared" ref="J47:J63" si="17">J12/$J$31</f>
        <v>0</v>
      </c>
      <c r="K47">
        <f t="shared" ref="K47:K63" si="18">K12/$K$31</f>
        <v>0</v>
      </c>
      <c r="L47">
        <f>AVERAGE(C47:K47)</f>
        <v>5.9021598954137264E-6</v>
      </c>
    </row>
    <row r="48" spans="1:13" x14ac:dyDescent="0.2">
      <c r="B48" t="s">
        <v>4628</v>
      </c>
      <c r="C48">
        <f t="shared" si="10"/>
        <v>0</v>
      </c>
      <c r="D48">
        <f t="shared" si="11"/>
        <v>1.019523882346944E-4</v>
      </c>
      <c r="E48">
        <f t="shared" si="12"/>
        <v>0</v>
      </c>
      <c r="F48">
        <f t="shared" si="13"/>
        <v>7.9679158588085312E-5</v>
      </c>
      <c r="G48">
        <f t="shared" si="14"/>
        <v>0</v>
      </c>
      <c r="H48">
        <f t="shared" si="15"/>
        <v>0</v>
      </c>
      <c r="I48">
        <f t="shared" si="16"/>
        <v>5.8305638155209609E-5</v>
      </c>
      <c r="J48">
        <f t="shared" si="17"/>
        <v>0</v>
      </c>
      <c r="K48">
        <f t="shared" si="18"/>
        <v>0</v>
      </c>
      <c r="L48">
        <f t="shared" ref="L48:L63" si="19">AVERAGE(C48:K48)</f>
        <v>2.6659687219776592E-5</v>
      </c>
    </row>
    <row r="49" spans="2:14" x14ac:dyDescent="0.2">
      <c r="B49" t="s">
        <v>8802</v>
      </c>
      <c r="C49">
        <f t="shared" si="10"/>
        <v>0</v>
      </c>
      <c r="D49">
        <f t="shared" si="11"/>
        <v>5.0976194117347198E-5</v>
      </c>
      <c r="E49">
        <f t="shared" si="12"/>
        <v>0</v>
      </c>
      <c r="F49">
        <f t="shared" si="13"/>
        <v>5.3119439058723539E-5</v>
      </c>
      <c r="G49">
        <f t="shared" si="14"/>
        <v>3.2611531437516305E-5</v>
      </c>
      <c r="H49">
        <f t="shared" si="15"/>
        <v>0</v>
      </c>
      <c r="I49">
        <f t="shared" si="16"/>
        <v>0</v>
      </c>
      <c r="J49">
        <f t="shared" si="17"/>
        <v>0</v>
      </c>
      <c r="K49">
        <f t="shared" si="18"/>
        <v>0</v>
      </c>
      <c r="L49">
        <f t="shared" si="19"/>
        <v>1.5189684957065228E-5</v>
      </c>
    </row>
    <row r="50" spans="2:14" x14ac:dyDescent="0.2">
      <c r="B50" t="s">
        <v>9560</v>
      </c>
      <c r="C50">
        <f t="shared" si="10"/>
        <v>0</v>
      </c>
      <c r="D50">
        <f t="shared" si="11"/>
        <v>0</v>
      </c>
      <c r="E50">
        <f t="shared" si="12"/>
        <v>0</v>
      </c>
      <c r="F50">
        <f t="shared" si="13"/>
        <v>0</v>
      </c>
      <c r="G50">
        <f t="shared" si="14"/>
        <v>3.2611531437516305E-5</v>
      </c>
      <c r="H50">
        <f t="shared" si="15"/>
        <v>0</v>
      </c>
      <c r="I50">
        <f t="shared" si="16"/>
        <v>0</v>
      </c>
      <c r="J50">
        <f t="shared" si="17"/>
        <v>0</v>
      </c>
      <c r="K50">
        <f t="shared" si="18"/>
        <v>6.9909048328125113E-6</v>
      </c>
      <c r="L50">
        <f t="shared" si="19"/>
        <v>4.4002706967032013E-6</v>
      </c>
    </row>
    <row r="51" spans="2:14" x14ac:dyDescent="0.2">
      <c r="B51" t="s">
        <v>13092</v>
      </c>
      <c r="C51">
        <f t="shared" si="10"/>
        <v>0</v>
      </c>
      <c r="D51">
        <f t="shared" si="11"/>
        <v>0</v>
      </c>
      <c r="E51">
        <f t="shared" si="12"/>
        <v>0</v>
      </c>
      <c r="F51">
        <f t="shared" si="13"/>
        <v>0</v>
      </c>
      <c r="G51">
        <f t="shared" si="14"/>
        <v>0</v>
      </c>
      <c r="H51">
        <f t="shared" si="15"/>
        <v>0</v>
      </c>
      <c r="I51">
        <f t="shared" si="16"/>
        <v>0</v>
      </c>
      <c r="J51">
        <f t="shared" si="17"/>
        <v>3.5472313859033024E-5</v>
      </c>
      <c r="K51">
        <f t="shared" si="18"/>
        <v>0</v>
      </c>
      <c r="L51">
        <f t="shared" si="19"/>
        <v>3.9413682065592249E-6</v>
      </c>
      <c r="M51">
        <f>MAX(C47:K63)</f>
        <v>7.6464291176020797E-4</v>
      </c>
      <c r="N51">
        <f>MAX(L47:L63)</f>
        <v>2.5980743577358874E-4</v>
      </c>
    </row>
    <row r="52" spans="2:14" x14ac:dyDescent="0.2">
      <c r="B52" t="s">
        <v>6855</v>
      </c>
      <c r="C52">
        <f t="shared" si="10"/>
        <v>0</v>
      </c>
      <c r="D52">
        <f t="shared" si="11"/>
        <v>1.019523882346944E-4</v>
      </c>
      <c r="E52">
        <f t="shared" si="12"/>
        <v>0</v>
      </c>
      <c r="F52">
        <f t="shared" si="13"/>
        <v>0</v>
      </c>
      <c r="G52">
        <f t="shared" si="14"/>
        <v>0</v>
      </c>
      <c r="H52">
        <f t="shared" si="15"/>
        <v>0</v>
      </c>
      <c r="I52">
        <f t="shared" si="16"/>
        <v>0</v>
      </c>
      <c r="J52">
        <f t="shared" si="17"/>
        <v>3.5472313859033024E-5</v>
      </c>
      <c r="K52">
        <f t="shared" si="18"/>
        <v>6.9909048328125113E-6</v>
      </c>
      <c r="L52">
        <f t="shared" si="19"/>
        <v>1.6046178547393327E-5</v>
      </c>
    </row>
    <row r="53" spans="2:14" x14ac:dyDescent="0.2">
      <c r="B53" t="s">
        <v>6891</v>
      </c>
      <c r="C53">
        <f t="shared" si="10"/>
        <v>5.8854687775881348E-5</v>
      </c>
      <c r="D53">
        <f t="shared" si="11"/>
        <v>5.0976194117347198E-5</v>
      </c>
      <c r="E53">
        <f t="shared" si="12"/>
        <v>1.1508406891234047E-5</v>
      </c>
      <c r="F53">
        <f t="shared" si="13"/>
        <v>0</v>
      </c>
      <c r="G53">
        <f t="shared" si="14"/>
        <v>0</v>
      </c>
      <c r="H53">
        <f t="shared" si="15"/>
        <v>0</v>
      </c>
      <c r="I53">
        <f t="shared" si="16"/>
        <v>0</v>
      </c>
      <c r="J53">
        <f t="shared" si="17"/>
        <v>0</v>
      </c>
      <c r="K53">
        <f t="shared" si="18"/>
        <v>0</v>
      </c>
      <c r="L53">
        <f t="shared" si="19"/>
        <v>1.3482143198273622E-5</v>
      </c>
    </row>
    <row r="54" spans="2:14" x14ac:dyDescent="0.2">
      <c r="B54" t="s">
        <v>10003</v>
      </c>
      <c r="C54">
        <f t="shared" si="10"/>
        <v>0</v>
      </c>
      <c r="D54">
        <f t="shared" si="11"/>
        <v>0</v>
      </c>
      <c r="E54">
        <f t="shared" si="12"/>
        <v>0</v>
      </c>
      <c r="F54">
        <f t="shared" si="13"/>
        <v>2.6559719529361769E-5</v>
      </c>
      <c r="G54">
        <f t="shared" si="14"/>
        <v>3.2611531437516305E-5</v>
      </c>
      <c r="H54">
        <f t="shared" si="15"/>
        <v>0</v>
      </c>
      <c r="I54">
        <f t="shared" si="16"/>
        <v>0</v>
      </c>
      <c r="J54">
        <f t="shared" si="17"/>
        <v>0</v>
      </c>
      <c r="K54">
        <f t="shared" si="18"/>
        <v>0</v>
      </c>
      <c r="L54">
        <f t="shared" si="19"/>
        <v>6.574583440764231E-6</v>
      </c>
    </row>
    <row r="55" spans="2:14" x14ac:dyDescent="0.2">
      <c r="B55" t="s">
        <v>4580</v>
      </c>
      <c r="C55">
        <f t="shared" si="10"/>
        <v>1.177093755517627E-4</v>
      </c>
      <c r="D55">
        <f t="shared" si="11"/>
        <v>3.5683335882143039E-4</v>
      </c>
      <c r="E55">
        <f t="shared" si="12"/>
        <v>3.4525220673702136E-5</v>
      </c>
      <c r="F55">
        <f t="shared" si="13"/>
        <v>0</v>
      </c>
      <c r="G55">
        <f t="shared" si="14"/>
        <v>0</v>
      </c>
      <c r="H55">
        <f t="shared" si="15"/>
        <v>0</v>
      </c>
      <c r="I55">
        <f t="shared" si="16"/>
        <v>1.9435212718403204E-5</v>
      </c>
      <c r="J55">
        <f t="shared" si="17"/>
        <v>0</v>
      </c>
      <c r="K55">
        <f t="shared" si="18"/>
        <v>6.9909048328125113E-6</v>
      </c>
      <c r="L55">
        <f t="shared" si="19"/>
        <v>5.9499341399790105E-5</v>
      </c>
    </row>
    <row r="56" spans="2:14" x14ac:dyDescent="0.2">
      <c r="B56" t="s">
        <v>4271</v>
      </c>
      <c r="C56">
        <f t="shared" si="10"/>
        <v>1.177093755517627E-4</v>
      </c>
      <c r="D56">
        <f t="shared" si="11"/>
        <v>1.529285823520416E-4</v>
      </c>
      <c r="E56">
        <f t="shared" si="12"/>
        <v>3.4525220673702136E-5</v>
      </c>
      <c r="F56">
        <f t="shared" si="13"/>
        <v>2.6559719529361769E-5</v>
      </c>
      <c r="G56">
        <f t="shared" si="14"/>
        <v>0</v>
      </c>
      <c r="H56">
        <f t="shared" si="15"/>
        <v>1.2296795455104399E-5</v>
      </c>
      <c r="I56">
        <f t="shared" si="16"/>
        <v>0</v>
      </c>
      <c r="J56">
        <f t="shared" si="17"/>
        <v>7.0944627718066047E-5</v>
      </c>
      <c r="K56">
        <f t="shared" si="18"/>
        <v>6.9909048328125113E-6</v>
      </c>
      <c r="L56">
        <f t="shared" si="19"/>
        <v>4.688391401253902E-5</v>
      </c>
    </row>
    <row r="57" spans="2:14" x14ac:dyDescent="0.2">
      <c r="B57" t="s">
        <v>5163</v>
      </c>
      <c r="C57">
        <f t="shared" si="10"/>
        <v>5.8854687775881348E-5</v>
      </c>
      <c r="D57">
        <f t="shared" si="11"/>
        <v>1.529285823520416E-4</v>
      </c>
      <c r="E57">
        <f t="shared" si="12"/>
        <v>0</v>
      </c>
      <c r="F57">
        <f t="shared" si="13"/>
        <v>1.0623887811744708E-4</v>
      </c>
      <c r="G57">
        <f t="shared" si="14"/>
        <v>6.5223062875032609E-5</v>
      </c>
      <c r="H57">
        <f t="shared" si="15"/>
        <v>0</v>
      </c>
      <c r="I57">
        <f t="shared" si="16"/>
        <v>1.9435212718403204E-5</v>
      </c>
      <c r="J57">
        <f t="shared" si="17"/>
        <v>0</v>
      </c>
      <c r="K57">
        <f t="shared" si="18"/>
        <v>6.9909048328125113E-6</v>
      </c>
      <c r="L57">
        <f t="shared" si="19"/>
        <v>4.551903651906871E-5</v>
      </c>
    </row>
    <row r="58" spans="2:14" x14ac:dyDescent="0.2">
      <c r="B58" t="s">
        <v>13742</v>
      </c>
      <c r="C58">
        <f t="shared" si="10"/>
        <v>0</v>
      </c>
      <c r="D58">
        <f t="shared" si="11"/>
        <v>0</v>
      </c>
      <c r="E58">
        <f t="shared" si="12"/>
        <v>0</v>
      </c>
      <c r="F58">
        <f t="shared" si="13"/>
        <v>0</v>
      </c>
      <c r="G58">
        <f t="shared" si="14"/>
        <v>0</v>
      </c>
      <c r="H58">
        <f t="shared" si="15"/>
        <v>1.2296795455104399E-5</v>
      </c>
      <c r="I58">
        <f t="shared" si="16"/>
        <v>0</v>
      </c>
      <c r="J58">
        <f t="shared" si="17"/>
        <v>0</v>
      </c>
      <c r="K58">
        <f t="shared" si="18"/>
        <v>0</v>
      </c>
      <c r="L58">
        <f t="shared" si="19"/>
        <v>1.366310606122711E-6</v>
      </c>
    </row>
    <row r="59" spans="2:14" x14ac:dyDescent="0.2">
      <c r="B59" t="s">
        <v>8219</v>
      </c>
      <c r="C59">
        <f t="shared" si="10"/>
        <v>0</v>
      </c>
      <c r="D59">
        <f t="shared" si="11"/>
        <v>0</v>
      </c>
      <c r="E59">
        <f t="shared" si="12"/>
        <v>0</v>
      </c>
      <c r="F59">
        <f t="shared" si="13"/>
        <v>2.6559719529361769E-5</v>
      </c>
      <c r="G59">
        <f t="shared" si="14"/>
        <v>0</v>
      </c>
      <c r="H59">
        <f t="shared" si="15"/>
        <v>0</v>
      </c>
      <c r="I59">
        <f t="shared" si="16"/>
        <v>0</v>
      </c>
      <c r="J59">
        <f t="shared" si="17"/>
        <v>3.5472313859033024E-5</v>
      </c>
      <c r="K59">
        <f t="shared" si="18"/>
        <v>6.9909048328125113E-6</v>
      </c>
      <c r="L59">
        <f t="shared" si="19"/>
        <v>7.669215357911924E-6</v>
      </c>
    </row>
    <row r="60" spans="2:14" x14ac:dyDescent="0.2">
      <c r="B60" t="s">
        <v>6546</v>
      </c>
      <c r="C60">
        <f t="shared" si="10"/>
        <v>1.7656406332764406E-4</v>
      </c>
      <c r="D60">
        <f t="shared" si="11"/>
        <v>3.058571647040832E-4</v>
      </c>
      <c r="E60">
        <f t="shared" si="12"/>
        <v>5.7542034456170229E-5</v>
      </c>
      <c r="F60">
        <f t="shared" si="13"/>
        <v>1.0623887811744708E-4</v>
      </c>
      <c r="G60">
        <f t="shared" si="14"/>
        <v>6.5223062875032609E-5</v>
      </c>
      <c r="H60">
        <f t="shared" si="15"/>
        <v>4.9187181820417597E-5</v>
      </c>
      <c r="I60">
        <f t="shared" si="16"/>
        <v>7.7740850873612817E-5</v>
      </c>
      <c r="J60">
        <f t="shared" si="17"/>
        <v>7.0944627718066047E-5</v>
      </c>
      <c r="K60">
        <f t="shared" si="18"/>
        <v>2.7963619331250045E-5</v>
      </c>
      <c r="L60">
        <f t="shared" si="19"/>
        <v>1.0414016480263596E-4</v>
      </c>
    </row>
    <row r="61" spans="2:14" x14ac:dyDescent="0.2">
      <c r="B61" t="s">
        <v>8142</v>
      </c>
      <c r="C61">
        <f t="shared" si="10"/>
        <v>5.8854687775881348E-5</v>
      </c>
      <c r="D61">
        <f t="shared" si="11"/>
        <v>0</v>
      </c>
      <c r="E61">
        <f t="shared" si="12"/>
        <v>0</v>
      </c>
      <c r="F61">
        <f t="shared" si="13"/>
        <v>0</v>
      </c>
      <c r="G61">
        <f t="shared" si="14"/>
        <v>0</v>
      </c>
      <c r="H61">
        <f t="shared" si="15"/>
        <v>0</v>
      </c>
      <c r="I61">
        <f t="shared" si="16"/>
        <v>0</v>
      </c>
      <c r="J61">
        <f t="shared" si="17"/>
        <v>0</v>
      </c>
      <c r="K61">
        <f t="shared" si="18"/>
        <v>0</v>
      </c>
      <c r="L61">
        <f t="shared" si="19"/>
        <v>6.5394097528757053E-6</v>
      </c>
    </row>
    <row r="62" spans="2:14" x14ac:dyDescent="0.2">
      <c r="B62" t="s">
        <v>3816</v>
      </c>
      <c r="C62">
        <f t="shared" si="10"/>
        <v>3.5312812665528812E-4</v>
      </c>
      <c r="D62">
        <f t="shared" si="11"/>
        <v>7.6464291176020797E-4</v>
      </c>
      <c r="E62">
        <f t="shared" si="12"/>
        <v>3.4525220673702136E-5</v>
      </c>
      <c r="F62">
        <f t="shared" si="13"/>
        <v>7.1711242729276779E-4</v>
      </c>
      <c r="G62">
        <f t="shared" si="14"/>
        <v>4.5656144012522828E-4</v>
      </c>
      <c r="H62">
        <f t="shared" si="15"/>
        <v>1.2296795455104399E-5</v>
      </c>
      <c r="I62">
        <f t="shared" si="16"/>
        <v>0</v>
      </c>
      <c r="J62">
        <f t="shared" si="17"/>
        <v>0</v>
      </c>
      <c r="K62">
        <f t="shared" si="18"/>
        <v>0</v>
      </c>
      <c r="L62">
        <f t="shared" si="19"/>
        <v>2.5980743577358874E-4</v>
      </c>
    </row>
    <row r="63" spans="2:14" x14ac:dyDescent="0.2">
      <c r="B63" t="s">
        <v>3271</v>
      </c>
      <c r="C63">
        <f t="shared" si="10"/>
        <v>5.8854687775881348E-5</v>
      </c>
      <c r="D63">
        <f t="shared" si="11"/>
        <v>0</v>
      </c>
      <c r="E63">
        <f t="shared" si="12"/>
        <v>0</v>
      </c>
      <c r="F63">
        <f t="shared" si="13"/>
        <v>0</v>
      </c>
      <c r="G63">
        <f t="shared" si="14"/>
        <v>0</v>
      </c>
      <c r="H63">
        <f t="shared" si="15"/>
        <v>0</v>
      </c>
      <c r="I63">
        <f t="shared" si="16"/>
        <v>0</v>
      </c>
      <c r="J63">
        <f t="shared" si="17"/>
        <v>0</v>
      </c>
      <c r="K63">
        <f t="shared" si="18"/>
        <v>0</v>
      </c>
      <c r="L63">
        <f t="shared" si="19"/>
        <v>6.5394097528757053E-6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CBD5B-1007-5A41-93DA-5B2A7A8A4562}">
  <dimension ref="A1:L762"/>
  <sheetViews>
    <sheetView workbookViewId="0">
      <selection activeCell="G26" sqref="G26"/>
    </sheetView>
  </sheetViews>
  <sheetFormatPr baseColWidth="10" defaultColWidth="11" defaultRowHeight="16" x14ac:dyDescent="0.2"/>
  <cols>
    <col min="19" max="19" width="17" customWidth="1"/>
  </cols>
  <sheetData>
    <row r="1" spans="1:12" ht="27" x14ac:dyDescent="0.35">
      <c r="B1" s="18" t="s">
        <v>75</v>
      </c>
      <c r="L1" s="18" t="s">
        <v>76</v>
      </c>
    </row>
    <row r="2" spans="1:12" x14ac:dyDescent="0.2">
      <c r="A2">
        <v>1</v>
      </c>
      <c r="B2" t="s">
        <v>77</v>
      </c>
      <c r="K2">
        <v>1</v>
      </c>
      <c r="L2" s="19" t="s">
        <v>77</v>
      </c>
    </row>
    <row r="3" spans="1:12" x14ac:dyDescent="0.2">
      <c r="A3">
        <v>2</v>
      </c>
      <c r="B3" t="s">
        <v>77</v>
      </c>
      <c r="K3">
        <v>2</v>
      </c>
      <c r="L3" s="19" t="s">
        <v>78</v>
      </c>
    </row>
    <row r="4" spans="1:12" x14ac:dyDescent="0.2">
      <c r="A4">
        <v>3</v>
      </c>
      <c r="B4" t="s">
        <v>78</v>
      </c>
      <c r="K4">
        <v>3</v>
      </c>
      <c r="L4" s="19" t="s">
        <v>79</v>
      </c>
    </row>
    <row r="5" spans="1:12" x14ac:dyDescent="0.2">
      <c r="A5">
        <v>4</v>
      </c>
      <c r="B5" t="s">
        <v>79</v>
      </c>
      <c r="K5">
        <v>4</v>
      </c>
      <c r="L5" s="19" t="s">
        <v>80</v>
      </c>
    </row>
    <row r="6" spans="1:12" x14ac:dyDescent="0.2">
      <c r="A6">
        <v>5</v>
      </c>
      <c r="B6" t="s">
        <v>80</v>
      </c>
      <c r="K6">
        <v>5</v>
      </c>
      <c r="L6" s="19" t="s">
        <v>81</v>
      </c>
    </row>
    <row r="7" spans="1:12" x14ac:dyDescent="0.2">
      <c r="A7">
        <v>6</v>
      </c>
      <c r="B7" t="s">
        <v>81</v>
      </c>
      <c r="K7">
        <v>6</v>
      </c>
      <c r="L7" s="19" t="s">
        <v>82</v>
      </c>
    </row>
    <row r="8" spans="1:12" ht="16" customHeight="1" x14ac:dyDescent="0.2">
      <c r="A8">
        <v>7</v>
      </c>
      <c r="B8" t="s">
        <v>82</v>
      </c>
      <c r="K8">
        <v>7</v>
      </c>
      <c r="L8" s="19" t="s">
        <v>83</v>
      </c>
    </row>
    <row r="9" spans="1:12" x14ac:dyDescent="0.2">
      <c r="A9">
        <v>8</v>
      </c>
      <c r="B9" t="s">
        <v>83</v>
      </c>
      <c r="K9">
        <v>8</v>
      </c>
      <c r="L9" s="19" t="s">
        <v>84</v>
      </c>
    </row>
    <row r="10" spans="1:12" x14ac:dyDescent="0.2">
      <c r="A10">
        <v>9</v>
      </c>
      <c r="B10" t="s">
        <v>84</v>
      </c>
      <c r="K10">
        <v>9</v>
      </c>
      <c r="L10" s="19" t="s">
        <v>85</v>
      </c>
    </row>
    <row r="11" spans="1:12" x14ac:dyDescent="0.2">
      <c r="A11">
        <v>10</v>
      </c>
      <c r="B11" t="s">
        <v>85</v>
      </c>
      <c r="K11">
        <v>10</v>
      </c>
      <c r="L11" s="19" t="s">
        <v>86</v>
      </c>
    </row>
    <row r="12" spans="1:12" x14ac:dyDescent="0.2">
      <c r="A12">
        <v>11</v>
      </c>
      <c r="B12" t="s">
        <v>86</v>
      </c>
      <c r="K12">
        <v>11</v>
      </c>
      <c r="L12" s="19" t="s">
        <v>87</v>
      </c>
    </row>
    <row r="13" spans="1:12" x14ac:dyDescent="0.2">
      <c r="A13">
        <v>12</v>
      </c>
      <c r="B13" t="s">
        <v>88</v>
      </c>
      <c r="K13">
        <v>12</v>
      </c>
      <c r="L13" s="19" t="s">
        <v>89</v>
      </c>
    </row>
    <row r="14" spans="1:12" x14ac:dyDescent="0.2">
      <c r="A14">
        <v>13</v>
      </c>
      <c r="B14" t="s">
        <v>90</v>
      </c>
      <c r="K14">
        <v>13</v>
      </c>
      <c r="L14" s="19" t="s">
        <v>91</v>
      </c>
    </row>
    <row r="15" spans="1:12" x14ac:dyDescent="0.2">
      <c r="A15">
        <v>14</v>
      </c>
      <c r="B15" t="s">
        <v>92</v>
      </c>
      <c r="K15">
        <v>14</v>
      </c>
      <c r="L15" s="19" t="s">
        <v>93</v>
      </c>
    </row>
    <row r="16" spans="1:12" x14ac:dyDescent="0.2">
      <c r="A16">
        <v>15</v>
      </c>
      <c r="B16" t="s">
        <v>94</v>
      </c>
      <c r="K16">
        <v>15</v>
      </c>
      <c r="L16" s="19" t="s">
        <v>90</v>
      </c>
    </row>
    <row r="17" spans="1:12" x14ac:dyDescent="0.2">
      <c r="A17">
        <v>16</v>
      </c>
      <c r="B17" t="s">
        <v>95</v>
      </c>
      <c r="K17">
        <v>16</v>
      </c>
      <c r="L17" s="19" t="s">
        <v>96</v>
      </c>
    </row>
    <row r="18" spans="1:12" x14ac:dyDescent="0.2">
      <c r="A18">
        <v>17</v>
      </c>
      <c r="B18" t="s">
        <v>97</v>
      </c>
      <c r="K18">
        <v>17</v>
      </c>
      <c r="L18" s="19" t="s">
        <v>98</v>
      </c>
    </row>
    <row r="19" spans="1:12" x14ac:dyDescent="0.2">
      <c r="A19">
        <v>18</v>
      </c>
      <c r="B19" t="s">
        <v>99</v>
      </c>
      <c r="K19">
        <v>18</v>
      </c>
      <c r="L19" s="19" t="s">
        <v>92</v>
      </c>
    </row>
    <row r="20" spans="1:12" x14ac:dyDescent="0.2">
      <c r="A20">
        <v>19</v>
      </c>
      <c r="B20" t="s">
        <v>100</v>
      </c>
      <c r="K20">
        <v>19</v>
      </c>
      <c r="L20" s="19" t="s">
        <v>101</v>
      </c>
    </row>
    <row r="21" spans="1:12" x14ac:dyDescent="0.2">
      <c r="A21">
        <v>20</v>
      </c>
      <c r="B21" t="s">
        <v>102</v>
      </c>
      <c r="K21">
        <v>20</v>
      </c>
      <c r="L21" s="19" t="s">
        <v>103</v>
      </c>
    </row>
    <row r="22" spans="1:12" x14ac:dyDescent="0.2">
      <c r="A22">
        <v>21</v>
      </c>
      <c r="B22" t="s">
        <v>104</v>
      </c>
      <c r="K22">
        <v>21</v>
      </c>
      <c r="L22" s="19" t="s">
        <v>105</v>
      </c>
    </row>
    <row r="23" spans="1:12" x14ac:dyDescent="0.2">
      <c r="A23">
        <v>22</v>
      </c>
      <c r="B23" t="s">
        <v>106</v>
      </c>
      <c r="K23">
        <v>22</v>
      </c>
      <c r="L23" s="19" t="s">
        <v>95</v>
      </c>
    </row>
    <row r="24" spans="1:12" x14ac:dyDescent="0.2">
      <c r="A24">
        <v>23</v>
      </c>
      <c r="B24" t="s">
        <v>107</v>
      </c>
      <c r="K24">
        <v>23</v>
      </c>
      <c r="L24" s="19" t="s">
        <v>108</v>
      </c>
    </row>
    <row r="25" spans="1:12" x14ac:dyDescent="0.2">
      <c r="A25">
        <v>24</v>
      </c>
      <c r="B25" t="s">
        <v>109</v>
      </c>
      <c r="K25">
        <v>24</v>
      </c>
      <c r="L25" s="19" t="s">
        <v>110</v>
      </c>
    </row>
    <row r="26" spans="1:12" x14ac:dyDescent="0.2">
      <c r="A26">
        <v>25</v>
      </c>
      <c r="B26" t="s">
        <v>111</v>
      </c>
      <c r="K26">
        <v>25</v>
      </c>
      <c r="L26" s="19" t="s">
        <v>112</v>
      </c>
    </row>
    <row r="27" spans="1:12" x14ac:dyDescent="0.2">
      <c r="A27">
        <v>26</v>
      </c>
      <c r="B27" t="s">
        <v>113</v>
      </c>
      <c r="K27">
        <v>26</v>
      </c>
      <c r="L27" s="19" t="s">
        <v>114</v>
      </c>
    </row>
    <row r="28" spans="1:12" x14ac:dyDescent="0.2">
      <c r="A28">
        <v>27</v>
      </c>
      <c r="B28" t="s">
        <v>115</v>
      </c>
      <c r="K28">
        <v>27</v>
      </c>
      <c r="L28" s="19" t="s">
        <v>116</v>
      </c>
    </row>
    <row r="29" spans="1:12" x14ac:dyDescent="0.2">
      <c r="A29">
        <v>28</v>
      </c>
      <c r="B29" t="s">
        <v>117</v>
      </c>
      <c r="K29">
        <v>28</v>
      </c>
      <c r="L29" s="19" t="s">
        <v>118</v>
      </c>
    </row>
    <row r="30" spans="1:12" x14ac:dyDescent="0.2">
      <c r="A30">
        <v>29</v>
      </c>
      <c r="B30" t="s">
        <v>119</v>
      </c>
      <c r="K30">
        <v>29</v>
      </c>
      <c r="L30" s="19" t="s">
        <v>120</v>
      </c>
    </row>
    <row r="31" spans="1:12" x14ac:dyDescent="0.2">
      <c r="A31">
        <v>30</v>
      </c>
      <c r="B31" t="s">
        <v>121</v>
      </c>
      <c r="K31">
        <v>30</v>
      </c>
      <c r="L31" s="19" t="s">
        <v>97</v>
      </c>
    </row>
    <row r="32" spans="1:12" x14ac:dyDescent="0.2">
      <c r="A32">
        <v>31</v>
      </c>
      <c r="B32" t="s">
        <v>122</v>
      </c>
      <c r="K32">
        <v>31</v>
      </c>
      <c r="L32" s="19" t="s">
        <v>123</v>
      </c>
    </row>
    <row r="33" spans="1:12" x14ac:dyDescent="0.2">
      <c r="A33">
        <v>32</v>
      </c>
      <c r="B33" t="s">
        <v>124</v>
      </c>
      <c r="K33">
        <v>32</v>
      </c>
      <c r="L33" s="19" t="s">
        <v>125</v>
      </c>
    </row>
    <row r="34" spans="1:12" x14ac:dyDescent="0.2">
      <c r="A34">
        <v>33</v>
      </c>
      <c r="B34" t="s">
        <v>126</v>
      </c>
      <c r="K34">
        <v>33</v>
      </c>
      <c r="L34" s="19" t="s">
        <v>127</v>
      </c>
    </row>
    <row r="35" spans="1:12" x14ac:dyDescent="0.2">
      <c r="A35">
        <v>34</v>
      </c>
      <c r="B35" t="s">
        <v>128</v>
      </c>
      <c r="K35">
        <v>34</v>
      </c>
      <c r="L35" s="19" t="s">
        <v>129</v>
      </c>
    </row>
    <row r="36" spans="1:12" x14ac:dyDescent="0.2">
      <c r="A36">
        <v>35</v>
      </c>
      <c r="B36" t="s">
        <v>130</v>
      </c>
      <c r="K36">
        <v>35</v>
      </c>
      <c r="L36" s="19" t="s">
        <v>131</v>
      </c>
    </row>
    <row r="37" spans="1:12" x14ac:dyDescent="0.2">
      <c r="A37">
        <v>36</v>
      </c>
      <c r="B37" t="s">
        <v>132</v>
      </c>
      <c r="K37">
        <v>36</v>
      </c>
      <c r="L37" s="19" t="s">
        <v>133</v>
      </c>
    </row>
    <row r="38" spans="1:12" x14ac:dyDescent="0.2">
      <c r="A38">
        <v>37</v>
      </c>
      <c r="B38" t="s">
        <v>134</v>
      </c>
      <c r="K38">
        <v>37</v>
      </c>
      <c r="L38" s="19" t="s">
        <v>135</v>
      </c>
    </row>
    <row r="39" spans="1:12" x14ac:dyDescent="0.2">
      <c r="A39">
        <v>38</v>
      </c>
      <c r="B39" t="s">
        <v>136</v>
      </c>
      <c r="K39">
        <v>38</v>
      </c>
      <c r="L39" s="19" t="s">
        <v>137</v>
      </c>
    </row>
    <row r="40" spans="1:12" x14ac:dyDescent="0.2">
      <c r="A40">
        <v>39</v>
      </c>
      <c r="B40" t="s">
        <v>138</v>
      </c>
      <c r="K40">
        <v>39</v>
      </c>
      <c r="L40" s="19" t="s">
        <v>139</v>
      </c>
    </row>
    <row r="41" spans="1:12" x14ac:dyDescent="0.2">
      <c r="A41">
        <v>40</v>
      </c>
      <c r="B41" t="s">
        <v>140</v>
      </c>
      <c r="K41">
        <v>40</v>
      </c>
      <c r="L41" s="19" t="s">
        <v>99</v>
      </c>
    </row>
    <row r="42" spans="1:12" x14ac:dyDescent="0.2">
      <c r="A42">
        <v>41</v>
      </c>
      <c r="B42" t="s">
        <v>141</v>
      </c>
      <c r="K42">
        <v>41</v>
      </c>
      <c r="L42" s="19" t="s">
        <v>142</v>
      </c>
    </row>
    <row r="43" spans="1:12" x14ac:dyDescent="0.2">
      <c r="A43">
        <v>42</v>
      </c>
      <c r="B43" t="s">
        <v>143</v>
      </c>
      <c r="K43">
        <v>42</v>
      </c>
      <c r="L43" s="19" t="s">
        <v>144</v>
      </c>
    </row>
    <row r="44" spans="1:12" x14ac:dyDescent="0.2">
      <c r="A44">
        <v>43</v>
      </c>
      <c r="B44" t="s">
        <v>145</v>
      </c>
      <c r="K44">
        <v>43</v>
      </c>
      <c r="L44" s="19" t="s">
        <v>100</v>
      </c>
    </row>
    <row r="45" spans="1:12" x14ac:dyDescent="0.2">
      <c r="A45">
        <v>44</v>
      </c>
      <c r="B45" t="s">
        <v>146</v>
      </c>
      <c r="K45">
        <v>44</v>
      </c>
      <c r="L45" s="19" t="s">
        <v>147</v>
      </c>
    </row>
    <row r="46" spans="1:12" x14ac:dyDescent="0.2">
      <c r="A46">
        <v>45</v>
      </c>
      <c r="B46" t="s">
        <v>148</v>
      </c>
      <c r="K46">
        <v>45</v>
      </c>
      <c r="L46" s="19" t="s">
        <v>149</v>
      </c>
    </row>
    <row r="47" spans="1:12" x14ac:dyDescent="0.2">
      <c r="A47">
        <v>46</v>
      </c>
      <c r="B47" t="s">
        <v>150</v>
      </c>
      <c r="K47">
        <v>46</v>
      </c>
      <c r="L47" s="19" t="s">
        <v>151</v>
      </c>
    </row>
    <row r="48" spans="1:12" x14ac:dyDescent="0.2">
      <c r="A48">
        <v>47</v>
      </c>
      <c r="B48" t="s">
        <v>152</v>
      </c>
      <c r="K48">
        <v>47</v>
      </c>
      <c r="L48" s="19" t="s">
        <v>153</v>
      </c>
    </row>
    <row r="49" spans="1:12" x14ac:dyDescent="0.2">
      <c r="A49">
        <v>48</v>
      </c>
      <c r="B49" t="s">
        <v>154</v>
      </c>
      <c r="K49" s="20">
        <v>48</v>
      </c>
      <c r="L49" s="19" t="s">
        <v>155</v>
      </c>
    </row>
    <row r="50" spans="1:12" x14ac:dyDescent="0.2">
      <c r="A50">
        <v>49</v>
      </c>
      <c r="B50" t="s">
        <v>156</v>
      </c>
      <c r="K50" s="20">
        <v>49</v>
      </c>
      <c r="L50" s="19" t="s">
        <v>157</v>
      </c>
    </row>
    <row r="51" spans="1:12" x14ac:dyDescent="0.2">
      <c r="A51">
        <v>50</v>
      </c>
      <c r="B51" t="s">
        <v>158</v>
      </c>
      <c r="K51" s="20">
        <v>50</v>
      </c>
      <c r="L51" s="19" t="s">
        <v>159</v>
      </c>
    </row>
    <row r="52" spans="1:12" x14ac:dyDescent="0.2">
      <c r="A52">
        <v>51</v>
      </c>
      <c r="B52" t="s">
        <v>160</v>
      </c>
      <c r="K52" s="20">
        <v>51</v>
      </c>
      <c r="L52" s="19" t="s">
        <v>161</v>
      </c>
    </row>
    <row r="53" spans="1:12" x14ac:dyDescent="0.2">
      <c r="A53">
        <v>52</v>
      </c>
      <c r="B53" t="s">
        <v>162</v>
      </c>
      <c r="K53" s="20">
        <v>52</v>
      </c>
      <c r="L53" s="19" t="s">
        <v>163</v>
      </c>
    </row>
    <row r="54" spans="1:12" x14ac:dyDescent="0.2">
      <c r="A54">
        <v>53</v>
      </c>
      <c r="B54" t="s">
        <v>164</v>
      </c>
      <c r="K54">
        <v>53</v>
      </c>
      <c r="L54" s="19" t="s">
        <v>165</v>
      </c>
    </row>
    <row r="55" spans="1:12" x14ac:dyDescent="0.2">
      <c r="A55">
        <v>54</v>
      </c>
      <c r="B55" t="s">
        <v>166</v>
      </c>
      <c r="K55">
        <v>54</v>
      </c>
      <c r="L55" s="19" t="s">
        <v>167</v>
      </c>
    </row>
    <row r="56" spans="1:12" x14ac:dyDescent="0.2">
      <c r="A56">
        <v>55</v>
      </c>
      <c r="B56" t="s">
        <v>168</v>
      </c>
      <c r="K56">
        <v>55</v>
      </c>
      <c r="L56" s="19" t="s">
        <v>169</v>
      </c>
    </row>
    <row r="57" spans="1:12" x14ac:dyDescent="0.2">
      <c r="A57">
        <v>56</v>
      </c>
      <c r="B57" t="s">
        <v>170</v>
      </c>
      <c r="K57">
        <v>56</v>
      </c>
      <c r="L57" s="19" t="s">
        <v>171</v>
      </c>
    </row>
    <row r="58" spans="1:12" x14ac:dyDescent="0.2">
      <c r="A58">
        <v>57</v>
      </c>
      <c r="B58" t="s">
        <v>172</v>
      </c>
      <c r="K58">
        <v>57</v>
      </c>
      <c r="L58" s="19" t="s">
        <v>173</v>
      </c>
    </row>
    <row r="59" spans="1:12" x14ac:dyDescent="0.2">
      <c r="A59">
        <v>58</v>
      </c>
      <c r="B59" t="s">
        <v>174</v>
      </c>
      <c r="K59">
        <v>58</v>
      </c>
      <c r="L59" s="19" t="s">
        <v>175</v>
      </c>
    </row>
    <row r="60" spans="1:12" x14ac:dyDescent="0.2">
      <c r="A60">
        <v>59</v>
      </c>
      <c r="B60" t="s">
        <v>176</v>
      </c>
      <c r="K60">
        <v>59</v>
      </c>
      <c r="L60" s="19" t="s">
        <v>177</v>
      </c>
    </row>
    <row r="61" spans="1:12" x14ac:dyDescent="0.2">
      <c r="A61">
        <v>60</v>
      </c>
      <c r="B61" t="s">
        <v>178</v>
      </c>
      <c r="K61">
        <v>60</v>
      </c>
      <c r="L61" s="19" t="s">
        <v>104</v>
      </c>
    </row>
    <row r="62" spans="1:12" x14ac:dyDescent="0.2">
      <c r="A62">
        <v>61</v>
      </c>
      <c r="B62" t="s">
        <v>179</v>
      </c>
      <c r="K62">
        <v>61</v>
      </c>
      <c r="L62" s="19" t="s">
        <v>106</v>
      </c>
    </row>
    <row r="63" spans="1:12" x14ac:dyDescent="0.2">
      <c r="A63">
        <v>62</v>
      </c>
      <c r="B63" t="s">
        <v>180</v>
      </c>
      <c r="K63">
        <v>62</v>
      </c>
      <c r="L63" s="19" t="s">
        <v>181</v>
      </c>
    </row>
    <row r="64" spans="1:12" x14ac:dyDescent="0.2">
      <c r="A64">
        <v>63</v>
      </c>
      <c r="B64" t="s">
        <v>182</v>
      </c>
      <c r="K64">
        <v>63</v>
      </c>
      <c r="L64" s="19" t="s">
        <v>183</v>
      </c>
    </row>
    <row r="65" spans="1:12" x14ac:dyDescent="0.2">
      <c r="A65">
        <v>64</v>
      </c>
      <c r="B65" t="s">
        <v>184</v>
      </c>
      <c r="K65">
        <v>64</v>
      </c>
      <c r="L65" s="19" t="s">
        <v>111</v>
      </c>
    </row>
    <row r="66" spans="1:12" x14ac:dyDescent="0.2">
      <c r="A66">
        <v>65</v>
      </c>
      <c r="B66" t="s">
        <v>185</v>
      </c>
      <c r="K66">
        <v>65</v>
      </c>
      <c r="L66" s="19" t="s">
        <v>186</v>
      </c>
    </row>
    <row r="67" spans="1:12" x14ac:dyDescent="0.2">
      <c r="A67">
        <v>66</v>
      </c>
      <c r="B67" t="s">
        <v>187</v>
      </c>
      <c r="K67">
        <v>66</v>
      </c>
      <c r="L67" s="19" t="s">
        <v>188</v>
      </c>
    </row>
    <row r="68" spans="1:12" x14ac:dyDescent="0.2">
      <c r="A68">
        <v>67</v>
      </c>
      <c r="B68" t="s">
        <v>189</v>
      </c>
      <c r="K68">
        <v>67</v>
      </c>
      <c r="L68" s="19" t="s">
        <v>190</v>
      </c>
    </row>
    <row r="69" spans="1:12" x14ac:dyDescent="0.2">
      <c r="A69">
        <v>68</v>
      </c>
      <c r="B69" t="s">
        <v>191</v>
      </c>
      <c r="K69">
        <v>68</v>
      </c>
      <c r="L69" s="19" t="s">
        <v>192</v>
      </c>
    </row>
    <row r="70" spans="1:12" x14ac:dyDescent="0.2">
      <c r="A70">
        <v>69</v>
      </c>
      <c r="B70" t="s">
        <v>193</v>
      </c>
      <c r="K70">
        <v>69</v>
      </c>
      <c r="L70" s="19" t="s">
        <v>194</v>
      </c>
    </row>
    <row r="71" spans="1:12" x14ac:dyDescent="0.2">
      <c r="A71">
        <v>70</v>
      </c>
      <c r="B71" t="s">
        <v>195</v>
      </c>
      <c r="K71">
        <v>70</v>
      </c>
      <c r="L71" s="19" t="s">
        <v>196</v>
      </c>
    </row>
    <row r="72" spans="1:12" x14ac:dyDescent="0.2">
      <c r="A72">
        <v>71</v>
      </c>
      <c r="B72" t="s">
        <v>197</v>
      </c>
      <c r="K72">
        <v>71</v>
      </c>
      <c r="L72" s="19" t="s">
        <v>198</v>
      </c>
    </row>
    <row r="73" spans="1:12" x14ac:dyDescent="0.2">
      <c r="A73">
        <v>72</v>
      </c>
      <c r="B73" t="s">
        <v>199</v>
      </c>
      <c r="K73">
        <v>72</v>
      </c>
      <c r="L73" s="19" t="s">
        <v>200</v>
      </c>
    </row>
    <row r="74" spans="1:12" x14ac:dyDescent="0.2">
      <c r="A74">
        <v>73</v>
      </c>
      <c r="B74" t="s">
        <v>201</v>
      </c>
      <c r="K74">
        <v>73</v>
      </c>
      <c r="L74" s="19" t="s">
        <v>202</v>
      </c>
    </row>
    <row r="75" spans="1:12" x14ac:dyDescent="0.2">
      <c r="A75">
        <v>74</v>
      </c>
      <c r="B75" t="s">
        <v>203</v>
      </c>
      <c r="K75">
        <v>74</v>
      </c>
      <c r="L75" s="19" t="s">
        <v>204</v>
      </c>
    </row>
    <row r="76" spans="1:12" x14ac:dyDescent="0.2">
      <c r="A76">
        <v>75</v>
      </c>
      <c r="B76" t="s">
        <v>205</v>
      </c>
      <c r="K76">
        <v>75</v>
      </c>
      <c r="L76" s="19" t="s">
        <v>206</v>
      </c>
    </row>
    <row r="77" spans="1:12" x14ac:dyDescent="0.2">
      <c r="A77">
        <v>76</v>
      </c>
      <c r="B77" t="s">
        <v>207</v>
      </c>
      <c r="K77">
        <v>76</v>
      </c>
      <c r="L77" s="19" t="s">
        <v>117</v>
      </c>
    </row>
    <row r="78" spans="1:12" x14ac:dyDescent="0.2">
      <c r="A78">
        <v>77</v>
      </c>
      <c r="B78" t="s">
        <v>208</v>
      </c>
      <c r="K78">
        <v>77</v>
      </c>
      <c r="L78" s="19" t="s">
        <v>209</v>
      </c>
    </row>
    <row r="79" spans="1:12" x14ac:dyDescent="0.2">
      <c r="A79">
        <v>78</v>
      </c>
      <c r="B79" t="s">
        <v>210</v>
      </c>
      <c r="K79">
        <v>78</v>
      </c>
      <c r="L79" s="19" t="s">
        <v>211</v>
      </c>
    </row>
    <row r="80" spans="1:12" x14ac:dyDescent="0.2">
      <c r="A80">
        <v>79</v>
      </c>
      <c r="B80" t="s">
        <v>212</v>
      </c>
      <c r="K80">
        <v>79</v>
      </c>
      <c r="L80" s="19" t="s">
        <v>213</v>
      </c>
    </row>
    <row r="81" spans="1:12" x14ac:dyDescent="0.2">
      <c r="A81">
        <v>80</v>
      </c>
      <c r="B81" t="s">
        <v>214</v>
      </c>
      <c r="K81">
        <v>80</v>
      </c>
      <c r="L81" s="19" t="s">
        <v>215</v>
      </c>
    </row>
    <row r="82" spans="1:12" x14ac:dyDescent="0.2">
      <c r="A82">
        <v>81</v>
      </c>
      <c r="B82" t="s">
        <v>216</v>
      </c>
      <c r="K82">
        <v>81</v>
      </c>
      <c r="L82" s="19" t="s">
        <v>217</v>
      </c>
    </row>
    <row r="83" spans="1:12" x14ac:dyDescent="0.2">
      <c r="A83">
        <v>82</v>
      </c>
      <c r="B83" t="s">
        <v>218</v>
      </c>
      <c r="K83">
        <v>82</v>
      </c>
      <c r="L83" s="19" t="s">
        <v>219</v>
      </c>
    </row>
    <row r="84" spans="1:12" x14ac:dyDescent="0.2">
      <c r="A84">
        <v>83</v>
      </c>
      <c r="B84" t="s">
        <v>220</v>
      </c>
      <c r="K84">
        <v>83</v>
      </c>
      <c r="L84" s="19" t="s">
        <v>221</v>
      </c>
    </row>
    <row r="85" spans="1:12" x14ac:dyDescent="0.2">
      <c r="A85">
        <v>84</v>
      </c>
      <c r="B85" t="s">
        <v>222</v>
      </c>
      <c r="K85">
        <v>84</v>
      </c>
      <c r="L85" s="19" t="s">
        <v>122</v>
      </c>
    </row>
    <row r="86" spans="1:12" x14ac:dyDescent="0.2">
      <c r="A86">
        <v>85</v>
      </c>
      <c r="B86" t="s">
        <v>223</v>
      </c>
      <c r="K86">
        <v>85</v>
      </c>
      <c r="L86" s="19" t="s">
        <v>124</v>
      </c>
    </row>
    <row r="87" spans="1:12" x14ac:dyDescent="0.2">
      <c r="A87">
        <v>86</v>
      </c>
      <c r="B87" t="s">
        <v>224</v>
      </c>
      <c r="K87">
        <v>86</v>
      </c>
      <c r="L87" s="19" t="s">
        <v>126</v>
      </c>
    </row>
    <row r="88" spans="1:12" x14ac:dyDescent="0.2">
      <c r="A88">
        <v>87</v>
      </c>
      <c r="B88" t="s">
        <v>225</v>
      </c>
      <c r="K88">
        <v>87</v>
      </c>
      <c r="L88" s="19" t="s">
        <v>226</v>
      </c>
    </row>
    <row r="89" spans="1:12" x14ac:dyDescent="0.2">
      <c r="A89">
        <v>88</v>
      </c>
      <c r="B89" t="s">
        <v>227</v>
      </c>
      <c r="K89" s="20">
        <v>88</v>
      </c>
      <c r="L89" s="19" t="s">
        <v>228</v>
      </c>
    </row>
    <row r="90" spans="1:12" x14ac:dyDescent="0.2">
      <c r="A90">
        <v>89</v>
      </c>
      <c r="B90" t="s">
        <v>229</v>
      </c>
      <c r="K90" s="20">
        <v>89</v>
      </c>
      <c r="L90" s="19" t="s">
        <v>230</v>
      </c>
    </row>
    <row r="91" spans="1:12" x14ac:dyDescent="0.2">
      <c r="A91">
        <v>90</v>
      </c>
      <c r="B91" t="s">
        <v>231</v>
      </c>
      <c r="K91" s="20">
        <v>90</v>
      </c>
      <c r="L91" s="19" t="s">
        <v>232</v>
      </c>
    </row>
    <row r="92" spans="1:12" x14ac:dyDescent="0.2">
      <c r="A92">
        <v>91</v>
      </c>
      <c r="B92" t="s">
        <v>233</v>
      </c>
      <c r="K92" s="20">
        <v>91</v>
      </c>
      <c r="L92" s="19" t="s">
        <v>234</v>
      </c>
    </row>
    <row r="93" spans="1:12" x14ac:dyDescent="0.2">
      <c r="A93">
        <v>92</v>
      </c>
      <c r="B93" t="s">
        <v>235</v>
      </c>
      <c r="K93" s="20">
        <v>92</v>
      </c>
      <c r="L93" s="19" t="s">
        <v>236</v>
      </c>
    </row>
    <row r="94" spans="1:12" x14ac:dyDescent="0.2">
      <c r="A94">
        <v>93</v>
      </c>
      <c r="B94" t="s">
        <v>237</v>
      </c>
      <c r="K94" s="20">
        <v>93</v>
      </c>
      <c r="L94" s="19" t="s">
        <v>238</v>
      </c>
    </row>
    <row r="95" spans="1:12" x14ac:dyDescent="0.2">
      <c r="A95">
        <v>94</v>
      </c>
      <c r="B95" t="s">
        <v>239</v>
      </c>
      <c r="K95" s="20">
        <v>94</v>
      </c>
      <c r="L95" s="19" t="s">
        <v>240</v>
      </c>
    </row>
    <row r="96" spans="1:12" x14ac:dyDescent="0.2">
      <c r="A96">
        <v>95</v>
      </c>
      <c r="B96" t="s">
        <v>241</v>
      </c>
      <c r="K96" s="20">
        <v>95</v>
      </c>
      <c r="L96" s="19" t="s">
        <v>242</v>
      </c>
    </row>
    <row r="97" spans="1:12" x14ac:dyDescent="0.2">
      <c r="A97">
        <v>96</v>
      </c>
      <c r="B97" t="s">
        <v>243</v>
      </c>
      <c r="K97" s="20">
        <v>96</v>
      </c>
      <c r="L97" s="19" t="s">
        <v>244</v>
      </c>
    </row>
    <row r="98" spans="1:12" x14ac:dyDescent="0.2">
      <c r="A98">
        <v>97</v>
      </c>
      <c r="B98" t="s">
        <v>245</v>
      </c>
      <c r="K98" s="20">
        <v>97</v>
      </c>
      <c r="L98" s="19" t="s">
        <v>246</v>
      </c>
    </row>
    <row r="99" spans="1:12" x14ac:dyDescent="0.2">
      <c r="A99">
        <v>98</v>
      </c>
      <c r="B99" t="s">
        <v>247</v>
      </c>
      <c r="K99" s="20">
        <v>98</v>
      </c>
      <c r="L99" s="19" t="s">
        <v>248</v>
      </c>
    </row>
    <row r="100" spans="1:12" x14ac:dyDescent="0.2">
      <c r="A100">
        <v>99</v>
      </c>
      <c r="B100" t="s">
        <v>249</v>
      </c>
      <c r="K100" s="20">
        <v>99</v>
      </c>
      <c r="L100" s="19" t="s">
        <v>250</v>
      </c>
    </row>
    <row r="101" spans="1:12" x14ac:dyDescent="0.2">
      <c r="A101">
        <v>100</v>
      </c>
      <c r="B101" t="s">
        <v>251</v>
      </c>
      <c r="K101" s="20">
        <v>100</v>
      </c>
      <c r="L101" s="19" t="s">
        <v>252</v>
      </c>
    </row>
    <row r="102" spans="1:12" x14ac:dyDescent="0.2">
      <c r="A102">
        <v>101</v>
      </c>
      <c r="B102" t="s">
        <v>253</v>
      </c>
      <c r="K102" s="20">
        <v>101</v>
      </c>
      <c r="L102" s="19" t="s">
        <v>254</v>
      </c>
    </row>
    <row r="103" spans="1:12" x14ac:dyDescent="0.2">
      <c r="A103">
        <v>102</v>
      </c>
      <c r="B103" t="s">
        <v>255</v>
      </c>
      <c r="K103" s="20">
        <v>102</v>
      </c>
      <c r="L103" s="19" t="s">
        <v>256</v>
      </c>
    </row>
    <row r="104" spans="1:12" x14ac:dyDescent="0.2">
      <c r="A104">
        <v>103</v>
      </c>
      <c r="B104" t="s">
        <v>257</v>
      </c>
      <c r="K104" s="20">
        <v>103</v>
      </c>
      <c r="L104" s="19" t="s">
        <v>258</v>
      </c>
    </row>
    <row r="105" spans="1:12" x14ac:dyDescent="0.2">
      <c r="A105">
        <v>104</v>
      </c>
      <c r="B105" t="s">
        <v>259</v>
      </c>
      <c r="K105" s="20">
        <v>104</v>
      </c>
      <c r="L105" s="19" t="s">
        <v>260</v>
      </c>
    </row>
    <row r="106" spans="1:12" x14ac:dyDescent="0.2">
      <c r="A106">
        <v>105</v>
      </c>
      <c r="B106" t="s">
        <v>261</v>
      </c>
      <c r="K106" s="20">
        <v>105</v>
      </c>
      <c r="L106" s="19" t="s">
        <v>262</v>
      </c>
    </row>
    <row r="107" spans="1:12" x14ac:dyDescent="0.2">
      <c r="A107">
        <v>106</v>
      </c>
      <c r="B107" t="s">
        <v>263</v>
      </c>
      <c r="K107" s="20">
        <v>106</v>
      </c>
      <c r="L107" s="19" t="s">
        <v>264</v>
      </c>
    </row>
    <row r="108" spans="1:12" x14ac:dyDescent="0.2">
      <c r="A108">
        <v>107</v>
      </c>
      <c r="B108" t="s">
        <v>265</v>
      </c>
      <c r="K108" s="20">
        <v>107</v>
      </c>
      <c r="L108" s="19" t="s">
        <v>266</v>
      </c>
    </row>
    <row r="109" spans="1:12" x14ac:dyDescent="0.2">
      <c r="A109">
        <v>108</v>
      </c>
      <c r="B109" t="s">
        <v>267</v>
      </c>
      <c r="K109" s="20">
        <v>108</v>
      </c>
      <c r="L109" s="19" t="s">
        <v>268</v>
      </c>
    </row>
    <row r="110" spans="1:12" x14ac:dyDescent="0.2">
      <c r="A110">
        <v>109</v>
      </c>
      <c r="B110" t="s">
        <v>269</v>
      </c>
      <c r="K110" s="20">
        <v>109</v>
      </c>
      <c r="L110" s="19" t="s">
        <v>270</v>
      </c>
    </row>
    <row r="111" spans="1:12" x14ac:dyDescent="0.2">
      <c r="A111">
        <v>110</v>
      </c>
      <c r="B111" t="s">
        <v>271</v>
      </c>
      <c r="K111" s="20">
        <v>110</v>
      </c>
      <c r="L111" s="19" t="s">
        <v>272</v>
      </c>
    </row>
    <row r="112" spans="1:12" x14ac:dyDescent="0.2">
      <c r="A112">
        <v>111</v>
      </c>
      <c r="B112" t="s">
        <v>273</v>
      </c>
      <c r="K112" s="20">
        <v>111</v>
      </c>
      <c r="L112" s="19" t="s">
        <v>274</v>
      </c>
    </row>
    <row r="113" spans="1:12" x14ac:dyDescent="0.2">
      <c r="A113">
        <v>112</v>
      </c>
      <c r="B113" t="s">
        <v>275</v>
      </c>
      <c r="K113" s="20">
        <v>112</v>
      </c>
      <c r="L113" s="19" t="s">
        <v>276</v>
      </c>
    </row>
    <row r="114" spans="1:12" x14ac:dyDescent="0.2">
      <c r="A114">
        <v>113</v>
      </c>
      <c r="B114" t="s">
        <v>277</v>
      </c>
      <c r="K114" s="20">
        <v>113</v>
      </c>
      <c r="L114" s="19" t="s">
        <v>278</v>
      </c>
    </row>
    <row r="115" spans="1:12" x14ac:dyDescent="0.2">
      <c r="A115">
        <v>114</v>
      </c>
      <c r="B115" t="s">
        <v>279</v>
      </c>
      <c r="K115" s="20">
        <v>114</v>
      </c>
      <c r="L115" s="19" t="s">
        <v>280</v>
      </c>
    </row>
    <row r="116" spans="1:12" x14ac:dyDescent="0.2">
      <c r="A116">
        <v>115</v>
      </c>
      <c r="B116" t="s">
        <v>281</v>
      </c>
      <c r="K116" s="20">
        <v>115</v>
      </c>
      <c r="L116" s="19" t="s">
        <v>282</v>
      </c>
    </row>
    <row r="117" spans="1:12" x14ac:dyDescent="0.2">
      <c r="A117">
        <v>116</v>
      </c>
      <c r="B117" t="s">
        <v>283</v>
      </c>
      <c r="K117" s="20">
        <v>116</v>
      </c>
      <c r="L117" s="19" t="s">
        <v>284</v>
      </c>
    </row>
    <row r="118" spans="1:12" x14ac:dyDescent="0.2">
      <c r="A118">
        <v>117</v>
      </c>
      <c r="B118" t="s">
        <v>285</v>
      </c>
      <c r="K118" s="20">
        <v>117</v>
      </c>
      <c r="L118" s="19" t="s">
        <v>286</v>
      </c>
    </row>
    <row r="119" spans="1:12" x14ac:dyDescent="0.2">
      <c r="A119">
        <v>118</v>
      </c>
      <c r="B119" t="s">
        <v>287</v>
      </c>
      <c r="K119" s="20">
        <v>118</v>
      </c>
      <c r="L119" s="19" t="s">
        <v>288</v>
      </c>
    </row>
    <row r="120" spans="1:12" x14ac:dyDescent="0.2">
      <c r="A120">
        <v>119</v>
      </c>
      <c r="B120" t="s">
        <v>289</v>
      </c>
      <c r="K120" s="20">
        <v>119</v>
      </c>
      <c r="L120" s="19" t="s">
        <v>290</v>
      </c>
    </row>
    <row r="121" spans="1:12" x14ac:dyDescent="0.2">
      <c r="A121">
        <v>120</v>
      </c>
      <c r="B121" t="s">
        <v>291</v>
      </c>
      <c r="K121" s="20">
        <v>120</v>
      </c>
      <c r="L121" s="19" t="s">
        <v>292</v>
      </c>
    </row>
    <row r="122" spans="1:12" x14ac:dyDescent="0.2">
      <c r="A122">
        <v>121</v>
      </c>
      <c r="B122" t="s">
        <v>293</v>
      </c>
      <c r="K122" s="20">
        <v>121</v>
      </c>
      <c r="L122" s="19" t="s">
        <v>294</v>
      </c>
    </row>
    <row r="123" spans="1:12" x14ac:dyDescent="0.2">
      <c r="A123">
        <v>122</v>
      </c>
      <c r="B123" t="s">
        <v>295</v>
      </c>
      <c r="K123" s="20">
        <v>122</v>
      </c>
      <c r="L123" s="19" t="s">
        <v>296</v>
      </c>
    </row>
    <row r="124" spans="1:12" x14ac:dyDescent="0.2">
      <c r="A124">
        <v>123</v>
      </c>
      <c r="B124" t="s">
        <v>297</v>
      </c>
      <c r="K124" s="20">
        <v>123</v>
      </c>
      <c r="L124" s="19" t="s">
        <v>298</v>
      </c>
    </row>
    <row r="125" spans="1:12" x14ac:dyDescent="0.2">
      <c r="A125">
        <v>124</v>
      </c>
      <c r="B125" t="s">
        <v>299</v>
      </c>
      <c r="K125" s="20">
        <v>124</v>
      </c>
      <c r="L125" s="19" t="s">
        <v>300</v>
      </c>
    </row>
    <row r="126" spans="1:12" x14ac:dyDescent="0.2">
      <c r="A126">
        <v>125</v>
      </c>
      <c r="B126" t="s">
        <v>301</v>
      </c>
      <c r="K126" s="20">
        <v>125</v>
      </c>
      <c r="L126" s="19" t="s">
        <v>302</v>
      </c>
    </row>
    <row r="127" spans="1:12" x14ac:dyDescent="0.2">
      <c r="A127">
        <v>126</v>
      </c>
      <c r="B127" t="s">
        <v>303</v>
      </c>
      <c r="K127" s="20">
        <v>126</v>
      </c>
      <c r="L127" s="19" t="s">
        <v>304</v>
      </c>
    </row>
    <row r="128" spans="1:12" x14ac:dyDescent="0.2">
      <c r="A128">
        <v>127</v>
      </c>
      <c r="B128" t="s">
        <v>305</v>
      </c>
      <c r="K128" s="20">
        <v>127</v>
      </c>
      <c r="L128" s="19" t="s">
        <v>306</v>
      </c>
    </row>
    <row r="129" spans="1:12" x14ac:dyDescent="0.2">
      <c r="A129">
        <v>128</v>
      </c>
      <c r="B129" t="s">
        <v>307</v>
      </c>
      <c r="K129" s="20">
        <v>128</v>
      </c>
      <c r="L129" s="19" t="s">
        <v>308</v>
      </c>
    </row>
    <row r="130" spans="1:12" x14ac:dyDescent="0.2">
      <c r="A130">
        <v>129</v>
      </c>
      <c r="B130" t="s">
        <v>309</v>
      </c>
      <c r="K130" s="20">
        <v>129</v>
      </c>
      <c r="L130" s="19" t="s">
        <v>310</v>
      </c>
    </row>
    <row r="131" spans="1:12" x14ac:dyDescent="0.2">
      <c r="A131">
        <v>130</v>
      </c>
      <c r="B131" t="s">
        <v>311</v>
      </c>
      <c r="K131" s="20">
        <v>130</v>
      </c>
      <c r="L131" s="19" t="s">
        <v>312</v>
      </c>
    </row>
    <row r="132" spans="1:12" x14ac:dyDescent="0.2">
      <c r="A132">
        <v>131</v>
      </c>
      <c r="B132" t="s">
        <v>313</v>
      </c>
      <c r="K132" s="20">
        <v>131</v>
      </c>
      <c r="L132" s="19" t="s">
        <v>314</v>
      </c>
    </row>
    <row r="133" spans="1:12" x14ac:dyDescent="0.2">
      <c r="A133">
        <v>132</v>
      </c>
      <c r="B133" t="s">
        <v>315</v>
      </c>
      <c r="K133" s="20">
        <v>132</v>
      </c>
      <c r="L133" s="19" t="s">
        <v>316</v>
      </c>
    </row>
    <row r="134" spans="1:12" x14ac:dyDescent="0.2">
      <c r="A134">
        <v>133</v>
      </c>
      <c r="B134" t="s">
        <v>317</v>
      </c>
      <c r="K134" s="20">
        <v>133</v>
      </c>
      <c r="L134" s="19" t="s">
        <v>318</v>
      </c>
    </row>
    <row r="135" spans="1:12" x14ac:dyDescent="0.2">
      <c r="A135">
        <v>134</v>
      </c>
      <c r="B135" t="s">
        <v>319</v>
      </c>
      <c r="K135" s="20">
        <v>134</v>
      </c>
      <c r="L135" s="19" t="s">
        <v>320</v>
      </c>
    </row>
    <row r="136" spans="1:12" x14ac:dyDescent="0.2">
      <c r="A136">
        <v>135</v>
      </c>
      <c r="B136" t="s">
        <v>321</v>
      </c>
      <c r="K136" s="20">
        <v>135</v>
      </c>
      <c r="L136" s="19" t="s">
        <v>322</v>
      </c>
    </row>
    <row r="137" spans="1:12" x14ac:dyDescent="0.2">
      <c r="A137">
        <v>136</v>
      </c>
      <c r="B137" t="s">
        <v>323</v>
      </c>
      <c r="K137" s="20">
        <v>136</v>
      </c>
      <c r="L137" s="19" t="s">
        <v>324</v>
      </c>
    </row>
    <row r="138" spans="1:12" x14ac:dyDescent="0.2">
      <c r="A138">
        <v>137</v>
      </c>
      <c r="B138" t="s">
        <v>325</v>
      </c>
      <c r="K138" s="20">
        <v>137</v>
      </c>
      <c r="L138" s="19" t="s">
        <v>326</v>
      </c>
    </row>
    <row r="139" spans="1:12" x14ac:dyDescent="0.2">
      <c r="A139">
        <v>138</v>
      </c>
      <c r="B139" t="s">
        <v>327</v>
      </c>
      <c r="K139" s="20">
        <v>138</v>
      </c>
      <c r="L139" s="19" t="s">
        <v>328</v>
      </c>
    </row>
    <row r="140" spans="1:12" x14ac:dyDescent="0.2">
      <c r="A140">
        <v>139</v>
      </c>
      <c r="B140" t="s">
        <v>329</v>
      </c>
      <c r="K140" s="20">
        <v>139</v>
      </c>
      <c r="L140" s="19" t="s">
        <v>330</v>
      </c>
    </row>
    <row r="141" spans="1:12" x14ac:dyDescent="0.2">
      <c r="A141">
        <v>140</v>
      </c>
      <c r="B141" t="s">
        <v>331</v>
      </c>
      <c r="K141" s="20">
        <v>140</v>
      </c>
      <c r="L141" s="19" t="s">
        <v>332</v>
      </c>
    </row>
    <row r="142" spans="1:12" x14ac:dyDescent="0.2">
      <c r="A142">
        <v>141</v>
      </c>
      <c r="B142" t="s">
        <v>333</v>
      </c>
      <c r="K142" s="20">
        <v>141</v>
      </c>
      <c r="L142" s="19" t="s">
        <v>334</v>
      </c>
    </row>
    <row r="143" spans="1:12" x14ac:dyDescent="0.2">
      <c r="A143">
        <v>142</v>
      </c>
      <c r="B143" t="s">
        <v>335</v>
      </c>
      <c r="K143" s="20">
        <v>142</v>
      </c>
      <c r="L143" s="19" t="s">
        <v>336</v>
      </c>
    </row>
    <row r="144" spans="1:12" x14ac:dyDescent="0.2">
      <c r="A144">
        <v>143</v>
      </c>
      <c r="B144" t="s">
        <v>337</v>
      </c>
      <c r="K144" s="20">
        <v>143</v>
      </c>
      <c r="L144" s="19" t="s">
        <v>338</v>
      </c>
    </row>
    <row r="145" spans="1:12" x14ac:dyDescent="0.2">
      <c r="A145">
        <v>144</v>
      </c>
      <c r="B145" t="s">
        <v>339</v>
      </c>
      <c r="K145" s="20">
        <v>144</v>
      </c>
      <c r="L145" s="19" t="s">
        <v>340</v>
      </c>
    </row>
    <row r="146" spans="1:12" x14ac:dyDescent="0.2">
      <c r="A146">
        <v>145</v>
      </c>
      <c r="B146" t="s">
        <v>341</v>
      </c>
      <c r="K146" s="20">
        <v>145</v>
      </c>
      <c r="L146" s="19" t="s">
        <v>342</v>
      </c>
    </row>
    <row r="147" spans="1:12" x14ac:dyDescent="0.2">
      <c r="A147">
        <v>146</v>
      </c>
      <c r="B147" t="s">
        <v>343</v>
      </c>
      <c r="K147" s="20">
        <v>146</v>
      </c>
      <c r="L147" s="19" t="s">
        <v>344</v>
      </c>
    </row>
    <row r="148" spans="1:12" x14ac:dyDescent="0.2">
      <c r="A148">
        <v>147</v>
      </c>
      <c r="B148" t="s">
        <v>345</v>
      </c>
      <c r="K148" s="20">
        <v>147</v>
      </c>
      <c r="L148" s="19" t="s">
        <v>346</v>
      </c>
    </row>
    <row r="149" spans="1:12" x14ac:dyDescent="0.2">
      <c r="A149">
        <v>148</v>
      </c>
      <c r="B149" t="s">
        <v>347</v>
      </c>
      <c r="K149">
        <v>148</v>
      </c>
      <c r="L149" s="19" t="s">
        <v>348</v>
      </c>
    </row>
    <row r="150" spans="1:12" x14ac:dyDescent="0.2">
      <c r="A150">
        <v>149</v>
      </c>
      <c r="B150" t="s">
        <v>349</v>
      </c>
      <c r="K150">
        <v>149</v>
      </c>
      <c r="L150" s="19" t="s">
        <v>130</v>
      </c>
    </row>
    <row r="151" spans="1:12" x14ac:dyDescent="0.2">
      <c r="A151">
        <v>150</v>
      </c>
      <c r="B151" t="s">
        <v>350</v>
      </c>
      <c r="K151">
        <v>150</v>
      </c>
      <c r="L151" s="19" t="s">
        <v>132</v>
      </c>
    </row>
    <row r="152" spans="1:12" x14ac:dyDescent="0.2">
      <c r="A152">
        <v>151</v>
      </c>
      <c r="B152" t="s">
        <v>351</v>
      </c>
      <c r="K152">
        <v>151</v>
      </c>
      <c r="L152" s="19" t="s">
        <v>352</v>
      </c>
    </row>
    <row r="153" spans="1:12" x14ac:dyDescent="0.2">
      <c r="A153">
        <v>152</v>
      </c>
      <c r="B153" t="s">
        <v>353</v>
      </c>
      <c r="K153">
        <v>152</v>
      </c>
      <c r="L153" s="19" t="s">
        <v>354</v>
      </c>
    </row>
    <row r="154" spans="1:12" x14ac:dyDescent="0.2">
      <c r="A154">
        <v>153</v>
      </c>
      <c r="B154" t="s">
        <v>355</v>
      </c>
      <c r="K154">
        <v>153</v>
      </c>
      <c r="L154" s="19" t="s">
        <v>356</v>
      </c>
    </row>
    <row r="155" spans="1:12" x14ac:dyDescent="0.2">
      <c r="A155">
        <v>154</v>
      </c>
      <c r="B155" t="s">
        <v>357</v>
      </c>
      <c r="K155">
        <v>154</v>
      </c>
      <c r="L155" s="19" t="s">
        <v>358</v>
      </c>
    </row>
    <row r="156" spans="1:12" x14ac:dyDescent="0.2">
      <c r="A156">
        <v>155</v>
      </c>
      <c r="B156" t="s">
        <v>359</v>
      </c>
      <c r="K156">
        <v>155</v>
      </c>
      <c r="L156" s="19" t="s">
        <v>134</v>
      </c>
    </row>
    <row r="157" spans="1:12" x14ac:dyDescent="0.2">
      <c r="A157">
        <v>156</v>
      </c>
      <c r="B157" t="s">
        <v>360</v>
      </c>
      <c r="K157">
        <v>156</v>
      </c>
      <c r="L157" s="19" t="s">
        <v>136</v>
      </c>
    </row>
    <row r="158" spans="1:12" x14ac:dyDescent="0.2">
      <c r="A158">
        <v>157</v>
      </c>
      <c r="B158" t="s">
        <v>361</v>
      </c>
      <c r="K158">
        <v>157</v>
      </c>
      <c r="L158" s="19" t="s">
        <v>138</v>
      </c>
    </row>
    <row r="159" spans="1:12" x14ac:dyDescent="0.2">
      <c r="A159">
        <v>158</v>
      </c>
      <c r="B159" t="s">
        <v>362</v>
      </c>
      <c r="K159">
        <v>158</v>
      </c>
      <c r="L159" s="19" t="s">
        <v>140</v>
      </c>
    </row>
    <row r="160" spans="1:12" x14ac:dyDescent="0.2">
      <c r="A160">
        <v>159</v>
      </c>
      <c r="B160" t="s">
        <v>363</v>
      </c>
      <c r="K160">
        <v>159</v>
      </c>
      <c r="L160" s="19" t="s">
        <v>141</v>
      </c>
    </row>
    <row r="161" spans="1:12" x14ac:dyDescent="0.2">
      <c r="A161">
        <v>160</v>
      </c>
      <c r="B161" t="s">
        <v>364</v>
      </c>
      <c r="K161">
        <v>160</v>
      </c>
      <c r="L161" s="19" t="s">
        <v>143</v>
      </c>
    </row>
    <row r="162" spans="1:12" x14ac:dyDescent="0.2">
      <c r="A162">
        <v>161</v>
      </c>
      <c r="B162" t="s">
        <v>365</v>
      </c>
      <c r="K162">
        <v>161</v>
      </c>
      <c r="L162" s="19" t="s">
        <v>145</v>
      </c>
    </row>
    <row r="163" spans="1:12" x14ac:dyDescent="0.2">
      <c r="A163">
        <v>162</v>
      </c>
      <c r="B163" t="s">
        <v>366</v>
      </c>
      <c r="K163">
        <v>162</v>
      </c>
      <c r="L163" s="19" t="s">
        <v>146</v>
      </c>
    </row>
    <row r="164" spans="1:12" x14ac:dyDescent="0.2">
      <c r="A164">
        <v>163</v>
      </c>
      <c r="B164" t="s">
        <v>367</v>
      </c>
      <c r="K164">
        <v>163</v>
      </c>
      <c r="L164" s="19" t="s">
        <v>148</v>
      </c>
    </row>
    <row r="165" spans="1:12" x14ac:dyDescent="0.2">
      <c r="A165">
        <v>164</v>
      </c>
      <c r="B165" t="s">
        <v>368</v>
      </c>
      <c r="K165">
        <v>164</v>
      </c>
      <c r="L165" s="19" t="s">
        <v>150</v>
      </c>
    </row>
    <row r="166" spans="1:12" x14ac:dyDescent="0.2">
      <c r="A166">
        <v>165</v>
      </c>
      <c r="B166" t="s">
        <v>369</v>
      </c>
      <c r="K166">
        <v>165</v>
      </c>
      <c r="L166" s="19" t="s">
        <v>152</v>
      </c>
    </row>
    <row r="167" spans="1:12" x14ac:dyDescent="0.2">
      <c r="A167">
        <v>166</v>
      </c>
      <c r="B167" t="s">
        <v>370</v>
      </c>
      <c r="K167">
        <v>166</v>
      </c>
      <c r="L167" s="19" t="s">
        <v>154</v>
      </c>
    </row>
    <row r="168" spans="1:12" x14ac:dyDescent="0.2">
      <c r="A168">
        <v>167</v>
      </c>
      <c r="B168" t="s">
        <v>371</v>
      </c>
      <c r="K168">
        <v>167</v>
      </c>
      <c r="L168" s="19" t="s">
        <v>156</v>
      </c>
    </row>
    <row r="169" spans="1:12" x14ac:dyDescent="0.2">
      <c r="A169">
        <v>168</v>
      </c>
      <c r="B169" t="s">
        <v>372</v>
      </c>
      <c r="K169">
        <v>168</v>
      </c>
      <c r="L169" s="19" t="s">
        <v>158</v>
      </c>
    </row>
    <row r="170" spans="1:12" x14ac:dyDescent="0.2">
      <c r="A170">
        <v>169</v>
      </c>
      <c r="B170" t="s">
        <v>373</v>
      </c>
      <c r="K170">
        <v>169</v>
      </c>
      <c r="L170" s="19" t="s">
        <v>374</v>
      </c>
    </row>
    <row r="171" spans="1:12" x14ac:dyDescent="0.2">
      <c r="A171">
        <v>170</v>
      </c>
      <c r="B171" t="s">
        <v>375</v>
      </c>
      <c r="K171">
        <v>170</v>
      </c>
      <c r="L171" s="19" t="s">
        <v>376</v>
      </c>
    </row>
    <row r="172" spans="1:12" x14ac:dyDescent="0.2">
      <c r="A172">
        <v>171</v>
      </c>
      <c r="B172" t="s">
        <v>377</v>
      </c>
      <c r="K172">
        <v>171</v>
      </c>
      <c r="L172" s="19" t="s">
        <v>378</v>
      </c>
    </row>
    <row r="173" spans="1:12" x14ac:dyDescent="0.2">
      <c r="A173">
        <v>172</v>
      </c>
      <c r="B173" t="s">
        <v>379</v>
      </c>
      <c r="K173">
        <v>172</v>
      </c>
      <c r="L173" s="19" t="s">
        <v>160</v>
      </c>
    </row>
    <row r="174" spans="1:12" x14ac:dyDescent="0.2">
      <c r="A174">
        <v>173</v>
      </c>
      <c r="B174" t="s">
        <v>380</v>
      </c>
      <c r="K174">
        <v>173</v>
      </c>
      <c r="L174" s="19" t="s">
        <v>162</v>
      </c>
    </row>
    <row r="175" spans="1:12" x14ac:dyDescent="0.2">
      <c r="A175">
        <v>174</v>
      </c>
      <c r="B175" t="s">
        <v>381</v>
      </c>
      <c r="K175">
        <v>174</v>
      </c>
      <c r="L175" s="19" t="s">
        <v>164</v>
      </c>
    </row>
    <row r="176" spans="1:12" x14ac:dyDescent="0.2">
      <c r="A176">
        <v>175</v>
      </c>
      <c r="B176" t="s">
        <v>382</v>
      </c>
      <c r="K176">
        <v>175</v>
      </c>
      <c r="L176" s="19" t="s">
        <v>383</v>
      </c>
    </row>
    <row r="177" spans="1:12" x14ac:dyDescent="0.2">
      <c r="A177">
        <v>176</v>
      </c>
      <c r="B177" t="s">
        <v>384</v>
      </c>
      <c r="K177">
        <v>176</v>
      </c>
      <c r="L177" s="19" t="s">
        <v>385</v>
      </c>
    </row>
    <row r="178" spans="1:12" x14ac:dyDescent="0.2">
      <c r="A178">
        <v>177</v>
      </c>
      <c r="B178" t="s">
        <v>386</v>
      </c>
      <c r="K178">
        <v>177</v>
      </c>
      <c r="L178" s="19" t="s">
        <v>168</v>
      </c>
    </row>
    <row r="179" spans="1:12" x14ac:dyDescent="0.2">
      <c r="A179">
        <v>178</v>
      </c>
      <c r="B179" t="s">
        <v>387</v>
      </c>
      <c r="K179" s="20">
        <v>178</v>
      </c>
      <c r="L179" s="19" t="s">
        <v>388</v>
      </c>
    </row>
    <row r="180" spans="1:12" x14ac:dyDescent="0.2">
      <c r="A180">
        <v>179</v>
      </c>
      <c r="B180" t="s">
        <v>389</v>
      </c>
      <c r="K180" s="20">
        <v>179</v>
      </c>
      <c r="L180" s="19" t="s">
        <v>390</v>
      </c>
    </row>
    <row r="181" spans="1:12" x14ac:dyDescent="0.2">
      <c r="A181">
        <v>180</v>
      </c>
      <c r="B181" t="s">
        <v>391</v>
      </c>
      <c r="K181" s="20">
        <v>180</v>
      </c>
      <c r="L181" s="19" t="s">
        <v>392</v>
      </c>
    </row>
    <row r="182" spans="1:12" x14ac:dyDescent="0.2">
      <c r="A182">
        <v>181</v>
      </c>
      <c r="B182" t="s">
        <v>393</v>
      </c>
      <c r="K182" s="20">
        <v>181</v>
      </c>
      <c r="L182" s="19" t="s">
        <v>394</v>
      </c>
    </row>
    <row r="183" spans="1:12" x14ac:dyDescent="0.2">
      <c r="A183">
        <v>182</v>
      </c>
      <c r="B183" t="s">
        <v>395</v>
      </c>
      <c r="K183" s="20">
        <v>182</v>
      </c>
      <c r="L183" s="19" t="s">
        <v>396</v>
      </c>
    </row>
    <row r="184" spans="1:12" x14ac:dyDescent="0.2">
      <c r="A184">
        <v>183</v>
      </c>
      <c r="B184" t="s">
        <v>397</v>
      </c>
      <c r="K184" s="20">
        <v>183</v>
      </c>
      <c r="L184" s="19" t="s">
        <v>398</v>
      </c>
    </row>
    <row r="185" spans="1:12" x14ac:dyDescent="0.2">
      <c r="A185">
        <v>184</v>
      </c>
      <c r="B185" t="s">
        <v>399</v>
      </c>
      <c r="K185" s="20">
        <v>184</v>
      </c>
      <c r="L185" s="19" t="s">
        <v>400</v>
      </c>
    </row>
    <row r="186" spans="1:12" x14ac:dyDescent="0.2">
      <c r="A186">
        <v>185</v>
      </c>
      <c r="B186" t="s">
        <v>401</v>
      </c>
      <c r="K186">
        <v>185</v>
      </c>
      <c r="L186" s="19" t="s">
        <v>170</v>
      </c>
    </row>
    <row r="187" spans="1:12" x14ac:dyDescent="0.2">
      <c r="A187">
        <v>186</v>
      </c>
      <c r="B187" t="s">
        <v>402</v>
      </c>
      <c r="K187" s="20">
        <v>186</v>
      </c>
      <c r="L187" s="19" t="s">
        <v>403</v>
      </c>
    </row>
    <row r="188" spans="1:12" x14ac:dyDescent="0.2">
      <c r="A188">
        <v>187</v>
      </c>
      <c r="B188" t="s">
        <v>404</v>
      </c>
      <c r="K188" s="20">
        <v>187</v>
      </c>
      <c r="L188" s="19" t="s">
        <v>405</v>
      </c>
    </row>
    <row r="189" spans="1:12" x14ac:dyDescent="0.2">
      <c r="A189">
        <v>188</v>
      </c>
      <c r="B189" t="s">
        <v>406</v>
      </c>
      <c r="K189" s="20">
        <v>188</v>
      </c>
      <c r="L189" s="19" t="s">
        <v>407</v>
      </c>
    </row>
    <row r="190" spans="1:12" x14ac:dyDescent="0.2">
      <c r="A190">
        <v>189</v>
      </c>
      <c r="B190" t="s">
        <v>408</v>
      </c>
      <c r="K190">
        <v>189</v>
      </c>
      <c r="L190" s="19" t="s">
        <v>172</v>
      </c>
    </row>
    <row r="191" spans="1:12" x14ac:dyDescent="0.2">
      <c r="A191">
        <v>190</v>
      </c>
      <c r="B191" t="s">
        <v>409</v>
      </c>
      <c r="K191">
        <v>190</v>
      </c>
      <c r="L191" s="19" t="s">
        <v>410</v>
      </c>
    </row>
    <row r="192" spans="1:12" x14ac:dyDescent="0.2">
      <c r="A192">
        <v>191</v>
      </c>
      <c r="B192" t="s">
        <v>411</v>
      </c>
      <c r="K192">
        <v>191</v>
      </c>
      <c r="L192" s="19" t="s">
        <v>412</v>
      </c>
    </row>
    <row r="193" spans="1:12" x14ac:dyDescent="0.2">
      <c r="A193">
        <v>192</v>
      </c>
      <c r="B193" t="s">
        <v>413</v>
      </c>
      <c r="K193" s="21">
        <v>192</v>
      </c>
      <c r="L193" s="19" t="s">
        <v>414</v>
      </c>
    </row>
    <row r="194" spans="1:12" x14ac:dyDescent="0.2">
      <c r="A194">
        <v>193</v>
      </c>
      <c r="B194" t="s">
        <v>415</v>
      </c>
      <c r="K194">
        <v>193</v>
      </c>
      <c r="L194" s="19" t="s">
        <v>416</v>
      </c>
    </row>
    <row r="195" spans="1:12" x14ac:dyDescent="0.2">
      <c r="A195">
        <v>194</v>
      </c>
      <c r="B195" t="s">
        <v>417</v>
      </c>
      <c r="K195">
        <v>194</v>
      </c>
      <c r="L195" s="19" t="s">
        <v>418</v>
      </c>
    </row>
    <row r="196" spans="1:12" x14ac:dyDescent="0.2">
      <c r="A196">
        <v>195</v>
      </c>
      <c r="B196" t="s">
        <v>419</v>
      </c>
      <c r="K196">
        <v>195</v>
      </c>
      <c r="L196" s="19" t="s">
        <v>420</v>
      </c>
    </row>
    <row r="197" spans="1:12" x14ac:dyDescent="0.2">
      <c r="A197">
        <v>196</v>
      </c>
      <c r="B197" t="s">
        <v>421</v>
      </c>
      <c r="K197">
        <v>196</v>
      </c>
      <c r="L197" s="19" t="s">
        <v>422</v>
      </c>
    </row>
    <row r="198" spans="1:12" x14ac:dyDescent="0.2">
      <c r="A198">
        <v>197</v>
      </c>
      <c r="B198" t="s">
        <v>423</v>
      </c>
      <c r="K198">
        <v>197</v>
      </c>
      <c r="L198" s="19" t="s">
        <v>424</v>
      </c>
    </row>
    <row r="199" spans="1:12" x14ac:dyDescent="0.2">
      <c r="A199">
        <v>198</v>
      </c>
      <c r="B199" t="s">
        <v>425</v>
      </c>
      <c r="K199">
        <v>198</v>
      </c>
      <c r="L199" s="19" t="s">
        <v>426</v>
      </c>
    </row>
    <row r="200" spans="1:12" x14ac:dyDescent="0.2">
      <c r="A200">
        <v>199</v>
      </c>
      <c r="B200" t="s">
        <v>427</v>
      </c>
      <c r="K200">
        <v>199</v>
      </c>
      <c r="L200" s="19" t="s">
        <v>428</v>
      </c>
    </row>
    <row r="201" spans="1:12" x14ac:dyDescent="0.2">
      <c r="A201">
        <v>200</v>
      </c>
      <c r="B201" t="s">
        <v>429</v>
      </c>
      <c r="K201" s="20">
        <v>200</v>
      </c>
      <c r="L201" s="19" t="s">
        <v>430</v>
      </c>
    </row>
    <row r="202" spans="1:12" x14ac:dyDescent="0.2">
      <c r="A202">
        <v>201</v>
      </c>
      <c r="B202" t="s">
        <v>431</v>
      </c>
      <c r="K202" s="20">
        <v>201</v>
      </c>
      <c r="L202" s="19" t="s">
        <v>432</v>
      </c>
    </row>
    <row r="203" spans="1:12" x14ac:dyDescent="0.2">
      <c r="A203">
        <v>202</v>
      </c>
      <c r="B203" t="s">
        <v>433</v>
      </c>
      <c r="K203" s="20">
        <v>202</v>
      </c>
      <c r="L203" s="19" t="s">
        <v>434</v>
      </c>
    </row>
    <row r="204" spans="1:12" x14ac:dyDescent="0.2">
      <c r="A204">
        <v>203</v>
      </c>
      <c r="B204" t="s">
        <v>435</v>
      </c>
      <c r="K204" s="20">
        <v>203</v>
      </c>
      <c r="L204" s="19" t="s">
        <v>436</v>
      </c>
    </row>
    <row r="205" spans="1:12" x14ac:dyDescent="0.2">
      <c r="A205">
        <v>204</v>
      </c>
      <c r="B205" t="s">
        <v>437</v>
      </c>
      <c r="K205" s="20">
        <v>204</v>
      </c>
      <c r="L205" s="19" t="s">
        <v>438</v>
      </c>
    </row>
    <row r="206" spans="1:12" x14ac:dyDescent="0.2">
      <c r="A206">
        <v>205</v>
      </c>
      <c r="B206" t="s">
        <v>439</v>
      </c>
      <c r="K206" s="22">
        <v>205</v>
      </c>
      <c r="L206" s="19" t="s">
        <v>440</v>
      </c>
    </row>
    <row r="207" spans="1:12" x14ac:dyDescent="0.2">
      <c r="A207">
        <v>206</v>
      </c>
      <c r="B207" t="s">
        <v>441</v>
      </c>
      <c r="K207" s="22">
        <v>206</v>
      </c>
      <c r="L207" s="19" t="s">
        <v>442</v>
      </c>
    </row>
    <row r="208" spans="1:12" x14ac:dyDescent="0.2">
      <c r="A208">
        <v>207</v>
      </c>
      <c r="B208" t="s">
        <v>443</v>
      </c>
      <c r="K208" s="21">
        <v>207</v>
      </c>
      <c r="L208" s="19" t="s">
        <v>444</v>
      </c>
    </row>
    <row r="209" spans="1:12" x14ac:dyDescent="0.2">
      <c r="A209">
        <v>208</v>
      </c>
      <c r="B209" t="s">
        <v>445</v>
      </c>
      <c r="K209" s="21">
        <v>208</v>
      </c>
      <c r="L209" s="19" t="s">
        <v>446</v>
      </c>
    </row>
    <row r="210" spans="1:12" x14ac:dyDescent="0.2">
      <c r="A210">
        <v>209</v>
      </c>
      <c r="B210" t="s">
        <v>447</v>
      </c>
      <c r="K210" s="21">
        <v>209</v>
      </c>
      <c r="L210" s="19" t="s">
        <v>448</v>
      </c>
    </row>
    <row r="211" spans="1:12" x14ac:dyDescent="0.2">
      <c r="A211">
        <v>210</v>
      </c>
      <c r="B211" t="s">
        <v>449</v>
      </c>
      <c r="K211" s="21">
        <v>210</v>
      </c>
      <c r="L211" s="19" t="s">
        <v>450</v>
      </c>
    </row>
    <row r="212" spans="1:12" x14ac:dyDescent="0.2">
      <c r="A212">
        <v>211</v>
      </c>
      <c r="B212" t="s">
        <v>451</v>
      </c>
      <c r="K212" s="22">
        <v>211</v>
      </c>
      <c r="L212" s="19" t="s">
        <v>452</v>
      </c>
    </row>
    <row r="213" spans="1:12" x14ac:dyDescent="0.2">
      <c r="A213">
        <v>212</v>
      </c>
      <c r="B213" t="s">
        <v>453</v>
      </c>
      <c r="K213" s="22">
        <v>212</v>
      </c>
      <c r="L213" s="19" t="s">
        <v>454</v>
      </c>
    </row>
    <row r="214" spans="1:12" x14ac:dyDescent="0.2">
      <c r="A214">
        <v>213</v>
      </c>
      <c r="B214" t="s">
        <v>455</v>
      </c>
      <c r="K214" s="22">
        <v>213</v>
      </c>
      <c r="L214" s="19" t="s">
        <v>456</v>
      </c>
    </row>
    <row r="215" spans="1:12" x14ac:dyDescent="0.2">
      <c r="A215">
        <v>214</v>
      </c>
      <c r="B215" t="s">
        <v>457</v>
      </c>
      <c r="K215" s="22">
        <v>214</v>
      </c>
      <c r="L215" s="19" t="s">
        <v>458</v>
      </c>
    </row>
    <row r="216" spans="1:12" x14ac:dyDescent="0.2">
      <c r="A216">
        <v>215</v>
      </c>
      <c r="B216" t="s">
        <v>459</v>
      </c>
      <c r="K216" s="22">
        <v>215</v>
      </c>
      <c r="L216" s="19" t="s">
        <v>460</v>
      </c>
    </row>
    <row r="217" spans="1:12" x14ac:dyDescent="0.2">
      <c r="A217">
        <v>216</v>
      </c>
      <c r="B217" t="s">
        <v>461</v>
      </c>
      <c r="K217" s="22">
        <v>216</v>
      </c>
      <c r="L217" s="19" t="s">
        <v>462</v>
      </c>
    </row>
    <row r="218" spans="1:12" x14ac:dyDescent="0.2">
      <c r="A218">
        <v>217</v>
      </c>
      <c r="B218" t="s">
        <v>463</v>
      </c>
      <c r="K218">
        <v>217</v>
      </c>
      <c r="L218" s="19" t="s">
        <v>199</v>
      </c>
    </row>
    <row r="219" spans="1:12" x14ac:dyDescent="0.2">
      <c r="A219">
        <v>218</v>
      </c>
      <c r="B219" t="s">
        <v>464</v>
      </c>
      <c r="K219">
        <v>218</v>
      </c>
      <c r="L219" s="19" t="s">
        <v>201</v>
      </c>
    </row>
    <row r="220" spans="1:12" x14ac:dyDescent="0.2">
      <c r="A220">
        <v>219</v>
      </c>
      <c r="B220" t="s">
        <v>465</v>
      </c>
      <c r="K220">
        <v>219</v>
      </c>
      <c r="L220" s="19" t="s">
        <v>466</v>
      </c>
    </row>
    <row r="221" spans="1:12" x14ac:dyDescent="0.2">
      <c r="A221">
        <v>220</v>
      </c>
      <c r="B221" t="s">
        <v>467</v>
      </c>
      <c r="K221">
        <v>220</v>
      </c>
      <c r="L221" s="19" t="s">
        <v>468</v>
      </c>
    </row>
    <row r="222" spans="1:12" x14ac:dyDescent="0.2">
      <c r="A222">
        <v>221</v>
      </c>
      <c r="B222" t="s">
        <v>469</v>
      </c>
      <c r="K222">
        <v>221</v>
      </c>
      <c r="L222" s="19" t="s">
        <v>470</v>
      </c>
    </row>
    <row r="223" spans="1:12" x14ac:dyDescent="0.2">
      <c r="A223">
        <v>222</v>
      </c>
      <c r="B223" t="s">
        <v>471</v>
      </c>
      <c r="K223">
        <v>222</v>
      </c>
      <c r="L223" s="19" t="s">
        <v>472</v>
      </c>
    </row>
    <row r="224" spans="1:12" x14ac:dyDescent="0.2">
      <c r="A224">
        <v>223</v>
      </c>
      <c r="B224" t="s">
        <v>473</v>
      </c>
      <c r="K224">
        <v>223</v>
      </c>
      <c r="L224" s="19" t="s">
        <v>474</v>
      </c>
    </row>
    <row r="225" spans="1:12" x14ac:dyDescent="0.2">
      <c r="A225">
        <v>224</v>
      </c>
      <c r="B225" t="s">
        <v>475</v>
      </c>
      <c r="K225">
        <v>224</v>
      </c>
      <c r="L225" s="19" t="s">
        <v>476</v>
      </c>
    </row>
    <row r="226" spans="1:12" x14ac:dyDescent="0.2">
      <c r="A226">
        <v>225</v>
      </c>
      <c r="B226" t="s">
        <v>477</v>
      </c>
      <c r="K226">
        <v>225</v>
      </c>
      <c r="L226" s="19" t="s">
        <v>478</v>
      </c>
    </row>
    <row r="227" spans="1:12" x14ac:dyDescent="0.2">
      <c r="A227">
        <v>226</v>
      </c>
      <c r="B227" t="s">
        <v>479</v>
      </c>
      <c r="K227">
        <v>226</v>
      </c>
      <c r="L227" s="19" t="s">
        <v>480</v>
      </c>
    </row>
    <row r="228" spans="1:12" x14ac:dyDescent="0.2">
      <c r="A228">
        <v>227</v>
      </c>
      <c r="B228" t="s">
        <v>481</v>
      </c>
      <c r="K228">
        <v>227</v>
      </c>
      <c r="L228" s="19" t="s">
        <v>482</v>
      </c>
    </row>
    <row r="229" spans="1:12" x14ac:dyDescent="0.2">
      <c r="A229">
        <v>228</v>
      </c>
      <c r="B229" t="s">
        <v>483</v>
      </c>
      <c r="K229">
        <v>228</v>
      </c>
      <c r="L229" s="19" t="s">
        <v>484</v>
      </c>
    </row>
    <row r="230" spans="1:12" x14ac:dyDescent="0.2">
      <c r="A230">
        <v>229</v>
      </c>
      <c r="B230" t="s">
        <v>485</v>
      </c>
      <c r="K230">
        <v>229</v>
      </c>
      <c r="L230" s="19" t="s">
        <v>486</v>
      </c>
    </row>
    <row r="231" spans="1:12" x14ac:dyDescent="0.2">
      <c r="A231">
        <v>230</v>
      </c>
      <c r="B231" t="s">
        <v>487</v>
      </c>
      <c r="K231">
        <v>230</v>
      </c>
      <c r="L231" s="19" t="s">
        <v>488</v>
      </c>
    </row>
    <row r="232" spans="1:12" x14ac:dyDescent="0.2">
      <c r="A232">
        <v>231</v>
      </c>
      <c r="B232" t="s">
        <v>489</v>
      </c>
      <c r="K232">
        <v>231</v>
      </c>
      <c r="L232" s="19" t="s">
        <v>490</v>
      </c>
    </row>
    <row r="233" spans="1:12" x14ac:dyDescent="0.2">
      <c r="A233">
        <v>232</v>
      </c>
      <c r="B233" t="s">
        <v>491</v>
      </c>
      <c r="K233">
        <v>232</v>
      </c>
      <c r="L233" s="19" t="s">
        <v>492</v>
      </c>
    </row>
    <row r="234" spans="1:12" x14ac:dyDescent="0.2">
      <c r="A234">
        <v>233</v>
      </c>
      <c r="B234" t="s">
        <v>493</v>
      </c>
      <c r="K234">
        <v>233</v>
      </c>
      <c r="L234" s="19" t="s">
        <v>494</v>
      </c>
    </row>
    <row r="235" spans="1:12" x14ac:dyDescent="0.2">
      <c r="A235">
        <v>234</v>
      </c>
      <c r="B235" t="s">
        <v>495</v>
      </c>
      <c r="K235">
        <v>234</v>
      </c>
      <c r="L235" s="19" t="s">
        <v>496</v>
      </c>
    </row>
    <row r="236" spans="1:12" x14ac:dyDescent="0.2">
      <c r="A236">
        <v>235</v>
      </c>
      <c r="B236" t="s">
        <v>497</v>
      </c>
      <c r="K236">
        <v>235</v>
      </c>
      <c r="L236" s="19" t="s">
        <v>498</v>
      </c>
    </row>
    <row r="237" spans="1:12" x14ac:dyDescent="0.2">
      <c r="A237">
        <v>236</v>
      </c>
      <c r="B237" t="s">
        <v>499</v>
      </c>
      <c r="K237">
        <v>236</v>
      </c>
      <c r="L237" s="19" t="s">
        <v>500</v>
      </c>
    </row>
    <row r="238" spans="1:12" x14ac:dyDescent="0.2">
      <c r="A238">
        <v>237</v>
      </c>
      <c r="B238" t="s">
        <v>501</v>
      </c>
      <c r="K238">
        <v>237</v>
      </c>
      <c r="L238" s="19" t="s">
        <v>502</v>
      </c>
    </row>
    <row r="239" spans="1:12" x14ac:dyDescent="0.2">
      <c r="A239">
        <v>238</v>
      </c>
      <c r="B239" t="s">
        <v>503</v>
      </c>
      <c r="K239">
        <v>238</v>
      </c>
      <c r="L239" s="19" t="s">
        <v>504</v>
      </c>
    </row>
    <row r="240" spans="1:12" x14ac:dyDescent="0.2">
      <c r="A240">
        <v>239</v>
      </c>
      <c r="B240" t="s">
        <v>505</v>
      </c>
      <c r="K240">
        <v>239</v>
      </c>
      <c r="L240" s="19" t="s">
        <v>506</v>
      </c>
    </row>
    <row r="241" spans="1:12" x14ac:dyDescent="0.2">
      <c r="A241">
        <v>240</v>
      </c>
      <c r="B241" t="s">
        <v>507</v>
      </c>
      <c r="K241">
        <v>240</v>
      </c>
      <c r="L241" s="19" t="s">
        <v>508</v>
      </c>
    </row>
    <row r="242" spans="1:12" x14ac:dyDescent="0.2">
      <c r="A242">
        <v>241</v>
      </c>
      <c r="B242" t="s">
        <v>509</v>
      </c>
      <c r="K242">
        <v>241</v>
      </c>
      <c r="L242" s="19" t="s">
        <v>510</v>
      </c>
    </row>
    <row r="243" spans="1:12" x14ac:dyDescent="0.2">
      <c r="A243">
        <v>242</v>
      </c>
      <c r="B243" t="s">
        <v>511</v>
      </c>
      <c r="K243">
        <v>242</v>
      </c>
      <c r="L243" s="19" t="s">
        <v>512</v>
      </c>
    </row>
    <row r="244" spans="1:12" x14ac:dyDescent="0.2">
      <c r="A244">
        <v>243</v>
      </c>
      <c r="B244" t="s">
        <v>513</v>
      </c>
      <c r="K244">
        <v>243</v>
      </c>
      <c r="L244" s="19" t="s">
        <v>514</v>
      </c>
    </row>
    <row r="245" spans="1:12" x14ac:dyDescent="0.2">
      <c r="A245">
        <v>244</v>
      </c>
      <c r="B245" t="s">
        <v>515</v>
      </c>
      <c r="K245">
        <v>244</v>
      </c>
      <c r="L245" s="19" t="s">
        <v>516</v>
      </c>
    </row>
    <row r="246" spans="1:12" x14ac:dyDescent="0.2">
      <c r="A246">
        <v>245</v>
      </c>
      <c r="B246" t="s">
        <v>517</v>
      </c>
      <c r="K246">
        <v>245</v>
      </c>
      <c r="L246" s="19" t="s">
        <v>208</v>
      </c>
    </row>
    <row r="247" spans="1:12" x14ac:dyDescent="0.2">
      <c r="A247">
        <v>246</v>
      </c>
      <c r="B247" t="s">
        <v>518</v>
      </c>
      <c r="K247">
        <v>246</v>
      </c>
      <c r="L247" s="19" t="s">
        <v>519</v>
      </c>
    </row>
    <row r="248" spans="1:12" x14ac:dyDescent="0.2">
      <c r="K248">
        <v>247</v>
      </c>
      <c r="L248" s="19" t="s">
        <v>520</v>
      </c>
    </row>
    <row r="249" spans="1:12" x14ac:dyDescent="0.2">
      <c r="K249">
        <v>248</v>
      </c>
      <c r="L249" s="19" t="s">
        <v>521</v>
      </c>
    </row>
    <row r="250" spans="1:12" x14ac:dyDescent="0.2">
      <c r="K250">
        <v>249</v>
      </c>
      <c r="L250" s="19" t="s">
        <v>522</v>
      </c>
    </row>
    <row r="251" spans="1:12" x14ac:dyDescent="0.2">
      <c r="K251">
        <v>250</v>
      </c>
      <c r="L251" s="19" t="s">
        <v>523</v>
      </c>
    </row>
    <row r="252" spans="1:12" x14ac:dyDescent="0.2">
      <c r="K252">
        <v>251</v>
      </c>
      <c r="L252" s="19" t="s">
        <v>524</v>
      </c>
    </row>
    <row r="253" spans="1:12" x14ac:dyDescent="0.2">
      <c r="K253">
        <v>252</v>
      </c>
      <c r="L253" s="19" t="s">
        <v>525</v>
      </c>
    </row>
    <row r="254" spans="1:12" x14ac:dyDescent="0.2">
      <c r="K254">
        <v>253</v>
      </c>
      <c r="L254" s="19" t="s">
        <v>526</v>
      </c>
    </row>
    <row r="255" spans="1:12" x14ac:dyDescent="0.2">
      <c r="K255">
        <v>254</v>
      </c>
      <c r="L255" s="19" t="s">
        <v>527</v>
      </c>
    </row>
    <row r="256" spans="1:12" x14ac:dyDescent="0.2">
      <c r="K256">
        <v>255</v>
      </c>
      <c r="L256" s="19" t="s">
        <v>528</v>
      </c>
    </row>
    <row r="257" spans="11:12" x14ac:dyDescent="0.2">
      <c r="K257">
        <v>256</v>
      </c>
      <c r="L257" s="19" t="s">
        <v>529</v>
      </c>
    </row>
    <row r="258" spans="11:12" x14ac:dyDescent="0.2">
      <c r="K258">
        <v>257</v>
      </c>
      <c r="L258" s="19" t="s">
        <v>530</v>
      </c>
    </row>
    <row r="259" spans="11:12" x14ac:dyDescent="0.2">
      <c r="K259">
        <v>258</v>
      </c>
      <c r="L259" s="19" t="s">
        <v>531</v>
      </c>
    </row>
    <row r="260" spans="11:12" x14ac:dyDescent="0.2">
      <c r="K260">
        <v>259</v>
      </c>
      <c r="L260" s="19" t="s">
        <v>532</v>
      </c>
    </row>
    <row r="261" spans="11:12" x14ac:dyDescent="0.2">
      <c r="K261">
        <v>260</v>
      </c>
      <c r="L261" s="19" t="s">
        <v>533</v>
      </c>
    </row>
    <row r="262" spans="11:12" x14ac:dyDescent="0.2">
      <c r="K262">
        <v>261</v>
      </c>
      <c r="L262" s="19" t="s">
        <v>534</v>
      </c>
    </row>
    <row r="263" spans="11:12" x14ac:dyDescent="0.2">
      <c r="K263">
        <v>262</v>
      </c>
      <c r="L263" s="19" t="s">
        <v>535</v>
      </c>
    </row>
    <row r="264" spans="11:12" x14ac:dyDescent="0.2">
      <c r="K264">
        <v>263</v>
      </c>
      <c r="L264" s="19" t="s">
        <v>536</v>
      </c>
    </row>
    <row r="265" spans="11:12" x14ac:dyDescent="0.2">
      <c r="K265">
        <v>264</v>
      </c>
      <c r="L265" s="19" t="s">
        <v>537</v>
      </c>
    </row>
    <row r="266" spans="11:12" x14ac:dyDescent="0.2">
      <c r="K266">
        <v>265</v>
      </c>
      <c r="L266" s="19" t="s">
        <v>538</v>
      </c>
    </row>
    <row r="267" spans="11:12" x14ac:dyDescent="0.2">
      <c r="K267">
        <v>266</v>
      </c>
      <c r="L267" s="19" t="s">
        <v>539</v>
      </c>
    </row>
    <row r="268" spans="11:12" x14ac:dyDescent="0.2">
      <c r="K268">
        <v>267</v>
      </c>
      <c r="L268" s="19" t="s">
        <v>540</v>
      </c>
    </row>
    <row r="269" spans="11:12" x14ac:dyDescent="0.2">
      <c r="K269">
        <v>268</v>
      </c>
      <c r="L269" s="19" t="s">
        <v>541</v>
      </c>
    </row>
    <row r="270" spans="11:12" x14ac:dyDescent="0.2">
      <c r="K270">
        <v>269</v>
      </c>
      <c r="L270" s="19" t="s">
        <v>542</v>
      </c>
    </row>
    <row r="271" spans="11:12" x14ac:dyDescent="0.2">
      <c r="K271">
        <v>270</v>
      </c>
      <c r="L271" s="19" t="s">
        <v>543</v>
      </c>
    </row>
    <row r="272" spans="11:12" x14ac:dyDescent="0.2">
      <c r="K272">
        <v>271</v>
      </c>
      <c r="L272" s="19" t="s">
        <v>544</v>
      </c>
    </row>
    <row r="273" spans="11:12" x14ac:dyDescent="0.2">
      <c r="K273">
        <v>272</v>
      </c>
      <c r="L273" s="19" t="s">
        <v>545</v>
      </c>
    </row>
    <row r="274" spans="11:12" x14ac:dyDescent="0.2">
      <c r="K274">
        <v>273</v>
      </c>
      <c r="L274" s="19" t="s">
        <v>546</v>
      </c>
    </row>
    <row r="275" spans="11:12" x14ac:dyDescent="0.2">
      <c r="K275">
        <v>274</v>
      </c>
      <c r="L275" s="19" t="s">
        <v>547</v>
      </c>
    </row>
    <row r="276" spans="11:12" x14ac:dyDescent="0.2">
      <c r="K276">
        <v>275</v>
      </c>
      <c r="L276" s="19" t="s">
        <v>548</v>
      </c>
    </row>
    <row r="277" spans="11:12" x14ac:dyDescent="0.2">
      <c r="K277">
        <v>276</v>
      </c>
      <c r="L277" s="19" t="s">
        <v>549</v>
      </c>
    </row>
    <row r="278" spans="11:12" x14ac:dyDescent="0.2">
      <c r="K278">
        <v>277</v>
      </c>
      <c r="L278" s="19" t="s">
        <v>550</v>
      </c>
    </row>
    <row r="279" spans="11:12" x14ac:dyDescent="0.2">
      <c r="K279">
        <v>278</v>
      </c>
      <c r="L279" s="19" t="s">
        <v>214</v>
      </c>
    </row>
    <row r="280" spans="11:12" x14ac:dyDescent="0.2">
      <c r="K280">
        <v>279</v>
      </c>
      <c r="L280" s="19" t="s">
        <v>216</v>
      </c>
    </row>
    <row r="281" spans="11:12" x14ac:dyDescent="0.2">
      <c r="K281">
        <v>280</v>
      </c>
      <c r="L281" s="19" t="s">
        <v>218</v>
      </c>
    </row>
    <row r="282" spans="11:12" x14ac:dyDescent="0.2">
      <c r="K282">
        <v>281</v>
      </c>
      <c r="L282" s="19" t="s">
        <v>551</v>
      </c>
    </row>
    <row r="283" spans="11:12" x14ac:dyDescent="0.2">
      <c r="K283">
        <v>282</v>
      </c>
      <c r="L283" s="19" t="s">
        <v>552</v>
      </c>
    </row>
    <row r="284" spans="11:12" x14ac:dyDescent="0.2">
      <c r="K284">
        <v>283</v>
      </c>
      <c r="L284" s="19" t="s">
        <v>553</v>
      </c>
    </row>
    <row r="285" spans="11:12" x14ac:dyDescent="0.2">
      <c r="K285">
        <v>284</v>
      </c>
      <c r="L285" s="19" t="s">
        <v>554</v>
      </c>
    </row>
    <row r="286" spans="11:12" x14ac:dyDescent="0.2">
      <c r="K286">
        <v>285</v>
      </c>
      <c r="L286" s="19" t="s">
        <v>555</v>
      </c>
    </row>
    <row r="287" spans="11:12" x14ac:dyDescent="0.2">
      <c r="K287">
        <v>286</v>
      </c>
      <c r="L287" s="19" t="s">
        <v>556</v>
      </c>
    </row>
    <row r="288" spans="11:12" x14ac:dyDescent="0.2">
      <c r="K288">
        <v>287</v>
      </c>
      <c r="L288" s="19" t="s">
        <v>557</v>
      </c>
    </row>
    <row r="289" spans="11:12" x14ac:dyDescent="0.2">
      <c r="K289">
        <v>288</v>
      </c>
      <c r="L289" s="19" t="s">
        <v>558</v>
      </c>
    </row>
    <row r="290" spans="11:12" x14ac:dyDescent="0.2">
      <c r="K290">
        <v>289</v>
      </c>
      <c r="L290" s="19" t="s">
        <v>559</v>
      </c>
    </row>
    <row r="291" spans="11:12" x14ac:dyDescent="0.2">
      <c r="K291">
        <v>290</v>
      </c>
      <c r="L291" s="19" t="s">
        <v>560</v>
      </c>
    </row>
    <row r="292" spans="11:12" x14ac:dyDescent="0.2">
      <c r="K292">
        <v>291</v>
      </c>
      <c r="L292" s="19" t="s">
        <v>561</v>
      </c>
    </row>
    <row r="293" spans="11:12" x14ac:dyDescent="0.2">
      <c r="K293">
        <v>292</v>
      </c>
      <c r="L293" s="19" t="s">
        <v>562</v>
      </c>
    </row>
    <row r="294" spans="11:12" x14ac:dyDescent="0.2">
      <c r="K294">
        <v>293</v>
      </c>
      <c r="L294" s="19" t="s">
        <v>563</v>
      </c>
    </row>
    <row r="295" spans="11:12" x14ac:dyDescent="0.2">
      <c r="K295">
        <v>294</v>
      </c>
      <c r="L295" s="19" t="s">
        <v>564</v>
      </c>
    </row>
    <row r="296" spans="11:12" x14ac:dyDescent="0.2">
      <c r="K296">
        <v>295</v>
      </c>
      <c r="L296" s="19" t="s">
        <v>565</v>
      </c>
    </row>
    <row r="297" spans="11:12" x14ac:dyDescent="0.2">
      <c r="K297">
        <v>296</v>
      </c>
      <c r="L297" s="19" t="s">
        <v>566</v>
      </c>
    </row>
    <row r="298" spans="11:12" x14ac:dyDescent="0.2">
      <c r="K298">
        <v>297</v>
      </c>
      <c r="L298" s="19" t="s">
        <v>567</v>
      </c>
    </row>
    <row r="299" spans="11:12" x14ac:dyDescent="0.2">
      <c r="K299">
        <v>298</v>
      </c>
      <c r="L299" s="19" t="s">
        <v>568</v>
      </c>
    </row>
    <row r="300" spans="11:12" x14ac:dyDescent="0.2">
      <c r="K300">
        <v>299</v>
      </c>
      <c r="L300" s="19" t="s">
        <v>569</v>
      </c>
    </row>
    <row r="301" spans="11:12" x14ac:dyDescent="0.2">
      <c r="K301">
        <v>300</v>
      </c>
      <c r="L301" s="19" t="s">
        <v>570</v>
      </c>
    </row>
    <row r="302" spans="11:12" x14ac:dyDescent="0.2">
      <c r="K302">
        <v>301</v>
      </c>
      <c r="L302" s="19" t="s">
        <v>571</v>
      </c>
    </row>
    <row r="303" spans="11:12" x14ac:dyDescent="0.2">
      <c r="K303">
        <v>302</v>
      </c>
      <c r="L303" s="19" t="s">
        <v>572</v>
      </c>
    </row>
    <row r="304" spans="11:12" x14ac:dyDescent="0.2">
      <c r="K304">
        <v>303</v>
      </c>
      <c r="L304" s="19" t="s">
        <v>573</v>
      </c>
    </row>
    <row r="305" spans="11:12" x14ac:dyDescent="0.2">
      <c r="K305">
        <v>304</v>
      </c>
      <c r="L305" s="19" t="s">
        <v>574</v>
      </c>
    </row>
    <row r="306" spans="11:12" x14ac:dyDescent="0.2">
      <c r="K306">
        <v>305</v>
      </c>
      <c r="L306" s="19" t="s">
        <v>575</v>
      </c>
    </row>
    <row r="307" spans="11:12" x14ac:dyDescent="0.2">
      <c r="K307">
        <v>306</v>
      </c>
      <c r="L307" s="19" t="s">
        <v>576</v>
      </c>
    </row>
    <row r="308" spans="11:12" x14ac:dyDescent="0.2">
      <c r="K308">
        <v>307</v>
      </c>
      <c r="L308" s="19" t="s">
        <v>577</v>
      </c>
    </row>
    <row r="309" spans="11:12" x14ac:dyDescent="0.2">
      <c r="K309">
        <v>308</v>
      </c>
      <c r="L309" s="19" t="s">
        <v>578</v>
      </c>
    </row>
    <row r="310" spans="11:12" x14ac:dyDescent="0.2">
      <c r="K310">
        <v>309</v>
      </c>
      <c r="L310" s="19" t="s">
        <v>579</v>
      </c>
    </row>
    <row r="311" spans="11:12" x14ac:dyDescent="0.2">
      <c r="K311">
        <v>310</v>
      </c>
      <c r="L311" s="19" t="s">
        <v>580</v>
      </c>
    </row>
    <row r="312" spans="11:12" x14ac:dyDescent="0.2">
      <c r="K312">
        <v>311</v>
      </c>
      <c r="L312" s="19" t="s">
        <v>581</v>
      </c>
    </row>
    <row r="313" spans="11:12" x14ac:dyDescent="0.2">
      <c r="K313">
        <v>312</v>
      </c>
      <c r="L313" s="19" t="s">
        <v>582</v>
      </c>
    </row>
    <row r="314" spans="11:12" x14ac:dyDescent="0.2">
      <c r="K314">
        <v>313</v>
      </c>
      <c r="L314" s="19" t="s">
        <v>583</v>
      </c>
    </row>
    <row r="315" spans="11:12" x14ac:dyDescent="0.2">
      <c r="K315">
        <v>314</v>
      </c>
      <c r="L315" s="19" t="s">
        <v>584</v>
      </c>
    </row>
    <row r="316" spans="11:12" x14ac:dyDescent="0.2">
      <c r="K316">
        <v>315</v>
      </c>
      <c r="L316" s="19" t="s">
        <v>585</v>
      </c>
    </row>
    <row r="317" spans="11:12" x14ac:dyDescent="0.2">
      <c r="K317">
        <v>316</v>
      </c>
      <c r="L317" s="19" t="s">
        <v>586</v>
      </c>
    </row>
    <row r="318" spans="11:12" x14ac:dyDescent="0.2">
      <c r="K318">
        <v>317</v>
      </c>
      <c r="L318" s="19" t="s">
        <v>587</v>
      </c>
    </row>
    <row r="319" spans="11:12" x14ac:dyDescent="0.2">
      <c r="K319">
        <v>318</v>
      </c>
      <c r="L319" s="19" t="s">
        <v>588</v>
      </c>
    </row>
    <row r="320" spans="11:12" x14ac:dyDescent="0.2">
      <c r="K320">
        <v>319</v>
      </c>
      <c r="L320" s="19" t="s">
        <v>589</v>
      </c>
    </row>
    <row r="321" spans="11:12" x14ac:dyDescent="0.2">
      <c r="K321">
        <v>320</v>
      </c>
      <c r="L321" s="19" t="s">
        <v>590</v>
      </c>
    </row>
    <row r="322" spans="11:12" x14ac:dyDescent="0.2">
      <c r="K322">
        <v>321</v>
      </c>
      <c r="L322" s="19" t="s">
        <v>591</v>
      </c>
    </row>
    <row r="323" spans="11:12" x14ac:dyDescent="0.2">
      <c r="K323">
        <v>322</v>
      </c>
      <c r="L323" s="19" t="s">
        <v>592</v>
      </c>
    </row>
    <row r="324" spans="11:12" x14ac:dyDescent="0.2">
      <c r="K324">
        <v>323</v>
      </c>
      <c r="L324" s="19" t="s">
        <v>593</v>
      </c>
    </row>
    <row r="325" spans="11:12" x14ac:dyDescent="0.2">
      <c r="K325">
        <v>324</v>
      </c>
      <c r="L325" s="19" t="s">
        <v>594</v>
      </c>
    </row>
    <row r="326" spans="11:12" x14ac:dyDescent="0.2">
      <c r="K326">
        <v>325</v>
      </c>
      <c r="L326" s="19" t="s">
        <v>595</v>
      </c>
    </row>
    <row r="327" spans="11:12" x14ac:dyDescent="0.2">
      <c r="K327">
        <v>326</v>
      </c>
      <c r="L327" s="19" t="s">
        <v>596</v>
      </c>
    </row>
    <row r="328" spans="11:12" x14ac:dyDescent="0.2">
      <c r="K328">
        <v>327</v>
      </c>
      <c r="L328" s="19" t="s">
        <v>597</v>
      </c>
    </row>
    <row r="329" spans="11:12" x14ac:dyDescent="0.2">
      <c r="K329">
        <v>328</v>
      </c>
      <c r="L329" s="19" t="s">
        <v>598</v>
      </c>
    </row>
    <row r="330" spans="11:12" x14ac:dyDescent="0.2">
      <c r="K330">
        <v>329</v>
      </c>
      <c r="L330" s="19" t="s">
        <v>599</v>
      </c>
    </row>
    <row r="331" spans="11:12" x14ac:dyDescent="0.2">
      <c r="K331">
        <v>330</v>
      </c>
      <c r="L331" s="19" t="s">
        <v>600</v>
      </c>
    </row>
    <row r="332" spans="11:12" x14ac:dyDescent="0.2">
      <c r="K332">
        <v>331</v>
      </c>
      <c r="L332" s="19" t="s">
        <v>601</v>
      </c>
    </row>
    <row r="333" spans="11:12" x14ac:dyDescent="0.2">
      <c r="K333">
        <v>332</v>
      </c>
      <c r="L333" s="19" t="s">
        <v>602</v>
      </c>
    </row>
    <row r="334" spans="11:12" x14ac:dyDescent="0.2">
      <c r="K334">
        <v>333</v>
      </c>
      <c r="L334" s="19" t="s">
        <v>603</v>
      </c>
    </row>
    <row r="335" spans="11:12" x14ac:dyDescent="0.2">
      <c r="K335">
        <v>334</v>
      </c>
      <c r="L335" s="19" t="s">
        <v>604</v>
      </c>
    </row>
    <row r="336" spans="11:12" x14ac:dyDescent="0.2">
      <c r="K336">
        <v>335</v>
      </c>
      <c r="L336" s="19" t="s">
        <v>605</v>
      </c>
    </row>
    <row r="337" spans="11:12" x14ac:dyDescent="0.2">
      <c r="K337">
        <v>336</v>
      </c>
      <c r="L337" s="19" t="s">
        <v>606</v>
      </c>
    </row>
    <row r="338" spans="11:12" x14ac:dyDescent="0.2">
      <c r="K338">
        <v>337</v>
      </c>
      <c r="L338" s="19" t="s">
        <v>607</v>
      </c>
    </row>
    <row r="339" spans="11:12" x14ac:dyDescent="0.2">
      <c r="K339">
        <v>338</v>
      </c>
      <c r="L339" s="19" t="s">
        <v>608</v>
      </c>
    </row>
    <row r="340" spans="11:12" x14ac:dyDescent="0.2">
      <c r="K340">
        <v>339</v>
      </c>
      <c r="L340" s="19" t="s">
        <v>609</v>
      </c>
    </row>
    <row r="341" spans="11:12" x14ac:dyDescent="0.2">
      <c r="K341">
        <v>340</v>
      </c>
      <c r="L341" s="19" t="s">
        <v>610</v>
      </c>
    </row>
    <row r="342" spans="11:12" x14ac:dyDescent="0.2">
      <c r="K342">
        <v>341</v>
      </c>
      <c r="L342" s="19" t="s">
        <v>611</v>
      </c>
    </row>
    <row r="343" spans="11:12" x14ac:dyDescent="0.2">
      <c r="K343">
        <v>342</v>
      </c>
      <c r="L343" s="19" t="s">
        <v>612</v>
      </c>
    </row>
    <row r="344" spans="11:12" x14ac:dyDescent="0.2">
      <c r="K344">
        <v>343</v>
      </c>
      <c r="L344" s="19" t="s">
        <v>613</v>
      </c>
    </row>
    <row r="345" spans="11:12" x14ac:dyDescent="0.2">
      <c r="K345">
        <v>344</v>
      </c>
      <c r="L345" s="19" t="s">
        <v>614</v>
      </c>
    </row>
    <row r="346" spans="11:12" x14ac:dyDescent="0.2">
      <c r="K346">
        <v>345</v>
      </c>
      <c r="L346" s="19" t="s">
        <v>615</v>
      </c>
    </row>
    <row r="347" spans="11:12" x14ac:dyDescent="0.2">
      <c r="K347">
        <v>346</v>
      </c>
      <c r="L347" s="19" t="s">
        <v>616</v>
      </c>
    </row>
    <row r="348" spans="11:12" x14ac:dyDescent="0.2">
      <c r="K348">
        <v>347</v>
      </c>
      <c r="L348" s="19" t="s">
        <v>617</v>
      </c>
    </row>
    <row r="349" spans="11:12" x14ac:dyDescent="0.2">
      <c r="K349">
        <v>348</v>
      </c>
      <c r="L349" s="19" t="s">
        <v>618</v>
      </c>
    </row>
    <row r="350" spans="11:12" x14ac:dyDescent="0.2">
      <c r="K350">
        <v>349</v>
      </c>
      <c r="L350" s="19" t="s">
        <v>619</v>
      </c>
    </row>
    <row r="351" spans="11:12" x14ac:dyDescent="0.2">
      <c r="K351">
        <v>350</v>
      </c>
      <c r="L351" s="19" t="s">
        <v>620</v>
      </c>
    </row>
    <row r="352" spans="11:12" x14ac:dyDescent="0.2">
      <c r="K352">
        <v>351</v>
      </c>
      <c r="L352" s="19" t="s">
        <v>621</v>
      </c>
    </row>
    <row r="353" spans="11:12" x14ac:dyDescent="0.2">
      <c r="K353">
        <v>352</v>
      </c>
      <c r="L353" s="19" t="s">
        <v>622</v>
      </c>
    </row>
    <row r="354" spans="11:12" x14ac:dyDescent="0.2">
      <c r="K354">
        <v>353</v>
      </c>
      <c r="L354" s="19" t="s">
        <v>623</v>
      </c>
    </row>
    <row r="355" spans="11:12" x14ac:dyDescent="0.2">
      <c r="K355">
        <v>354</v>
      </c>
      <c r="L355" s="19" t="s">
        <v>624</v>
      </c>
    </row>
    <row r="356" spans="11:12" x14ac:dyDescent="0.2">
      <c r="K356">
        <v>355</v>
      </c>
      <c r="L356" s="19" t="s">
        <v>625</v>
      </c>
    </row>
    <row r="357" spans="11:12" x14ac:dyDescent="0.2">
      <c r="K357">
        <v>356</v>
      </c>
      <c r="L357" s="19" t="s">
        <v>626</v>
      </c>
    </row>
    <row r="358" spans="11:12" x14ac:dyDescent="0.2">
      <c r="K358">
        <v>357</v>
      </c>
      <c r="L358" s="19" t="s">
        <v>627</v>
      </c>
    </row>
    <row r="359" spans="11:12" x14ac:dyDescent="0.2">
      <c r="K359">
        <v>358</v>
      </c>
      <c r="L359" s="19" t="s">
        <v>628</v>
      </c>
    </row>
    <row r="360" spans="11:12" x14ac:dyDescent="0.2">
      <c r="K360">
        <v>359</v>
      </c>
      <c r="L360" s="19" t="s">
        <v>629</v>
      </c>
    </row>
    <row r="361" spans="11:12" x14ac:dyDescent="0.2">
      <c r="K361">
        <v>360</v>
      </c>
      <c r="L361" s="19" t="s">
        <v>630</v>
      </c>
    </row>
    <row r="362" spans="11:12" x14ac:dyDescent="0.2">
      <c r="K362">
        <v>361</v>
      </c>
      <c r="L362" s="19" t="s">
        <v>631</v>
      </c>
    </row>
    <row r="363" spans="11:12" x14ac:dyDescent="0.2">
      <c r="K363">
        <v>362</v>
      </c>
      <c r="L363" s="19" t="s">
        <v>632</v>
      </c>
    </row>
    <row r="364" spans="11:12" x14ac:dyDescent="0.2">
      <c r="K364">
        <v>363</v>
      </c>
      <c r="L364" s="19" t="s">
        <v>633</v>
      </c>
    </row>
    <row r="365" spans="11:12" x14ac:dyDescent="0.2">
      <c r="K365">
        <v>364</v>
      </c>
      <c r="L365" s="19" t="s">
        <v>634</v>
      </c>
    </row>
    <row r="366" spans="11:12" x14ac:dyDescent="0.2">
      <c r="K366">
        <v>365</v>
      </c>
      <c r="L366" s="19" t="s">
        <v>635</v>
      </c>
    </row>
    <row r="367" spans="11:12" x14ac:dyDescent="0.2">
      <c r="K367">
        <v>366</v>
      </c>
      <c r="L367" s="19" t="s">
        <v>636</v>
      </c>
    </row>
    <row r="368" spans="11:12" x14ac:dyDescent="0.2">
      <c r="K368">
        <v>367</v>
      </c>
      <c r="L368" s="19" t="s">
        <v>637</v>
      </c>
    </row>
    <row r="369" spans="11:12" x14ac:dyDescent="0.2">
      <c r="K369">
        <v>368</v>
      </c>
      <c r="L369" s="19" t="s">
        <v>229</v>
      </c>
    </row>
    <row r="370" spans="11:12" x14ac:dyDescent="0.2">
      <c r="K370">
        <v>369</v>
      </c>
      <c r="L370" s="19" t="s">
        <v>638</v>
      </c>
    </row>
    <row r="371" spans="11:12" x14ac:dyDescent="0.2">
      <c r="K371">
        <v>370</v>
      </c>
      <c r="L371" s="19" t="s">
        <v>639</v>
      </c>
    </row>
    <row r="372" spans="11:12" x14ac:dyDescent="0.2">
      <c r="K372">
        <v>371</v>
      </c>
      <c r="L372" s="19" t="s">
        <v>640</v>
      </c>
    </row>
    <row r="373" spans="11:12" x14ac:dyDescent="0.2">
      <c r="K373">
        <v>372</v>
      </c>
      <c r="L373" s="19" t="s">
        <v>641</v>
      </c>
    </row>
    <row r="374" spans="11:12" x14ac:dyDescent="0.2">
      <c r="K374">
        <v>373</v>
      </c>
      <c r="L374" s="19" t="s">
        <v>642</v>
      </c>
    </row>
    <row r="375" spans="11:12" x14ac:dyDescent="0.2">
      <c r="K375">
        <v>374</v>
      </c>
      <c r="L375" s="19" t="s">
        <v>643</v>
      </c>
    </row>
    <row r="376" spans="11:12" x14ac:dyDescent="0.2">
      <c r="K376">
        <v>375</v>
      </c>
      <c r="L376" s="19" t="s">
        <v>644</v>
      </c>
    </row>
    <row r="377" spans="11:12" x14ac:dyDescent="0.2">
      <c r="K377">
        <v>376</v>
      </c>
      <c r="L377" s="19" t="s">
        <v>645</v>
      </c>
    </row>
    <row r="378" spans="11:12" x14ac:dyDescent="0.2">
      <c r="K378">
        <v>377</v>
      </c>
      <c r="L378" s="19" t="s">
        <v>646</v>
      </c>
    </row>
    <row r="379" spans="11:12" x14ac:dyDescent="0.2">
      <c r="K379">
        <v>378</v>
      </c>
      <c r="L379" s="19" t="s">
        <v>647</v>
      </c>
    </row>
    <row r="380" spans="11:12" x14ac:dyDescent="0.2">
      <c r="K380">
        <v>379</v>
      </c>
      <c r="L380" s="19" t="s">
        <v>648</v>
      </c>
    </row>
    <row r="381" spans="11:12" x14ac:dyDescent="0.2">
      <c r="K381">
        <v>380</v>
      </c>
      <c r="L381" s="19" t="s">
        <v>649</v>
      </c>
    </row>
    <row r="382" spans="11:12" x14ac:dyDescent="0.2">
      <c r="K382">
        <v>381</v>
      </c>
      <c r="L382" s="19" t="s">
        <v>650</v>
      </c>
    </row>
    <row r="383" spans="11:12" x14ac:dyDescent="0.2">
      <c r="K383">
        <v>382</v>
      </c>
      <c r="L383" s="19" t="s">
        <v>651</v>
      </c>
    </row>
    <row r="384" spans="11:12" x14ac:dyDescent="0.2">
      <c r="K384">
        <v>383</v>
      </c>
      <c r="L384" s="19" t="s">
        <v>652</v>
      </c>
    </row>
    <row r="385" spans="11:12" x14ac:dyDescent="0.2">
      <c r="K385">
        <v>384</v>
      </c>
      <c r="L385" s="19" t="s">
        <v>653</v>
      </c>
    </row>
    <row r="386" spans="11:12" x14ac:dyDescent="0.2">
      <c r="K386">
        <v>385</v>
      </c>
      <c r="L386" s="19" t="s">
        <v>654</v>
      </c>
    </row>
    <row r="387" spans="11:12" x14ac:dyDescent="0.2">
      <c r="K387">
        <v>386</v>
      </c>
      <c r="L387" s="19" t="s">
        <v>655</v>
      </c>
    </row>
    <row r="388" spans="11:12" x14ac:dyDescent="0.2">
      <c r="K388">
        <v>387</v>
      </c>
      <c r="L388" s="19" t="s">
        <v>656</v>
      </c>
    </row>
    <row r="389" spans="11:12" x14ac:dyDescent="0.2">
      <c r="K389">
        <v>388</v>
      </c>
      <c r="L389" s="19" t="s">
        <v>657</v>
      </c>
    </row>
    <row r="390" spans="11:12" x14ac:dyDescent="0.2">
      <c r="K390">
        <v>389</v>
      </c>
      <c r="L390" s="19" t="s">
        <v>658</v>
      </c>
    </row>
    <row r="391" spans="11:12" x14ac:dyDescent="0.2">
      <c r="K391">
        <v>390</v>
      </c>
      <c r="L391" s="19" t="s">
        <v>659</v>
      </c>
    </row>
    <row r="392" spans="11:12" x14ac:dyDescent="0.2">
      <c r="K392">
        <v>391</v>
      </c>
      <c r="L392" s="19" t="s">
        <v>660</v>
      </c>
    </row>
    <row r="393" spans="11:12" x14ac:dyDescent="0.2">
      <c r="K393">
        <v>392</v>
      </c>
      <c r="L393" s="19" t="s">
        <v>661</v>
      </c>
    </row>
    <row r="394" spans="11:12" x14ac:dyDescent="0.2">
      <c r="K394">
        <v>393</v>
      </c>
      <c r="L394" s="19" t="s">
        <v>662</v>
      </c>
    </row>
    <row r="395" spans="11:12" x14ac:dyDescent="0.2">
      <c r="K395">
        <v>394</v>
      </c>
      <c r="L395" s="19" t="s">
        <v>663</v>
      </c>
    </row>
    <row r="396" spans="11:12" x14ac:dyDescent="0.2">
      <c r="K396">
        <v>395</v>
      </c>
      <c r="L396" s="19" t="s">
        <v>664</v>
      </c>
    </row>
    <row r="397" spans="11:12" x14ac:dyDescent="0.2">
      <c r="K397">
        <v>396</v>
      </c>
      <c r="L397" s="19" t="s">
        <v>665</v>
      </c>
    </row>
    <row r="398" spans="11:12" x14ac:dyDescent="0.2">
      <c r="K398">
        <v>397</v>
      </c>
      <c r="L398" s="19" t="s">
        <v>666</v>
      </c>
    </row>
    <row r="399" spans="11:12" x14ac:dyDescent="0.2">
      <c r="K399">
        <v>398</v>
      </c>
      <c r="L399" s="19" t="s">
        <v>667</v>
      </c>
    </row>
    <row r="400" spans="11:12" x14ac:dyDescent="0.2">
      <c r="K400">
        <v>399</v>
      </c>
      <c r="L400" s="19" t="s">
        <v>668</v>
      </c>
    </row>
    <row r="401" spans="11:12" x14ac:dyDescent="0.2">
      <c r="K401">
        <v>400</v>
      </c>
      <c r="L401" s="19" t="s">
        <v>251</v>
      </c>
    </row>
    <row r="402" spans="11:12" x14ac:dyDescent="0.2">
      <c r="K402">
        <v>401</v>
      </c>
      <c r="L402" s="19" t="s">
        <v>253</v>
      </c>
    </row>
    <row r="403" spans="11:12" x14ac:dyDescent="0.2">
      <c r="K403">
        <v>402</v>
      </c>
      <c r="L403" s="19" t="s">
        <v>255</v>
      </c>
    </row>
    <row r="404" spans="11:12" x14ac:dyDescent="0.2">
      <c r="K404">
        <v>403</v>
      </c>
      <c r="L404" s="19" t="s">
        <v>257</v>
      </c>
    </row>
    <row r="405" spans="11:12" x14ac:dyDescent="0.2">
      <c r="K405">
        <v>404</v>
      </c>
      <c r="L405" s="19" t="s">
        <v>259</v>
      </c>
    </row>
    <row r="406" spans="11:12" x14ac:dyDescent="0.2">
      <c r="K406">
        <v>405</v>
      </c>
      <c r="L406" s="19" t="s">
        <v>261</v>
      </c>
    </row>
    <row r="407" spans="11:12" x14ac:dyDescent="0.2">
      <c r="K407">
        <v>406</v>
      </c>
      <c r="L407" s="19" t="s">
        <v>263</v>
      </c>
    </row>
    <row r="408" spans="11:12" x14ac:dyDescent="0.2">
      <c r="K408">
        <v>407</v>
      </c>
      <c r="L408" s="19" t="s">
        <v>669</v>
      </c>
    </row>
    <row r="409" spans="11:12" x14ac:dyDescent="0.2">
      <c r="K409">
        <v>408</v>
      </c>
      <c r="L409" s="19" t="s">
        <v>670</v>
      </c>
    </row>
    <row r="410" spans="11:12" x14ac:dyDescent="0.2">
      <c r="K410">
        <v>409</v>
      </c>
      <c r="L410" s="19" t="s">
        <v>671</v>
      </c>
    </row>
    <row r="411" spans="11:12" x14ac:dyDescent="0.2">
      <c r="K411">
        <v>410</v>
      </c>
      <c r="L411" s="19" t="s">
        <v>672</v>
      </c>
    </row>
    <row r="412" spans="11:12" x14ac:dyDescent="0.2">
      <c r="K412">
        <v>411</v>
      </c>
      <c r="L412" s="19" t="s">
        <v>673</v>
      </c>
    </row>
    <row r="413" spans="11:12" x14ac:dyDescent="0.2">
      <c r="K413">
        <v>412</v>
      </c>
      <c r="L413" s="19" t="s">
        <v>674</v>
      </c>
    </row>
    <row r="414" spans="11:12" x14ac:dyDescent="0.2">
      <c r="K414">
        <v>413</v>
      </c>
      <c r="L414" s="19" t="s">
        <v>675</v>
      </c>
    </row>
    <row r="415" spans="11:12" x14ac:dyDescent="0.2">
      <c r="K415">
        <v>414</v>
      </c>
      <c r="L415" s="19" t="s">
        <v>676</v>
      </c>
    </row>
    <row r="416" spans="11:12" x14ac:dyDescent="0.2">
      <c r="K416">
        <v>415</v>
      </c>
      <c r="L416" s="19" t="s">
        <v>677</v>
      </c>
    </row>
    <row r="417" spans="11:12" x14ac:dyDescent="0.2">
      <c r="K417">
        <v>416</v>
      </c>
      <c r="L417" s="19" t="s">
        <v>678</v>
      </c>
    </row>
    <row r="418" spans="11:12" x14ac:dyDescent="0.2">
      <c r="K418">
        <v>417</v>
      </c>
      <c r="L418" s="19" t="s">
        <v>679</v>
      </c>
    </row>
    <row r="419" spans="11:12" x14ac:dyDescent="0.2">
      <c r="K419">
        <v>418</v>
      </c>
      <c r="L419" s="19" t="s">
        <v>680</v>
      </c>
    </row>
    <row r="420" spans="11:12" x14ac:dyDescent="0.2">
      <c r="K420">
        <v>419</v>
      </c>
      <c r="L420" s="19" t="s">
        <v>681</v>
      </c>
    </row>
    <row r="421" spans="11:12" x14ac:dyDescent="0.2">
      <c r="K421">
        <v>420</v>
      </c>
      <c r="L421" s="19" t="s">
        <v>682</v>
      </c>
    </row>
    <row r="422" spans="11:12" x14ac:dyDescent="0.2">
      <c r="K422">
        <v>421</v>
      </c>
      <c r="L422" s="19" t="s">
        <v>683</v>
      </c>
    </row>
    <row r="423" spans="11:12" x14ac:dyDescent="0.2">
      <c r="K423">
        <v>422</v>
      </c>
      <c r="L423" s="19" t="s">
        <v>684</v>
      </c>
    </row>
    <row r="424" spans="11:12" x14ac:dyDescent="0.2">
      <c r="K424">
        <v>423</v>
      </c>
      <c r="L424" s="19" t="s">
        <v>685</v>
      </c>
    </row>
    <row r="425" spans="11:12" x14ac:dyDescent="0.2">
      <c r="K425">
        <v>424</v>
      </c>
      <c r="L425" s="19" t="s">
        <v>686</v>
      </c>
    </row>
    <row r="426" spans="11:12" x14ac:dyDescent="0.2">
      <c r="K426">
        <v>425</v>
      </c>
      <c r="L426" s="19" t="s">
        <v>687</v>
      </c>
    </row>
    <row r="427" spans="11:12" x14ac:dyDescent="0.2">
      <c r="K427">
        <v>426</v>
      </c>
      <c r="L427" s="19" t="s">
        <v>688</v>
      </c>
    </row>
    <row r="428" spans="11:12" x14ac:dyDescent="0.2">
      <c r="K428">
        <v>427</v>
      </c>
      <c r="L428" s="19" t="s">
        <v>689</v>
      </c>
    </row>
    <row r="429" spans="11:12" x14ac:dyDescent="0.2">
      <c r="K429">
        <v>428</v>
      </c>
      <c r="L429" s="19" t="s">
        <v>690</v>
      </c>
    </row>
    <row r="430" spans="11:12" x14ac:dyDescent="0.2">
      <c r="K430">
        <v>429</v>
      </c>
      <c r="L430" s="19" t="s">
        <v>691</v>
      </c>
    </row>
    <row r="431" spans="11:12" x14ac:dyDescent="0.2">
      <c r="K431">
        <v>430</v>
      </c>
      <c r="L431" s="19" t="s">
        <v>692</v>
      </c>
    </row>
    <row r="432" spans="11:12" x14ac:dyDescent="0.2">
      <c r="K432">
        <v>431</v>
      </c>
      <c r="L432" s="19" t="s">
        <v>693</v>
      </c>
    </row>
    <row r="433" spans="11:12" x14ac:dyDescent="0.2">
      <c r="K433">
        <v>432</v>
      </c>
      <c r="L433" s="19" t="s">
        <v>694</v>
      </c>
    </row>
    <row r="434" spans="11:12" x14ac:dyDescent="0.2">
      <c r="K434">
        <v>433</v>
      </c>
      <c r="L434" s="19" t="s">
        <v>695</v>
      </c>
    </row>
    <row r="435" spans="11:12" x14ac:dyDescent="0.2">
      <c r="K435">
        <v>434</v>
      </c>
      <c r="L435" s="19" t="s">
        <v>696</v>
      </c>
    </row>
    <row r="436" spans="11:12" x14ac:dyDescent="0.2">
      <c r="K436">
        <v>435</v>
      </c>
      <c r="L436" s="19" t="s">
        <v>697</v>
      </c>
    </row>
    <row r="437" spans="11:12" x14ac:dyDescent="0.2">
      <c r="K437">
        <v>436</v>
      </c>
      <c r="L437" s="19" t="s">
        <v>698</v>
      </c>
    </row>
    <row r="438" spans="11:12" x14ac:dyDescent="0.2">
      <c r="K438">
        <v>437</v>
      </c>
      <c r="L438" s="19" t="s">
        <v>699</v>
      </c>
    </row>
    <row r="439" spans="11:12" x14ac:dyDescent="0.2">
      <c r="K439">
        <v>438</v>
      </c>
      <c r="L439" s="19" t="s">
        <v>700</v>
      </c>
    </row>
    <row r="440" spans="11:12" x14ac:dyDescent="0.2">
      <c r="K440">
        <v>439</v>
      </c>
      <c r="L440" s="19" t="s">
        <v>701</v>
      </c>
    </row>
    <row r="441" spans="11:12" x14ac:dyDescent="0.2">
      <c r="K441">
        <v>440</v>
      </c>
      <c r="L441" s="19" t="s">
        <v>702</v>
      </c>
    </row>
    <row r="442" spans="11:12" x14ac:dyDescent="0.2">
      <c r="K442">
        <v>441</v>
      </c>
      <c r="L442" s="19" t="s">
        <v>703</v>
      </c>
    </row>
    <row r="443" spans="11:12" x14ac:dyDescent="0.2">
      <c r="K443">
        <v>442</v>
      </c>
      <c r="L443" s="19" t="s">
        <v>704</v>
      </c>
    </row>
    <row r="444" spans="11:12" x14ac:dyDescent="0.2">
      <c r="K444">
        <v>443</v>
      </c>
      <c r="L444" s="19" t="s">
        <v>705</v>
      </c>
    </row>
    <row r="445" spans="11:12" x14ac:dyDescent="0.2">
      <c r="K445">
        <v>444</v>
      </c>
      <c r="L445" s="19" t="s">
        <v>706</v>
      </c>
    </row>
    <row r="446" spans="11:12" x14ac:dyDescent="0.2">
      <c r="K446">
        <v>445</v>
      </c>
      <c r="L446" s="19" t="s">
        <v>707</v>
      </c>
    </row>
    <row r="447" spans="11:12" x14ac:dyDescent="0.2">
      <c r="K447">
        <v>446</v>
      </c>
      <c r="L447" s="19" t="s">
        <v>708</v>
      </c>
    </row>
    <row r="448" spans="11:12" x14ac:dyDescent="0.2">
      <c r="K448">
        <v>447</v>
      </c>
      <c r="L448" s="19" t="s">
        <v>709</v>
      </c>
    </row>
    <row r="449" spans="11:12" x14ac:dyDescent="0.2">
      <c r="K449">
        <v>448</v>
      </c>
      <c r="L449" s="19" t="s">
        <v>710</v>
      </c>
    </row>
    <row r="450" spans="11:12" x14ac:dyDescent="0.2">
      <c r="K450">
        <v>449</v>
      </c>
      <c r="L450" s="19" t="s">
        <v>711</v>
      </c>
    </row>
    <row r="451" spans="11:12" x14ac:dyDescent="0.2">
      <c r="K451">
        <v>450</v>
      </c>
      <c r="L451" s="19" t="s">
        <v>712</v>
      </c>
    </row>
    <row r="452" spans="11:12" x14ac:dyDescent="0.2">
      <c r="K452">
        <v>451</v>
      </c>
      <c r="L452" s="19" t="s">
        <v>713</v>
      </c>
    </row>
    <row r="453" spans="11:12" x14ac:dyDescent="0.2">
      <c r="K453">
        <v>452</v>
      </c>
      <c r="L453" s="19" t="s">
        <v>714</v>
      </c>
    </row>
    <row r="454" spans="11:12" x14ac:dyDescent="0.2">
      <c r="K454">
        <v>453</v>
      </c>
      <c r="L454" s="19" t="s">
        <v>715</v>
      </c>
    </row>
    <row r="455" spans="11:12" x14ac:dyDescent="0.2">
      <c r="K455">
        <v>454</v>
      </c>
      <c r="L455" s="19" t="s">
        <v>716</v>
      </c>
    </row>
    <row r="456" spans="11:12" x14ac:dyDescent="0.2">
      <c r="K456">
        <v>455</v>
      </c>
      <c r="L456" s="19" t="s">
        <v>717</v>
      </c>
    </row>
    <row r="457" spans="11:12" x14ac:dyDescent="0.2">
      <c r="K457">
        <v>456</v>
      </c>
      <c r="L457" s="19" t="s">
        <v>718</v>
      </c>
    </row>
    <row r="458" spans="11:12" x14ac:dyDescent="0.2">
      <c r="K458">
        <v>457</v>
      </c>
      <c r="L458" s="19" t="s">
        <v>719</v>
      </c>
    </row>
    <row r="459" spans="11:12" x14ac:dyDescent="0.2">
      <c r="K459">
        <v>458</v>
      </c>
      <c r="L459" s="19" t="s">
        <v>720</v>
      </c>
    </row>
    <row r="460" spans="11:12" x14ac:dyDescent="0.2">
      <c r="K460">
        <v>459</v>
      </c>
      <c r="L460" s="19" t="s">
        <v>721</v>
      </c>
    </row>
    <row r="461" spans="11:12" x14ac:dyDescent="0.2">
      <c r="K461">
        <v>460</v>
      </c>
      <c r="L461" s="19" t="s">
        <v>722</v>
      </c>
    </row>
    <row r="462" spans="11:12" x14ac:dyDescent="0.2">
      <c r="K462">
        <v>461</v>
      </c>
      <c r="L462" s="19" t="s">
        <v>723</v>
      </c>
    </row>
    <row r="463" spans="11:12" x14ac:dyDescent="0.2">
      <c r="K463">
        <v>462</v>
      </c>
      <c r="L463" s="19" t="s">
        <v>724</v>
      </c>
    </row>
    <row r="464" spans="11:12" x14ac:dyDescent="0.2">
      <c r="K464">
        <v>463</v>
      </c>
      <c r="L464" s="19" t="s">
        <v>725</v>
      </c>
    </row>
    <row r="465" spans="11:12" x14ac:dyDescent="0.2">
      <c r="K465">
        <v>464</v>
      </c>
      <c r="L465" s="19" t="s">
        <v>726</v>
      </c>
    </row>
    <row r="466" spans="11:12" x14ac:dyDescent="0.2">
      <c r="K466">
        <v>465</v>
      </c>
      <c r="L466" s="19" t="s">
        <v>727</v>
      </c>
    </row>
    <row r="467" spans="11:12" x14ac:dyDescent="0.2">
      <c r="K467">
        <v>466</v>
      </c>
      <c r="L467" s="19" t="s">
        <v>728</v>
      </c>
    </row>
    <row r="468" spans="11:12" x14ac:dyDescent="0.2">
      <c r="K468">
        <v>467</v>
      </c>
      <c r="L468" s="19" t="s">
        <v>729</v>
      </c>
    </row>
    <row r="469" spans="11:12" x14ac:dyDescent="0.2">
      <c r="K469">
        <v>468</v>
      </c>
      <c r="L469" s="19" t="s">
        <v>730</v>
      </c>
    </row>
    <row r="470" spans="11:12" x14ac:dyDescent="0.2">
      <c r="K470">
        <v>469</v>
      </c>
      <c r="L470" s="19" t="s">
        <v>731</v>
      </c>
    </row>
    <row r="471" spans="11:12" x14ac:dyDescent="0.2">
      <c r="K471">
        <v>470</v>
      </c>
      <c r="L471" s="19" t="s">
        <v>311</v>
      </c>
    </row>
    <row r="472" spans="11:12" x14ac:dyDescent="0.2">
      <c r="K472">
        <v>471</v>
      </c>
      <c r="L472" s="19" t="s">
        <v>732</v>
      </c>
    </row>
    <row r="473" spans="11:12" x14ac:dyDescent="0.2">
      <c r="K473">
        <v>472</v>
      </c>
      <c r="L473" s="19" t="s">
        <v>733</v>
      </c>
    </row>
    <row r="474" spans="11:12" x14ac:dyDescent="0.2">
      <c r="K474">
        <v>473</v>
      </c>
      <c r="L474" s="19" t="s">
        <v>734</v>
      </c>
    </row>
    <row r="475" spans="11:12" x14ac:dyDescent="0.2">
      <c r="K475">
        <v>474</v>
      </c>
      <c r="L475" s="19" t="s">
        <v>735</v>
      </c>
    </row>
    <row r="476" spans="11:12" x14ac:dyDescent="0.2">
      <c r="K476">
        <v>475</v>
      </c>
      <c r="L476" s="19" t="s">
        <v>736</v>
      </c>
    </row>
    <row r="477" spans="11:12" x14ac:dyDescent="0.2">
      <c r="K477">
        <v>476</v>
      </c>
      <c r="L477" s="19" t="s">
        <v>737</v>
      </c>
    </row>
    <row r="478" spans="11:12" x14ac:dyDescent="0.2">
      <c r="K478">
        <v>477</v>
      </c>
      <c r="L478" s="19" t="s">
        <v>738</v>
      </c>
    </row>
    <row r="479" spans="11:12" x14ac:dyDescent="0.2">
      <c r="K479">
        <v>478</v>
      </c>
      <c r="L479" s="19" t="s">
        <v>739</v>
      </c>
    </row>
    <row r="480" spans="11:12" x14ac:dyDescent="0.2">
      <c r="K480">
        <v>479</v>
      </c>
      <c r="L480" s="19" t="s">
        <v>740</v>
      </c>
    </row>
    <row r="481" spans="11:12" x14ac:dyDescent="0.2">
      <c r="K481">
        <v>480</v>
      </c>
      <c r="L481" s="19" t="s">
        <v>741</v>
      </c>
    </row>
    <row r="482" spans="11:12" x14ac:dyDescent="0.2">
      <c r="K482">
        <v>481</v>
      </c>
      <c r="L482" s="19" t="s">
        <v>742</v>
      </c>
    </row>
    <row r="483" spans="11:12" x14ac:dyDescent="0.2">
      <c r="K483">
        <v>482</v>
      </c>
      <c r="L483" s="19" t="s">
        <v>743</v>
      </c>
    </row>
    <row r="484" spans="11:12" x14ac:dyDescent="0.2">
      <c r="K484">
        <v>483</v>
      </c>
      <c r="L484" s="19" t="s">
        <v>744</v>
      </c>
    </row>
    <row r="485" spans="11:12" x14ac:dyDescent="0.2">
      <c r="K485">
        <v>484</v>
      </c>
      <c r="L485" s="19" t="s">
        <v>745</v>
      </c>
    </row>
    <row r="486" spans="11:12" x14ac:dyDescent="0.2">
      <c r="K486">
        <v>485</v>
      </c>
      <c r="L486" s="19" t="s">
        <v>746</v>
      </c>
    </row>
    <row r="487" spans="11:12" x14ac:dyDescent="0.2">
      <c r="K487">
        <v>486</v>
      </c>
      <c r="L487" s="19" t="s">
        <v>325</v>
      </c>
    </row>
    <row r="488" spans="11:12" x14ac:dyDescent="0.2">
      <c r="K488">
        <v>487</v>
      </c>
      <c r="L488" s="19" t="s">
        <v>747</v>
      </c>
    </row>
    <row r="489" spans="11:12" x14ac:dyDescent="0.2">
      <c r="K489">
        <v>488</v>
      </c>
      <c r="L489" s="19" t="s">
        <v>748</v>
      </c>
    </row>
    <row r="490" spans="11:12" x14ac:dyDescent="0.2">
      <c r="K490">
        <v>489</v>
      </c>
      <c r="L490" s="19" t="s">
        <v>327</v>
      </c>
    </row>
    <row r="491" spans="11:12" x14ac:dyDescent="0.2">
      <c r="K491">
        <v>490</v>
      </c>
      <c r="L491" s="19" t="s">
        <v>329</v>
      </c>
    </row>
    <row r="492" spans="11:12" x14ac:dyDescent="0.2">
      <c r="K492">
        <v>491</v>
      </c>
      <c r="L492" s="19" t="s">
        <v>749</v>
      </c>
    </row>
    <row r="493" spans="11:12" x14ac:dyDescent="0.2">
      <c r="K493">
        <v>492</v>
      </c>
      <c r="L493" s="19" t="s">
        <v>750</v>
      </c>
    </row>
    <row r="494" spans="11:12" x14ac:dyDescent="0.2">
      <c r="K494">
        <v>493</v>
      </c>
      <c r="L494" s="19" t="s">
        <v>751</v>
      </c>
    </row>
    <row r="495" spans="11:12" x14ac:dyDescent="0.2">
      <c r="K495">
        <v>494</v>
      </c>
      <c r="L495" s="19" t="s">
        <v>752</v>
      </c>
    </row>
    <row r="496" spans="11:12" x14ac:dyDescent="0.2">
      <c r="K496">
        <v>495</v>
      </c>
      <c r="L496" s="19" t="s">
        <v>753</v>
      </c>
    </row>
    <row r="497" spans="11:12" x14ac:dyDescent="0.2">
      <c r="K497">
        <v>496</v>
      </c>
      <c r="L497" s="19" t="s">
        <v>754</v>
      </c>
    </row>
    <row r="498" spans="11:12" x14ac:dyDescent="0.2">
      <c r="K498">
        <v>497</v>
      </c>
      <c r="L498" s="19" t="s">
        <v>755</v>
      </c>
    </row>
    <row r="499" spans="11:12" x14ac:dyDescent="0.2">
      <c r="K499">
        <v>498</v>
      </c>
      <c r="L499" s="19" t="s">
        <v>756</v>
      </c>
    </row>
    <row r="500" spans="11:12" x14ac:dyDescent="0.2">
      <c r="K500">
        <v>499</v>
      </c>
      <c r="L500" s="19" t="s">
        <v>757</v>
      </c>
    </row>
    <row r="501" spans="11:12" x14ac:dyDescent="0.2">
      <c r="K501">
        <v>500</v>
      </c>
      <c r="L501" s="19" t="s">
        <v>758</v>
      </c>
    </row>
    <row r="502" spans="11:12" x14ac:dyDescent="0.2">
      <c r="K502">
        <v>501</v>
      </c>
      <c r="L502" s="19" t="s">
        <v>759</v>
      </c>
    </row>
    <row r="503" spans="11:12" x14ac:dyDescent="0.2">
      <c r="K503">
        <v>502</v>
      </c>
      <c r="L503" s="19" t="s">
        <v>760</v>
      </c>
    </row>
    <row r="504" spans="11:12" x14ac:dyDescent="0.2">
      <c r="K504">
        <v>503</v>
      </c>
      <c r="L504" s="19" t="s">
        <v>761</v>
      </c>
    </row>
    <row r="505" spans="11:12" x14ac:dyDescent="0.2">
      <c r="K505">
        <v>504</v>
      </c>
      <c r="L505" s="19" t="s">
        <v>762</v>
      </c>
    </row>
    <row r="506" spans="11:12" x14ac:dyDescent="0.2">
      <c r="K506">
        <v>505</v>
      </c>
      <c r="L506" s="19" t="s">
        <v>763</v>
      </c>
    </row>
    <row r="507" spans="11:12" x14ac:dyDescent="0.2">
      <c r="K507">
        <v>506</v>
      </c>
      <c r="L507" s="19" t="s">
        <v>764</v>
      </c>
    </row>
    <row r="508" spans="11:12" x14ac:dyDescent="0.2">
      <c r="K508">
        <v>507</v>
      </c>
      <c r="L508" s="19" t="s">
        <v>341</v>
      </c>
    </row>
    <row r="509" spans="11:12" x14ac:dyDescent="0.2">
      <c r="K509">
        <v>508</v>
      </c>
      <c r="L509" s="19" t="s">
        <v>343</v>
      </c>
    </row>
    <row r="510" spans="11:12" x14ac:dyDescent="0.2">
      <c r="K510">
        <v>509</v>
      </c>
      <c r="L510" s="19" t="s">
        <v>765</v>
      </c>
    </row>
    <row r="511" spans="11:12" x14ac:dyDescent="0.2">
      <c r="K511">
        <v>510</v>
      </c>
      <c r="L511" s="19" t="s">
        <v>766</v>
      </c>
    </row>
    <row r="512" spans="11:12" x14ac:dyDescent="0.2">
      <c r="K512">
        <v>511</v>
      </c>
      <c r="L512" s="19" t="s">
        <v>767</v>
      </c>
    </row>
    <row r="513" spans="11:12" x14ac:dyDescent="0.2">
      <c r="K513">
        <v>512</v>
      </c>
      <c r="L513" s="19" t="s">
        <v>768</v>
      </c>
    </row>
    <row r="514" spans="11:12" x14ac:dyDescent="0.2">
      <c r="K514">
        <v>513</v>
      </c>
      <c r="L514" s="19" t="s">
        <v>769</v>
      </c>
    </row>
    <row r="515" spans="11:12" x14ac:dyDescent="0.2">
      <c r="K515">
        <v>514</v>
      </c>
      <c r="L515" s="19" t="s">
        <v>770</v>
      </c>
    </row>
    <row r="516" spans="11:12" x14ac:dyDescent="0.2">
      <c r="K516">
        <v>515</v>
      </c>
      <c r="L516" s="19" t="s">
        <v>771</v>
      </c>
    </row>
    <row r="517" spans="11:12" x14ac:dyDescent="0.2">
      <c r="K517">
        <v>516</v>
      </c>
      <c r="L517" s="19" t="s">
        <v>772</v>
      </c>
    </row>
    <row r="518" spans="11:12" x14ac:dyDescent="0.2">
      <c r="K518">
        <v>517</v>
      </c>
      <c r="L518" s="19" t="s">
        <v>773</v>
      </c>
    </row>
    <row r="519" spans="11:12" x14ac:dyDescent="0.2">
      <c r="K519">
        <v>518</v>
      </c>
      <c r="L519" s="19" t="s">
        <v>774</v>
      </c>
    </row>
    <row r="520" spans="11:12" x14ac:dyDescent="0.2">
      <c r="K520">
        <v>519</v>
      </c>
      <c r="L520" s="19" t="s">
        <v>775</v>
      </c>
    </row>
    <row r="521" spans="11:12" x14ac:dyDescent="0.2">
      <c r="K521">
        <v>520</v>
      </c>
      <c r="L521" s="19" t="s">
        <v>776</v>
      </c>
    </row>
    <row r="522" spans="11:12" x14ac:dyDescent="0.2">
      <c r="K522">
        <v>521</v>
      </c>
      <c r="L522" s="19" t="s">
        <v>777</v>
      </c>
    </row>
    <row r="523" spans="11:12" x14ac:dyDescent="0.2">
      <c r="K523">
        <v>522</v>
      </c>
      <c r="L523" s="19" t="s">
        <v>778</v>
      </c>
    </row>
    <row r="524" spans="11:12" x14ac:dyDescent="0.2">
      <c r="K524">
        <v>523</v>
      </c>
      <c r="L524" s="19" t="s">
        <v>779</v>
      </c>
    </row>
    <row r="525" spans="11:12" x14ac:dyDescent="0.2">
      <c r="K525">
        <v>524</v>
      </c>
      <c r="L525" s="19" t="s">
        <v>780</v>
      </c>
    </row>
    <row r="526" spans="11:12" x14ac:dyDescent="0.2">
      <c r="K526">
        <v>525</v>
      </c>
      <c r="L526" s="19" t="s">
        <v>781</v>
      </c>
    </row>
    <row r="527" spans="11:12" x14ac:dyDescent="0.2">
      <c r="K527">
        <v>526</v>
      </c>
      <c r="L527" s="19" t="s">
        <v>782</v>
      </c>
    </row>
    <row r="528" spans="11:12" x14ac:dyDescent="0.2">
      <c r="K528">
        <v>527</v>
      </c>
      <c r="L528" s="19" t="s">
        <v>783</v>
      </c>
    </row>
    <row r="529" spans="11:12" x14ac:dyDescent="0.2">
      <c r="K529">
        <v>528</v>
      </c>
      <c r="L529" s="19" t="s">
        <v>784</v>
      </c>
    </row>
    <row r="530" spans="11:12" x14ac:dyDescent="0.2">
      <c r="K530">
        <v>529</v>
      </c>
      <c r="L530" s="19" t="s">
        <v>785</v>
      </c>
    </row>
    <row r="531" spans="11:12" x14ac:dyDescent="0.2">
      <c r="K531">
        <v>530</v>
      </c>
      <c r="L531" s="19" t="s">
        <v>786</v>
      </c>
    </row>
    <row r="532" spans="11:12" x14ac:dyDescent="0.2">
      <c r="K532">
        <v>531</v>
      </c>
      <c r="L532" s="19" t="s">
        <v>787</v>
      </c>
    </row>
    <row r="533" spans="11:12" x14ac:dyDescent="0.2">
      <c r="K533">
        <v>532</v>
      </c>
      <c r="L533" s="19" t="s">
        <v>788</v>
      </c>
    </row>
    <row r="534" spans="11:12" x14ac:dyDescent="0.2">
      <c r="K534">
        <v>533</v>
      </c>
      <c r="L534" s="19" t="s">
        <v>789</v>
      </c>
    </row>
    <row r="535" spans="11:12" x14ac:dyDescent="0.2">
      <c r="K535">
        <v>534</v>
      </c>
      <c r="L535" s="19" t="s">
        <v>790</v>
      </c>
    </row>
    <row r="536" spans="11:12" x14ac:dyDescent="0.2">
      <c r="K536">
        <v>535</v>
      </c>
      <c r="L536" s="19" t="s">
        <v>791</v>
      </c>
    </row>
    <row r="537" spans="11:12" x14ac:dyDescent="0.2">
      <c r="K537">
        <v>536</v>
      </c>
      <c r="L537" s="19" t="s">
        <v>792</v>
      </c>
    </row>
    <row r="538" spans="11:12" x14ac:dyDescent="0.2">
      <c r="K538">
        <v>537</v>
      </c>
      <c r="L538" s="19" t="s">
        <v>793</v>
      </c>
    </row>
    <row r="539" spans="11:12" x14ac:dyDescent="0.2">
      <c r="K539">
        <v>538</v>
      </c>
      <c r="L539" s="19" t="s">
        <v>794</v>
      </c>
    </row>
    <row r="540" spans="11:12" x14ac:dyDescent="0.2">
      <c r="K540">
        <v>539</v>
      </c>
      <c r="L540" s="19" t="s">
        <v>795</v>
      </c>
    </row>
    <row r="541" spans="11:12" x14ac:dyDescent="0.2">
      <c r="K541">
        <v>540</v>
      </c>
      <c r="L541" s="19" t="s">
        <v>796</v>
      </c>
    </row>
    <row r="542" spans="11:12" x14ac:dyDescent="0.2">
      <c r="K542">
        <v>541</v>
      </c>
      <c r="L542" s="19" t="s">
        <v>797</v>
      </c>
    </row>
    <row r="543" spans="11:12" x14ac:dyDescent="0.2">
      <c r="K543">
        <v>542</v>
      </c>
      <c r="L543" s="19" t="s">
        <v>798</v>
      </c>
    </row>
    <row r="544" spans="11:12" x14ac:dyDescent="0.2">
      <c r="K544">
        <v>543</v>
      </c>
      <c r="L544" s="19" t="s">
        <v>799</v>
      </c>
    </row>
    <row r="545" spans="11:12" x14ac:dyDescent="0.2">
      <c r="K545">
        <v>544</v>
      </c>
      <c r="L545" s="19" t="s">
        <v>800</v>
      </c>
    </row>
    <row r="546" spans="11:12" x14ac:dyDescent="0.2">
      <c r="K546">
        <v>545</v>
      </c>
      <c r="L546" s="19" t="s">
        <v>801</v>
      </c>
    </row>
    <row r="547" spans="11:12" x14ac:dyDescent="0.2">
      <c r="K547">
        <v>546</v>
      </c>
      <c r="L547" s="19" t="s">
        <v>802</v>
      </c>
    </row>
    <row r="548" spans="11:12" x14ac:dyDescent="0.2">
      <c r="K548">
        <v>547</v>
      </c>
      <c r="L548" s="19" t="s">
        <v>803</v>
      </c>
    </row>
    <row r="549" spans="11:12" x14ac:dyDescent="0.2">
      <c r="K549">
        <v>548</v>
      </c>
      <c r="L549" s="19" t="s">
        <v>804</v>
      </c>
    </row>
    <row r="550" spans="11:12" x14ac:dyDescent="0.2">
      <c r="K550">
        <v>549</v>
      </c>
      <c r="L550" s="19" t="s">
        <v>805</v>
      </c>
    </row>
    <row r="551" spans="11:12" x14ac:dyDescent="0.2">
      <c r="K551">
        <v>550</v>
      </c>
      <c r="L551" s="19" t="s">
        <v>806</v>
      </c>
    </row>
    <row r="552" spans="11:12" x14ac:dyDescent="0.2">
      <c r="K552">
        <v>551</v>
      </c>
      <c r="L552" s="19" t="s">
        <v>807</v>
      </c>
    </row>
    <row r="553" spans="11:12" x14ac:dyDescent="0.2">
      <c r="K553">
        <v>552</v>
      </c>
      <c r="L553" s="19" t="s">
        <v>808</v>
      </c>
    </row>
    <row r="554" spans="11:12" x14ac:dyDescent="0.2">
      <c r="K554">
        <v>553</v>
      </c>
      <c r="L554" s="19" t="s">
        <v>809</v>
      </c>
    </row>
    <row r="555" spans="11:12" x14ac:dyDescent="0.2">
      <c r="K555">
        <v>554</v>
      </c>
      <c r="L555" s="19" t="s">
        <v>810</v>
      </c>
    </row>
    <row r="556" spans="11:12" x14ac:dyDescent="0.2">
      <c r="K556">
        <v>555</v>
      </c>
      <c r="L556" s="19" t="s">
        <v>811</v>
      </c>
    </row>
    <row r="557" spans="11:12" x14ac:dyDescent="0.2">
      <c r="K557">
        <v>556</v>
      </c>
      <c r="L557" s="19" t="s">
        <v>812</v>
      </c>
    </row>
    <row r="558" spans="11:12" x14ac:dyDescent="0.2">
      <c r="K558">
        <v>557</v>
      </c>
      <c r="L558" s="19" t="s">
        <v>813</v>
      </c>
    </row>
    <row r="559" spans="11:12" x14ac:dyDescent="0.2">
      <c r="K559">
        <v>558</v>
      </c>
      <c r="L559" s="19" t="s">
        <v>814</v>
      </c>
    </row>
    <row r="560" spans="11:12" x14ac:dyDescent="0.2">
      <c r="K560">
        <v>559</v>
      </c>
      <c r="L560" s="19" t="s">
        <v>815</v>
      </c>
    </row>
    <row r="561" spans="11:12" x14ac:dyDescent="0.2">
      <c r="K561">
        <v>560</v>
      </c>
      <c r="L561" s="19" t="s">
        <v>816</v>
      </c>
    </row>
    <row r="562" spans="11:12" x14ac:dyDescent="0.2">
      <c r="K562">
        <v>561</v>
      </c>
      <c r="L562" s="19" t="s">
        <v>817</v>
      </c>
    </row>
    <row r="563" spans="11:12" x14ac:dyDescent="0.2">
      <c r="K563">
        <v>562</v>
      </c>
      <c r="L563" s="19" t="s">
        <v>818</v>
      </c>
    </row>
    <row r="564" spans="11:12" x14ac:dyDescent="0.2">
      <c r="K564">
        <v>563</v>
      </c>
      <c r="L564" s="19" t="s">
        <v>819</v>
      </c>
    </row>
    <row r="565" spans="11:12" x14ac:dyDescent="0.2">
      <c r="K565">
        <v>564</v>
      </c>
      <c r="L565" s="19" t="s">
        <v>820</v>
      </c>
    </row>
    <row r="566" spans="11:12" x14ac:dyDescent="0.2">
      <c r="K566">
        <v>565</v>
      </c>
      <c r="L566" s="19" t="s">
        <v>821</v>
      </c>
    </row>
    <row r="567" spans="11:12" x14ac:dyDescent="0.2">
      <c r="K567">
        <v>566</v>
      </c>
      <c r="L567" s="19" t="s">
        <v>822</v>
      </c>
    </row>
    <row r="568" spans="11:12" x14ac:dyDescent="0.2">
      <c r="K568">
        <v>567</v>
      </c>
      <c r="L568" s="19" t="s">
        <v>823</v>
      </c>
    </row>
    <row r="569" spans="11:12" x14ac:dyDescent="0.2">
      <c r="K569">
        <v>568</v>
      </c>
      <c r="L569" s="19" t="s">
        <v>824</v>
      </c>
    </row>
    <row r="570" spans="11:12" x14ac:dyDescent="0.2">
      <c r="K570">
        <v>569</v>
      </c>
      <c r="L570" s="19" t="s">
        <v>825</v>
      </c>
    </row>
    <row r="571" spans="11:12" x14ac:dyDescent="0.2">
      <c r="K571">
        <v>570</v>
      </c>
      <c r="L571" s="19" t="s">
        <v>826</v>
      </c>
    </row>
    <row r="572" spans="11:12" x14ac:dyDescent="0.2">
      <c r="K572">
        <v>571</v>
      </c>
      <c r="L572" s="19" t="s">
        <v>827</v>
      </c>
    </row>
    <row r="573" spans="11:12" x14ac:dyDescent="0.2">
      <c r="K573">
        <v>572</v>
      </c>
      <c r="L573" s="19" t="s">
        <v>828</v>
      </c>
    </row>
    <row r="574" spans="11:12" x14ac:dyDescent="0.2">
      <c r="K574">
        <v>573</v>
      </c>
      <c r="L574" s="19" t="s">
        <v>829</v>
      </c>
    </row>
    <row r="575" spans="11:12" x14ac:dyDescent="0.2">
      <c r="K575">
        <v>574</v>
      </c>
      <c r="L575" s="19" t="s">
        <v>830</v>
      </c>
    </row>
    <row r="576" spans="11:12" x14ac:dyDescent="0.2">
      <c r="K576">
        <v>575</v>
      </c>
      <c r="L576" s="19" t="s">
        <v>831</v>
      </c>
    </row>
    <row r="577" spans="11:12" x14ac:dyDescent="0.2">
      <c r="K577">
        <v>576</v>
      </c>
      <c r="L577" s="19" t="s">
        <v>832</v>
      </c>
    </row>
    <row r="578" spans="11:12" x14ac:dyDescent="0.2">
      <c r="K578">
        <v>577</v>
      </c>
      <c r="L578" s="19" t="s">
        <v>833</v>
      </c>
    </row>
    <row r="579" spans="11:12" x14ac:dyDescent="0.2">
      <c r="K579">
        <v>578</v>
      </c>
      <c r="L579" s="19" t="s">
        <v>834</v>
      </c>
    </row>
    <row r="580" spans="11:12" x14ac:dyDescent="0.2">
      <c r="K580">
        <v>579</v>
      </c>
      <c r="L580" s="19" t="s">
        <v>835</v>
      </c>
    </row>
    <row r="581" spans="11:12" x14ac:dyDescent="0.2">
      <c r="K581">
        <v>580</v>
      </c>
      <c r="L581" s="19" t="s">
        <v>836</v>
      </c>
    </row>
    <row r="582" spans="11:12" x14ac:dyDescent="0.2">
      <c r="K582">
        <v>581</v>
      </c>
      <c r="L582" s="19" t="s">
        <v>837</v>
      </c>
    </row>
    <row r="583" spans="11:12" x14ac:dyDescent="0.2">
      <c r="K583">
        <v>582</v>
      </c>
      <c r="L583" s="19" t="s">
        <v>838</v>
      </c>
    </row>
    <row r="584" spans="11:12" x14ac:dyDescent="0.2">
      <c r="K584">
        <v>583</v>
      </c>
      <c r="L584" s="19" t="s">
        <v>839</v>
      </c>
    </row>
    <row r="585" spans="11:12" x14ac:dyDescent="0.2">
      <c r="K585">
        <v>584</v>
      </c>
      <c r="L585" s="19" t="s">
        <v>840</v>
      </c>
    </row>
    <row r="586" spans="11:12" x14ac:dyDescent="0.2">
      <c r="K586">
        <v>585</v>
      </c>
      <c r="L586" s="19" t="s">
        <v>841</v>
      </c>
    </row>
    <row r="587" spans="11:12" x14ac:dyDescent="0.2">
      <c r="K587">
        <v>586</v>
      </c>
      <c r="L587" s="19" t="s">
        <v>842</v>
      </c>
    </row>
    <row r="588" spans="11:12" x14ac:dyDescent="0.2">
      <c r="K588">
        <v>587</v>
      </c>
      <c r="L588" s="19" t="s">
        <v>843</v>
      </c>
    </row>
    <row r="589" spans="11:12" x14ac:dyDescent="0.2">
      <c r="K589">
        <v>588</v>
      </c>
      <c r="L589" s="19" t="s">
        <v>844</v>
      </c>
    </row>
    <row r="590" spans="11:12" x14ac:dyDescent="0.2">
      <c r="K590">
        <v>589</v>
      </c>
      <c r="L590" s="19" t="s">
        <v>845</v>
      </c>
    </row>
    <row r="591" spans="11:12" x14ac:dyDescent="0.2">
      <c r="K591">
        <v>590</v>
      </c>
      <c r="L591" s="19" t="s">
        <v>846</v>
      </c>
    </row>
    <row r="592" spans="11:12" x14ac:dyDescent="0.2">
      <c r="K592">
        <v>591</v>
      </c>
      <c r="L592" s="19" t="s">
        <v>847</v>
      </c>
    </row>
    <row r="593" spans="11:12" x14ac:dyDescent="0.2">
      <c r="K593">
        <v>592</v>
      </c>
      <c r="L593" s="19" t="s">
        <v>848</v>
      </c>
    </row>
    <row r="594" spans="11:12" x14ac:dyDescent="0.2">
      <c r="K594">
        <v>593</v>
      </c>
      <c r="L594" s="19" t="s">
        <v>849</v>
      </c>
    </row>
    <row r="595" spans="11:12" x14ac:dyDescent="0.2">
      <c r="K595">
        <v>594</v>
      </c>
      <c r="L595" s="19" t="s">
        <v>850</v>
      </c>
    </row>
    <row r="596" spans="11:12" x14ac:dyDescent="0.2">
      <c r="K596">
        <v>595</v>
      </c>
      <c r="L596" s="19" t="s">
        <v>386</v>
      </c>
    </row>
    <row r="597" spans="11:12" x14ac:dyDescent="0.2">
      <c r="K597">
        <v>596</v>
      </c>
      <c r="L597" s="19" t="s">
        <v>851</v>
      </c>
    </row>
    <row r="598" spans="11:12" x14ac:dyDescent="0.2">
      <c r="K598">
        <v>597</v>
      </c>
      <c r="L598" s="19" t="s">
        <v>852</v>
      </c>
    </row>
    <row r="599" spans="11:12" x14ac:dyDescent="0.2">
      <c r="K599">
        <v>598</v>
      </c>
      <c r="L599" s="19" t="s">
        <v>853</v>
      </c>
    </row>
    <row r="600" spans="11:12" x14ac:dyDescent="0.2">
      <c r="K600">
        <v>599</v>
      </c>
      <c r="L600" s="19" t="s">
        <v>854</v>
      </c>
    </row>
    <row r="601" spans="11:12" x14ac:dyDescent="0.2">
      <c r="K601">
        <v>600</v>
      </c>
      <c r="L601" s="19" t="s">
        <v>855</v>
      </c>
    </row>
    <row r="602" spans="11:12" x14ac:dyDescent="0.2">
      <c r="K602">
        <v>601</v>
      </c>
      <c r="L602" s="19" t="s">
        <v>856</v>
      </c>
    </row>
    <row r="603" spans="11:12" x14ac:dyDescent="0.2">
      <c r="K603">
        <v>602</v>
      </c>
      <c r="L603" s="19" t="s">
        <v>857</v>
      </c>
    </row>
    <row r="604" spans="11:12" x14ac:dyDescent="0.2">
      <c r="K604">
        <v>603</v>
      </c>
      <c r="L604" s="19" t="s">
        <v>858</v>
      </c>
    </row>
    <row r="605" spans="11:12" x14ac:dyDescent="0.2">
      <c r="K605">
        <v>604</v>
      </c>
      <c r="L605" s="19" t="s">
        <v>859</v>
      </c>
    </row>
    <row r="606" spans="11:12" x14ac:dyDescent="0.2">
      <c r="K606">
        <v>605</v>
      </c>
      <c r="L606" s="19" t="s">
        <v>860</v>
      </c>
    </row>
    <row r="607" spans="11:12" x14ac:dyDescent="0.2">
      <c r="K607">
        <v>606</v>
      </c>
      <c r="L607" s="19" t="s">
        <v>402</v>
      </c>
    </row>
    <row r="608" spans="11:12" x14ac:dyDescent="0.2">
      <c r="K608">
        <v>607</v>
      </c>
      <c r="L608" s="19" t="s">
        <v>861</v>
      </c>
    </row>
    <row r="609" spans="11:12" x14ac:dyDescent="0.2">
      <c r="K609">
        <v>608</v>
      </c>
      <c r="L609" s="19" t="s">
        <v>862</v>
      </c>
    </row>
    <row r="610" spans="11:12" x14ac:dyDescent="0.2">
      <c r="K610">
        <v>609</v>
      </c>
      <c r="L610" s="19" t="s">
        <v>863</v>
      </c>
    </row>
    <row r="611" spans="11:12" x14ac:dyDescent="0.2">
      <c r="K611">
        <v>610</v>
      </c>
      <c r="L611" s="19" t="s">
        <v>864</v>
      </c>
    </row>
    <row r="612" spans="11:12" x14ac:dyDescent="0.2">
      <c r="K612">
        <v>611</v>
      </c>
      <c r="L612" s="19" t="s">
        <v>865</v>
      </c>
    </row>
    <row r="613" spans="11:12" x14ac:dyDescent="0.2">
      <c r="K613">
        <v>612</v>
      </c>
      <c r="L613" s="19" t="s">
        <v>866</v>
      </c>
    </row>
    <row r="614" spans="11:12" x14ac:dyDescent="0.2">
      <c r="K614">
        <v>613</v>
      </c>
      <c r="L614" s="19" t="s">
        <v>867</v>
      </c>
    </row>
    <row r="615" spans="11:12" x14ac:dyDescent="0.2">
      <c r="K615">
        <v>614</v>
      </c>
      <c r="L615" s="19" t="s">
        <v>868</v>
      </c>
    </row>
    <row r="616" spans="11:12" x14ac:dyDescent="0.2">
      <c r="K616">
        <v>615</v>
      </c>
      <c r="L616" s="19" t="s">
        <v>869</v>
      </c>
    </row>
    <row r="617" spans="11:12" x14ac:dyDescent="0.2">
      <c r="K617">
        <v>616</v>
      </c>
      <c r="L617" s="19" t="s">
        <v>870</v>
      </c>
    </row>
    <row r="618" spans="11:12" x14ac:dyDescent="0.2">
      <c r="K618">
        <v>617</v>
      </c>
      <c r="L618" s="19" t="s">
        <v>404</v>
      </c>
    </row>
    <row r="619" spans="11:12" x14ac:dyDescent="0.2">
      <c r="K619">
        <v>618</v>
      </c>
      <c r="L619" s="19" t="s">
        <v>871</v>
      </c>
    </row>
    <row r="620" spans="11:12" x14ac:dyDescent="0.2">
      <c r="K620">
        <v>619</v>
      </c>
      <c r="L620" s="19" t="s">
        <v>406</v>
      </c>
    </row>
    <row r="621" spans="11:12" x14ac:dyDescent="0.2">
      <c r="K621">
        <v>620</v>
      </c>
      <c r="L621" s="19" t="s">
        <v>872</v>
      </c>
    </row>
    <row r="622" spans="11:12" x14ac:dyDescent="0.2">
      <c r="K622">
        <v>621</v>
      </c>
      <c r="L622" s="19" t="s">
        <v>873</v>
      </c>
    </row>
    <row r="623" spans="11:12" x14ac:dyDescent="0.2">
      <c r="K623">
        <v>622</v>
      </c>
      <c r="L623" s="19" t="s">
        <v>874</v>
      </c>
    </row>
    <row r="624" spans="11:12" x14ac:dyDescent="0.2">
      <c r="K624">
        <v>623</v>
      </c>
      <c r="L624" s="19" t="s">
        <v>875</v>
      </c>
    </row>
    <row r="625" spans="11:12" x14ac:dyDescent="0.2">
      <c r="K625">
        <v>624</v>
      </c>
      <c r="L625" s="19" t="s">
        <v>876</v>
      </c>
    </row>
    <row r="626" spans="11:12" x14ac:dyDescent="0.2">
      <c r="K626">
        <v>625</v>
      </c>
      <c r="L626" s="19" t="s">
        <v>877</v>
      </c>
    </row>
    <row r="627" spans="11:12" x14ac:dyDescent="0.2">
      <c r="K627">
        <v>626</v>
      </c>
      <c r="L627" s="19" t="s">
        <v>878</v>
      </c>
    </row>
    <row r="628" spans="11:12" x14ac:dyDescent="0.2">
      <c r="K628">
        <v>627</v>
      </c>
      <c r="L628" s="19" t="s">
        <v>879</v>
      </c>
    </row>
    <row r="629" spans="11:12" x14ac:dyDescent="0.2">
      <c r="K629">
        <v>628</v>
      </c>
      <c r="L629" s="19" t="s">
        <v>880</v>
      </c>
    </row>
    <row r="630" spans="11:12" x14ac:dyDescent="0.2">
      <c r="K630">
        <v>629</v>
      </c>
      <c r="L630" s="19" t="s">
        <v>881</v>
      </c>
    </row>
    <row r="631" spans="11:12" x14ac:dyDescent="0.2">
      <c r="K631">
        <v>630</v>
      </c>
      <c r="L631" s="19" t="s">
        <v>882</v>
      </c>
    </row>
    <row r="632" spans="11:12" x14ac:dyDescent="0.2">
      <c r="K632">
        <v>631</v>
      </c>
      <c r="L632" s="19" t="s">
        <v>883</v>
      </c>
    </row>
    <row r="633" spans="11:12" x14ac:dyDescent="0.2">
      <c r="K633">
        <v>632</v>
      </c>
      <c r="L633" s="19" t="s">
        <v>884</v>
      </c>
    </row>
    <row r="634" spans="11:12" x14ac:dyDescent="0.2">
      <c r="K634">
        <v>633</v>
      </c>
      <c r="L634" s="19" t="s">
        <v>885</v>
      </c>
    </row>
    <row r="635" spans="11:12" x14ac:dyDescent="0.2">
      <c r="K635">
        <v>634</v>
      </c>
      <c r="L635" s="19" t="s">
        <v>886</v>
      </c>
    </row>
    <row r="636" spans="11:12" x14ac:dyDescent="0.2">
      <c r="K636">
        <v>635</v>
      </c>
      <c r="L636" s="19" t="s">
        <v>887</v>
      </c>
    </row>
    <row r="637" spans="11:12" x14ac:dyDescent="0.2">
      <c r="K637">
        <v>636</v>
      </c>
      <c r="L637" s="19" t="s">
        <v>888</v>
      </c>
    </row>
    <row r="638" spans="11:12" x14ac:dyDescent="0.2">
      <c r="K638">
        <v>637</v>
      </c>
      <c r="L638" s="19" t="s">
        <v>433</v>
      </c>
    </row>
    <row r="639" spans="11:12" x14ac:dyDescent="0.2">
      <c r="K639">
        <v>638</v>
      </c>
      <c r="L639" s="19" t="s">
        <v>889</v>
      </c>
    </row>
    <row r="640" spans="11:12" x14ac:dyDescent="0.2">
      <c r="K640">
        <v>639</v>
      </c>
      <c r="L640" s="19" t="s">
        <v>890</v>
      </c>
    </row>
    <row r="641" spans="11:12" x14ac:dyDescent="0.2">
      <c r="K641">
        <v>640</v>
      </c>
      <c r="L641" s="19" t="s">
        <v>891</v>
      </c>
    </row>
    <row r="642" spans="11:12" x14ac:dyDescent="0.2">
      <c r="K642">
        <v>641</v>
      </c>
      <c r="L642" s="19" t="s">
        <v>892</v>
      </c>
    </row>
    <row r="643" spans="11:12" x14ac:dyDescent="0.2">
      <c r="K643">
        <v>642</v>
      </c>
      <c r="L643" s="19" t="s">
        <v>893</v>
      </c>
    </row>
    <row r="644" spans="11:12" x14ac:dyDescent="0.2">
      <c r="K644">
        <v>643</v>
      </c>
      <c r="L644" s="19" t="s">
        <v>894</v>
      </c>
    </row>
    <row r="645" spans="11:12" x14ac:dyDescent="0.2">
      <c r="K645">
        <v>644</v>
      </c>
      <c r="L645" s="19" t="s">
        <v>895</v>
      </c>
    </row>
    <row r="646" spans="11:12" x14ac:dyDescent="0.2">
      <c r="K646">
        <v>645</v>
      </c>
      <c r="L646" s="19" t="s">
        <v>896</v>
      </c>
    </row>
    <row r="647" spans="11:12" x14ac:dyDescent="0.2">
      <c r="K647">
        <v>646</v>
      </c>
      <c r="L647" s="19" t="s">
        <v>897</v>
      </c>
    </row>
    <row r="648" spans="11:12" x14ac:dyDescent="0.2">
      <c r="K648">
        <v>647</v>
      </c>
      <c r="L648" s="19" t="s">
        <v>898</v>
      </c>
    </row>
    <row r="649" spans="11:12" x14ac:dyDescent="0.2">
      <c r="K649" s="20">
        <v>648</v>
      </c>
      <c r="L649" s="19" t="s">
        <v>899</v>
      </c>
    </row>
    <row r="650" spans="11:12" x14ac:dyDescent="0.2">
      <c r="K650">
        <v>649</v>
      </c>
      <c r="L650" s="19" t="s">
        <v>900</v>
      </c>
    </row>
    <row r="651" spans="11:12" x14ac:dyDescent="0.2">
      <c r="K651">
        <v>650</v>
      </c>
      <c r="L651" s="19" t="s">
        <v>901</v>
      </c>
    </row>
    <row r="652" spans="11:12" x14ac:dyDescent="0.2">
      <c r="K652">
        <v>651</v>
      </c>
      <c r="L652" s="19" t="s">
        <v>902</v>
      </c>
    </row>
    <row r="653" spans="11:12" x14ac:dyDescent="0.2">
      <c r="K653">
        <v>652</v>
      </c>
      <c r="L653" s="19" t="s">
        <v>903</v>
      </c>
    </row>
    <row r="654" spans="11:12" x14ac:dyDescent="0.2">
      <c r="K654">
        <v>653</v>
      </c>
      <c r="L654" s="19" t="s">
        <v>904</v>
      </c>
    </row>
    <row r="655" spans="11:12" x14ac:dyDescent="0.2">
      <c r="K655">
        <v>654</v>
      </c>
      <c r="L655" s="19" t="s">
        <v>905</v>
      </c>
    </row>
    <row r="656" spans="11:12" x14ac:dyDescent="0.2">
      <c r="K656">
        <v>655</v>
      </c>
      <c r="L656" s="19" t="s">
        <v>906</v>
      </c>
    </row>
    <row r="657" spans="11:12" x14ac:dyDescent="0.2">
      <c r="K657">
        <v>656</v>
      </c>
      <c r="L657" s="19" t="s">
        <v>907</v>
      </c>
    </row>
    <row r="658" spans="11:12" x14ac:dyDescent="0.2">
      <c r="K658">
        <v>657</v>
      </c>
      <c r="L658" s="19" t="s">
        <v>908</v>
      </c>
    </row>
    <row r="659" spans="11:12" x14ac:dyDescent="0.2">
      <c r="K659">
        <v>658</v>
      </c>
      <c r="L659" s="19" t="s">
        <v>467</v>
      </c>
    </row>
    <row r="660" spans="11:12" x14ac:dyDescent="0.2">
      <c r="K660">
        <v>659</v>
      </c>
      <c r="L660" s="19" t="s">
        <v>909</v>
      </c>
    </row>
    <row r="661" spans="11:12" x14ac:dyDescent="0.2">
      <c r="K661">
        <v>660</v>
      </c>
      <c r="L661" s="19" t="s">
        <v>910</v>
      </c>
    </row>
    <row r="662" spans="11:12" x14ac:dyDescent="0.2">
      <c r="K662">
        <v>661</v>
      </c>
      <c r="L662" s="19" t="s">
        <v>911</v>
      </c>
    </row>
    <row r="663" spans="11:12" x14ac:dyDescent="0.2">
      <c r="K663">
        <v>662</v>
      </c>
      <c r="L663" s="19" t="s">
        <v>912</v>
      </c>
    </row>
    <row r="664" spans="11:12" x14ac:dyDescent="0.2">
      <c r="K664">
        <v>663</v>
      </c>
      <c r="L664" s="19" t="s">
        <v>913</v>
      </c>
    </row>
    <row r="665" spans="11:12" x14ac:dyDescent="0.2">
      <c r="K665">
        <v>664</v>
      </c>
      <c r="L665" s="19" t="s">
        <v>914</v>
      </c>
    </row>
    <row r="666" spans="11:12" x14ac:dyDescent="0.2">
      <c r="K666">
        <v>665</v>
      </c>
      <c r="L666" s="19" t="s">
        <v>915</v>
      </c>
    </row>
    <row r="667" spans="11:12" x14ac:dyDescent="0.2">
      <c r="K667">
        <v>666</v>
      </c>
      <c r="L667" s="19" t="s">
        <v>916</v>
      </c>
    </row>
    <row r="668" spans="11:12" x14ac:dyDescent="0.2">
      <c r="K668">
        <v>667</v>
      </c>
      <c r="L668" s="19" t="s">
        <v>917</v>
      </c>
    </row>
    <row r="669" spans="11:12" x14ac:dyDescent="0.2">
      <c r="K669">
        <v>668</v>
      </c>
      <c r="L669" s="19" t="s">
        <v>918</v>
      </c>
    </row>
    <row r="670" spans="11:12" x14ac:dyDescent="0.2">
      <c r="K670">
        <v>669</v>
      </c>
      <c r="L670" s="19" t="s">
        <v>919</v>
      </c>
    </row>
    <row r="671" spans="11:12" x14ac:dyDescent="0.2">
      <c r="K671">
        <v>670</v>
      </c>
      <c r="L671" s="19" t="s">
        <v>920</v>
      </c>
    </row>
    <row r="672" spans="11:12" x14ac:dyDescent="0.2">
      <c r="K672">
        <v>671</v>
      </c>
      <c r="L672" s="19" t="s">
        <v>921</v>
      </c>
    </row>
    <row r="673" spans="11:12" x14ac:dyDescent="0.2">
      <c r="K673">
        <v>672</v>
      </c>
      <c r="L673" s="19" t="s">
        <v>922</v>
      </c>
    </row>
    <row r="674" spans="11:12" x14ac:dyDescent="0.2">
      <c r="K674">
        <v>673</v>
      </c>
      <c r="L674" s="19" t="s">
        <v>923</v>
      </c>
    </row>
    <row r="675" spans="11:12" x14ac:dyDescent="0.2">
      <c r="K675">
        <v>674</v>
      </c>
      <c r="L675" s="19" t="s">
        <v>924</v>
      </c>
    </row>
    <row r="676" spans="11:12" x14ac:dyDescent="0.2">
      <c r="K676">
        <v>675</v>
      </c>
      <c r="L676" s="19" t="s">
        <v>925</v>
      </c>
    </row>
    <row r="677" spans="11:12" x14ac:dyDescent="0.2">
      <c r="K677">
        <v>676</v>
      </c>
      <c r="L677" s="19" t="s">
        <v>926</v>
      </c>
    </row>
    <row r="678" spans="11:12" x14ac:dyDescent="0.2">
      <c r="K678">
        <v>677</v>
      </c>
      <c r="L678" s="19" t="s">
        <v>927</v>
      </c>
    </row>
    <row r="679" spans="11:12" x14ac:dyDescent="0.2">
      <c r="K679">
        <v>678</v>
      </c>
      <c r="L679" s="19" t="s">
        <v>928</v>
      </c>
    </row>
    <row r="680" spans="11:12" x14ac:dyDescent="0.2">
      <c r="K680">
        <v>679</v>
      </c>
      <c r="L680" s="19" t="s">
        <v>929</v>
      </c>
    </row>
    <row r="681" spans="11:12" x14ac:dyDescent="0.2">
      <c r="K681">
        <v>680</v>
      </c>
      <c r="L681" s="19" t="s">
        <v>930</v>
      </c>
    </row>
    <row r="682" spans="11:12" x14ac:dyDescent="0.2">
      <c r="K682">
        <v>681</v>
      </c>
      <c r="L682" s="19" t="s">
        <v>931</v>
      </c>
    </row>
    <row r="683" spans="11:12" x14ac:dyDescent="0.2">
      <c r="K683">
        <v>682</v>
      </c>
      <c r="L683" s="19" t="s">
        <v>932</v>
      </c>
    </row>
    <row r="684" spans="11:12" x14ac:dyDescent="0.2">
      <c r="K684">
        <v>683</v>
      </c>
      <c r="L684" s="19" t="s">
        <v>933</v>
      </c>
    </row>
    <row r="685" spans="11:12" x14ac:dyDescent="0.2">
      <c r="K685">
        <v>684</v>
      </c>
      <c r="L685" s="19" t="s">
        <v>934</v>
      </c>
    </row>
    <row r="686" spans="11:12" x14ac:dyDescent="0.2">
      <c r="K686">
        <v>685</v>
      </c>
      <c r="L686" s="19" t="s">
        <v>935</v>
      </c>
    </row>
    <row r="687" spans="11:12" x14ac:dyDescent="0.2">
      <c r="K687">
        <v>686</v>
      </c>
      <c r="L687" s="19" t="s">
        <v>936</v>
      </c>
    </row>
    <row r="688" spans="11:12" x14ac:dyDescent="0.2">
      <c r="K688">
        <v>687</v>
      </c>
      <c r="L688" s="19" t="s">
        <v>937</v>
      </c>
    </row>
    <row r="689" spans="11:12" x14ac:dyDescent="0.2">
      <c r="K689">
        <v>688</v>
      </c>
      <c r="L689" s="19" t="s">
        <v>938</v>
      </c>
    </row>
    <row r="690" spans="11:12" x14ac:dyDescent="0.2">
      <c r="K690">
        <v>689</v>
      </c>
      <c r="L690" s="19" t="s">
        <v>939</v>
      </c>
    </row>
    <row r="691" spans="11:12" x14ac:dyDescent="0.2">
      <c r="K691">
        <v>690</v>
      </c>
      <c r="L691" s="19" t="s">
        <v>940</v>
      </c>
    </row>
    <row r="692" spans="11:12" x14ac:dyDescent="0.2">
      <c r="K692">
        <v>691</v>
      </c>
      <c r="L692" s="19" t="s">
        <v>941</v>
      </c>
    </row>
    <row r="693" spans="11:12" x14ac:dyDescent="0.2">
      <c r="K693">
        <v>692</v>
      </c>
      <c r="L693" s="19" t="s">
        <v>942</v>
      </c>
    </row>
    <row r="694" spans="11:12" x14ac:dyDescent="0.2">
      <c r="K694">
        <v>693</v>
      </c>
      <c r="L694" s="19" t="s">
        <v>943</v>
      </c>
    </row>
    <row r="695" spans="11:12" x14ac:dyDescent="0.2">
      <c r="K695">
        <v>694</v>
      </c>
      <c r="L695" s="19" t="s">
        <v>944</v>
      </c>
    </row>
    <row r="696" spans="11:12" x14ac:dyDescent="0.2">
      <c r="K696">
        <v>695</v>
      </c>
      <c r="L696" s="19" t="s">
        <v>945</v>
      </c>
    </row>
    <row r="697" spans="11:12" x14ac:dyDescent="0.2">
      <c r="K697">
        <v>696</v>
      </c>
      <c r="L697" s="19" t="s">
        <v>946</v>
      </c>
    </row>
    <row r="698" spans="11:12" x14ac:dyDescent="0.2">
      <c r="K698">
        <v>697</v>
      </c>
      <c r="L698" s="19" t="s">
        <v>947</v>
      </c>
    </row>
    <row r="699" spans="11:12" x14ac:dyDescent="0.2">
      <c r="K699">
        <v>698</v>
      </c>
      <c r="L699" s="19" t="s">
        <v>948</v>
      </c>
    </row>
    <row r="700" spans="11:12" x14ac:dyDescent="0.2">
      <c r="K700">
        <v>699</v>
      </c>
      <c r="L700" s="19" t="s">
        <v>949</v>
      </c>
    </row>
    <row r="701" spans="11:12" x14ac:dyDescent="0.2">
      <c r="K701">
        <v>700</v>
      </c>
      <c r="L701" s="19" t="s">
        <v>950</v>
      </c>
    </row>
    <row r="702" spans="11:12" x14ac:dyDescent="0.2">
      <c r="K702">
        <v>701</v>
      </c>
      <c r="L702" s="19" t="s">
        <v>951</v>
      </c>
    </row>
    <row r="703" spans="11:12" x14ac:dyDescent="0.2">
      <c r="K703">
        <v>702</v>
      </c>
      <c r="L703" s="19" t="s">
        <v>952</v>
      </c>
    </row>
    <row r="704" spans="11:12" x14ac:dyDescent="0.2">
      <c r="K704">
        <v>703</v>
      </c>
      <c r="L704" s="19" t="s">
        <v>953</v>
      </c>
    </row>
    <row r="705" spans="11:12" x14ac:dyDescent="0.2">
      <c r="K705">
        <v>704</v>
      </c>
      <c r="L705" s="19" t="s">
        <v>954</v>
      </c>
    </row>
    <row r="706" spans="11:12" x14ac:dyDescent="0.2">
      <c r="K706">
        <v>705</v>
      </c>
      <c r="L706" s="19" t="s">
        <v>955</v>
      </c>
    </row>
    <row r="707" spans="11:12" x14ac:dyDescent="0.2">
      <c r="K707">
        <v>706</v>
      </c>
      <c r="L707" s="19" t="s">
        <v>956</v>
      </c>
    </row>
    <row r="708" spans="11:12" x14ac:dyDescent="0.2">
      <c r="K708">
        <v>707</v>
      </c>
      <c r="L708" s="19" t="s">
        <v>957</v>
      </c>
    </row>
    <row r="709" spans="11:12" x14ac:dyDescent="0.2">
      <c r="K709">
        <v>708</v>
      </c>
      <c r="L709" s="19" t="s">
        <v>958</v>
      </c>
    </row>
    <row r="710" spans="11:12" x14ac:dyDescent="0.2">
      <c r="K710">
        <v>709</v>
      </c>
      <c r="L710" s="19" t="s">
        <v>959</v>
      </c>
    </row>
    <row r="711" spans="11:12" x14ac:dyDescent="0.2">
      <c r="K711">
        <v>710</v>
      </c>
      <c r="L711" s="19" t="s">
        <v>960</v>
      </c>
    </row>
    <row r="712" spans="11:12" x14ac:dyDescent="0.2">
      <c r="K712">
        <v>711</v>
      </c>
      <c r="L712" s="19" t="s">
        <v>961</v>
      </c>
    </row>
    <row r="713" spans="11:12" x14ac:dyDescent="0.2">
      <c r="K713">
        <v>712</v>
      </c>
      <c r="L713" s="19" t="s">
        <v>962</v>
      </c>
    </row>
    <row r="714" spans="11:12" x14ac:dyDescent="0.2">
      <c r="K714">
        <v>713</v>
      </c>
      <c r="L714" s="19" t="s">
        <v>963</v>
      </c>
    </row>
    <row r="715" spans="11:12" x14ac:dyDescent="0.2">
      <c r="K715">
        <v>714</v>
      </c>
      <c r="L715" s="19" t="s">
        <v>964</v>
      </c>
    </row>
    <row r="716" spans="11:12" x14ac:dyDescent="0.2">
      <c r="K716">
        <v>715</v>
      </c>
      <c r="L716" s="19" t="s">
        <v>965</v>
      </c>
    </row>
    <row r="717" spans="11:12" x14ac:dyDescent="0.2">
      <c r="K717">
        <v>716</v>
      </c>
      <c r="L717" s="19" t="s">
        <v>966</v>
      </c>
    </row>
    <row r="718" spans="11:12" x14ac:dyDescent="0.2">
      <c r="K718">
        <v>717</v>
      </c>
      <c r="L718" s="19" t="s">
        <v>967</v>
      </c>
    </row>
    <row r="719" spans="11:12" x14ac:dyDescent="0.2">
      <c r="K719">
        <v>718</v>
      </c>
      <c r="L719" s="19" t="s">
        <v>968</v>
      </c>
    </row>
    <row r="720" spans="11:12" x14ac:dyDescent="0.2">
      <c r="K720">
        <v>719</v>
      </c>
      <c r="L720" s="19" t="s">
        <v>969</v>
      </c>
    </row>
    <row r="721" spans="11:12" x14ac:dyDescent="0.2">
      <c r="K721">
        <v>720</v>
      </c>
      <c r="L721" s="19" t="s">
        <v>970</v>
      </c>
    </row>
    <row r="722" spans="11:12" x14ac:dyDescent="0.2">
      <c r="K722">
        <v>721</v>
      </c>
      <c r="L722" s="19" t="s">
        <v>971</v>
      </c>
    </row>
    <row r="723" spans="11:12" x14ac:dyDescent="0.2">
      <c r="K723">
        <v>722</v>
      </c>
      <c r="L723" s="19" t="s">
        <v>972</v>
      </c>
    </row>
    <row r="724" spans="11:12" x14ac:dyDescent="0.2">
      <c r="K724">
        <v>723</v>
      </c>
      <c r="L724" s="19" t="s">
        <v>973</v>
      </c>
    </row>
    <row r="725" spans="11:12" x14ac:dyDescent="0.2">
      <c r="K725">
        <v>724</v>
      </c>
      <c r="L725" s="19" t="s">
        <v>974</v>
      </c>
    </row>
    <row r="726" spans="11:12" x14ac:dyDescent="0.2">
      <c r="K726">
        <v>725</v>
      </c>
      <c r="L726" s="19" t="s">
        <v>975</v>
      </c>
    </row>
    <row r="727" spans="11:12" x14ac:dyDescent="0.2">
      <c r="K727">
        <v>726</v>
      </c>
      <c r="L727" s="19" t="s">
        <v>976</v>
      </c>
    </row>
    <row r="728" spans="11:12" x14ac:dyDescent="0.2">
      <c r="K728">
        <v>727</v>
      </c>
      <c r="L728" s="19" t="s">
        <v>977</v>
      </c>
    </row>
    <row r="729" spans="11:12" x14ac:dyDescent="0.2">
      <c r="K729">
        <v>728</v>
      </c>
      <c r="L729" s="19" t="s">
        <v>978</v>
      </c>
    </row>
    <row r="730" spans="11:12" x14ac:dyDescent="0.2">
      <c r="K730">
        <v>729</v>
      </c>
      <c r="L730" s="19" t="s">
        <v>979</v>
      </c>
    </row>
    <row r="731" spans="11:12" x14ac:dyDescent="0.2">
      <c r="K731">
        <v>730</v>
      </c>
      <c r="L731" s="19" t="s">
        <v>980</v>
      </c>
    </row>
    <row r="732" spans="11:12" x14ac:dyDescent="0.2">
      <c r="K732">
        <v>731</v>
      </c>
      <c r="L732" s="19" t="s">
        <v>981</v>
      </c>
    </row>
    <row r="733" spans="11:12" x14ac:dyDescent="0.2">
      <c r="K733">
        <v>732</v>
      </c>
      <c r="L733" s="19" t="s">
        <v>982</v>
      </c>
    </row>
    <row r="734" spans="11:12" x14ac:dyDescent="0.2">
      <c r="K734">
        <v>733</v>
      </c>
      <c r="L734" s="19" t="s">
        <v>983</v>
      </c>
    </row>
    <row r="735" spans="11:12" x14ac:dyDescent="0.2">
      <c r="K735">
        <v>734</v>
      </c>
      <c r="L735" s="19" t="s">
        <v>984</v>
      </c>
    </row>
    <row r="736" spans="11:12" x14ac:dyDescent="0.2">
      <c r="K736">
        <v>735</v>
      </c>
      <c r="L736" s="19" t="s">
        <v>985</v>
      </c>
    </row>
    <row r="737" spans="11:12" x14ac:dyDescent="0.2">
      <c r="K737">
        <v>736</v>
      </c>
      <c r="L737" s="19" t="s">
        <v>986</v>
      </c>
    </row>
    <row r="738" spans="11:12" x14ac:dyDescent="0.2">
      <c r="K738">
        <v>737</v>
      </c>
      <c r="L738" s="19" t="s">
        <v>987</v>
      </c>
    </row>
    <row r="739" spans="11:12" x14ac:dyDescent="0.2">
      <c r="K739">
        <v>738</v>
      </c>
      <c r="L739" s="19" t="s">
        <v>988</v>
      </c>
    </row>
    <row r="740" spans="11:12" x14ac:dyDescent="0.2">
      <c r="K740">
        <v>739</v>
      </c>
      <c r="L740" s="19" t="s">
        <v>989</v>
      </c>
    </row>
    <row r="741" spans="11:12" x14ac:dyDescent="0.2">
      <c r="K741">
        <v>740</v>
      </c>
      <c r="L741" s="19" t="s">
        <v>990</v>
      </c>
    </row>
    <row r="742" spans="11:12" x14ac:dyDescent="0.2">
      <c r="K742">
        <v>741</v>
      </c>
      <c r="L742" s="19" t="s">
        <v>991</v>
      </c>
    </row>
    <row r="743" spans="11:12" x14ac:dyDescent="0.2">
      <c r="K743">
        <v>742</v>
      </c>
      <c r="L743" s="19" t="s">
        <v>992</v>
      </c>
    </row>
    <row r="744" spans="11:12" x14ac:dyDescent="0.2">
      <c r="K744">
        <v>743</v>
      </c>
      <c r="L744" s="19" t="s">
        <v>993</v>
      </c>
    </row>
    <row r="745" spans="11:12" x14ac:dyDescent="0.2">
      <c r="K745">
        <v>744</v>
      </c>
      <c r="L745" s="19" t="s">
        <v>994</v>
      </c>
    </row>
    <row r="746" spans="11:12" x14ac:dyDescent="0.2">
      <c r="K746">
        <v>745</v>
      </c>
      <c r="L746" s="19" t="s">
        <v>995</v>
      </c>
    </row>
    <row r="747" spans="11:12" x14ac:dyDescent="0.2">
      <c r="K747">
        <v>746</v>
      </c>
      <c r="L747" s="19" t="s">
        <v>996</v>
      </c>
    </row>
    <row r="748" spans="11:12" x14ac:dyDescent="0.2">
      <c r="K748">
        <v>747</v>
      </c>
      <c r="L748" s="19" t="s">
        <v>997</v>
      </c>
    </row>
    <row r="749" spans="11:12" x14ac:dyDescent="0.2">
      <c r="K749">
        <v>748</v>
      </c>
      <c r="L749" s="19" t="s">
        <v>998</v>
      </c>
    </row>
    <row r="750" spans="11:12" x14ac:dyDescent="0.2">
      <c r="K750">
        <v>749</v>
      </c>
      <c r="L750" s="19" t="s">
        <v>999</v>
      </c>
    </row>
    <row r="751" spans="11:12" x14ac:dyDescent="0.2">
      <c r="K751">
        <v>750</v>
      </c>
      <c r="L751" s="19" t="s">
        <v>509</v>
      </c>
    </row>
    <row r="752" spans="11:12" x14ac:dyDescent="0.2">
      <c r="K752">
        <v>751</v>
      </c>
      <c r="L752" s="19" t="s">
        <v>1000</v>
      </c>
    </row>
    <row r="753" spans="11:12" x14ac:dyDescent="0.2">
      <c r="K753">
        <v>752</v>
      </c>
      <c r="L753" s="19" t="s">
        <v>1001</v>
      </c>
    </row>
    <row r="754" spans="11:12" x14ac:dyDescent="0.2">
      <c r="K754">
        <v>753</v>
      </c>
      <c r="L754" s="19" t="s">
        <v>511</v>
      </c>
    </row>
    <row r="755" spans="11:12" x14ac:dyDescent="0.2">
      <c r="K755">
        <v>754</v>
      </c>
      <c r="L755" s="19" t="s">
        <v>513</v>
      </c>
    </row>
    <row r="756" spans="11:12" x14ac:dyDescent="0.2">
      <c r="K756">
        <v>755</v>
      </c>
      <c r="L756" s="19" t="s">
        <v>1002</v>
      </c>
    </row>
    <row r="757" spans="11:12" x14ac:dyDescent="0.2">
      <c r="K757">
        <v>756</v>
      </c>
      <c r="L757" s="19" t="s">
        <v>1003</v>
      </c>
    </row>
    <row r="758" spans="11:12" x14ac:dyDescent="0.2">
      <c r="K758">
        <v>757</v>
      </c>
      <c r="L758" s="19" t="s">
        <v>1004</v>
      </c>
    </row>
    <row r="759" spans="11:12" x14ac:dyDescent="0.2">
      <c r="K759">
        <v>758</v>
      </c>
      <c r="L759" s="19" t="s">
        <v>1005</v>
      </c>
    </row>
    <row r="760" spans="11:12" x14ac:dyDescent="0.2">
      <c r="K760">
        <v>759</v>
      </c>
      <c r="L760" s="19" t="s">
        <v>1006</v>
      </c>
    </row>
    <row r="761" spans="11:12" x14ac:dyDescent="0.2">
      <c r="K761">
        <v>760</v>
      </c>
      <c r="L761" s="19" t="s">
        <v>1007</v>
      </c>
    </row>
    <row r="762" spans="11:12" x14ac:dyDescent="0.2">
      <c r="K762">
        <v>761</v>
      </c>
      <c r="L762" s="19" t="s">
        <v>518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CAFD6-D3ED-A544-8D76-7D2D3236DF8A}">
  <dimension ref="A1:S713"/>
  <sheetViews>
    <sheetView workbookViewId="0">
      <selection sqref="A1:XFD1048576"/>
    </sheetView>
  </sheetViews>
  <sheetFormatPr baseColWidth="10" defaultColWidth="11" defaultRowHeight="16" x14ac:dyDescent="0.2"/>
  <sheetData>
    <row r="1" spans="1:19" s="23" customFormat="1" ht="27" x14ac:dyDescent="0.35">
      <c r="B1" s="18" t="s">
        <v>1008</v>
      </c>
      <c r="K1" s="18" t="s">
        <v>1009</v>
      </c>
      <c r="L1" s="18"/>
      <c r="M1" s="18"/>
      <c r="N1" s="18"/>
      <c r="O1" s="18"/>
      <c r="P1" s="18"/>
      <c r="Q1" s="18"/>
      <c r="R1" s="18"/>
      <c r="S1" s="18" t="s">
        <v>1010</v>
      </c>
    </row>
    <row r="2" spans="1:19" x14ac:dyDescent="0.2">
      <c r="A2" s="19" t="s">
        <v>78</v>
      </c>
      <c r="K2" s="19" t="s">
        <v>1011</v>
      </c>
      <c r="L2" s="19"/>
      <c r="M2" s="19"/>
      <c r="N2" s="19"/>
      <c r="O2" s="19"/>
      <c r="P2" s="19"/>
      <c r="Q2" s="19"/>
      <c r="R2" s="19"/>
      <c r="S2" s="24" t="s">
        <v>1012</v>
      </c>
    </row>
    <row r="3" spans="1:19" x14ac:dyDescent="0.2">
      <c r="A3" s="19" t="s">
        <v>81</v>
      </c>
      <c r="K3" s="19" t="s">
        <v>1013</v>
      </c>
      <c r="L3" s="19"/>
      <c r="M3" s="19"/>
      <c r="N3" s="19"/>
      <c r="O3" s="19"/>
      <c r="P3" s="19"/>
      <c r="Q3" s="19"/>
      <c r="R3" s="19"/>
      <c r="S3" s="24" t="s">
        <v>1014</v>
      </c>
    </row>
    <row r="4" spans="1:19" x14ac:dyDescent="0.2">
      <c r="A4" s="19" t="s">
        <v>1015</v>
      </c>
      <c r="K4" s="19" t="s">
        <v>1016</v>
      </c>
      <c r="L4" s="19"/>
      <c r="M4" s="19"/>
      <c r="N4" s="19"/>
      <c r="O4" s="19"/>
      <c r="P4" s="19"/>
      <c r="Q4" s="19"/>
      <c r="R4" s="19"/>
      <c r="S4" s="24" t="s">
        <v>1017</v>
      </c>
    </row>
    <row r="5" spans="1:19" x14ac:dyDescent="0.2">
      <c r="A5" s="19" t="s">
        <v>1018</v>
      </c>
      <c r="K5" s="19" t="s">
        <v>1019</v>
      </c>
      <c r="L5" s="19"/>
      <c r="M5" s="19"/>
      <c r="N5" s="19"/>
      <c r="O5" s="19"/>
      <c r="P5" s="19"/>
      <c r="Q5" s="19"/>
      <c r="R5" s="19"/>
      <c r="S5" s="24" t="s">
        <v>1020</v>
      </c>
    </row>
    <row r="6" spans="1:19" x14ac:dyDescent="0.2">
      <c r="A6" s="19" t="s">
        <v>1012</v>
      </c>
      <c r="K6" s="19" t="s">
        <v>1021</v>
      </c>
      <c r="L6" s="19"/>
      <c r="M6" s="19"/>
      <c r="N6" s="19"/>
      <c r="O6" s="19"/>
      <c r="P6" s="19"/>
      <c r="Q6" s="19"/>
      <c r="R6" s="19"/>
      <c r="S6" s="24" t="s">
        <v>1022</v>
      </c>
    </row>
    <row r="7" spans="1:19" x14ac:dyDescent="0.2">
      <c r="A7" s="19" t="s">
        <v>1023</v>
      </c>
      <c r="K7" s="19" t="s">
        <v>1024</v>
      </c>
      <c r="L7" s="19"/>
      <c r="M7" s="19"/>
      <c r="N7" s="19"/>
      <c r="O7" s="19"/>
      <c r="P7" s="19"/>
      <c r="Q7" s="19"/>
      <c r="R7" s="19"/>
      <c r="S7" s="24" t="s">
        <v>1025</v>
      </c>
    </row>
    <row r="8" spans="1:19" x14ac:dyDescent="0.2">
      <c r="A8" s="19" t="s">
        <v>1025</v>
      </c>
      <c r="K8" s="19" t="s">
        <v>1026</v>
      </c>
      <c r="L8" s="19"/>
      <c r="M8" s="19"/>
      <c r="N8" s="19"/>
      <c r="O8" s="19"/>
      <c r="P8" s="19"/>
      <c r="Q8" s="19"/>
      <c r="R8" s="19"/>
      <c r="S8" s="24" t="s">
        <v>1027</v>
      </c>
    </row>
    <row r="9" spans="1:19" x14ac:dyDescent="0.2">
      <c r="A9" s="19" t="s">
        <v>1027</v>
      </c>
      <c r="K9" s="19" t="s">
        <v>1028</v>
      </c>
      <c r="L9" s="19"/>
      <c r="M9" s="19"/>
      <c r="N9" s="19"/>
      <c r="O9" s="19"/>
      <c r="P9" s="19"/>
      <c r="Q9" s="19"/>
      <c r="R9" s="19"/>
      <c r="S9" s="24" t="s">
        <v>1029</v>
      </c>
    </row>
    <row r="10" spans="1:19" x14ac:dyDescent="0.2">
      <c r="A10" s="19" t="s">
        <v>1030</v>
      </c>
      <c r="K10" s="19" t="s">
        <v>1031</v>
      </c>
      <c r="L10" s="19"/>
      <c r="M10" s="19"/>
      <c r="N10" s="19"/>
      <c r="O10" s="19"/>
      <c r="P10" s="19"/>
      <c r="Q10" s="19"/>
      <c r="R10" s="19"/>
      <c r="S10" s="24" t="s">
        <v>1032</v>
      </c>
    </row>
    <row r="11" spans="1:19" x14ac:dyDescent="0.2">
      <c r="A11" s="19" t="s">
        <v>1033</v>
      </c>
      <c r="K11" s="19" t="s">
        <v>1034</v>
      </c>
      <c r="L11" s="19"/>
      <c r="M11" s="19"/>
      <c r="N11" s="19"/>
      <c r="O11" s="19"/>
      <c r="P11" s="19"/>
      <c r="Q11" s="19"/>
      <c r="R11" s="19"/>
      <c r="S11" s="24" t="s">
        <v>1035</v>
      </c>
    </row>
    <row r="12" spans="1:19" x14ac:dyDescent="0.2">
      <c r="A12" s="19" t="s">
        <v>1036</v>
      </c>
      <c r="K12" s="19" t="s">
        <v>1037</v>
      </c>
      <c r="L12" s="19"/>
      <c r="M12" s="19"/>
      <c r="N12" s="19"/>
      <c r="O12" s="19"/>
      <c r="P12" s="19"/>
      <c r="Q12" s="19"/>
      <c r="R12" s="19"/>
      <c r="S12" s="24" t="s">
        <v>1038</v>
      </c>
    </row>
    <row r="13" spans="1:19" x14ac:dyDescent="0.2">
      <c r="A13" s="19" t="s">
        <v>1039</v>
      </c>
      <c r="K13" s="19" t="s">
        <v>1040</v>
      </c>
      <c r="L13" s="19"/>
      <c r="M13" s="19"/>
      <c r="N13" s="19"/>
      <c r="O13" s="19"/>
      <c r="P13" s="19"/>
      <c r="Q13" s="19"/>
      <c r="R13" s="19"/>
      <c r="S13" s="24" t="s">
        <v>1041</v>
      </c>
    </row>
    <row r="14" spans="1:19" x14ac:dyDescent="0.2">
      <c r="A14" s="19" t="s">
        <v>1042</v>
      </c>
      <c r="K14" s="19" t="s">
        <v>1043</v>
      </c>
      <c r="L14" s="19"/>
      <c r="M14" s="19"/>
      <c r="N14" s="19"/>
      <c r="O14" s="19"/>
      <c r="P14" s="19"/>
      <c r="Q14" s="19"/>
      <c r="R14" s="19"/>
      <c r="S14" s="24" t="s">
        <v>1044</v>
      </c>
    </row>
    <row r="15" spans="1:19" x14ac:dyDescent="0.2">
      <c r="A15" s="19" t="s">
        <v>1045</v>
      </c>
      <c r="K15" s="19" t="s">
        <v>1046</v>
      </c>
      <c r="L15" s="19"/>
      <c r="M15" s="19"/>
      <c r="N15" s="19"/>
      <c r="O15" s="19"/>
      <c r="P15" s="19"/>
      <c r="Q15" s="19"/>
      <c r="R15" s="19"/>
      <c r="S15" s="24" t="s">
        <v>1047</v>
      </c>
    </row>
    <row r="16" spans="1:19" x14ac:dyDescent="0.2">
      <c r="A16" s="19" t="s">
        <v>1032</v>
      </c>
      <c r="K16" s="19" t="s">
        <v>1048</v>
      </c>
      <c r="L16" s="19"/>
      <c r="M16" s="19"/>
      <c r="N16" s="19"/>
      <c r="O16" s="19"/>
      <c r="P16" s="19"/>
      <c r="Q16" s="19"/>
      <c r="R16" s="19"/>
      <c r="S16" s="24" t="s">
        <v>1049</v>
      </c>
    </row>
    <row r="17" spans="1:19" x14ac:dyDescent="0.2">
      <c r="A17" s="19" t="s">
        <v>1050</v>
      </c>
      <c r="K17" s="19" t="s">
        <v>1051</v>
      </c>
      <c r="L17" s="19"/>
      <c r="M17" s="19"/>
      <c r="N17" s="19"/>
      <c r="O17" s="19"/>
      <c r="P17" s="19"/>
      <c r="Q17" s="19"/>
      <c r="R17" s="19"/>
      <c r="S17" s="24" t="s">
        <v>1052</v>
      </c>
    </row>
    <row r="18" spans="1:19" x14ac:dyDescent="0.2">
      <c r="A18" s="19" t="s">
        <v>1053</v>
      </c>
      <c r="K18" s="19" t="s">
        <v>1054</v>
      </c>
      <c r="L18" s="19"/>
      <c r="M18" s="19"/>
      <c r="N18" s="19"/>
      <c r="O18" s="19"/>
      <c r="P18" s="19"/>
      <c r="Q18" s="19"/>
      <c r="R18" s="19"/>
      <c r="S18" s="24" t="s">
        <v>1055</v>
      </c>
    </row>
    <row r="19" spans="1:19" x14ac:dyDescent="0.2">
      <c r="A19" s="19" t="s">
        <v>1056</v>
      </c>
      <c r="K19" s="19" t="s">
        <v>1057</v>
      </c>
      <c r="L19" s="19"/>
      <c r="M19" s="19"/>
      <c r="N19" s="19"/>
      <c r="O19" s="19"/>
      <c r="P19" s="19"/>
      <c r="Q19" s="19"/>
      <c r="R19" s="19"/>
      <c r="S19" s="24" t="s">
        <v>1058</v>
      </c>
    </row>
    <row r="20" spans="1:19" x14ac:dyDescent="0.2">
      <c r="A20" s="19" t="s">
        <v>1052</v>
      </c>
      <c r="K20" s="19" t="s">
        <v>1059</v>
      </c>
      <c r="L20" s="19"/>
      <c r="M20" s="19"/>
      <c r="N20" s="19"/>
      <c r="O20" s="19"/>
      <c r="P20" s="19"/>
      <c r="Q20" s="19"/>
      <c r="R20" s="19"/>
      <c r="S20" s="24" t="s">
        <v>1060</v>
      </c>
    </row>
    <row r="21" spans="1:19" x14ac:dyDescent="0.2">
      <c r="A21" s="19" t="s">
        <v>1058</v>
      </c>
      <c r="K21" s="19" t="s">
        <v>1061</v>
      </c>
      <c r="L21" s="19"/>
      <c r="M21" s="19"/>
      <c r="N21" s="19"/>
      <c r="O21" s="19"/>
      <c r="P21" s="19"/>
      <c r="Q21" s="19"/>
      <c r="R21" s="19"/>
      <c r="S21" s="24" t="s">
        <v>1062</v>
      </c>
    </row>
    <row r="22" spans="1:19" x14ac:dyDescent="0.2">
      <c r="A22" s="19" t="s">
        <v>1063</v>
      </c>
      <c r="K22" s="19" t="s">
        <v>1064</v>
      </c>
      <c r="L22" s="19"/>
      <c r="M22" s="19"/>
      <c r="N22" s="19"/>
      <c r="O22" s="19"/>
      <c r="P22" s="19"/>
      <c r="Q22" s="19"/>
      <c r="R22" s="19"/>
      <c r="S22" s="24" t="s">
        <v>1065</v>
      </c>
    </row>
    <row r="23" spans="1:19" x14ac:dyDescent="0.2">
      <c r="A23" s="19" t="s">
        <v>1066</v>
      </c>
      <c r="K23" s="19" t="s">
        <v>1067</v>
      </c>
      <c r="L23" s="19"/>
      <c r="M23" s="19"/>
      <c r="N23" s="19"/>
      <c r="O23" s="19"/>
      <c r="P23" s="19"/>
      <c r="Q23" s="19"/>
      <c r="R23" s="19"/>
      <c r="S23" s="24" t="s">
        <v>1068</v>
      </c>
    </row>
    <row r="24" spans="1:19" x14ac:dyDescent="0.2">
      <c r="A24" s="19" t="s">
        <v>1069</v>
      </c>
      <c r="K24" s="19" t="s">
        <v>1070</v>
      </c>
      <c r="L24" s="19"/>
      <c r="M24" s="19"/>
      <c r="N24" s="19"/>
      <c r="O24" s="19"/>
      <c r="P24" s="19"/>
      <c r="Q24" s="19"/>
      <c r="R24" s="19"/>
      <c r="S24" s="24" t="s">
        <v>1071</v>
      </c>
    </row>
    <row r="25" spans="1:19" x14ac:dyDescent="0.2">
      <c r="A25" s="19" t="s">
        <v>1060</v>
      </c>
      <c r="K25" s="19" t="s">
        <v>1072</v>
      </c>
      <c r="L25" s="19"/>
      <c r="M25" s="19"/>
      <c r="N25" s="19"/>
      <c r="O25" s="19"/>
      <c r="P25" s="19"/>
      <c r="Q25" s="19"/>
      <c r="R25" s="19"/>
      <c r="S25" s="24" t="s">
        <v>1073</v>
      </c>
    </row>
    <row r="26" spans="1:19" x14ac:dyDescent="0.2">
      <c r="A26" s="19" t="s">
        <v>1074</v>
      </c>
      <c r="K26" s="19" t="s">
        <v>1075</v>
      </c>
      <c r="L26" s="19"/>
      <c r="M26" s="19"/>
      <c r="N26" s="19"/>
      <c r="O26" s="19"/>
      <c r="P26" s="19"/>
      <c r="Q26" s="19"/>
      <c r="R26" s="19"/>
      <c r="S26" s="24" t="s">
        <v>1076</v>
      </c>
    </row>
    <row r="27" spans="1:19" x14ac:dyDescent="0.2">
      <c r="A27" s="25" t="s">
        <v>111</v>
      </c>
      <c r="K27" s="19" t="s">
        <v>1077</v>
      </c>
      <c r="L27" s="19"/>
      <c r="M27" s="19"/>
      <c r="N27" s="19"/>
      <c r="O27" s="19"/>
      <c r="P27" s="19"/>
      <c r="Q27" s="19"/>
      <c r="R27" s="19"/>
      <c r="S27" s="24" t="s">
        <v>1078</v>
      </c>
    </row>
    <row r="28" spans="1:19" x14ac:dyDescent="0.2">
      <c r="A28" s="25" t="s">
        <v>1079</v>
      </c>
      <c r="K28" s="19" t="s">
        <v>1080</v>
      </c>
      <c r="L28" s="19"/>
      <c r="M28" s="19"/>
      <c r="N28" s="19"/>
      <c r="O28" s="19"/>
      <c r="P28" s="19"/>
      <c r="Q28" s="19"/>
      <c r="R28" s="19"/>
      <c r="S28" s="24" t="s">
        <v>1081</v>
      </c>
    </row>
    <row r="29" spans="1:19" x14ac:dyDescent="0.2">
      <c r="A29" s="19" t="s">
        <v>1082</v>
      </c>
      <c r="K29" s="19" t="s">
        <v>1083</v>
      </c>
      <c r="L29" s="19"/>
      <c r="M29" s="19"/>
      <c r="N29" s="19"/>
      <c r="O29" s="19"/>
      <c r="P29" s="19"/>
      <c r="Q29" s="19"/>
      <c r="R29" s="19"/>
      <c r="S29" s="24" t="s">
        <v>1084</v>
      </c>
    </row>
    <row r="30" spans="1:19" x14ac:dyDescent="0.2">
      <c r="A30" s="19" t="s">
        <v>1071</v>
      </c>
      <c r="K30" s="19" t="s">
        <v>1085</v>
      </c>
      <c r="L30" s="19"/>
      <c r="M30" s="19"/>
      <c r="N30" s="19"/>
      <c r="O30" s="19"/>
      <c r="P30" s="19"/>
      <c r="Q30" s="19"/>
      <c r="R30" s="19"/>
      <c r="S30" s="24" t="s">
        <v>1086</v>
      </c>
    </row>
    <row r="31" spans="1:19" x14ac:dyDescent="0.2">
      <c r="A31" s="19" t="s">
        <v>1076</v>
      </c>
      <c r="K31" s="19" t="s">
        <v>1087</v>
      </c>
      <c r="L31" s="19"/>
      <c r="M31" s="19"/>
      <c r="N31" s="19"/>
      <c r="O31" s="19"/>
      <c r="P31" s="19"/>
      <c r="Q31" s="19"/>
      <c r="R31" s="19"/>
      <c r="S31" s="24" t="s">
        <v>1088</v>
      </c>
    </row>
    <row r="32" spans="1:19" x14ac:dyDescent="0.2">
      <c r="A32" s="19" t="s">
        <v>1089</v>
      </c>
      <c r="K32" s="19" t="s">
        <v>1090</v>
      </c>
      <c r="L32" s="19"/>
      <c r="M32" s="19"/>
      <c r="N32" s="19"/>
      <c r="O32" s="19"/>
      <c r="P32" s="19"/>
      <c r="Q32" s="19"/>
      <c r="R32" s="19"/>
      <c r="S32" s="24" t="s">
        <v>1091</v>
      </c>
    </row>
    <row r="33" spans="1:19" x14ac:dyDescent="0.2">
      <c r="A33" s="19" t="s">
        <v>1092</v>
      </c>
      <c r="K33" s="19" t="s">
        <v>1093</v>
      </c>
      <c r="L33" s="19"/>
      <c r="M33" s="19"/>
      <c r="N33" s="19"/>
      <c r="O33" s="19"/>
      <c r="P33" s="19"/>
      <c r="Q33" s="19"/>
      <c r="R33" s="19"/>
      <c r="S33" s="24" t="s">
        <v>1094</v>
      </c>
    </row>
    <row r="34" spans="1:19" x14ac:dyDescent="0.2">
      <c r="A34" s="19" t="s">
        <v>1095</v>
      </c>
      <c r="K34" s="19" t="s">
        <v>1096</v>
      </c>
      <c r="L34" s="19"/>
      <c r="M34" s="19"/>
      <c r="N34" s="19"/>
      <c r="O34" s="19"/>
      <c r="P34" s="19"/>
      <c r="Q34" s="19"/>
      <c r="R34" s="19"/>
      <c r="S34" s="24" t="s">
        <v>1097</v>
      </c>
    </row>
    <row r="35" spans="1:19" x14ac:dyDescent="0.2">
      <c r="A35" s="19" t="s">
        <v>1081</v>
      </c>
      <c r="K35" s="19" t="s">
        <v>1098</v>
      </c>
      <c r="L35" s="19"/>
      <c r="M35" s="19"/>
      <c r="N35" s="19"/>
      <c r="O35" s="19"/>
      <c r="P35" s="19"/>
      <c r="Q35" s="19"/>
      <c r="R35" s="19"/>
      <c r="S35" s="24" t="s">
        <v>1099</v>
      </c>
    </row>
    <row r="36" spans="1:19" x14ac:dyDescent="0.2">
      <c r="A36" s="19" t="s">
        <v>1100</v>
      </c>
      <c r="K36" s="19" t="s">
        <v>1101</v>
      </c>
      <c r="L36" s="19"/>
      <c r="M36" s="19"/>
      <c r="N36" s="19"/>
      <c r="O36" s="19"/>
      <c r="P36" s="19"/>
      <c r="Q36" s="19"/>
      <c r="R36" s="19"/>
      <c r="S36" s="24" t="s">
        <v>1102</v>
      </c>
    </row>
    <row r="37" spans="1:19" x14ac:dyDescent="0.2">
      <c r="A37" s="19" t="s">
        <v>1086</v>
      </c>
      <c r="K37" s="19" t="s">
        <v>1103</v>
      </c>
      <c r="L37" s="19"/>
      <c r="M37" s="19"/>
      <c r="N37" s="19"/>
      <c r="O37" s="19"/>
      <c r="P37" s="19"/>
      <c r="Q37" s="19"/>
      <c r="R37" s="19"/>
      <c r="S37" s="24" t="s">
        <v>1104</v>
      </c>
    </row>
    <row r="38" spans="1:19" x14ac:dyDescent="0.2">
      <c r="A38" s="19" t="s">
        <v>1105</v>
      </c>
      <c r="K38" s="19" t="s">
        <v>1106</v>
      </c>
      <c r="L38" s="19"/>
      <c r="M38" s="19"/>
      <c r="N38" s="19"/>
      <c r="O38" s="19"/>
      <c r="P38" s="19"/>
      <c r="Q38" s="19"/>
      <c r="R38" s="19"/>
      <c r="S38" s="24" t="s">
        <v>1107</v>
      </c>
    </row>
    <row r="39" spans="1:19" x14ac:dyDescent="0.2">
      <c r="A39" s="19" t="s">
        <v>1108</v>
      </c>
      <c r="K39" s="19" t="s">
        <v>1109</v>
      </c>
      <c r="L39" s="19"/>
      <c r="M39" s="19"/>
      <c r="N39" s="19"/>
      <c r="O39" s="19"/>
      <c r="P39" s="19"/>
      <c r="Q39" s="19"/>
      <c r="R39" s="19"/>
      <c r="S39" s="24" t="s">
        <v>1110</v>
      </c>
    </row>
    <row r="40" spans="1:19" x14ac:dyDescent="0.2">
      <c r="A40" s="19" t="s">
        <v>1111</v>
      </c>
      <c r="K40" s="19" t="s">
        <v>1112</v>
      </c>
      <c r="L40" s="19"/>
      <c r="M40" s="19"/>
      <c r="N40" s="19"/>
      <c r="O40" s="19"/>
      <c r="P40" s="19"/>
      <c r="Q40" s="19"/>
      <c r="R40" s="19"/>
      <c r="S40" s="24" t="s">
        <v>1113</v>
      </c>
    </row>
    <row r="41" spans="1:19" x14ac:dyDescent="0.2">
      <c r="A41" s="19" t="s">
        <v>1114</v>
      </c>
      <c r="K41" s="19" t="s">
        <v>1115</v>
      </c>
      <c r="L41" s="19"/>
      <c r="M41" s="19"/>
      <c r="N41" s="19"/>
      <c r="O41" s="19"/>
      <c r="P41" s="19"/>
      <c r="Q41" s="19"/>
      <c r="R41" s="19"/>
      <c r="S41" s="24" t="s">
        <v>1116</v>
      </c>
    </row>
    <row r="42" spans="1:19" x14ac:dyDescent="0.2">
      <c r="A42" s="19" t="s">
        <v>1088</v>
      </c>
      <c r="K42" s="19" t="s">
        <v>1117</v>
      </c>
      <c r="L42" s="19"/>
      <c r="M42" s="19"/>
      <c r="N42" s="19"/>
      <c r="O42" s="19"/>
      <c r="P42" s="19"/>
      <c r="Q42" s="19"/>
      <c r="R42" s="19"/>
      <c r="S42" s="24" t="s">
        <v>1118</v>
      </c>
    </row>
    <row r="43" spans="1:19" x14ac:dyDescent="0.2">
      <c r="A43" s="19" t="s">
        <v>1097</v>
      </c>
      <c r="K43" s="19" t="s">
        <v>1119</v>
      </c>
      <c r="L43" s="19"/>
      <c r="M43" s="19"/>
      <c r="N43" s="19"/>
      <c r="O43" s="19"/>
      <c r="P43" s="19"/>
      <c r="Q43" s="19"/>
      <c r="R43" s="19"/>
      <c r="S43" s="24" t="s">
        <v>1120</v>
      </c>
    </row>
    <row r="44" spans="1:19" x14ac:dyDescent="0.2">
      <c r="A44" s="19" t="s">
        <v>1121</v>
      </c>
      <c r="K44" s="19" t="s">
        <v>1122</v>
      </c>
      <c r="L44" s="19"/>
      <c r="M44" s="19"/>
      <c r="N44" s="19"/>
      <c r="O44" s="19"/>
      <c r="P44" s="19"/>
      <c r="Q44" s="19"/>
      <c r="R44" s="19"/>
      <c r="S44" s="24" t="s">
        <v>1123</v>
      </c>
    </row>
    <row r="45" spans="1:19" x14ac:dyDescent="0.2">
      <c r="A45" s="19" t="s">
        <v>1099</v>
      </c>
      <c r="K45" s="19" t="s">
        <v>1124</v>
      </c>
      <c r="L45" s="19"/>
      <c r="M45" s="19"/>
      <c r="N45" s="19"/>
      <c r="O45" s="19"/>
      <c r="P45" s="19"/>
      <c r="Q45" s="19"/>
      <c r="R45" s="19"/>
      <c r="S45" s="24" t="s">
        <v>1125</v>
      </c>
    </row>
    <row r="46" spans="1:19" x14ac:dyDescent="0.2">
      <c r="A46" s="19" t="s">
        <v>1102</v>
      </c>
      <c r="K46" s="19" t="s">
        <v>1126</v>
      </c>
      <c r="L46" s="19"/>
      <c r="M46" s="19"/>
      <c r="N46" s="19"/>
      <c r="O46" s="19"/>
      <c r="P46" s="19"/>
      <c r="Q46" s="19"/>
      <c r="R46" s="19"/>
      <c r="S46" s="24" t="s">
        <v>1127</v>
      </c>
    </row>
    <row r="47" spans="1:19" x14ac:dyDescent="0.2">
      <c r="A47" s="19" t="s">
        <v>1107</v>
      </c>
      <c r="K47" s="19" t="s">
        <v>1128</v>
      </c>
      <c r="L47" s="19"/>
      <c r="M47" s="19"/>
      <c r="N47" s="19"/>
      <c r="O47" s="19"/>
      <c r="P47" s="19"/>
      <c r="Q47" s="19"/>
      <c r="R47" s="19"/>
      <c r="S47" s="24" t="s">
        <v>1129</v>
      </c>
    </row>
    <row r="48" spans="1:19" x14ac:dyDescent="0.2">
      <c r="A48" s="19" t="s">
        <v>1113</v>
      </c>
      <c r="K48" s="19" t="s">
        <v>1130</v>
      </c>
      <c r="L48" s="19"/>
      <c r="M48" s="19"/>
      <c r="N48" s="19"/>
      <c r="O48" s="19"/>
      <c r="P48" s="19"/>
      <c r="Q48" s="19"/>
      <c r="R48" s="19"/>
      <c r="S48" s="24" t="s">
        <v>1131</v>
      </c>
    </row>
    <row r="49" spans="1:19" x14ac:dyDescent="0.2">
      <c r="A49" s="19" t="s">
        <v>1118</v>
      </c>
      <c r="K49" s="19" t="s">
        <v>1132</v>
      </c>
      <c r="L49" s="19"/>
      <c r="M49" s="19"/>
      <c r="N49" s="19"/>
      <c r="O49" s="19"/>
      <c r="P49" s="19"/>
      <c r="Q49" s="19"/>
      <c r="R49" s="19"/>
      <c r="S49" s="24" t="s">
        <v>1133</v>
      </c>
    </row>
    <row r="50" spans="1:19" x14ac:dyDescent="0.2">
      <c r="A50" s="19" t="s">
        <v>1134</v>
      </c>
      <c r="K50" s="19" t="s">
        <v>1135</v>
      </c>
      <c r="L50" s="19"/>
      <c r="M50" s="19"/>
      <c r="N50" s="19"/>
      <c r="O50" s="19"/>
      <c r="P50" s="19"/>
      <c r="Q50" s="19"/>
      <c r="R50" s="19"/>
      <c r="S50" s="24" t="s">
        <v>1136</v>
      </c>
    </row>
    <row r="51" spans="1:19" x14ac:dyDescent="0.2">
      <c r="A51" s="19" t="s">
        <v>1127</v>
      </c>
      <c r="K51" s="19" t="s">
        <v>1137</v>
      </c>
      <c r="L51" s="19"/>
      <c r="M51" s="19"/>
      <c r="N51" s="19"/>
      <c r="O51" s="19"/>
      <c r="P51" s="19"/>
      <c r="Q51" s="19"/>
      <c r="R51" s="19"/>
      <c r="S51" s="24" t="s">
        <v>1138</v>
      </c>
    </row>
    <row r="52" spans="1:19" x14ac:dyDescent="0.2">
      <c r="A52" s="19" t="s">
        <v>1131</v>
      </c>
      <c r="K52" s="19" t="s">
        <v>1139</v>
      </c>
      <c r="L52" s="19"/>
      <c r="M52" s="19"/>
      <c r="N52" s="19"/>
      <c r="O52" s="19"/>
      <c r="P52" s="19"/>
      <c r="Q52" s="19"/>
      <c r="R52" s="19"/>
      <c r="S52" s="24" t="s">
        <v>1140</v>
      </c>
    </row>
    <row r="53" spans="1:19" x14ac:dyDescent="0.2">
      <c r="A53" s="19" t="s">
        <v>1133</v>
      </c>
      <c r="K53" s="19" t="s">
        <v>1141</v>
      </c>
      <c r="L53" s="19"/>
      <c r="M53" s="19"/>
      <c r="N53" s="19"/>
      <c r="O53" s="19"/>
      <c r="P53" s="19"/>
      <c r="Q53" s="19"/>
      <c r="R53" s="19"/>
      <c r="S53" s="24" t="s">
        <v>1142</v>
      </c>
    </row>
    <row r="54" spans="1:19" x14ac:dyDescent="0.2">
      <c r="A54" s="19" t="s">
        <v>1143</v>
      </c>
      <c r="K54" s="19" t="s">
        <v>1144</v>
      </c>
      <c r="L54" s="19"/>
      <c r="M54" s="19"/>
      <c r="N54" s="19"/>
      <c r="O54" s="19"/>
      <c r="P54" s="19"/>
      <c r="Q54" s="19"/>
      <c r="R54" s="19"/>
      <c r="S54" s="24" t="s">
        <v>1145</v>
      </c>
    </row>
    <row r="55" spans="1:19" x14ac:dyDescent="0.2">
      <c r="A55" s="19" t="s">
        <v>1146</v>
      </c>
      <c r="K55" s="19" t="s">
        <v>1147</v>
      </c>
      <c r="L55" s="19"/>
      <c r="M55" s="19"/>
      <c r="N55" s="19"/>
      <c r="O55" s="19"/>
      <c r="P55" s="19"/>
      <c r="Q55" s="19"/>
      <c r="R55" s="19"/>
      <c r="S55" s="24" t="s">
        <v>1148</v>
      </c>
    </row>
    <row r="56" spans="1:19" x14ac:dyDescent="0.2">
      <c r="A56" s="19" t="s">
        <v>1136</v>
      </c>
      <c r="K56" s="19" t="s">
        <v>1149</v>
      </c>
      <c r="L56" s="19"/>
      <c r="M56" s="19"/>
      <c r="N56" s="19"/>
      <c r="O56" s="19"/>
      <c r="P56" s="19"/>
      <c r="Q56" s="19"/>
      <c r="R56" s="19"/>
      <c r="S56" s="24" t="s">
        <v>1150</v>
      </c>
    </row>
    <row r="57" spans="1:19" x14ac:dyDescent="0.2">
      <c r="A57" s="19" t="s">
        <v>1151</v>
      </c>
      <c r="K57" s="19" t="s">
        <v>1152</v>
      </c>
      <c r="L57" s="19"/>
      <c r="M57" s="19"/>
      <c r="N57" s="19"/>
      <c r="O57" s="19"/>
      <c r="P57" s="19"/>
      <c r="Q57" s="19"/>
      <c r="R57" s="19"/>
      <c r="S57" s="24" t="s">
        <v>1153</v>
      </c>
    </row>
    <row r="58" spans="1:19" x14ac:dyDescent="0.2">
      <c r="A58" s="19" t="s">
        <v>1138</v>
      </c>
      <c r="K58" s="19" t="s">
        <v>1154</v>
      </c>
      <c r="L58" s="19"/>
      <c r="M58" s="19"/>
      <c r="N58" s="19"/>
      <c r="O58" s="19"/>
      <c r="P58" s="19"/>
      <c r="Q58" s="19"/>
      <c r="R58" s="19"/>
      <c r="S58" s="24" t="s">
        <v>1155</v>
      </c>
    </row>
    <row r="59" spans="1:19" x14ac:dyDescent="0.2">
      <c r="A59" s="19" t="s">
        <v>1142</v>
      </c>
      <c r="K59" s="19" t="s">
        <v>1156</v>
      </c>
      <c r="L59" s="19"/>
      <c r="M59" s="19"/>
      <c r="N59" s="19"/>
      <c r="O59" s="19"/>
      <c r="P59" s="19"/>
      <c r="Q59" s="19"/>
      <c r="R59" s="19"/>
      <c r="S59" s="24" t="s">
        <v>1157</v>
      </c>
    </row>
    <row r="60" spans="1:19" x14ac:dyDescent="0.2">
      <c r="A60" s="19" t="s">
        <v>1145</v>
      </c>
      <c r="K60" s="19" t="s">
        <v>1158</v>
      </c>
      <c r="L60" s="19"/>
      <c r="M60" s="19"/>
      <c r="N60" s="19"/>
      <c r="O60" s="19"/>
      <c r="P60" s="19"/>
      <c r="Q60" s="19"/>
      <c r="R60" s="19"/>
      <c r="S60" s="24" t="s">
        <v>1159</v>
      </c>
    </row>
    <row r="61" spans="1:19" x14ac:dyDescent="0.2">
      <c r="A61" s="19" t="s">
        <v>1160</v>
      </c>
      <c r="K61" s="19" t="s">
        <v>1161</v>
      </c>
      <c r="L61" s="19"/>
      <c r="M61" s="19"/>
      <c r="N61" s="19"/>
      <c r="O61" s="19"/>
      <c r="P61" s="19"/>
      <c r="Q61" s="19"/>
      <c r="R61" s="19"/>
      <c r="S61" s="24" t="s">
        <v>1162</v>
      </c>
    </row>
    <row r="62" spans="1:19" x14ac:dyDescent="0.2">
      <c r="A62" s="19" t="s">
        <v>1163</v>
      </c>
      <c r="K62" s="19" t="s">
        <v>1164</v>
      </c>
      <c r="L62" s="19"/>
      <c r="M62" s="19"/>
      <c r="N62" s="19"/>
      <c r="O62" s="19"/>
      <c r="P62" s="19"/>
      <c r="Q62" s="19"/>
      <c r="R62" s="19"/>
      <c r="S62" s="24" t="s">
        <v>1165</v>
      </c>
    </row>
    <row r="63" spans="1:19" x14ac:dyDescent="0.2">
      <c r="A63" s="19" t="s">
        <v>1166</v>
      </c>
      <c r="K63" s="19" t="s">
        <v>1167</v>
      </c>
      <c r="L63" s="19"/>
      <c r="M63" s="19"/>
      <c r="N63" s="19"/>
      <c r="O63" s="19"/>
      <c r="P63" s="19"/>
      <c r="Q63" s="19"/>
      <c r="R63" s="19"/>
      <c r="S63" s="24" t="s">
        <v>1168</v>
      </c>
    </row>
    <row r="64" spans="1:19" x14ac:dyDescent="0.2">
      <c r="A64" s="19" t="s">
        <v>1169</v>
      </c>
      <c r="K64" s="19" t="s">
        <v>1170</v>
      </c>
      <c r="L64" s="19"/>
      <c r="M64" s="19"/>
      <c r="N64" s="19"/>
      <c r="O64" s="19"/>
      <c r="P64" s="19"/>
      <c r="Q64" s="19"/>
      <c r="R64" s="19"/>
      <c r="S64" s="24" t="s">
        <v>1171</v>
      </c>
    </row>
    <row r="65" spans="1:19" x14ac:dyDescent="0.2">
      <c r="A65" s="19" t="s">
        <v>1172</v>
      </c>
      <c r="K65" s="19" t="s">
        <v>1173</v>
      </c>
      <c r="L65" s="19"/>
      <c r="M65" s="19"/>
      <c r="N65" s="19"/>
      <c r="O65" s="19"/>
      <c r="P65" s="19"/>
      <c r="Q65" s="19"/>
      <c r="R65" s="19"/>
      <c r="S65" s="24" t="s">
        <v>1174</v>
      </c>
    </row>
    <row r="66" spans="1:19" x14ac:dyDescent="0.2">
      <c r="A66" s="19" t="s">
        <v>1157</v>
      </c>
      <c r="K66" s="19" t="s">
        <v>1175</v>
      </c>
      <c r="L66" s="19"/>
      <c r="M66" s="19"/>
      <c r="N66" s="19"/>
      <c r="O66" s="19"/>
      <c r="P66" s="19"/>
      <c r="Q66" s="19"/>
      <c r="R66" s="19"/>
      <c r="S66" s="24" t="s">
        <v>1176</v>
      </c>
    </row>
    <row r="67" spans="1:19" x14ac:dyDescent="0.2">
      <c r="A67" s="19" t="s">
        <v>1177</v>
      </c>
      <c r="K67" s="19" t="s">
        <v>1178</v>
      </c>
      <c r="L67" s="19"/>
      <c r="M67" s="19"/>
      <c r="N67" s="19"/>
      <c r="O67" s="19"/>
      <c r="P67" s="19"/>
      <c r="Q67" s="19"/>
      <c r="R67" s="19"/>
      <c r="S67" s="24" t="s">
        <v>1179</v>
      </c>
    </row>
    <row r="68" spans="1:19" x14ac:dyDescent="0.2">
      <c r="A68" s="19" t="s">
        <v>1180</v>
      </c>
      <c r="K68" s="19" t="s">
        <v>1181</v>
      </c>
      <c r="L68" s="19"/>
      <c r="M68" s="19"/>
      <c r="N68" s="19"/>
      <c r="O68" s="19"/>
      <c r="P68" s="19"/>
      <c r="Q68" s="19"/>
      <c r="R68" s="19"/>
      <c r="S68" s="24" t="s">
        <v>1182</v>
      </c>
    </row>
    <row r="69" spans="1:19" x14ac:dyDescent="0.2">
      <c r="A69" s="19" t="s">
        <v>1183</v>
      </c>
      <c r="K69" s="19" t="s">
        <v>1184</v>
      </c>
      <c r="L69" s="19"/>
      <c r="M69" s="19"/>
      <c r="N69" s="19"/>
      <c r="O69" s="19"/>
      <c r="P69" s="19"/>
      <c r="Q69" s="19"/>
      <c r="R69" s="19"/>
      <c r="S69" s="24" t="s">
        <v>1185</v>
      </c>
    </row>
    <row r="70" spans="1:19" x14ac:dyDescent="0.2">
      <c r="A70" s="19" t="s">
        <v>1186</v>
      </c>
      <c r="K70" s="19" t="s">
        <v>1187</v>
      </c>
      <c r="L70" s="19"/>
      <c r="M70" s="19"/>
      <c r="N70" s="19"/>
      <c r="O70" s="19"/>
      <c r="P70" s="19"/>
      <c r="Q70" s="19"/>
      <c r="R70" s="19"/>
      <c r="S70" s="24" t="s">
        <v>1188</v>
      </c>
    </row>
    <row r="71" spans="1:19" x14ac:dyDescent="0.2">
      <c r="A71" s="19" t="s">
        <v>1189</v>
      </c>
      <c r="K71" s="19" t="s">
        <v>1190</v>
      </c>
      <c r="L71" s="19"/>
      <c r="M71" s="19"/>
      <c r="N71" s="19"/>
      <c r="O71" s="19"/>
      <c r="P71" s="19"/>
      <c r="Q71" s="19"/>
      <c r="R71" s="19"/>
      <c r="S71" s="24" t="s">
        <v>1191</v>
      </c>
    </row>
    <row r="72" spans="1:19" x14ac:dyDescent="0.2">
      <c r="A72" s="19" t="s">
        <v>1165</v>
      </c>
      <c r="K72" s="19" t="s">
        <v>1192</v>
      </c>
      <c r="L72" s="19"/>
      <c r="M72" s="19"/>
      <c r="N72" s="19"/>
      <c r="O72" s="19"/>
      <c r="P72" s="19"/>
      <c r="Q72" s="19"/>
      <c r="R72" s="19"/>
      <c r="S72" s="24" t="s">
        <v>1193</v>
      </c>
    </row>
    <row r="73" spans="1:19" x14ac:dyDescent="0.2">
      <c r="A73" s="19" t="s">
        <v>1194</v>
      </c>
      <c r="K73" s="19" t="s">
        <v>1195</v>
      </c>
      <c r="L73" s="19"/>
      <c r="M73" s="19"/>
      <c r="N73" s="19"/>
      <c r="O73" s="19"/>
      <c r="P73" s="19"/>
      <c r="Q73" s="19"/>
      <c r="R73" s="19"/>
      <c r="S73" s="24" t="s">
        <v>1196</v>
      </c>
    </row>
    <row r="74" spans="1:19" x14ac:dyDescent="0.2">
      <c r="A74" s="19" t="s">
        <v>1168</v>
      </c>
      <c r="K74" s="19" t="s">
        <v>1197</v>
      </c>
      <c r="L74" s="19"/>
      <c r="M74" s="19"/>
      <c r="N74" s="19"/>
      <c r="O74" s="19"/>
      <c r="P74" s="19"/>
      <c r="Q74" s="19"/>
      <c r="R74" s="19"/>
      <c r="S74" s="24" t="s">
        <v>1198</v>
      </c>
    </row>
    <row r="75" spans="1:19" x14ac:dyDescent="0.2">
      <c r="A75" s="19" t="s">
        <v>1171</v>
      </c>
      <c r="K75" s="19" t="s">
        <v>1199</v>
      </c>
      <c r="L75" s="19"/>
      <c r="M75" s="19"/>
      <c r="N75" s="19"/>
      <c r="O75" s="19"/>
      <c r="P75" s="19"/>
      <c r="Q75" s="19"/>
      <c r="R75" s="19"/>
      <c r="S75" s="24" t="s">
        <v>1200</v>
      </c>
    </row>
    <row r="76" spans="1:19" x14ac:dyDescent="0.2">
      <c r="A76" s="19" t="s">
        <v>1176</v>
      </c>
      <c r="K76" s="19" t="s">
        <v>1201</v>
      </c>
      <c r="L76" s="19"/>
      <c r="M76" s="19"/>
      <c r="N76" s="19"/>
      <c r="O76" s="19"/>
      <c r="P76" s="19"/>
      <c r="Q76" s="19"/>
      <c r="R76" s="19"/>
      <c r="S76" s="24" t="s">
        <v>1202</v>
      </c>
    </row>
    <row r="77" spans="1:19" x14ac:dyDescent="0.2">
      <c r="A77" s="19" t="s">
        <v>1179</v>
      </c>
      <c r="K77" s="19" t="s">
        <v>1203</v>
      </c>
      <c r="L77" s="19"/>
      <c r="M77" s="19"/>
      <c r="N77" s="19"/>
      <c r="O77" s="19"/>
      <c r="P77" s="19"/>
      <c r="Q77" s="19"/>
      <c r="R77" s="19"/>
      <c r="S77" s="24" t="s">
        <v>1204</v>
      </c>
    </row>
    <row r="78" spans="1:19" x14ac:dyDescent="0.2">
      <c r="A78" s="19" t="s">
        <v>1185</v>
      </c>
      <c r="K78" s="19" t="s">
        <v>1205</v>
      </c>
      <c r="L78" s="19"/>
      <c r="M78" s="19"/>
      <c r="N78" s="19"/>
      <c r="O78" s="19"/>
      <c r="P78" s="19"/>
      <c r="Q78" s="19"/>
      <c r="R78" s="19"/>
      <c r="S78" s="24" t="s">
        <v>1206</v>
      </c>
    </row>
    <row r="79" spans="1:19" x14ac:dyDescent="0.2">
      <c r="A79" s="19" t="s">
        <v>1191</v>
      </c>
      <c r="K79" s="19" t="s">
        <v>1207</v>
      </c>
      <c r="L79" s="19"/>
      <c r="M79" s="19"/>
      <c r="N79" s="19"/>
      <c r="O79" s="19"/>
      <c r="P79" s="19"/>
      <c r="Q79" s="19"/>
      <c r="R79" s="19"/>
      <c r="S79" s="24" t="s">
        <v>1208</v>
      </c>
    </row>
    <row r="80" spans="1:19" x14ac:dyDescent="0.2">
      <c r="A80" s="19" t="s">
        <v>1193</v>
      </c>
      <c r="K80" s="19" t="s">
        <v>1209</v>
      </c>
      <c r="L80" s="19"/>
      <c r="M80" s="19"/>
      <c r="N80" s="19"/>
      <c r="O80" s="19"/>
      <c r="P80" s="19"/>
      <c r="Q80" s="19"/>
      <c r="R80" s="19"/>
      <c r="S80" s="24" t="s">
        <v>1210</v>
      </c>
    </row>
    <row r="81" spans="1:19" x14ac:dyDescent="0.2">
      <c r="A81" s="19" t="s">
        <v>1196</v>
      </c>
      <c r="K81" s="19" t="s">
        <v>1211</v>
      </c>
      <c r="L81" s="19"/>
      <c r="M81" s="19"/>
      <c r="N81" s="19"/>
      <c r="O81" s="19"/>
      <c r="P81" s="19"/>
      <c r="Q81" s="19"/>
      <c r="R81" s="19"/>
      <c r="S81" s="24" t="s">
        <v>1212</v>
      </c>
    </row>
    <row r="82" spans="1:19" x14ac:dyDescent="0.2">
      <c r="A82" s="19" t="s">
        <v>1198</v>
      </c>
      <c r="K82" s="19" t="s">
        <v>1213</v>
      </c>
      <c r="L82" s="19"/>
      <c r="M82" s="19"/>
      <c r="N82" s="19"/>
      <c r="O82" s="19"/>
      <c r="P82" s="19"/>
      <c r="Q82" s="19"/>
      <c r="R82" s="19"/>
      <c r="S82" s="24" t="s">
        <v>1214</v>
      </c>
    </row>
    <row r="83" spans="1:19" x14ac:dyDescent="0.2">
      <c r="A83" s="19" t="s">
        <v>1215</v>
      </c>
      <c r="K83" s="19" t="s">
        <v>1216</v>
      </c>
      <c r="L83" s="19"/>
      <c r="M83" s="19"/>
      <c r="N83" s="19"/>
      <c r="O83" s="19"/>
      <c r="P83" s="19"/>
      <c r="Q83" s="19"/>
      <c r="R83" s="19"/>
      <c r="S83" s="24" t="s">
        <v>1217</v>
      </c>
    </row>
    <row r="84" spans="1:19" x14ac:dyDescent="0.2">
      <c r="A84" s="19" t="s">
        <v>1218</v>
      </c>
      <c r="K84" s="19" t="s">
        <v>1219</v>
      </c>
      <c r="L84" s="19"/>
      <c r="M84" s="19"/>
      <c r="N84" s="19"/>
      <c r="O84" s="19"/>
      <c r="P84" s="19"/>
      <c r="Q84" s="19"/>
      <c r="R84" s="19"/>
      <c r="S84" s="24" t="s">
        <v>1220</v>
      </c>
    </row>
    <row r="85" spans="1:19" x14ac:dyDescent="0.2">
      <c r="A85" s="19" t="s">
        <v>1200</v>
      </c>
      <c r="K85" s="19" t="s">
        <v>1221</v>
      </c>
      <c r="L85" s="19"/>
      <c r="M85" s="19"/>
      <c r="N85" s="19"/>
      <c r="O85" s="19"/>
      <c r="P85" s="19"/>
      <c r="Q85" s="19"/>
      <c r="R85" s="19"/>
      <c r="S85" s="24" t="s">
        <v>1222</v>
      </c>
    </row>
    <row r="86" spans="1:19" x14ac:dyDescent="0.2">
      <c r="A86" s="19" t="s">
        <v>1223</v>
      </c>
      <c r="K86" s="19" t="s">
        <v>1224</v>
      </c>
      <c r="L86" s="19"/>
      <c r="M86" s="19"/>
      <c r="N86" s="19"/>
      <c r="O86" s="19"/>
      <c r="P86" s="19"/>
      <c r="Q86" s="19"/>
      <c r="R86" s="19"/>
      <c r="S86" s="24" t="s">
        <v>1225</v>
      </c>
    </row>
    <row r="87" spans="1:19" x14ac:dyDescent="0.2">
      <c r="A87" s="19" t="s">
        <v>1202</v>
      </c>
      <c r="K87" s="19" t="s">
        <v>1226</v>
      </c>
      <c r="L87" s="19"/>
      <c r="M87" s="19"/>
      <c r="N87" s="19"/>
      <c r="O87" s="19"/>
      <c r="P87" s="19"/>
      <c r="Q87" s="19"/>
      <c r="R87" s="19"/>
      <c r="S87" s="24" t="s">
        <v>1227</v>
      </c>
    </row>
    <row r="88" spans="1:19" x14ac:dyDescent="0.2">
      <c r="A88" s="19" t="s">
        <v>1204</v>
      </c>
      <c r="K88" s="19" t="s">
        <v>1228</v>
      </c>
      <c r="L88" s="19"/>
      <c r="M88" s="19"/>
      <c r="N88" s="19"/>
      <c r="O88" s="19"/>
      <c r="P88" s="19"/>
      <c r="Q88" s="19"/>
      <c r="R88" s="19"/>
      <c r="S88" s="24" t="s">
        <v>1229</v>
      </c>
    </row>
    <row r="89" spans="1:19" x14ac:dyDescent="0.2">
      <c r="A89" s="19" t="s">
        <v>1230</v>
      </c>
      <c r="K89" s="19" t="s">
        <v>1231</v>
      </c>
      <c r="L89" s="19"/>
      <c r="M89" s="19"/>
      <c r="N89" s="19"/>
      <c r="O89" s="19"/>
      <c r="P89" s="19"/>
      <c r="Q89" s="19"/>
      <c r="R89" s="19"/>
      <c r="S89" s="24" t="s">
        <v>1232</v>
      </c>
    </row>
    <row r="90" spans="1:19" x14ac:dyDescent="0.2">
      <c r="A90" s="19" t="s">
        <v>1210</v>
      </c>
      <c r="K90" s="19" t="s">
        <v>1233</v>
      </c>
      <c r="L90" s="19"/>
      <c r="M90" s="19"/>
      <c r="N90" s="19"/>
      <c r="O90" s="19"/>
      <c r="P90" s="19"/>
      <c r="Q90" s="19"/>
      <c r="R90" s="19"/>
      <c r="S90" s="24" t="s">
        <v>1234</v>
      </c>
    </row>
    <row r="91" spans="1:19" x14ac:dyDescent="0.2">
      <c r="A91" s="19" t="s">
        <v>1212</v>
      </c>
      <c r="K91" s="19" t="s">
        <v>1235</v>
      </c>
      <c r="L91" s="19"/>
      <c r="M91" s="19"/>
      <c r="N91" s="19"/>
      <c r="O91" s="19"/>
      <c r="P91" s="19"/>
      <c r="Q91" s="19"/>
      <c r="R91" s="19"/>
      <c r="S91" s="24" t="s">
        <v>1236</v>
      </c>
    </row>
    <row r="92" spans="1:19" x14ac:dyDescent="0.2">
      <c r="A92" s="19" t="s">
        <v>1214</v>
      </c>
      <c r="K92" s="19" t="s">
        <v>1237</v>
      </c>
      <c r="L92" s="19"/>
      <c r="M92" s="19"/>
      <c r="N92" s="19"/>
      <c r="O92" s="19"/>
      <c r="P92" s="19"/>
      <c r="Q92" s="19"/>
      <c r="R92" s="19"/>
      <c r="S92" s="24" t="s">
        <v>1238</v>
      </c>
    </row>
    <row r="93" spans="1:19" x14ac:dyDescent="0.2">
      <c r="A93" s="19" t="s">
        <v>1239</v>
      </c>
      <c r="K93" s="19" t="s">
        <v>1240</v>
      </c>
      <c r="L93" s="19"/>
      <c r="M93" s="19"/>
      <c r="N93" s="19"/>
      <c r="O93" s="19"/>
      <c r="P93" s="19"/>
      <c r="Q93" s="19"/>
      <c r="R93" s="19"/>
      <c r="S93" s="24" t="s">
        <v>1241</v>
      </c>
    </row>
    <row r="94" spans="1:19" x14ac:dyDescent="0.2">
      <c r="A94" s="19" t="s">
        <v>1242</v>
      </c>
      <c r="K94" s="19" t="s">
        <v>1243</v>
      </c>
      <c r="L94" s="19"/>
      <c r="M94" s="19"/>
      <c r="N94" s="19"/>
      <c r="O94" s="19"/>
      <c r="P94" s="19"/>
      <c r="Q94" s="19"/>
      <c r="R94" s="19"/>
      <c r="S94" s="24" t="s">
        <v>1244</v>
      </c>
    </row>
    <row r="95" spans="1:19" x14ac:dyDescent="0.2">
      <c r="A95" s="19" t="s">
        <v>1245</v>
      </c>
      <c r="K95" s="19" t="s">
        <v>1246</v>
      </c>
      <c r="L95" s="19"/>
      <c r="M95" s="19"/>
      <c r="N95" s="19"/>
      <c r="O95" s="19"/>
      <c r="P95" s="19"/>
      <c r="Q95" s="19"/>
      <c r="R95" s="19"/>
      <c r="S95" s="24" t="s">
        <v>1247</v>
      </c>
    </row>
    <row r="96" spans="1:19" x14ac:dyDescent="0.2">
      <c r="A96" s="19" t="s">
        <v>1232</v>
      </c>
      <c r="K96" s="19" t="s">
        <v>1248</v>
      </c>
      <c r="L96" s="19"/>
      <c r="M96" s="19"/>
      <c r="N96" s="19"/>
      <c r="O96" s="19"/>
      <c r="P96" s="19"/>
      <c r="Q96" s="19"/>
      <c r="R96" s="19"/>
      <c r="S96" s="24" t="s">
        <v>1249</v>
      </c>
    </row>
    <row r="97" spans="1:19" x14ac:dyDescent="0.2">
      <c r="A97" s="19" t="s">
        <v>1236</v>
      </c>
      <c r="K97" s="19" t="s">
        <v>1250</v>
      </c>
      <c r="L97" s="19"/>
      <c r="M97" s="19"/>
      <c r="N97" s="19"/>
      <c r="O97" s="19"/>
      <c r="P97" s="19"/>
      <c r="Q97" s="19"/>
      <c r="R97" s="19"/>
      <c r="S97" s="24" t="s">
        <v>1251</v>
      </c>
    </row>
    <row r="98" spans="1:19" x14ac:dyDescent="0.2">
      <c r="A98" s="19" t="s">
        <v>1247</v>
      </c>
      <c r="K98" s="19" t="s">
        <v>1252</v>
      </c>
      <c r="L98" s="19"/>
      <c r="M98" s="19"/>
      <c r="N98" s="19"/>
      <c r="O98" s="19"/>
      <c r="P98" s="19"/>
      <c r="Q98" s="19"/>
      <c r="R98" s="19"/>
      <c r="S98" s="24" t="s">
        <v>1253</v>
      </c>
    </row>
    <row r="99" spans="1:19" x14ac:dyDescent="0.2">
      <c r="A99" s="19" t="s">
        <v>1249</v>
      </c>
      <c r="K99" s="19" t="s">
        <v>1254</v>
      </c>
      <c r="L99" s="19"/>
      <c r="M99" s="19"/>
      <c r="N99" s="19"/>
      <c r="O99" s="19"/>
      <c r="P99" s="19"/>
      <c r="Q99" s="19"/>
      <c r="R99" s="19"/>
      <c r="S99" s="24" t="s">
        <v>1255</v>
      </c>
    </row>
    <row r="100" spans="1:19" x14ac:dyDescent="0.2">
      <c r="A100" s="19" t="s">
        <v>1256</v>
      </c>
      <c r="K100" s="19" t="s">
        <v>1257</v>
      </c>
      <c r="L100" s="19"/>
      <c r="M100" s="19"/>
      <c r="N100" s="19"/>
      <c r="O100" s="19"/>
      <c r="P100" s="19"/>
      <c r="Q100" s="19"/>
      <c r="R100" s="19"/>
      <c r="S100" s="24" t="s">
        <v>1258</v>
      </c>
    </row>
    <row r="101" spans="1:19" x14ac:dyDescent="0.2">
      <c r="A101" s="19" t="s">
        <v>1251</v>
      </c>
      <c r="K101" s="19" t="s">
        <v>1259</v>
      </c>
      <c r="L101" s="19"/>
      <c r="M101" s="19"/>
      <c r="N101" s="19"/>
      <c r="O101" s="19"/>
      <c r="P101" s="19"/>
      <c r="Q101" s="19"/>
      <c r="R101" s="19"/>
      <c r="S101" s="24" t="s">
        <v>1260</v>
      </c>
    </row>
    <row r="102" spans="1:19" x14ac:dyDescent="0.2">
      <c r="A102" s="19" t="s">
        <v>1253</v>
      </c>
      <c r="K102" s="19" t="s">
        <v>1261</v>
      </c>
      <c r="L102" s="19"/>
      <c r="M102" s="19"/>
      <c r="N102" s="19"/>
      <c r="O102" s="19"/>
      <c r="P102" s="19"/>
      <c r="Q102" s="19"/>
      <c r="R102" s="19"/>
      <c r="S102" s="24" t="s">
        <v>1262</v>
      </c>
    </row>
    <row r="103" spans="1:19" x14ac:dyDescent="0.2">
      <c r="A103" s="19" t="s">
        <v>1263</v>
      </c>
      <c r="K103" s="19" t="s">
        <v>1264</v>
      </c>
      <c r="L103" s="19"/>
      <c r="M103" s="19"/>
      <c r="N103" s="19"/>
      <c r="O103" s="19"/>
      <c r="P103" s="19"/>
      <c r="Q103" s="19"/>
      <c r="R103" s="19"/>
      <c r="S103" s="24" t="s">
        <v>1265</v>
      </c>
    </row>
    <row r="104" spans="1:19" x14ac:dyDescent="0.2">
      <c r="A104" s="19" t="s">
        <v>1255</v>
      </c>
      <c r="K104" s="19" t="s">
        <v>1266</v>
      </c>
      <c r="L104" s="19"/>
      <c r="M104" s="19"/>
      <c r="N104" s="19"/>
      <c r="O104" s="19"/>
      <c r="P104" s="19"/>
      <c r="Q104" s="19"/>
      <c r="R104" s="19"/>
      <c r="S104" s="24" t="s">
        <v>1267</v>
      </c>
    </row>
    <row r="105" spans="1:19" x14ac:dyDescent="0.2">
      <c r="A105" s="19" t="s">
        <v>1258</v>
      </c>
      <c r="K105" s="19" t="s">
        <v>1268</v>
      </c>
      <c r="L105" s="19"/>
      <c r="M105" s="19"/>
      <c r="N105" s="19"/>
      <c r="O105" s="19"/>
      <c r="P105" s="19"/>
      <c r="Q105" s="19"/>
      <c r="R105" s="19"/>
      <c r="S105" s="24" t="s">
        <v>1269</v>
      </c>
    </row>
    <row r="106" spans="1:19" x14ac:dyDescent="0.2">
      <c r="A106" s="19" t="s">
        <v>1260</v>
      </c>
      <c r="K106" s="19" t="s">
        <v>1270</v>
      </c>
      <c r="L106" s="19"/>
      <c r="M106" s="19"/>
      <c r="N106" s="19"/>
      <c r="O106" s="19"/>
      <c r="P106" s="19"/>
      <c r="Q106" s="19"/>
      <c r="R106" s="19"/>
      <c r="S106" s="24" t="s">
        <v>1271</v>
      </c>
    </row>
    <row r="107" spans="1:19" x14ac:dyDescent="0.2">
      <c r="A107" s="19" t="s">
        <v>1262</v>
      </c>
      <c r="K107" s="19" t="s">
        <v>1272</v>
      </c>
      <c r="L107" s="19"/>
      <c r="M107" s="19"/>
      <c r="N107" s="19"/>
      <c r="O107" s="19"/>
      <c r="P107" s="19"/>
      <c r="Q107" s="19"/>
      <c r="R107" s="19"/>
      <c r="S107" s="24" t="s">
        <v>1273</v>
      </c>
    </row>
    <row r="108" spans="1:19" x14ac:dyDescent="0.2">
      <c r="A108" s="19" t="s">
        <v>1265</v>
      </c>
      <c r="K108" s="19" t="s">
        <v>1274</v>
      </c>
      <c r="L108" s="19"/>
      <c r="M108" s="19"/>
      <c r="N108" s="19"/>
      <c r="O108" s="19"/>
      <c r="P108" s="19"/>
      <c r="Q108" s="19"/>
      <c r="R108" s="19"/>
      <c r="S108" s="24" t="s">
        <v>1275</v>
      </c>
    </row>
    <row r="109" spans="1:19" x14ac:dyDescent="0.2">
      <c r="A109" s="19" t="s">
        <v>1276</v>
      </c>
      <c r="K109" s="19" t="s">
        <v>1277</v>
      </c>
      <c r="L109" s="19"/>
      <c r="M109" s="19"/>
      <c r="N109" s="19"/>
      <c r="O109" s="19"/>
      <c r="P109" s="19"/>
      <c r="Q109" s="19"/>
      <c r="R109" s="19"/>
      <c r="S109" s="24" t="s">
        <v>1278</v>
      </c>
    </row>
    <row r="110" spans="1:19" x14ac:dyDescent="0.2">
      <c r="A110" s="19" t="s">
        <v>1279</v>
      </c>
      <c r="K110" s="19" t="s">
        <v>1280</v>
      </c>
      <c r="L110" s="19"/>
      <c r="M110" s="19"/>
      <c r="N110" s="19"/>
      <c r="O110" s="19"/>
      <c r="P110" s="19"/>
      <c r="Q110" s="19"/>
      <c r="R110" s="19"/>
      <c r="S110" s="24" t="s">
        <v>1281</v>
      </c>
    </row>
    <row r="111" spans="1:19" x14ac:dyDescent="0.2">
      <c r="A111" s="19" t="s">
        <v>1282</v>
      </c>
      <c r="K111" s="19" t="s">
        <v>1283</v>
      </c>
      <c r="L111" s="19"/>
      <c r="M111" s="19"/>
      <c r="N111" s="19"/>
      <c r="O111" s="19"/>
      <c r="P111" s="19"/>
      <c r="Q111" s="19"/>
      <c r="R111" s="19"/>
      <c r="S111" s="24" t="s">
        <v>1284</v>
      </c>
    </row>
    <row r="112" spans="1:19" x14ac:dyDescent="0.2">
      <c r="A112" s="19" t="s">
        <v>1267</v>
      </c>
      <c r="K112" s="19" t="s">
        <v>1285</v>
      </c>
      <c r="L112" s="19"/>
      <c r="M112" s="19"/>
      <c r="N112" s="19"/>
      <c r="O112" s="19"/>
      <c r="P112" s="19"/>
      <c r="Q112" s="19"/>
      <c r="R112" s="19"/>
      <c r="S112" s="24" t="s">
        <v>1286</v>
      </c>
    </row>
    <row r="113" spans="1:19" x14ac:dyDescent="0.2">
      <c r="A113" s="19" t="s">
        <v>1271</v>
      </c>
      <c r="K113" s="19" t="s">
        <v>1287</v>
      </c>
      <c r="L113" s="19"/>
      <c r="M113" s="19"/>
      <c r="N113" s="19"/>
      <c r="O113" s="19"/>
      <c r="P113" s="19"/>
      <c r="Q113" s="19"/>
      <c r="R113" s="19"/>
      <c r="S113" s="24" t="s">
        <v>1288</v>
      </c>
    </row>
    <row r="114" spans="1:19" x14ac:dyDescent="0.2">
      <c r="A114" s="19" t="s">
        <v>1273</v>
      </c>
      <c r="K114" s="19" t="s">
        <v>1289</v>
      </c>
      <c r="L114" s="19"/>
      <c r="M114" s="19"/>
      <c r="N114" s="19"/>
      <c r="O114" s="19"/>
      <c r="P114" s="19"/>
      <c r="Q114" s="19"/>
      <c r="R114" s="19"/>
      <c r="S114" s="24" t="s">
        <v>1290</v>
      </c>
    </row>
    <row r="115" spans="1:19" x14ac:dyDescent="0.2">
      <c r="A115" s="19" t="s">
        <v>1291</v>
      </c>
      <c r="K115" s="19" t="s">
        <v>1292</v>
      </c>
      <c r="L115" s="19"/>
      <c r="M115" s="19"/>
      <c r="N115" s="19"/>
      <c r="O115" s="19"/>
      <c r="P115" s="19"/>
      <c r="Q115" s="19"/>
      <c r="R115" s="19"/>
      <c r="S115" s="24" t="s">
        <v>1293</v>
      </c>
    </row>
    <row r="116" spans="1:19" x14ac:dyDescent="0.2">
      <c r="A116" s="19" t="s">
        <v>1275</v>
      </c>
      <c r="K116" s="19" t="s">
        <v>1294</v>
      </c>
      <c r="L116" s="19"/>
      <c r="M116" s="19"/>
      <c r="N116" s="19"/>
      <c r="O116" s="19"/>
      <c r="P116" s="19"/>
      <c r="Q116" s="19"/>
      <c r="R116" s="19"/>
      <c r="S116" s="24" t="s">
        <v>1295</v>
      </c>
    </row>
    <row r="117" spans="1:19" x14ac:dyDescent="0.2">
      <c r="A117" s="19" t="s">
        <v>1296</v>
      </c>
      <c r="K117" s="19" t="s">
        <v>1297</v>
      </c>
      <c r="L117" s="19"/>
      <c r="M117" s="19"/>
      <c r="N117" s="19"/>
      <c r="O117" s="19"/>
      <c r="P117" s="19"/>
      <c r="Q117" s="19"/>
      <c r="R117" s="19"/>
      <c r="S117" s="24" t="s">
        <v>1298</v>
      </c>
    </row>
    <row r="118" spans="1:19" x14ac:dyDescent="0.2">
      <c r="A118" s="19" t="s">
        <v>1299</v>
      </c>
      <c r="K118" s="19" t="s">
        <v>1300</v>
      </c>
      <c r="L118" s="19"/>
      <c r="M118" s="19"/>
      <c r="N118" s="19"/>
      <c r="O118" s="19"/>
      <c r="P118" s="19"/>
      <c r="Q118" s="19"/>
      <c r="R118" s="19"/>
      <c r="S118" s="24" t="s">
        <v>1301</v>
      </c>
    </row>
    <row r="119" spans="1:19" x14ac:dyDescent="0.2">
      <c r="A119" s="19" t="s">
        <v>1302</v>
      </c>
      <c r="K119" s="19" t="s">
        <v>1303</v>
      </c>
      <c r="L119" s="19"/>
      <c r="M119" s="19"/>
      <c r="N119" s="19"/>
      <c r="O119" s="19"/>
      <c r="P119" s="19"/>
      <c r="Q119" s="19"/>
      <c r="R119" s="19"/>
      <c r="S119" s="24" t="s">
        <v>1304</v>
      </c>
    </row>
    <row r="120" spans="1:19" x14ac:dyDescent="0.2">
      <c r="A120" s="19" t="s">
        <v>1305</v>
      </c>
      <c r="K120" s="19" t="s">
        <v>1306</v>
      </c>
      <c r="L120" s="19"/>
      <c r="M120" s="19"/>
      <c r="N120" s="19"/>
      <c r="O120" s="19"/>
      <c r="P120" s="19"/>
      <c r="Q120" s="19"/>
      <c r="R120" s="19"/>
      <c r="S120" s="24" t="s">
        <v>1307</v>
      </c>
    </row>
    <row r="121" spans="1:19" x14ac:dyDescent="0.2">
      <c r="A121" s="19" t="s">
        <v>1286</v>
      </c>
      <c r="K121" s="19" t="s">
        <v>1308</v>
      </c>
      <c r="L121" s="19"/>
      <c r="M121" s="19"/>
      <c r="N121" s="19"/>
      <c r="O121" s="19"/>
      <c r="P121" s="19"/>
      <c r="Q121" s="19"/>
      <c r="R121" s="19"/>
      <c r="S121" s="24" t="s">
        <v>1309</v>
      </c>
    </row>
    <row r="122" spans="1:19" x14ac:dyDescent="0.2">
      <c r="A122" s="19" t="s">
        <v>1295</v>
      </c>
      <c r="K122" s="19" t="s">
        <v>1310</v>
      </c>
      <c r="L122" s="19"/>
      <c r="M122" s="19"/>
      <c r="N122" s="19"/>
      <c r="O122" s="19"/>
      <c r="P122" s="19"/>
      <c r="Q122" s="19"/>
      <c r="R122" s="19"/>
      <c r="S122" s="24" t="s">
        <v>1311</v>
      </c>
    </row>
    <row r="123" spans="1:19" x14ac:dyDescent="0.2">
      <c r="A123" s="19" t="s">
        <v>1312</v>
      </c>
      <c r="K123" s="19" t="s">
        <v>1313</v>
      </c>
      <c r="L123" s="19"/>
      <c r="M123" s="19"/>
      <c r="N123" s="19"/>
      <c r="O123" s="19"/>
      <c r="P123" s="19"/>
      <c r="Q123" s="19"/>
      <c r="R123" s="19"/>
      <c r="S123" s="24" t="s">
        <v>1314</v>
      </c>
    </row>
    <row r="124" spans="1:19" x14ac:dyDescent="0.2">
      <c r="A124" s="19" t="s">
        <v>1315</v>
      </c>
      <c r="K124" s="19" t="s">
        <v>1316</v>
      </c>
      <c r="L124" s="19"/>
      <c r="M124" s="19"/>
      <c r="N124" s="19"/>
      <c r="O124" s="19"/>
      <c r="P124" s="19"/>
      <c r="Q124" s="19"/>
      <c r="R124" s="19"/>
      <c r="S124" s="24" t="s">
        <v>1317</v>
      </c>
    </row>
    <row r="125" spans="1:19" x14ac:dyDescent="0.2">
      <c r="A125" s="19" t="s">
        <v>1318</v>
      </c>
      <c r="K125" s="19" t="s">
        <v>1319</v>
      </c>
      <c r="L125" s="19"/>
      <c r="M125" s="19"/>
      <c r="N125" s="19"/>
      <c r="O125" s="19"/>
      <c r="P125" s="19"/>
      <c r="Q125" s="19"/>
      <c r="R125" s="19"/>
      <c r="S125" s="24" t="s">
        <v>1320</v>
      </c>
    </row>
    <row r="126" spans="1:19" x14ac:dyDescent="0.2">
      <c r="A126" s="19" t="s">
        <v>1301</v>
      </c>
      <c r="K126" s="19" t="s">
        <v>1321</v>
      </c>
      <c r="L126" s="19"/>
      <c r="M126" s="19"/>
      <c r="N126" s="19"/>
      <c r="O126" s="19"/>
      <c r="P126" s="19"/>
      <c r="Q126" s="19"/>
      <c r="R126" s="19"/>
      <c r="S126" s="24" t="s">
        <v>1322</v>
      </c>
    </row>
    <row r="127" spans="1:19" x14ac:dyDescent="0.2">
      <c r="A127" s="19" t="s">
        <v>1323</v>
      </c>
      <c r="K127" s="19" t="s">
        <v>1324</v>
      </c>
      <c r="L127" s="19"/>
      <c r="M127" s="19"/>
      <c r="N127" s="19"/>
      <c r="O127" s="19"/>
      <c r="P127" s="19"/>
      <c r="Q127" s="19"/>
      <c r="R127" s="19"/>
      <c r="S127" s="24" t="s">
        <v>1325</v>
      </c>
    </row>
    <row r="128" spans="1:19" x14ac:dyDescent="0.2">
      <c r="A128" s="19" t="s">
        <v>1326</v>
      </c>
      <c r="K128" s="19" t="s">
        <v>1327</v>
      </c>
      <c r="L128" s="19"/>
      <c r="M128" s="19"/>
      <c r="N128" s="19"/>
      <c r="O128" s="19"/>
      <c r="P128" s="19"/>
      <c r="Q128" s="19"/>
      <c r="R128" s="19"/>
      <c r="S128" s="24" t="s">
        <v>1328</v>
      </c>
    </row>
    <row r="129" spans="1:19" x14ac:dyDescent="0.2">
      <c r="A129" s="19" t="s">
        <v>1329</v>
      </c>
      <c r="K129" s="19" t="s">
        <v>1330</v>
      </c>
      <c r="L129" s="19"/>
      <c r="M129" s="19"/>
      <c r="N129" s="19"/>
      <c r="O129" s="19"/>
      <c r="P129" s="19"/>
      <c r="Q129" s="19"/>
      <c r="R129" s="19"/>
      <c r="S129" s="24" t="s">
        <v>1331</v>
      </c>
    </row>
    <row r="130" spans="1:19" x14ac:dyDescent="0.2">
      <c r="A130" s="19" t="s">
        <v>1307</v>
      </c>
      <c r="K130" s="19" t="s">
        <v>1332</v>
      </c>
      <c r="L130" s="19"/>
      <c r="M130" s="19"/>
      <c r="N130" s="19"/>
      <c r="O130" s="19"/>
      <c r="P130" s="19"/>
      <c r="Q130" s="19"/>
      <c r="R130" s="19"/>
      <c r="S130" s="24" t="s">
        <v>1333</v>
      </c>
    </row>
    <row r="131" spans="1:19" x14ac:dyDescent="0.2">
      <c r="A131" s="19" t="s">
        <v>1311</v>
      </c>
      <c r="K131" s="19" t="s">
        <v>1334</v>
      </c>
      <c r="L131" s="19"/>
      <c r="M131" s="19"/>
      <c r="N131" s="19"/>
      <c r="O131" s="19"/>
      <c r="P131" s="19"/>
      <c r="Q131" s="19"/>
      <c r="R131" s="19"/>
      <c r="S131" s="24" t="s">
        <v>1335</v>
      </c>
    </row>
    <row r="132" spans="1:19" x14ac:dyDescent="0.2">
      <c r="A132" s="19" t="s">
        <v>1314</v>
      </c>
      <c r="K132" s="19" t="s">
        <v>1336</v>
      </c>
      <c r="L132" s="19"/>
      <c r="M132" s="19"/>
      <c r="N132" s="19"/>
      <c r="O132" s="19"/>
      <c r="P132" s="19"/>
      <c r="Q132" s="19"/>
      <c r="R132" s="19"/>
      <c r="S132" s="24" t="s">
        <v>1337</v>
      </c>
    </row>
    <row r="133" spans="1:19" x14ac:dyDescent="0.2">
      <c r="A133" s="19" t="s">
        <v>1317</v>
      </c>
      <c r="K133" s="19" t="s">
        <v>1338</v>
      </c>
      <c r="L133" s="19"/>
      <c r="M133" s="19"/>
      <c r="N133" s="19"/>
      <c r="O133" s="19"/>
      <c r="P133" s="19"/>
      <c r="Q133" s="19"/>
      <c r="R133" s="19"/>
      <c r="S133" s="24" t="s">
        <v>1339</v>
      </c>
    </row>
    <row r="134" spans="1:19" x14ac:dyDescent="0.2">
      <c r="A134" s="19" t="s">
        <v>1325</v>
      </c>
      <c r="K134" s="19" t="s">
        <v>1340</v>
      </c>
      <c r="L134" s="19"/>
      <c r="M134" s="19"/>
      <c r="N134" s="19"/>
      <c r="O134" s="19"/>
      <c r="P134" s="19"/>
      <c r="Q134" s="19"/>
      <c r="R134" s="19"/>
      <c r="S134" s="24" t="s">
        <v>1341</v>
      </c>
    </row>
    <row r="135" spans="1:19" x14ac:dyDescent="0.2">
      <c r="A135" s="19" t="s">
        <v>1342</v>
      </c>
      <c r="K135" s="19" t="s">
        <v>1343</v>
      </c>
      <c r="L135" s="19"/>
      <c r="M135" s="19"/>
      <c r="N135" s="19"/>
      <c r="O135" s="19"/>
      <c r="P135" s="19"/>
      <c r="Q135" s="19"/>
      <c r="R135" s="19"/>
      <c r="S135" s="24" t="s">
        <v>1344</v>
      </c>
    </row>
    <row r="136" spans="1:19" x14ac:dyDescent="0.2">
      <c r="A136" s="19" t="s">
        <v>1333</v>
      </c>
      <c r="K136" s="19" t="s">
        <v>1345</v>
      </c>
      <c r="L136" s="19"/>
      <c r="M136" s="19"/>
      <c r="N136" s="19"/>
      <c r="O136" s="19"/>
      <c r="P136" s="19"/>
      <c r="Q136" s="19"/>
      <c r="R136" s="19"/>
      <c r="S136" s="24" t="s">
        <v>1346</v>
      </c>
    </row>
    <row r="137" spans="1:19" x14ac:dyDescent="0.2">
      <c r="A137" s="19" t="s">
        <v>1335</v>
      </c>
      <c r="K137" s="19" t="s">
        <v>1347</v>
      </c>
      <c r="L137" s="19"/>
      <c r="M137" s="19"/>
      <c r="N137" s="19"/>
      <c r="O137" s="19"/>
      <c r="P137" s="19"/>
      <c r="Q137" s="19"/>
      <c r="R137" s="19"/>
      <c r="S137" s="24" t="s">
        <v>1348</v>
      </c>
    </row>
    <row r="138" spans="1:19" x14ac:dyDescent="0.2">
      <c r="A138" s="19" t="s">
        <v>1337</v>
      </c>
      <c r="K138" s="19" t="s">
        <v>1349</v>
      </c>
      <c r="L138" s="19"/>
      <c r="M138" s="19"/>
      <c r="N138" s="19"/>
      <c r="O138" s="19"/>
      <c r="P138" s="19"/>
      <c r="Q138" s="19"/>
      <c r="R138" s="19"/>
      <c r="S138" s="24" t="s">
        <v>1350</v>
      </c>
    </row>
    <row r="139" spans="1:19" x14ac:dyDescent="0.2">
      <c r="A139" s="19" t="s">
        <v>1351</v>
      </c>
      <c r="K139" s="19" t="s">
        <v>1352</v>
      </c>
      <c r="L139" s="19"/>
      <c r="M139" s="19"/>
      <c r="N139" s="19"/>
      <c r="O139" s="19"/>
      <c r="P139" s="19"/>
      <c r="Q139" s="19"/>
      <c r="R139" s="19"/>
      <c r="S139" s="24" t="s">
        <v>1353</v>
      </c>
    </row>
    <row r="140" spans="1:19" x14ac:dyDescent="0.2">
      <c r="A140" s="19" t="s">
        <v>1339</v>
      </c>
      <c r="K140" s="19" t="s">
        <v>1354</v>
      </c>
      <c r="L140" s="19"/>
      <c r="M140" s="19"/>
      <c r="N140" s="19"/>
      <c r="O140" s="19"/>
      <c r="P140" s="19"/>
      <c r="Q140" s="19"/>
      <c r="R140" s="19"/>
      <c r="S140" s="24" t="s">
        <v>1355</v>
      </c>
    </row>
    <row r="141" spans="1:19" x14ac:dyDescent="0.2">
      <c r="A141" s="19" t="s">
        <v>1356</v>
      </c>
      <c r="K141" s="19" t="s">
        <v>1357</v>
      </c>
      <c r="L141" s="19"/>
      <c r="M141" s="19"/>
      <c r="N141" s="19"/>
      <c r="O141" s="19"/>
      <c r="P141" s="19"/>
      <c r="Q141" s="19"/>
      <c r="R141" s="19"/>
      <c r="S141" s="24" t="s">
        <v>1358</v>
      </c>
    </row>
    <row r="142" spans="1:19" x14ac:dyDescent="0.2">
      <c r="A142" s="19" t="s">
        <v>1359</v>
      </c>
      <c r="K142" s="19" t="s">
        <v>1360</v>
      </c>
      <c r="L142" s="19"/>
      <c r="M142" s="19"/>
      <c r="N142" s="19"/>
      <c r="O142" s="19"/>
      <c r="P142" s="19"/>
      <c r="Q142" s="19"/>
      <c r="R142" s="19"/>
      <c r="S142" s="24" t="s">
        <v>1361</v>
      </c>
    </row>
    <row r="143" spans="1:19" x14ac:dyDescent="0.2">
      <c r="A143" s="19" t="s">
        <v>1362</v>
      </c>
      <c r="K143" s="19" t="s">
        <v>1363</v>
      </c>
      <c r="L143" s="19"/>
      <c r="M143" s="19"/>
      <c r="N143" s="19"/>
      <c r="O143" s="19"/>
      <c r="P143" s="19"/>
      <c r="Q143" s="19"/>
      <c r="R143" s="19"/>
      <c r="S143" s="24" t="s">
        <v>1364</v>
      </c>
    </row>
    <row r="144" spans="1:19" x14ac:dyDescent="0.2">
      <c r="A144" s="19" t="s">
        <v>1365</v>
      </c>
      <c r="K144" s="19" t="s">
        <v>1366</v>
      </c>
      <c r="L144" s="19"/>
      <c r="M144" s="19"/>
      <c r="N144" s="19"/>
      <c r="O144" s="19"/>
      <c r="P144" s="19"/>
      <c r="Q144" s="19"/>
      <c r="R144" s="19"/>
      <c r="S144" s="24" t="s">
        <v>1367</v>
      </c>
    </row>
    <row r="145" spans="1:19" x14ac:dyDescent="0.2">
      <c r="A145" s="19" t="s">
        <v>1348</v>
      </c>
      <c r="K145" s="19" t="s">
        <v>1368</v>
      </c>
      <c r="L145" s="19"/>
      <c r="M145" s="19"/>
      <c r="N145" s="19"/>
      <c r="O145" s="19"/>
      <c r="P145" s="19"/>
      <c r="Q145" s="19"/>
      <c r="R145" s="19"/>
      <c r="S145" s="24" t="s">
        <v>1369</v>
      </c>
    </row>
    <row r="146" spans="1:19" x14ac:dyDescent="0.2">
      <c r="A146" s="19" t="s">
        <v>1350</v>
      </c>
      <c r="K146" s="19" t="s">
        <v>1370</v>
      </c>
      <c r="L146" s="19"/>
      <c r="M146" s="19"/>
      <c r="N146" s="19"/>
      <c r="O146" s="19"/>
      <c r="P146" s="19"/>
      <c r="Q146" s="19"/>
      <c r="R146" s="19"/>
      <c r="S146" s="24" t="s">
        <v>1371</v>
      </c>
    </row>
    <row r="147" spans="1:19" x14ac:dyDescent="0.2">
      <c r="A147" s="19" t="s">
        <v>1353</v>
      </c>
      <c r="K147" s="19" t="s">
        <v>1372</v>
      </c>
      <c r="L147" s="19"/>
      <c r="M147" s="19"/>
      <c r="N147" s="19"/>
      <c r="O147" s="19"/>
      <c r="P147" s="19"/>
      <c r="Q147" s="19"/>
      <c r="R147" s="19"/>
      <c r="S147" s="24" t="s">
        <v>1373</v>
      </c>
    </row>
    <row r="148" spans="1:19" x14ac:dyDescent="0.2">
      <c r="A148" s="19" t="s">
        <v>1374</v>
      </c>
      <c r="K148" s="19" t="s">
        <v>1375</v>
      </c>
      <c r="L148" s="19"/>
      <c r="M148" s="19"/>
      <c r="N148" s="19"/>
      <c r="O148" s="19"/>
      <c r="P148" s="19"/>
      <c r="Q148" s="19"/>
      <c r="R148" s="19"/>
      <c r="S148" s="24" t="s">
        <v>1376</v>
      </c>
    </row>
    <row r="149" spans="1:19" x14ac:dyDescent="0.2">
      <c r="A149" s="19" t="s">
        <v>1377</v>
      </c>
      <c r="K149" s="19" t="s">
        <v>1378</v>
      </c>
      <c r="L149" s="19"/>
      <c r="M149" s="19"/>
      <c r="N149" s="19"/>
      <c r="O149" s="19"/>
      <c r="P149" s="19"/>
      <c r="Q149" s="19"/>
      <c r="R149" s="19"/>
      <c r="S149" s="24" t="s">
        <v>1379</v>
      </c>
    </row>
    <row r="150" spans="1:19" x14ac:dyDescent="0.2">
      <c r="A150" s="19" t="s">
        <v>1355</v>
      </c>
      <c r="K150" s="19" t="s">
        <v>1380</v>
      </c>
      <c r="L150" s="19"/>
      <c r="M150" s="19"/>
      <c r="N150" s="19"/>
      <c r="O150" s="19"/>
      <c r="P150" s="19"/>
      <c r="Q150" s="19"/>
      <c r="R150" s="19"/>
      <c r="S150" s="24" t="s">
        <v>1381</v>
      </c>
    </row>
    <row r="151" spans="1:19" x14ac:dyDescent="0.2">
      <c r="A151" s="19" t="s">
        <v>1358</v>
      </c>
      <c r="K151" s="19" t="s">
        <v>1382</v>
      </c>
      <c r="L151" s="19"/>
      <c r="M151" s="19"/>
      <c r="N151" s="19"/>
      <c r="O151" s="19"/>
      <c r="P151" s="19"/>
      <c r="Q151" s="19"/>
      <c r="R151" s="19"/>
      <c r="S151" s="24" t="s">
        <v>1383</v>
      </c>
    </row>
    <row r="152" spans="1:19" x14ac:dyDescent="0.2">
      <c r="A152" s="19" t="s">
        <v>1364</v>
      </c>
      <c r="K152" s="19" t="s">
        <v>1384</v>
      </c>
      <c r="L152" s="19"/>
      <c r="M152" s="19"/>
      <c r="N152" s="19"/>
      <c r="O152" s="19"/>
      <c r="P152" s="19"/>
      <c r="Q152" s="19"/>
      <c r="R152" s="19"/>
      <c r="S152" s="24" t="s">
        <v>1385</v>
      </c>
    </row>
    <row r="153" spans="1:19" x14ac:dyDescent="0.2">
      <c r="A153" s="19" t="s">
        <v>1367</v>
      </c>
      <c r="K153" s="19" t="s">
        <v>1386</v>
      </c>
      <c r="L153" s="19"/>
      <c r="M153" s="19"/>
      <c r="N153" s="19"/>
      <c r="O153" s="19"/>
      <c r="P153" s="19"/>
      <c r="Q153" s="19"/>
      <c r="R153" s="19"/>
      <c r="S153" s="24" t="s">
        <v>1387</v>
      </c>
    </row>
    <row r="154" spans="1:19" x14ac:dyDescent="0.2">
      <c r="A154" s="19" t="s">
        <v>1388</v>
      </c>
      <c r="K154" s="19" t="s">
        <v>1389</v>
      </c>
      <c r="L154" s="19"/>
      <c r="M154" s="19"/>
      <c r="N154" s="19"/>
      <c r="O154" s="19"/>
      <c r="P154" s="19"/>
      <c r="Q154" s="19"/>
      <c r="R154" s="19"/>
      <c r="S154" s="24" t="s">
        <v>1390</v>
      </c>
    </row>
    <row r="155" spans="1:19" x14ac:dyDescent="0.2">
      <c r="A155" s="19" t="s">
        <v>1373</v>
      </c>
      <c r="K155" s="19" t="s">
        <v>1391</v>
      </c>
      <c r="L155" s="19"/>
      <c r="M155" s="19"/>
      <c r="N155" s="19"/>
      <c r="O155" s="19"/>
      <c r="P155" s="19"/>
      <c r="Q155" s="19"/>
      <c r="R155" s="19"/>
      <c r="S155" s="24" t="s">
        <v>1392</v>
      </c>
    </row>
    <row r="156" spans="1:19" x14ac:dyDescent="0.2">
      <c r="A156" s="19" t="s">
        <v>1393</v>
      </c>
      <c r="K156" s="19" t="s">
        <v>1394</v>
      </c>
      <c r="L156" s="19"/>
      <c r="M156" s="19"/>
      <c r="N156" s="19"/>
      <c r="O156" s="19"/>
      <c r="P156" s="19"/>
      <c r="Q156" s="19"/>
      <c r="R156" s="19"/>
      <c r="S156" s="24" t="s">
        <v>1395</v>
      </c>
    </row>
    <row r="157" spans="1:19" x14ac:dyDescent="0.2">
      <c r="A157" s="19" t="s">
        <v>1379</v>
      </c>
      <c r="K157" s="19" t="s">
        <v>1396</v>
      </c>
      <c r="L157" s="19"/>
      <c r="M157" s="19"/>
      <c r="N157" s="19"/>
      <c r="O157" s="19"/>
      <c r="P157" s="19"/>
      <c r="Q157" s="19"/>
      <c r="R157" s="19"/>
      <c r="S157" s="24" t="s">
        <v>1397</v>
      </c>
    </row>
    <row r="158" spans="1:19" x14ac:dyDescent="0.2">
      <c r="A158" s="19" t="s">
        <v>1398</v>
      </c>
      <c r="K158" s="19" t="s">
        <v>1399</v>
      </c>
      <c r="L158" s="19"/>
      <c r="M158" s="19"/>
      <c r="N158" s="19"/>
      <c r="O158" s="19"/>
      <c r="P158" s="19"/>
      <c r="Q158" s="19"/>
      <c r="R158" s="19"/>
      <c r="S158" s="24" t="s">
        <v>1400</v>
      </c>
    </row>
    <row r="159" spans="1:19" x14ac:dyDescent="0.2">
      <c r="A159" s="19" t="s">
        <v>1401</v>
      </c>
      <c r="K159" s="19" t="s">
        <v>1402</v>
      </c>
      <c r="L159" s="19"/>
      <c r="M159" s="19"/>
      <c r="N159" s="19"/>
      <c r="O159" s="19"/>
      <c r="P159" s="19"/>
      <c r="Q159" s="19"/>
      <c r="R159" s="19"/>
      <c r="S159" s="24" t="s">
        <v>1403</v>
      </c>
    </row>
    <row r="160" spans="1:19" x14ac:dyDescent="0.2">
      <c r="A160" s="19" t="s">
        <v>1404</v>
      </c>
      <c r="K160" s="19" t="s">
        <v>1405</v>
      </c>
      <c r="L160" s="19"/>
      <c r="M160" s="19"/>
      <c r="N160" s="19"/>
      <c r="O160" s="19"/>
      <c r="P160" s="19"/>
      <c r="Q160" s="19"/>
      <c r="R160" s="19"/>
      <c r="S160" s="24" t="s">
        <v>1406</v>
      </c>
    </row>
    <row r="161" spans="1:19" x14ac:dyDescent="0.2">
      <c r="A161" s="19" t="s">
        <v>1407</v>
      </c>
      <c r="K161" s="19" t="s">
        <v>1408</v>
      </c>
      <c r="L161" s="19"/>
      <c r="M161" s="19"/>
      <c r="N161" s="19"/>
      <c r="O161" s="19"/>
      <c r="P161" s="19"/>
      <c r="Q161" s="19"/>
      <c r="R161" s="19"/>
      <c r="S161" s="24" t="s">
        <v>1409</v>
      </c>
    </row>
    <row r="162" spans="1:19" x14ac:dyDescent="0.2">
      <c r="A162" s="19" t="s">
        <v>1410</v>
      </c>
      <c r="K162" s="19" t="s">
        <v>1411</v>
      </c>
      <c r="L162" s="19"/>
      <c r="M162" s="19"/>
      <c r="N162" s="19"/>
      <c r="O162" s="19"/>
      <c r="P162" s="19"/>
      <c r="Q162" s="19"/>
      <c r="R162" s="19"/>
      <c r="S162" s="24" t="s">
        <v>1412</v>
      </c>
    </row>
    <row r="163" spans="1:19" x14ac:dyDescent="0.2">
      <c r="A163" s="19" t="s">
        <v>1383</v>
      </c>
      <c r="K163" s="19" t="s">
        <v>1413</v>
      </c>
      <c r="L163" s="19"/>
      <c r="M163" s="19"/>
      <c r="N163" s="19"/>
      <c r="O163" s="19"/>
      <c r="P163" s="19"/>
      <c r="Q163" s="19"/>
      <c r="R163" s="19"/>
      <c r="S163" s="24" t="s">
        <v>1414</v>
      </c>
    </row>
    <row r="164" spans="1:19" x14ac:dyDescent="0.2">
      <c r="A164" s="19" t="s">
        <v>1387</v>
      </c>
      <c r="K164" s="19" t="s">
        <v>1415</v>
      </c>
      <c r="L164" s="19"/>
      <c r="M164" s="19"/>
      <c r="N164" s="19"/>
      <c r="O164" s="19"/>
      <c r="P164" s="19"/>
      <c r="Q164" s="19"/>
      <c r="R164" s="19"/>
      <c r="S164" s="24" t="s">
        <v>1416</v>
      </c>
    </row>
    <row r="165" spans="1:19" x14ac:dyDescent="0.2">
      <c r="A165" s="19" t="s">
        <v>1417</v>
      </c>
      <c r="K165" s="19" t="s">
        <v>1418</v>
      </c>
      <c r="L165" s="19"/>
      <c r="M165" s="19"/>
      <c r="N165" s="19"/>
      <c r="O165" s="19"/>
      <c r="P165" s="19"/>
      <c r="Q165" s="19"/>
      <c r="R165" s="19"/>
      <c r="S165" s="24" t="s">
        <v>1419</v>
      </c>
    </row>
    <row r="166" spans="1:19" x14ac:dyDescent="0.2">
      <c r="A166" s="19" t="s">
        <v>1397</v>
      </c>
      <c r="K166" s="19" t="s">
        <v>1420</v>
      </c>
      <c r="L166" s="19"/>
      <c r="M166" s="19"/>
      <c r="N166" s="19"/>
      <c r="O166" s="19"/>
      <c r="P166" s="19"/>
      <c r="Q166" s="19"/>
      <c r="R166" s="19"/>
      <c r="S166" s="24" t="s">
        <v>1421</v>
      </c>
    </row>
    <row r="167" spans="1:19" x14ac:dyDescent="0.2">
      <c r="A167" s="19" t="s">
        <v>1403</v>
      </c>
      <c r="K167" s="19" t="s">
        <v>1422</v>
      </c>
      <c r="L167" s="19"/>
      <c r="M167" s="19"/>
      <c r="N167" s="19"/>
      <c r="O167" s="19"/>
      <c r="P167" s="19"/>
      <c r="Q167" s="19"/>
      <c r="R167" s="19"/>
      <c r="S167" s="24" t="s">
        <v>1423</v>
      </c>
    </row>
    <row r="168" spans="1:19" x14ac:dyDescent="0.2">
      <c r="A168" s="19" t="s">
        <v>1409</v>
      </c>
      <c r="K168" s="19" t="s">
        <v>1424</v>
      </c>
      <c r="L168" s="19"/>
      <c r="M168" s="19"/>
      <c r="N168" s="19"/>
      <c r="O168" s="19"/>
      <c r="P168" s="19"/>
      <c r="Q168" s="19"/>
      <c r="R168" s="19"/>
      <c r="S168" s="24" t="s">
        <v>1425</v>
      </c>
    </row>
    <row r="169" spans="1:19" x14ac:dyDescent="0.2">
      <c r="A169" s="19" t="s">
        <v>1412</v>
      </c>
      <c r="K169" s="19" t="s">
        <v>1426</v>
      </c>
      <c r="L169" s="19"/>
      <c r="M169" s="19"/>
      <c r="N169" s="19"/>
      <c r="O169" s="19"/>
      <c r="P169" s="19"/>
      <c r="Q169" s="19"/>
      <c r="R169" s="19"/>
      <c r="S169" s="24" t="s">
        <v>1427</v>
      </c>
    </row>
    <row r="170" spans="1:19" x14ac:dyDescent="0.2">
      <c r="A170" s="19" t="s">
        <v>1414</v>
      </c>
      <c r="K170" s="19" t="s">
        <v>1428</v>
      </c>
      <c r="L170" s="19"/>
      <c r="M170" s="19"/>
      <c r="N170" s="19"/>
      <c r="O170" s="19"/>
      <c r="P170" s="19"/>
      <c r="Q170" s="19"/>
      <c r="R170" s="19"/>
      <c r="S170" s="24" t="s">
        <v>1429</v>
      </c>
    </row>
    <row r="171" spans="1:19" x14ac:dyDescent="0.2">
      <c r="A171" s="19" t="s">
        <v>1416</v>
      </c>
      <c r="K171" s="19" t="s">
        <v>1430</v>
      </c>
      <c r="L171" s="19"/>
      <c r="M171" s="19"/>
      <c r="N171" s="19"/>
      <c r="O171" s="19"/>
      <c r="P171" s="19"/>
      <c r="Q171" s="19"/>
      <c r="R171" s="19"/>
      <c r="S171" s="24" t="s">
        <v>1431</v>
      </c>
    </row>
    <row r="172" spans="1:19" x14ac:dyDescent="0.2">
      <c r="A172" s="19" t="s">
        <v>1419</v>
      </c>
      <c r="K172" s="19" t="s">
        <v>1432</v>
      </c>
      <c r="L172" s="19"/>
      <c r="M172" s="19"/>
      <c r="N172" s="19"/>
      <c r="O172" s="19"/>
      <c r="P172" s="19"/>
      <c r="Q172" s="19"/>
      <c r="R172" s="19"/>
      <c r="S172" s="24" t="s">
        <v>1433</v>
      </c>
    </row>
    <row r="173" spans="1:19" x14ac:dyDescent="0.2">
      <c r="A173" s="19" t="s">
        <v>1421</v>
      </c>
      <c r="K173" s="19" t="s">
        <v>1434</v>
      </c>
      <c r="L173" s="19"/>
      <c r="M173" s="19"/>
      <c r="N173" s="19"/>
      <c r="O173" s="19"/>
      <c r="P173" s="19"/>
      <c r="Q173" s="19"/>
      <c r="R173" s="19"/>
      <c r="S173" s="24" t="s">
        <v>1435</v>
      </c>
    </row>
    <row r="174" spans="1:19" x14ac:dyDescent="0.2">
      <c r="A174" s="19" t="s">
        <v>1425</v>
      </c>
      <c r="K174" s="19" t="s">
        <v>1436</v>
      </c>
      <c r="L174" s="19"/>
      <c r="M174" s="19"/>
      <c r="N174" s="19"/>
      <c r="O174" s="19"/>
      <c r="P174" s="19"/>
      <c r="Q174" s="19"/>
      <c r="R174" s="19"/>
      <c r="S174" s="24" t="s">
        <v>1437</v>
      </c>
    </row>
    <row r="175" spans="1:19" x14ac:dyDescent="0.2">
      <c r="A175" s="19" t="s">
        <v>1427</v>
      </c>
      <c r="K175" s="19" t="s">
        <v>1438</v>
      </c>
      <c r="L175" s="19"/>
      <c r="M175" s="19"/>
      <c r="N175" s="19"/>
      <c r="O175" s="19"/>
      <c r="P175" s="19"/>
      <c r="Q175" s="19"/>
      <c r="R175" s="19"/>
      <c r="S175" s="24" t="s">
        <v>1439</v>
      </c>
    </row>
    <row r="176" spans="1:19" x14ac:dyDescent="0.2">
      <c r="A176" s="19" t="s">
        <v>1431</v>
      </c>
      <c r="K176" s="19" t="s">
        <v>1440</v>
      </c>
      <c r="L176" s="19"/>
      <c r="M176" s="19"/>
      <c r="N176" s="19"/>
      <c r="O176" s="19"/>
      <c r="P176" s="19"/>
      <c r="Q176" s="19"/>
      <c r="R176" s="19"/>
      <c r="S176" s="24" t="s">
        <v>1441</v>
      </c>
    </row>
    <row r="177" spans="1:19" x14ac:dyDescent="0.2">
      <c r="A177" s="19" t="s">
        <v>1433</v>
      </c>
      <c r="K177" s="19" t="s">
        <v>1442</v>
      </c>
      <c r="L177" s="19"/>
      <c r="M177" s="19"/>
      <c r="N177" s="19"/>
      <c r="O177" s="19"/>
      <c r="P177" s="19"/>
      <c r="Q177" s="19"/>
      <c r="R177" s="19"/>
      <c r="S177" s="24" t="s">
        <v>1443</v>
      </c>
    </row>
    <row r="178" spans="1:19" x14ac:dyDescent="0.2">
      <c r="A178" s="19" t="s">
        <v>1444</v>
      </c>
      <c r="K178" s="19" t="s">
        <v>1445</v>
      </c>
      <c r="L178" s="19"/>
      <c r="M178" s="19"/>
      <c r="N178" s="19"/>
      <c r="O178" s="19"/>
      <c r="P178" s="19"/>
      <c r="Q178" s="19"/>
      <c r="R178" s="19"/>
      <c r="S178" s="24" t="s">
        <v>1446</v>
      </c>
    </row>
    <row r="179" spans="1:19" x14ac:dyDescent="0.2">
      <c r="A179" s="19" t="s">
        <v>1447</v>
      </c>
      <c r="K179" s="19" t="s">
        <v>1448</v>
      </c>
      <c r="L179" s="19"/>
      <c r="M179" s="19"/>
      <c r="N179" s="19"/>
      <c r="O179" s="19"/>
      <c r="P179" s="19"/>
      <c r="Q179" s="19"/>
      <c r="R179" s="19"/>
      <c r="S179" s="24" t="s">
        <v>1449</v>
      </c>
    </row>
    <row r="180" spans="1:19" x14ac:dyDescent="0.2">
      <c r="A180" s="19" t="s">
        <v>1435</v>
      </c>
      <c r="K180" s="19" t="s">
        <v>1450</v>
      </c>
      <c r="L180" s="19"/>
      <c r="M180" s="19"/>
      <c r="N180" s="19"/>
      <c r="O180" s="19"/>
      <c r="P180" s="19"/>
      <c r="Q180" s="19"/>
      <c r="R180" s="19"/>
      <c r="S180" s="24" t="s">
        <v>1451</v>
      </c>
    </row>
    <row r="181" spans="1:19" x14ac:dyDescent="0.2">
      <c r="A181" s="19" t="s">
        <v>1452</v>
      </c>
      <c r="K181" s="19" t="s">
        <v>1453</v>
      </c>
      <c r="L181" s="19"/>
      <c r="M181" s="19"/>
      <c r="N181" s="19"/>
      <c r="O181" s="19"/>
      <c r="P181" s="19"/>
      <c r="Q181" s="19"/>
      <c r="R181" s="19"/>
      <c r="S181" s="24" t="s">
        <v>1454</v>
      </c>
    </row>
    <row r="182" spans="1:19" x14ac:dyDescent="0.2">
      <c r="A182" s="19" t="s">
        <v>1437</v>
      </c>
      <c r="K182" s="19" t="s">
        <v>1455</v>
      </c>
      <c r="L182" s="19"/>
      <c r="M182" s="19"/>
      <c r="N182" s="19"/>
      <c r="O182" s="19"/>
      <c r="P182" s="19"/>
      <c r="Q182" s="19"/>
      <c r="R182" s="19"/>
      <c r="S182" s="24" t="s">
        <v>1456</v>
      </c>
    </row>
    <row r="183" spans="1:19" x14ac:dyDescent="0.2">
      <c r="A183" s="19" t="s">
        <v>1457</v>
      </c>
      <c r="K183" s="19" t="s">
        <v>1458</v>
      </c>
      <c r="L183" s="19"/>
      <c r="M183" s="19"/>
      <c r="N183" s="19"/>
      <c r="O183" s="19"/>
      <c r="P183" s="19"/>
      <c r="Q183" s="19"/>
      <c r="R183" s="19"/>
      <c r="S183" s="24" t="s">
        <v>1459</v>
      </c>
    </row>
    <row r="184" spans="1:19" x14ac:dyDescent="0.2">
      <c r="A184" s="19" t="s">
        <v>1439</v>
      </c>
      <c r="K184" s="19" t="s">
        <v>1460</v>
      </c>
      <c r="L184" s="19"/>
      <c r="M184" s="19"/>
      <c r="N184" s="19"/>
      <c r="O184" s="19"/>
      <c r="P184" s="19"/>
      <c r="Q184" s="19"/>
      <c r="R184" s="19"/>
      <c r="S184" s="24" t="s">
        <v>1461</v>
      </c>
    </row>
    <row r="185" spans="1:19" x14ac:dyDescent="0.2">
      <c r="A185" s="19" t="s">
        <v>1462</v>
      </c>
      <c r="K185" s="19" t="s">
        <v>1463</v>
      </c>
      <c r="L185" s="19"/>
      <c r="M185" s="19"/>
      <c r="N185" s="19"/>
      <c r="O185" s="19"/>
      <c r="P185" s="19"/>
      <c r="Q185" s="19"/>
      <c r="R185" s="19"/>
      <c r="S185" s="24" t="s">
        <v>1464</v>
      </c>
    </row>
    <row r="186" spans="1:19" x14ac:dyDescent="0.2">
      <c r="A186" s="19" t="s">
        <v>1441</v>
      </c>
      <c r="K186" s="19" t="s">
        <v>1465</v>
      </c>
      <c r="L186" s="19"/>
      <c r="M186" s="19"/>
      <c r="N186" s="19"/>
      <c r="O186" s="19"/>
      <c r="P186" s="19"/>
      <c r="Q186" s="19"/>
      <c r="R186" s="19"/>
      <c r="S186" s="24" t="s">
        <v>1466</v>
      </c>
    </row>
    <row r="187" spans="1:19" x14ac:dyDescent="0.2">
      <c r="A187" s="19" t="s">
        <v>1467</v>
      </c>
      <c r="K187" s="19" t="s">
        <v>1468</v>
      </c>
      <c r="L187" s="19"/>
      <c r="M187" s="19"/>
      <c r="N187" s="19"/>
      <c r="O187" s="19"/>
      <c r="P187" s="19"/>
      <c r="Q187" s="19"/>
      <c r="R187" s="19"/>
      <c r="S187" s="24" t="s">
        <v>1469</v>
      </c>
    </row>
    <row r="188" spans="1:19" x14ac:dyDescent="0.2">
      <c r="A188" s="19" t="s">
        <v>1443</v>
      </c>
      <c r="K188" s="19" t="s">
        <v>1470</v>
      </c>
      <c r="L188" s="19"/>
      <c r="M188" s="19"/>
      <c r="N188" s="19"/>
      <c r="O188" s="19"/>
      <c r="P188" s="19"/>
      <c r="Q188" s="19"/>
      <c r="R188" s="19"/>
      <c r="S188" s="24" t="s">
        <v>1471</v>
      </c>
    </row>
    <row r="189" spans="1:19" x14ac:dyDescent="0.2">
      <c r="A189" s="19" t="s">
        <v>1446</v>
      </c>
      <c r="K189" s="19" t="s">
        <v>1472</v>
      </c>
      <c r="L189" s="19"/>
      <c r="M189" s="19"/>
      <c r="N189" s="19"/>
      <c r="O189" s="19"/>
      <c r="P189" s="19"/>
      <c r="Q189" s="19"/>
      <c r="R189" s="19"/>
      <c r="S189" s="24" t="s">
        <v>1473</v>
      </c>
    </row>
    <row r="190" spans="1:19" x14ac:dyDescent="0.2">
      <c r="A190" s="19" t="s">
        <v>1449</v>
      </c>
      <c r="K190" s="19" t="s">
        <v>1474</v>
      </c>
      <c r="L190" s="19"/>
      <c r="M190" s="19"/>
      <c r="N190" s="19"/>
      <c r="O190" s="19"/>
      <c r="P190" s="19"/>
      <c r="Q190" s="19"/>
      <c r="R190" s="19"/>
      <c r="S190" s="24" t="s">
        <v>1475</v>
      </c>
    </row>
    <row r="191" spans="1:19" x14ac:dyDescent="0.2">
      <c r="A191" s="19" t="s">
        <v>1451</v>
      </c>
      <c r="K191" s="19" t="s">
        <v>1476</v>
      </c>
      <c r="L191" s="19"/>
      <c r="M191" s="19"/>
      <c r="N191" s="19"/>
      <c r="O191" s="19"/>
      <c r="P191" s="19"/>
      <c r="Q191" s="19"/>
      <c r="R191" s="19"/>
      <c r="S191" s="24" t="s">
        <v>1477</v>
      </c>
    </row>
    <row r="192" spans="1:19" x14ac:dyDescent="0.2">
      <c r="A192" s="19" t="s">
        <v>1461</v>
      </c>
      <c r="K192" s="19" t="s">
        <v>1478</v>
      </c>
      <c r="L192" s="19"/>
      <c r="M192" s="19"/>
      <c r="N192" s="19"/>
      <c r="O192" s="19"/>
      <c r="P192" s="19"/>
      <c r="Q192" s="19"/>
      <c r="R192" s="19"/>
      <c r="S192" s="24" t="s">
        <v>1479</v>
      </c>
    </row>
    <row r="193" spans="1:19" x14ac:dyDescent="0.2">
      <c r="A193" s="19" t="s">
        <v>1464</v>
      </c>
      <c r="K193" s="19" t="s">
        <v>1480</v>
      </c>
      <c r="L193" s="19"/>
      <c r="M193" s="19"/>
      <c r="N193" s="19"/>
      <c r="O193" s="19"/>
      <c r="P193" s="19"/>
      <c r="Q193" s="19"/>
      <c r="R193" s="19"/>
      <c r="S193" s="24" t="s">
        <v>1481</v>
      </c>
    </row>
    <row r="194" spans="1:19" x14ac:dyDescent="0.2">
      <c r="A194" s="19" t="s">
        <v>1482</v>
      </c>
      <c r="K194" s="19" t="s">
        <v>1483</v>
      </c>
      <c r="L194" s="19"/>
      <c r="M194" s="19"/>
      <c r="N194" s="19"/>
      <c r="O194" s="19"/>
      <c r="P194" s="19"/>
      <c r="Q194" s="19"/>
      <c r="R194" s="19"/>
      <c r="S194" s="24" t="s">
        <v>1484</v>
      </c>
    </row>
    <row r="195" spans="1:19" x14ac:dyDescent="0.2">
      <c r="A195" s="19" t="s">
        <v>1485</v>
      </c>
      <c r="K195" s="19" t="s">
        <v>1486</v>
      </c>
      <c r="L195" s="19"/>
      <c r="M195" s="19"/>
      <c r="N195" s="19"/>
      <c r="O195" s="19"/>
      <c r="P195" s="19"/>
      <c r="Q195" s="19"/>
      <c r="R195" s="19"/>
      <c r="S195" s="24" t="s">
        <v>1487</v>
      </c>
    </row>
    <row r="196" spans="1:19" x14ac:dyDescent="0.2">
      <c r="A196" s="19" t="s">
        <v>1475</v>
      </c>
      <c r="K196" s="19" t="s">
        <v>1488</v>
      </c>
      <c r="L196" s="19"/>
      <c r="M196" s="19"/>
      <c r="N196" s="19"/>
      <c r="O196" s="19"/>
      <c r="P196" s="19"/>
      <c r="Q196" s="19"/>
      <c r="R196" s="19"/>
      <c r="S196" s="24" t="s">
        <v>1489</v>
      </c>
    </row>
    <row r="197" spans="1:19" x14ac:dyDescent="0.2">
      <c r="A197" s="19" t="s">
        <v>1477</v>
      </c>
      <c r="K197" s="19" t="s">
        <v>1490</v>
      </c>
      <c r="L197" s="19"/>
      <c r="M197" s="19"/>
      <c r="N197" s="19"/>
      <c r="O197" s="19"/>
      <c r="P197" s="19"/>
      <c r="Q197" s="19"/>
      <c r="R197" s="19"/>
      <c r="S197" s="24" t="s">
        <v>1491</v>
      </c>
    </row>
    <row r="198" spans="1:19" x14ac:dyDescent="0.2">
      <c r="A198" s="19" t="s">
        <v>1492</v>
      </c>
      <c r="K198" s="19" t="s">
        <v>1493</v>
      </c>
      <c r="L198" s="19"/>
      <c r="M198" s="19"/>
      <c r="N198" s="19"/>
      <c r="O198" s="19"/>
      <c r="P198" s="19"/>
      <c r="Q198" s="19"/>
      <c r="R198" s="19"/>
      <c r="S198" s="24" t="s">
        <v>1494</v>
      </c>
    </row>
    <row r="199" spans="1:19" x14ac:dyDescent="0.2">
      <c r="A199" s="19" t="s">
        <v>1484</v>
      </c>
      <c r="K199" s="19" t="s">
        <v>1495</v>
      </c>
      <c r="L199" s="19"/>
      <c r="M199" s="19"/>
      <c r="N199" s="19"/>
      <c r="O199" s="19"/>
      <c r="P199" s="19"/>
      <c r="Q199" s="19"/>
      <c r="R199" s="19"/>
      <c r="S199" s="24" t="s">
        <v>1496</v>
      </c>
    </row>
    <row r="200" spans="1:19" x14ac:dyDescent="0.2">
      <c r="A200" s="19" t="s">
        <v>1487</v>
      </c>
      <c r="K200" s="19" t="s">
        <v>1497</v>
      </c>
      <c r="L200" s="19"/>
      <c r="M200" s="19"/>
      <c r="N200" s="19"/>
      <c r="O200" s="19"/>
      <c r="P200" s="19"/>
      <c r="Q200" s="19"/>
      <c r="R200" s="19"/>
      <c r="S200" s="24" t="s">
        <v>1498</v>
      </c>
    </row>
    <row r="201" spans="1:19" x14ac:dyDescent="0.2">
      <c r="A201" s="19" t="s">
        <v>1489</v>
      </c>
      <c r="K201" s="19" t="s">
        <v>1499</v>
      </c>
      <c r="L201" s="19"/>
      <c r="M201" s="19"/>
      <c r="N201" s="19"/>
      <c r="O201" s="19"/>
      <c r="P201" s="19"/>
      <c r="Q201" s="19"/>
      <c r="R201" s="19"/>
      <c r="S201" s="24" t="s">
        <v>1500</v>
      </c>
    </row>
    <row r="202" spans="1:19" x14ac:dyDescent="0.2">
      <c r="A202" s="19" t="s">
        <v>1501</v>
      </c>
      <c r="K202" s="19" t="s">
        <v>1502</v>
      </c>
      <c r="L202" s="19"/>
      <c r="M202" s="19"/>
      <c r="N202" s="19"/>
      <c r="O202" s="19"/>
      <c r="P202" s="19"/>
      <c r="Q202" s="19"/>
      <c r="R202" s="19"/>
      <c r="S202" s="24" t="s">
        <v>1503</v>
      </c>
    </row>
    <row r="203" spans="1:19" x14ac:dyDescent="0.2">
      <c r="A203" s="19" t="s">
        <v>1504</v>
      </c>
      <c r="K203" s="19" t="s">
        <v>1505</v>
      </c>
      <c r="L203" s="19"/>
      <c r="M203" s="19"/>
      <c r="N203" s="19"/>
      <c r="O203" s="19"/>
      <c r="P203" s="19"/>
      <c r="Q203" s="19"/>
      <c r="R203" s="19"/>
      <c r="S203" s="24" t="s">
        <v>1506</v>
      </c>
    </row>
    <row r="204" spans="1:19" x14ac:dyDescent="0.2">
      <c r="A204" s="19" t="s">
        <v>1494</v>
      </c>
      <c r="K204" s="19" t="s">
        <v>1507</v>
      </c>
      <c r="L204" s="19"/>
      <c r="M204" s="19"/>
      <c r="N204" s="19"/>
      <c r="O204" s="19"/>
      <c r="P204" s="19"/>
      <c r="Q204" s="19"/>
      <c r="R204" s="19"/>
      <c r="S204" s="24" t="s">
        <v>1508</v>
      </c>
    </row>
    <row r="205" spans="1:19" x14ac:dyDescent="0.2">
      <c r="A205" s="19" t="s">
        <v>1498</v>
      </c>
      <c r="K205" s="19" t="s">
        <v>1509</v>
      </c>
      <c r="L205" s="19"/>
      <c r="M205" s="19"/>
      <c r="N205" s="19"/>
      <c r="O205" s="19"/>
      <c r="P205" s="19"/>
      <c r="Q205" s="19"/>
      <c r="R205" s="19"/>
      <c r="S205" s="24" t="s">
        <v>1510</v>
      </c>
    </row>
    <row r="206" spans="1:19" x14ac:dyDescent="0.2">
      <c r="A206" s="19" t="s">
        <v>1511</v>
      </c>
      <c r="K206" s="19" t="s">
        <v>1512</v>
      </c>
      <c r="L206" s="19"/>
      <c r="M206" s="19"/>
      <c r="N206" s="19"/>
      <c r="O206" s="19"/>
      <c r="P206" s="19"/>
      <c r="Q206" s="19"/>
      <c r="R206" s="19"/>
      <c r="S206" s="24" t="s">
        <v>1513</v>
      </c>
    </row>
    <row r="207" spans="1:19" x14ac:dyDescent="0.2">
      <c r="A207" s="19" t="s">
        <v>1500</v>
      </c>
      <c r="K207" s="19" t="s">
        <v>1514</v>
      </c>
      <c r="L207" s="19"/>
      <c r="M207" s="19"/>
      <c r="N207" s="19"/>
      <c r="O207" s="19"/>
      <c r="P207" s="19"/>
      <c r="Q207" s="19"/>
      <c r="R207" s="19"/>
      <c r="S207" s="24" t="s">
        <v>1515</v>
      </c>
    </row>
    <row r="208" spans="1:19" x14ac:dyDescent="0.2">
      <c r="A208" s="19" t="s">
        <v>1516</v>
      </c>
      <c r="K208" s="19" t="s">
        <v>1517</v>
      </c>
      <c r="L208" s="19"/>
      <c r="M208" s="19"/>
      <c r="N208" s="19"/>
      <c r="O208" s="19"/>
      <c r="P208" s="19"/>
      <c r="Q208" s="19"/>
      <c r="R208" s="19"/>
      <c r="S208" s="24" t="s">
        <v>1518</v>
      </c>
    </row>
    <row r="209" spans="1:19" x14ac:dyDescent="0.2">
      <c r="A209" s="19" t="s">
        <v>1508</v>
      </c>
      <c r="K209" s="19" t="s">
        <v>1519</v>
      </c>
      <c r="L209" s="19"/>
      <c r="M209" s="19"/>
      <c r="N209" s="19"/>
      <c r="O209" s="19"/>
      <c r="P209" s="19"/>
      <c r="Q209" s="19"/>
      <c r="R209" s="19"/>
      <c r="S209" s="24" t="s">
        <v>1520</v>
      </c>
    </row>
    <row r="210" spans="1:19" x14ac:dyDescent="0.2">
      <c r="A210" s="19" t="s">
        <v>1513</v>
      </c>
      <c r="K210" s="19" t="s">
        <v>1521</v>
      </c>
      <c r="L210" s="19"/>
      <c r="M210" s="19"/>
      <c r="N210" s="19"/>
      <c r="O210" s="19"/>
      <c r="P210" s="19"/>
      <c r="Q210" s="19"/>
      <c r="R210" s="19"/>
      <c r="S210" s="24" t="s">
        <v>1522</v>
      </c>
    </row>
    <row r="211" spans="1:19" x14ac:dyDescent="0.2">
      <c r="A211" s="19" t="s">
        <v>1523</v>
      </c>
      <c r="K211" s="19" t="s">
        <v>1524</v>
      </c>
      <c r="L211" s="19"/>
      <c r="M211" s="19"/>
      <c r="N211" s="19"/>
      <c r="O211" s="19"/>
      <c r="P211" s="19"/>
      <c r="Q211" s="19"/>
      <c r="R211" s="19"/>
      <c r="S211" s="24" t="s">
        <v>1525</v>
      </c>
    </row>
    <row r="212" spans="1:19" x14ac:dyDescent="0.2">
      <c r="A212" s="19" t="s">
        <v>1515</v>
      </c>
      <c r="K212" s="19" t="s">
        <v>1526</v>
      </c>
      <c r="L212" s="19"/>
      <c r="M212" s="19"/>
      <c r="N212" s="19"/>
      <c r="O212" s="19"/>
      <c r="P212" s="19"/>
      <c r="Q212" s="19"/>
      <c r="R212" s="19"/>
      <c r="S212" s="24" t="s">
        <v>1527</v>
      </c>
    </row>
    <row r="213" spans="1:19" x14ac:dyDescent="0.2">
      <c r="A213" s="19" t="s">
        <v>1528</v>
      </c>
      <c r="K213" s="19" t="s">
        <v>1529</v>
      </c>
      <c r="L213" s="19"/>
      <c r="M213" s="19"/>
      <c r="N213" s="19"/>
      <c r="O213" s="19"/>
      <c r="P213" s="19"/>
      <c r="Q213" s="19"/>
      <c r="R213" s="19"/>
      <c r="S213" s="24" t="s">
        <v>1530</v>
      </c>
    </row>
    <row r="214" spans="1:19" x14ac:dyDescent="0.2">
      <c r="A214" s="19" t="s">
        <v>1518</v>
      </c>
      <c r="K214" s="19" t="s">
        <v>1531</v>
      </c>
      <c r="L214" s="19"/>
      <c r="M214" s="19"/>
      <c r="N214" s="19"/>
      <c r="O214" s="19"/>
      <c r="P214" s="19"/>
      <c r="Q214" s="19"/>
      <c r="R214" s="19"/>
      <c r="S214" s="24" t="s">
        <v>1532</v>
      </c>
    </row>
    <row r="215" spans="1:19" x14ac:dyDescent="0.2">
      <c r="A215" s="19" t="s">
        <v>1533</v>
      </c>
      <c r="K215" s="19" t="s">
        <v>1534</v>
      </c>
      <c r="L215" s="19"/>
      <c r="M215" s="19"/>
      <c r="N215" s="19"/>
      <c r="O215" s="19"/>
      <c r="P215" s="19"/>
      <c r="Q215" s="19"/>
      <c r="R215" s="19"/>
      <c r="S215" s="24" t="s">
        <v>1535</v>
      </c>
    </row>
    <row r="216" spans="1:19" x14ac:dyDescent="0.2">
      <c r="A216" s="19" t="s">
        <v>1527</v>
      </c>
      <c r="K216" s="19" t="s">
        <v>1536</v>
      </c>
      <c r="L216" s="19"/>
      <c r="M216" s="19"/>
      <c r="N216" s="19"/>
      <c r="O216" s="19"/>
      <c r="P216" s="19"/>
      <c r="Q216" s="19"/>
      <c r="R216" s="19"/>
      <c r="S216" s="24" t="s">
        <v>1537</v>
      </c>
    </row>
    <row r="217" spans="1:19" x14ac:dyDescent="0.2">
      <c r="A217" s="19" t="s">
        <v>1530</v>
      </c>
      <c r="K217" s="19" t="s">
        <v>1538</v>
      </c>
      <c r="L217" s="19"/>
      <c r="M217" s="19"/>
      <c r="N217" s="19"/>
      <c r="O217" s="19"/>
      <c r="P217" s="19"/>
      <c r="Q217" s="19"/>
      <c r="R217" s="19"/>
      <c r="S217" s="24" t="s">
        <v>1539</v>
      </c>
    </row>
    <row r="218" spans="1:19" x14ac:dyDescent="0.2">
      <c r="A218" s="19" t="s">
        <v>1540</v>
      </c>
      <c r="K218" s="19" t="s">
        <v>1541</v>
      </c>
      <c r="L218" s="19"/>
      <c r="M218" s="19"/>
      <c r="N218" s="19"/>
      <c r="O218" s="19"/>
      <c r="P218" s="19"/>
      <c r="Q218" s="19"/>
      <c r="R218" s="19"/>
      <c r="S218" s="24" t="s">
        <v>1542</v>
      </c>
    </row>
    <row r="219" spans="1:19" x14ac:dyDescent="0.2">
      <c r="A219" s="19" t="s">
        <v>1535</v>
      </c>
      <c r="K219" s="19" t="s">
        <v>1543</v>
      </c>
      <c r="L219" s="19"/>
      <c r="M219" s="19"/>
      <c r="N219" s="19"/>
      <c r="O219" s="19"/>
      <c r="P219" s="19"/>
      <c r="Q219" s="19"/>
      <c r="R219" s="19"/>
      <c r="S219" s="24" t="s">
        <v>1544</v>
      </c>
    </row>
    <row r="220" spans="1:19" x14ac:dyDescent="0.2">
      <c r="A220" s="19" t="s">
        <v>1545</v>
      </c>
      <c r="K220" s="19" t="s">
        <v>1546</v>
      </c>
      <c r="L220" s="19"/>
      <c r="M220" s="19"/>
      <c r="N220" s="19"/>
      <c r="O220" s="19"/>
      <c r="P220" s="19"/>
      <c r="Q220" s="19"/>
      <c r="R220" s="19"/>
      <c r="S220" s="24" t="s">
        <v>1547</v>
      </c>
    </row>
    <row r="221" spans="1:19" x14ac:dyDescent="0.2">
      <c r="A221" s="19" t="s">
        <v>1537</v>
      </c>
      <c r="K221" s="19" t="s">
        <v>1548</v>
      </c>
      <c r="L221" s="19"/>
      <c r="M221" s="19"/>
      <c r="N221" s="19"/>
      <c r="O221" s="19"/>
      <c r="P221" s="19"/>
      <c r="Q221" s="19"/>
      <c r="R221" s="19"/>
      <c r="S221" s="24" t="s">
        <v>1549</v>
      </c>
    </row>
    <row r="222" spans="1:19" x14ac:dyDescent="0.2">
      <c r="A222" s="19" t="s">
        <v>1539</v>
      </c>
      <c r="K222" s="19" t="s">
        <v>1550</v>
      </c>
      <c r="L222" s="19"/>
      <c r="M222" s="19"/>
      <c r="N222" s="19"/>
      <c r="O222" s="19"/>
      <c r="P222" s="19"/>
      <c r="Q222" s="19"/>
      <c r="R222" s="19"/>
      <c r="S222" s="24" t="s">
        <v>1551</v>
      </c>
    </row>
    <row r="223" spans="1:19" x14ac:dyDescent="0.2">
      <c r="A223" s="19" t="s">
        <v>1542</v>
      </c>
      <c r="K223" s="19" t="s">
        <v>1552</v>
      </c>
      <c r="L223" s="19"/>
      <c r="M223" s="19"/>
      <c r="N223" s="19"/>
      <c r="O223" s="19"/>
      <c r="P223" s="19"/>
      <c r="Q223" s="19"/>
      <c r="R223" s="19"/>
      <c r="S223" s="24" t="s">
        <v>1553</v>
      </c>
    </row>
    <row r="224" spans="1:19" x14ac:dyDescent="0.2">
      <c r="A224" s="19" t="s">
        <v>1544</v>
      </c>
      <c r="K224" s="19" t="s">
        <v>1554</v>
      </c>
      <c r="L224" s="19"/>
      <c r="M224" s="19"/>
      <c r="N224" s="19"/>
      <c r="O224" s="19"/>
      <c r="P224" s="19"/>
      <c r="Q224" s="19"/>
      <c r="R224" s="19"/>
      <c r="S224" s="24" t="s">
        <v>1555</v>
      </c>
    </row>
    <row r="225" spans="1:19" x14ac:dyDescent="0.2">
      <c r="A225" s="19" t="s">
        <v>1549</v>
      </c>
      <c r="K225" s="19" t="s">
        <v>1556</v>
      </c>
      <c r="L225" s="19"/>
      <c r="M225" s="19"/>
      <c r="N225" s="19"/>
      <c r="O225" s="19"/>
      <c r="P225" s="19"/>
      <c r="Q225" s="19"/>
      <c r="R225" s="19"/>
      <c r="S225" s="24" t="s">
        <v>1557</v>
      </c>
    </row>
    <row r="226" spans="1:19" x14ac:dyDescent="0.2">
      <c r="A226" s="19" t="s">
        <v>1558</v>
      </c>
      <c r="K226" s="19" t="s">
        <v>1559</v>
      </c>
      <c r="L226" s="19"/>
      <c r="M226" s="19"/>
      <c r="N226" s="19"/>
      <c r="O226" s="19"/>
      <c r="P226" s="19"/>
      <c r="Q226" s="19"/>
      <c r="R226" s="19"/>
      <c r="S226" s="24" t="s">
        <v>1560</v>
      </c>
    </row>
    <row r="227" spans="1:19" x14ac:dyDescent="0.2">
      <c r="A227" s="19" t="s">
        <v>1561</v>
      </c>
      <c r="K227" s="19" t="s">
        <v>1562</v>
      </c>
      <c r="L227" s="19"/>
      <c r="M227" s="19"/>
      <c r="N227" s="19"/>
      <c r="O227" s="19"/>
      <c r="P227" s="19"/>
      <c r="Q227" s="19"/>
      <c r="R227" s="19"/>
      <c r="S227" s="24" t="s">
        <v>1563</v>
      </c>
    </row>
    <row r="228" spans="1:19" x14ac:dyDescent="0.2">
      <c r="A228" s="19" t="s">
        <v>1555</v>
      </c>
      <c r="K228" s="19" t="s">
        <v>1564</v>
      </c>
      <c r="L228" s="19"/>
      <c r="M228" s="19"/>
      <c r="N228" s="19"/>
      <c r="O228" s="19"/>
      <c r="P228" s="19"/>
      <c r="Q228" s="19"/>
      <c r="R228" s="19"/>
      <c r="S228" s="24" t="s">
        <v>1565</v>
      </c>
    </row>
    <row r="229" spans="1:19" x14ac:dyDescent="0.2">
      <c r="A229" s="19" t="s">
        <v>1557</v>
      </c>
      <c r="K229" s="19" t="s">
        <v>1566</v>
      </c>
      <c r="L229" s="19"/>
      <c r="M229" s="19"/>
      <c r="N229" s="19"/>
      <c r="O229" s="19"/>
      <c r="P229" s="19"/>
      <c r="Q229" s="19"/>
      <c r="R229" s="19"/>
      <c r="S229" s="24" t="s">
        <v>1567</v>
      </c>
    </row>
    <row r="230" spans="1:19" x14ac:dyDescent="0.2">
      <c r="A230" s="19" t="s">
        <v>1563</v>
      </c>
      <c r="K230" s="19" t="s">
        <v>1568</v>
      </c>
      <c r="L230" s="19"/>
      <c r="M230" s="19"/>
      <c r="N230" s="19"/>
      <c r="O230" s="19"/>
      <c r="P230" s="19"/>
      <c r="Q230" s="19"/>
      <c r="R230" s="19"/>
      <c r="S230" s="24" t="s">
        <v>1569</v>
      </c>
    </row>
    <row r="231" spans="1:19" x14ac:dyDescent="0.2">
      <c r="A231" s="19" t="s">
        <v>1565</v>
      </c>
      <c r="K231" s="19" t="s">
        <v>1570</v>
      </c>
      <c r="L231" s="19"/>
      <c r="M231" s="19"/>
      <c r="N231" s="19"/>
      <c r="O231" s="19"/>
      <c r="P231" s="19"/>
      <c r="Q231" s="19"/>
      <c r="R231" s="19"/>
      <c r="S231" s="24" t="s">
        <v>1571</v>
      </c>
    </row>
    <row r="232" spans="1:19" x14ac:dyDescent="0.2">
      <c r="A232" s="19" t="s">
        <v>1572</v>
      </c>
      <c r="K232" s="19" t="s">
        <v>1573</v>
      </c>
      <c r="L232" s="19"/>
      <c r="M232" s="19"/>
      <c r="N232" s="19"/>
      <c r="O232" s="19"/>
      <c r="P232" s="19"/>
      <c r="Q232" s="19"/>
      <c r="R232" s="19"/>
      <c r="S232" s="24" t="s">
        <v>1574</v>
      </c>
    </row>
    <row r="233" spans="1:19" x14ac:dyDescent="0.2">
      <c r="A233" s="19" t="s">
        <v>1569</v>
      </c>
      <c r="K233" s="19" t="s">
        <v>1575</v>
      </c>
      <c r="L233" s="19"/>
      <c r="M233" s="19"/>
      <c r="N233" s="19"/>
      <c r="O233" s="19"/>
      <c r="P233" s="19"/>
      <c r="Q233" s="19"/>
      <c r="R233" s="19"/>
      <c r="S233" s="24" t="s">
        <v>1576</v>
      </c>
    </row>
    <row r="234" spans="1:19" x14ac:dyDescent="0.2">
      <c r="A234" s="19" t="s">
        <v>1571</v>
      </c>
      <c r="K234" s="19" t="s">
        <v>1577</v>
      </c>
      <c r="L234" s="19"/>
      <c r="M234" s="19"/>
      <c r="N234" s="19"/>
      <c r="O234" s="19"/>
      <c r="P234" s="19"/>
      <c r="Q234" s="19"/>
      <c r="R234" s="19"/>
      <c r="S234" s="24" t="s">
        <v>1578</v>
      </c>
    </row>
    <row r="235" spans="1:19" x14ac:dyDescent="0.2">
      <c r="A235" s="19" t="s">
        <v>1579</v>
      </c>
      <c r="K235" s="19" t="s">
        <v>1580</v>
      </c>
      <c r="L235" s="19"/>
      <c r="M235" s="19"/>
      <c r="N235" s="19"/>
      <c r="O235" s="19"/>
      <c r="P235" s="19"/>
      <c r="Q235" s="19"/>
      <c r="R235" s="19"/>
      <c r="S235" s="24" t="s">
        <v>1581</v>
      </c>
    </row>
    <row r="236" spans="1:19" x14ac:dyDescent="0.2">
      <c r="A236" s="19" t="s">
        <v>1582</v>
      </c>
      <c r="K236" s="19" t="s">
        <v>1583</v>
      </c>
      <c r="L236" s="19"/>
      <c r="M236" s="19"/>
      <c r="N236" s="19"/>
      <c r="O236" s="19"/>
      <c r="P236" s="19"/>
      <c r="Q236" s="19"/>
      <c r="R236" s="19"/>
      <c r="S236" s="24" t="s">
        <v>1584</v>
      </c>
    </row>
    <row r="237" spans="1:19" x14ac:dyDescent="0.2">
      <c r="A237" s="19" t="s">
        <v>1585</v>
      </c>
      <c r="K237" s="19" t="s">
        <v>1586</v>
      </c>
      <c r="L237" s="19"/>
      <c r="M237" s="19"/>
      <c r="N237" s="19"/>
      <c r="O237" s="19"/>
      <c r="P237" s="19"/>
      <c r="Q237" s="19"/>
      <c r="R237" s="19"/>
      <c r="S237" s="24" t="s">
        <v>1587</v>
      </c>
    </row>
    <row r="238" spans="1:19" x14ac:dyDescent="0.2">
      <c r="A238" s="19" t="s">
        <v>1576</v>
      </c>
      <c r="K238" s="19" t="s">
        <v>1588</v>
      </c>
      <c r="L238" s="19"/>
      <c r="M238" s="19"/>
      <c r="N238" s="19"/>
      <c r="O238" s="19"/>
      <c r="P238" s="19"/>
      <c r="Q238" s="19"/>
      <c r="R238" s="19"/>
      <c r="S238" s="24" t="s">
        <v>1589</v>
      </c>
    </row>
    <row r="239" spans="1:19" x14ac:dyDescent="0.2">
      <c r="A239" s="19" t="s">
        <v>1590</v>
      </c>
      <c r="K239" s="19" t="s">
        <v>1591</v>
      </c>
      <c r="L239" s="19"/>
      <c r="M239" s="19"/>
      <c r="N239" s="19"/>
      <c r="O239" s="19"/>
      <c r="P239" s="19"/>
      <c r="Q239" s="19"/>
      <c r="R239" s="19"/>
      <c r="S239" s="24" t="s">
        <v>1592</v>
      </c>
    </row>
    <row r="240" spans="1:19" x14ac:dyDescent="0.2">
      <c r="A240" s="19" t="s">
        <v>1581</v>
      </c>
      <c r="K240" s="19" t="s">
        <v>1593</v>
      </c>
      <c r="L240" s="19"/>
      <c r="M240" s="19"/>
      <c r="N240" s="19"/>
      <c r="O240" s="19"/>
      <c r="P240" s="19"/>
      <c r="Q240" s="19"/>
      <c r="R240" s="19"/>
      <c r="S240" s="24" t="s">
        <v>1594</v>
      </c>
    </row>
    <row r="241" spans="1:19" x14ac:dyDescent="0.2">
      <c r="A241" s="19" t="s">
        <v>1584</v>
      </c>
      <c r="K241" s="19" t="s">
        <v>1595</v>
      </c>
      <c r="L241" s="19"/>
      <c r="M241" s="19"/>
      <c r="N241" s="19"/>
      <c r="O241" s="19"/>
      <c r="P241" s="19"/>
      <c r="Q241" s="19"/>
      <c r="R241" s="19"/>
      <c r="S241" s="24" t="s">
        <v>1596</v>
      </c>
    </row>
    <row r="242" spans="1:19" x14ac:dyDescent="0.2">
      <c r="A242" s="19" t="s">
        <v>1597</v>
      </c>
      <c r="K242" s="19" t="s">
        <v>1598</v>
      </c>
      <c r="L242" s="19"/>
      <c r="M242" s="19"/>
      <c r="N242" s="19"/>
      <c r="O242" s="19"/>
      <c r="P242" s="19"/>
      <c r="Q242" s="19"/>
      <c r="R242" s="19"/>
      <c r="S242" s="24" t="s">
        <v>1599</v>
      </c>
    </row>
    <row r="243" spans="1:19" x14ac:dyDescent="0.2">
      <c r="A243" s="19" t="s">
        <v>1600</v>
      </c>
      <c r="K243" s="19" t="s">
        <v>1601</v>
      </c>
      <c r="L243" s="19"/>
      <c r="M243" s="19"/>
      <c r="N243" s="19"/>
      <c r="O243" s="19"/>
      <c r="P243" s="19"/>
      <c r="Q243" s="19"/>
      <c r="R243" s="19"/>
      <c r="S243" s="24" t="s">
        <v>1602</v>
      </c>
    </row>
    <row r="244" spans="1:19" x14ac:dyDescent="0.2">
      <c r="A244" s="19" t="s">
        <v>1603</v>
      </c>
      <c r="K244" s="19" t="s">
        <v>1604</v>
      </c>
      <c r="L244" s="19"/>
      <c r="M244" s="19"/>
      <c r="N244" s="19"/>
      <c r="O244" s="19"/>
      <c r="P244" s="19"/>
      <c r="Q244" s="19"/>
      <c r="R244" s="19"/>
      <c r="S244" s="24" t="s">
        <v>1605</v>
      </c>
    </row>
    <row r="245" spans="1:19" x14ac:dyDescent="0.2">
      <c r="A245" s="19" t="s">
        <v>1606</v>
      </c>
      <c r="K245" s="19" t="s">
        <v>1607</v>
      </c>
      <c r="L245" s="19"/>
      <c r="M245" s="19"/>
      <c r="N245" s="19"/>
      <c r="O245" s="19"/>
      <c r="P245" s="19"/>
      <c r="Q245" s="19"/>
      <c r="R245" s="19"/>
      <c r="S245" s="24" t="s">
        <v>1608</v>
      </c>
    </row>
    <row r="246" spans="1:19" x14ac:dyDescent="0.2">
      <c r="A246" s="19" t="s">
        <v>1609</v>
      </c>
      <c r="K246" s="19" t="s">
        <v>1610</v>
      </c>
      <c r="L246" s="19"/>
      <c r="M246" s="19"/>
      <c r="N246" s="19"/>
      <c r="O246" s="19"/>
      <c r="P246" s="19"/>
      <c r="Q246" s="19"/>
      <c r="R246" s="19"/>
      <c r="S246" s="24" t="s">
        <v>1611</v>
      </c>
    </row>
    <row r="247" spans="1:19" x14ac:dyDescent="0.2">
      <c r="A247" s="19" t="s">
        <v>1602</v>
      </c>
      <c r="K247" s="19" t="s">
        <v>1612</v>
      </c>
      <c r="L247" s="19"/>
      <c r="M247" s="19"/>
      <c r="N247" s="19"/>
      <c r="O247" s="19"/>
      <c r="P247" s="19"/>
      <c r="Q247" s="19"/>
      <c r="R247" s="19"/>
      <c r="S247" s="24" t="s">
        <v>1613</v>
      </c>
    </row>
    <row r="248" spans="1:19" x14ac:dyDescent="0.2">
      <c r="A248" s="19" t="s">
        <v>1614</v>
      </c>
      <c r="K248" s="19" t="s">
        <v>1615</v>
      </c>
      <c r="L248" s="19"/>
      <c r="M248" s="19"/>
      <c r="N248" s="19"/>
      <c r="O248" s="19"/>
      <c r="P248" s="19"/>
      <c r="Q248" s="19"/>
      <c r="R248" s="19"/>
      <c r="S248" s="24" t="s">
        <v>1616</v>
      </c>
    </row>
    <row r="249" spans="1:19" x14ac:dyDescent="0.2">
      <c r="A249" s="19" t="s">
        <v>1611</v>
      </c>
      <c r="K249" s="19" t="s">
        <v>1617</v>
      </c>
      <c r="L249" s="19"/>
      <c r="M249" s="19"/>
      <c r="N249" s="19"/>
      <c r="O249" s="19"/>
      <c r="P249" s="19"/>
      <c r="Q249" s="19"/>
      <c r="R249" s="19"/>
      <c r="S249" s="24" t="s">
        <v>1618</v>
      </c>
    </row>
    <row r="250" spans="1:19" x14ac:dyDescent="0.2">
      <c r="A250" s="19" t="s">
        <v>1613</v>
      </c>
      <c r="K250" s="19" t="s">
        <v>1619</v>
      </c>
      <c r="L250" s="19"/>
      <c r="M250" s="19"/>
      <c r="N250" s="19"/>
      <c r="O250" s="19"/>
      <c r="P250" s="19"/>
      <c r="Q250" s="19"/>
      <c r="R250" s="19"/>
      <c r="S250" s="24" t="s">
        <v>1620</v>
      </c>
    </row>
    <row r="251" spans="1:19" x14ac:dyDescent="0.2">
      <c r="A251" s="19" t="s">
        <v>1621</v>
      </c>
      <c r="K251" s="19" t="s">
        <v>1622</v>
      </c>
      <c r="L251" s="19"/>
      <c r="M251" s="19"/>
      <c r="N251" s="19"/>
      <c r="O251" s="19"/>
      <c r="P251" s="19"/>
      <c r="Q251" s="19"/>
      <c r="R251" s="19"/>
      <c r="S251" s="24" t="s">
        <v>1623</v>
      </c>
    </row>
    <row r="252" spans="1:19" x14ac:dyDescent="0.2">
      <c r="A252" s="19" t="s">
        <v>1624</v>
      </c>
      <c r="K252" s="19" t="s">
        <v>1625</v>
      </c>
      <c r="L252" s="19"/>
      <c r="M252" s="19"/>
      <c r="N252" s="19"/>
      <c r="O252" s="19"/>
      <c r="P252" s="19"/>
      <c r="Q252" s="19"/>
      <c r="R252" s="19"/>
      <c r="S252" s="24" t="s">
        <v>1626</v>
      </c>
    </row>
    <row r="253" spans="1:19" x14ac:dyDescent="0.2">
      <c r="A253" s="19" t="s">
        <v>1627</v>
      </c>
      <c r="K253" s="19" t="s">
        <v>1628</v>
      </c>
      <c r="L253" s="19"/>
      <c r="M253" s="19"/>
      <c r="N253" s="19"/>
      <c r="O253" s="19"/>
      <c r="P253" s="19"/>
      <c r="Q253" s="19"/>
      <c r="R253" s="19"/>
      <c r="S253" s="24" t="s">
        <v>1629</v>
      </c>
    </row>
    <row r="254" spans="1:19" x14ac:dyDescent="0.2">
      <c r="A254" s="19" t="s">
        <v>1620</v>
      </c>
      <c r="K254" s="19" t="s">
        <v>1630</v>
      </c>
      <c r="L254" s="19"/>
      <c r="M254" s="19"/>
      <c r="N254" s="19"/>
      <c r="O254" s="19"/>
      <c r="P254" s="19"/>
      <c r="Q254" s="19"/>
      <c r="R254" s="19"/>
      <c r="S254" s="24" t="s">
        <v>1631</v>
      </c>
    </row>
    <row r="255" spans="1:19" x14ac:dyDescent="0.2">
      <c r="A255" s="19" t="s">
        <v>1623</v>
      </c>
      <c r="K255" s="19" t="s">
        <v>1632</v>
      </c>
      <c r="L255" s="19"/>
      <c r="M255" s="19"/>
      <c r="N255" s="19"/>
      <c r="O255" s="19"/>
      <c r="P255" s="19"/>
      <c r="Q255" s="19"/>
      <c r="R255" s="19"/>
      <c r="S255" s="24" t="s">
        <v>1633</v>
      </c>
    </row>
    <row r="256" spans="1:19" x14ac:dyDescent="0.2">
      <c r="A256" s="19" t="s">
        <v>1626</v>
      </c>
      <c r="K256" s="19" t="s">
        <v>1634</v>
      </c>
      <c r="L256" s="19"/>
      <c r="M256" s="19"/>
      <c r="N256" s="19"/>
      <c r="O256" s="19"/>
      <c r="P256" s="19"/>
      <c r="Q256" s="19"/>
      <c r="R256" s="19"/>
      <c r="S256" s="24" t="s">
        <v>1635</v>
      </c>
    </row>
    <row r="257" spans="1:19" x14ac:dyDescent="0.2">
      <c r="A257" s="19" t="s">
        <v>1629</v>
      </c>
      <c r="K257" s="19" t="s">
        <v>1636</v>
      </c>
      <c r="L257" s="19"/>
      <c r="M257" s="19"/>
      <c r="N257" s="19"/>
      <c r="O257" s="19"/>
      <c r="P257" s="19"/>
      <c r="Q257" s="19"/>
      <c r="R257" s="19"/>
      <c r="S257" s="24" t="s">
        <v>1637</v>
      </c>
    </row>
    <row r="258" spans="1:19" x14ac:dyDescent="0.2">
      <c r="A258" s="19" t="s">
        <v>1631</v>
      </c>
      <c r="K258" s="19" t="s">
        <v>1638</v>
      </c>
      <c r="L258" s="19"/>
      <c r="M258" s="19"/>
      <c r="N258" s="19"/>
      <c r="O258" s="19"/>
      <c r="P258" s="19"/>
      <c r="Q258" s="19"/>
      <c r="R258" s="19"/>
      <c r="S258" s="24" t="s">
        <v>1639</v>
      </c>
    </row>
    <row r="259" spans="1:19" x14ac:dyDescent="0.2">
      <c r="A259" s="19" t="s">
        <v>1633</v>
      </c>
      <c r="K259" s="19" t="s">
        <v>1640</v>
      </c>
      <c r="L259" s="19"/>
      <c r="M259" s="19"/>
      <c r="N259" s="19"/>
      <c r="O259" s="19"/>
      <c r="P259" s="19"/>
      <c r="Q259" s="19"/>
      <c r="R259" s="19"/>
      <c r="S259" s="24" t="s">
        <v>1641</v>
      </c>
    </row>
    <row r="260" spans="1:19" x14ac:dyDescent="0.2">
      <c r="A260" s="19" t="s">
        <v>1635</v>
      </c>
      <c r="K260" s="19" t="s">
        <v>1642</v>
      </c>
      <c r="L260" s="19"/>
      <c r="M260" s="19"/>
      <c r="N260" s="19"/>
      <c r="O260" s="19"/>
      <c r="P260" s="19"/>
      <c r="Q260" s="19"/>
      <c r="R260" s="19"/>
      <c r="S260" s="24" t="s">
        <v>1643</v>
      </c>
    </row>
    <row r="261" spans="1:19" x14ac:dyDescent="0.2">
      <c r="A261" s="19" t="s">
        <v>1637</v>
      </c>
      <c r="K261" s="19" t="s">
        <v>1644</v>
      </c>
      <c r="L261" s="19"/>
      <c r="M261" s="19"/>
      <c r="N261" s="19"/>
      <c r="O261" s="19"/>
      <c r="P261" s="19"/>
      <c r="Q261" s="19"/>
      <c r="R261" s="19"/>
      <c r="S261" s="24" t="s">
        <v>1645</v>
      </c>
    </row>
    <row r="262" spans="1:19" x14ac:dyDescent="0.2">
      <c r="A262" s="19" t="s">
        <v>1639</v>
      </c>
      <c r="K262" s="19" t="s">
        <v>1646</v>
      </c>
      <c r="L262" s="19"/>
      <c r="M262" s="19"/>
      <c r="N262" s="19"/>
      <c r="O262" s="19"/>
      <c r="P262" s="19"/>
      <c r="Q262" s="19"/>
      <c r="R262" s="19"/>
      <c r="S262" s="24" t="s">
        <v>1647</v>
      </c>
    </row>
    <row r="263" spans="1:19" x14ac:dyDescent="0.2">
      <c r="A263" s="19" t="s">
        <v>1643</v>
      </c>
      <c r="K263" s="19" t="s">
        <v>1648</v>
      </c>
      <c r="L263" s="19"/>
      <c r="M263" s="19"/>
      <c r="N263" s="19"/>
      <c r="O263" s="19"/>
      <c r="P263" s="19"/>
      <c r="Q263" s="19"/>
      <c r="R263" s="19"/>
      <c r="S263" s="24" t="s">
        <v>1649</v>
      </c>
    </row>
    <row r="264" spans="1:19" x14ac:dyDescent="0.2">
      <c r="A264" s="19" t="s">
        <v>1650</v>
      </c>
      <c r="K264" s="19" t="s">
        <v>1651</v>
      </c>
      <c r="L264" s="19"/>
      <c r="M264" s="19"/>
      <c r="N264" s="19"/>
      <c r="O264" s="19"/>
      <c r="P264" s="19"/>
      <c r="Q264" s="19"/>
      <c r="R264" s="19"/>
      <c r="S264" s="24" t="s">
        <v>1652</v>
      </c>
    </row>
    <row r="265" spans="1:19" x14ac:dyDescent="0.2">
      <c r="A265" s="19" t="s">
        <v>1653</v>
      </c>
      <c r="K265" s="19" t="s">
        <v>1654</v>
      </c>
      <c r="L265" s="19"/>
      <c r="M265" s="19"/>
      <c r="N265" s="19"/>
      <c r="O265" s="19"/>
      <c r="P265" s="19"/>
      <c r="Q265" s="19"/>
      <c r="R265" s="19"/>
      <c r="S265" s="24" t="s">
        <v>1655</v>
      </c>
    </row>
    <row r="266" spans="1:19" x14ac:dyDescent="0.2">
      <c r="A266" s="19" t="s">
        <v>1656</v>
      </c>
      <c r="K266" s="19" t="s">
        <v>1657</v>
      </c>
      <c r="L266" s="19"/>
      <c r="M266" s="19"/>
      <c r="N266" s="19"/>
      <c r="O266" s="19"/>
      <c r="P266" s="19"/>
      <c r="Q266" s="19"/>
      <c r="R266" s="19"/>
      <c r="S266" s="24" t="s">
        <v>1658</v>
      </c>
    </row>
    <row r="267" spans="1:19" x14ac:dyDescent="0.2">
      <c r="A267" s="19" t="s">
        <v>1659</v>
      </c>
      <c r="K267" s="19" t="s">
        <v>1660</v>
      </c>
      <c r="L267" s="19"/>
      <c r="M267" s="19"/>
      <c r="N267" s="19"/>
      <c r="O267" s="19"/>
      <c r="P267" s="19"/>
      <c r="Q267" s="19"/>
      <c r="R267" s="19"/>
      <c r="S267" s="24" t="s">
        <v>1661</v>
      </c>
    </row>
    <row r="268" spans="1:19" x14ac:dyDescent="0.2">
      <c r="A268" s="19" t="s">
        <v>1662</v>
      </c>
      <c r="K268" s="19" t="s">
        <v>1663</v>
      </c>
      <c r="L268" s="19"/>
      <c r="M268" s="19"/>
      <c r="N268" s="19"/>
      <c r="O268" s="19"/>
      <c r="P268" s="19"/>
      <c r="Q268" s="19"/>
      <c r="R268" s="19"/>
      <c r="S268" s="24" t="s">
        <v>1664</v>
      </c>
    </row>
    <row r="269" spans="1:19" x14ac:dyDescent="0.2">
      <c r="A269" s="19" t="s">
        <v>1665</v>
      </c>
      <c r="K269" s="19" t="s">
        <v>1666</v>
      </c>
      <c r="L269" s="19"/>
      <c r="M269" s="19"/>
      <c r="N269" s="19"/>
      <c r="O269" s="19"/>
      <c r="P269" s="19"/>
      <c r="Q269" s="19"/>
      <c r="R269" s="19"/>
      <c r="S269" s="24" t="s">
        <v>1667</v>
      </c>
    </row>
    <row r="270" spans="1:19" x14ac:dyDescent="0.2">
      <c r="A270" s="19" t="s">
        <v>1668</v>
      </c>
      <c r="K270" s="19" t="s">
        <v>1669</v>
      </c>
      <c r="L270" s="19"/>
      <c r="M270" s="19"/>
      <c r="N270" s="19"/>
      <c r="O270" s="19"/>
      <c r="P270" s="19"/>
      <c r="Q270" s="19"/>
      <c r="R270" s="19"/>
      <c r="S270" s="24" t="s">
        <v>1670</v>
      </c>
    </row>
    <row r="271" spans="1:19" x14ac:dyDescent="0.2">
      <c r="A271" s="19" t="s">
        <v>1671</v>
      </c>
      <c r="K271" s="19" t="s">
        <v>1672</v>
      </c>
      <c r="L271" s="19"/>
      <c r="M271" s="19"/>
      <c r="N271" s="19"/>
      <c r="O271" s="19"/>
      <c r="P271" s="19"/>
      <c r="Q271" s="19"/>
      <c r="R271" s="19"/>
      <c r="S271" s="24" t="s">
        <v>1673</v>
      </c>
    </row>
    <row r="272" spans="1:19" x14ac:dyDescent="0.2">
      <c r="A272" s="19" t="s">
        <v>1674</v>
      </c>
      <c r="K272" s="19" t="s">
        <v>1675</v>
      </c>
      <c r="L272" s="19"/>
      <c r="M272" s="19"/>
      <c r="N272" s="19"/>
      <c r="O272" s="19"/>
      <c r="P272" s="19"/>
      <c r="Q272" s="19"/>
      <c r="R272" s="19"/>
      <c r="S272" s="24" t="s">
        <v>1676</v>
      </c>
    </row>
    <row r="273" spans="1:19" x14ac:dyDescent="0.2">
      <c r="A273" s="19" t="s">
        <v>1658</v>
      </c>
      <c r="K273" s="19" t="s">
        <v>1677</v>
      </c>
      <c r="L273" s="19"/>
      <c r="M273" s="19"/>
      <c r="N273" s="19"/>
      <c r="O273" s="19"/>
      <c r="P273" s="19"/>
      <c r="Q273" s="19"/>
      <c r="R273" s="19"/>
      <c r="S273" s="24" t="s">
        <v>1678</v>
      </c>
    </row>
    <row r="274" spans="1:19" x14ac:dyDescent="0.2">
      <c r="A274" s="19" t="s">
        <v>1661</v>
      </c>
      <c r="K274" s="19" t="s">
        <v>1679</v>
      </c>
      <c r="L274" s="19"/>
      <c r="M274" s="19"/>
      <c r="N274" s="19"/>
      <c r="O274" s="19"/>
      <c r="P274" s="19"/>
      <c r="Q274" s="19"/>
      <c r="R274" s="19"/>
      <c r="S274" s="24" t="s">
        <v>1680</v>
      </c>
    </row>
    <row r="275" spans="1:19" x14ac:dyDescent="0.2">
      <c r="A275" s="19" t="s">
        <v>1673</v>
      </c>
      <c r="K275" s="19" t="s">
        <v>1681</v>
      </c>
      <c r="L275" s="19"/>
      <c r="M275" s="19"/>
      <c r="N275" s="19"/>
      <c r="O275" s="19"/>
      <c r="P275" s="19"/>
      <c r="Q275" s="19"/>
      <c r="R275" s="19"/>
      <c r="S275" s="24" t="s">
        <v>1682</v>
      </c>
    </row>
    <row r="276" spans="1:19" x14ac:dyDescent="0.2">
      <c r="A276" s="19" t="s">
        <v>1683</v>
      </c>
      <c r="K276" s="19" t="s">
        <v>1684</v>
      </c>
      <c r="L276" s="19"/>
      <c r="M276" s="19"/>
      <c r="N276" s="19"/>
      <c r="O276" s="19"/>
      <c r="P276" s="19"/>
      <c r="Q276" s="19"/>
      <c r="R276" s="19"/>
      <c r="S276" s="24" t="s">
        <v>1685</v>
      </c>
    </row>
    <row r="277" spans="1:19" x14ac:dyDescent="0.2">
      <c r="A277" s="19" t="s">
        <v>1676</v>
      </c>
      <c r="K277" s="19" t="s">
        <v>1686</v>
      </c>
      <c r="L277" s="19"/>
      <c r="M277" s="19"/>
      <c r="N277" s="19"/>
      <c r="O277" s="19"/>
      <c r="P277" s="19"/>
      <c r="Q277" s="19"/>
      <c r="R277" s="19"/>
      <c r="S277" s="24" t="s">
        <v>1687</v>
      </c>
    </row>
    <row r="278" spans="1:19" x14ac:dyDescent="0.2">
      <c r="A278" s="19" t="s">
        <v>1678</v>
      </c>
      <c r="K278" s="19" t="s">
        <v>1688</v>
      </c>
      <c r="L278" s="19"/>
      <c r="M278" s="19"/>
      <c r="N278" s="19"/>
      <c r="O278" s="19"/>
      <c r="P278" s="19"/>
      <c r="Q278" s="19"/>
      <c r="R278" s="19"/>
      <c r="S278" s="24" t="s">
        <v>1689</v>
      </c>
    </row>
    <row r="279" spans="1:19" x14ac:dyDescent="0.2">
      <c r="A279" s="19" t="s">
        <v>1680</v>
      </c>
      <c r="K279" s="19" t="s">
        <v>1690</v>
      </c>
      <c r="L279" s="19"/>
      <c r="M279" s="19"/>
      <c r="N279" s="19"/>
      <c r="O279" s="19"/>
      <c r="P279" s="19"/>
      <c r="Q279" s="19"/>
      <c r="R279" s="19"/>
      <c r="S279" s="24" t="s">
        <v>1691</v>
      </c>
    </row>
    <row r="280" spans="1:19" x14ac:dyDescent="0.2">
      <c r="A280" s="19" t="s">
        <v>1692</v>
      </c>
      <c r="K280" s="19" t="s">
        <v>1693</v>
      </c>
      <c r="L280" s="19"/>
      <c r="M280" s="19"/>
      <c r="N280" s="19"/>
      <c r="O280" s="19"/>
      <c r="P280" s="19"/>
      <c r="Q280" s="19"/>
      <c r="R280" s="19"/>
      <c r="S280" s="24" t="s">
        <v>1694</v>
      </c>
    </row>
    <row r="281" spans="1:19" x14ac:dyDescent="0.2">
      <c r="A281" s="19" t="s">
        <v>1695</v>
      </c>
      <c r="K281" s="19" t="s">
        <v>1696</v>
      </c>
      <c r="L281" s="19"/>
      <c r="M281" s="19"/>
      <c r="N281" s="19"/>
      <c r="O281" s="19"/>
      <c r="P281" s="19"/>
      <c r="Q281" s="19"/>
      <c r="R281" s="19"/>
      <c r="S281" s="24" t="s">
        <v>1697</v>
      </c>
    </row>
    <row r="282" spans="1:19" x14ac:dyDescent="0.2">
      <c r="A282" s="19" t="s">
        <v>1698</v>
      </c>
      <c r="K282" s="19" t="s">
        <v>1699</v>
      </c>
      <c r="L282" s="19"/>
      <c r="M282" s="19"/>
      <c r="N282" s="19"/>
      <c r="O282" s="19"/>
      <c r="P282" s="19"/>
      <c r="Q282" s="19"/>
      <c r="R282" s="19"/>
      <c r="S282" s="24" t="s">
        <v>1700</v>
      </c>
    </row>
    <row r="283" spans="1:19" x14ac:dyDescent="0.2">
      <c r="A283" s="19" t="s">
        <v>1701</v>
      </c>
      <c r="K283" s="19" t="s">
        <v>1702</v>
      </c>
      <c r="L283" s="19"/>
      <c r="M283" s="19"/>
      <c r="N283" s="19"/>
      <c r="O283" s="19"/>
      <c r="P283" s="19"/>
      <c r="Q283" s="19"/>
      <c r="R283" s="19"/>
      <c r="S283" s="24" t="s">
        <v>1703</v>
      </c>
    </row>
    <row r="284" spans="1:19" x14ac:dyDescent="0.2">
      <c r="A284" s="19" t="s">
        <v>1704</v>
      </c>
      <c r="K284" s="19" t="s">
        <v>1705</v>
      </c>
      <c r="L284" s="19"/>
      <c r="M284" s="19"/>
      <c r="N284" s="19"/>
      <c r="O284" s="19"/>
      <c r="P284" s="19"/>
      <c r="Q284" s="19"/>
      <c r="R284" s="19"/>
      <c r="S284" s="24" t="s">
        <v>1706</v>
      </c>
    </row>
    <row r="285" spans="1:19" x14ac:dyDescent="0.2">
      <c r="A285" s="19" t="s">
        <v>1707</v>
      </c>
      <c r="K285" s="19" t="s">
        <v>1708</v>
      </c>
      <c r="L285" s="19"/>
      <c r="M285" s="19"/>
      <c r="N285" s="19"/>
      <c r="O285" s="19"/>
      <c r="P285" s="19"/>
      <c r="Q285" s="19"/>
      <c r="R285" s="19"/>
      <c r="S285" s="24" t="s">
        <v>1709</v>
      </c>
    </row>
    <row r="286" spans="1:19" x14ac:dyDescent="0.2">
      <c r="A286" s="19" t="s">
        <v>1710</v>
      </c>
      <c r="K286" s="19" t="s">
        <v>1711</v>
      </c>
      <c r="L286" s="19"/>
      <c r="M286" s="19"/>
      <c r="N286" s="19"/>
      <c r="O286" s="19"/>
      <c r="P286" s="19"/>
      <c r="Q286" s="19"/>
      <c r="R286" s="19"/>
      <c r="S286" s="24" t="s">
        <v>1712</v>
      </c>
    </row>
    <row r="287" spans="1:19" x14ac:dyDescent="0.2">
      <c r="A287" s="19" t="s">
        <v>1689</v>
      </c>
      <c r="K287" s="19" t="s">
        <v>1713</v>
      </c>
      <c r="L287" s="19"/>
      <c r="M287" s="19"/>
      <c r="N287" s="19"/>
      <c r="O287" s="19"/>
      <c r="P287" s="19"/>
      <c r="Q287" s="19"/>
      <c r="R287" s="19"/>
      <c r="S287" s="24" t="s">
        <v>1714</v>
      </c>
    </row>
    <row r="288" spans="1:19" x14ac:dyDescent="0.2">
      <c r="A288" s="19" t="s">
        <v>1691</v>
      </c>
      <c r="K288" s="19" t="s">
        <v>1715</v>
      </c>
      <c r="L288" s="19"/>
      <c r="M288" s="19"/>
      <c r="N288" s="19"/>
      <c r="O288" s="19"/>
      <c r="P288" s="19"/>
      <c r="Q288" s="19"/>
      <c r="R288" s="19"/>
      <c r="S288" s="24" t="s">
        <v>1716</v>
      </c>
    </row>
    <row r="289" spans="1:19" x14ac:dyDescent="0.2">
      <c r="A289" s="19" t="s">
        <v>1717</v>
      </c>
      <c r="K289" s="19" t="s">
        <v>1718</v>
      </c>
      <c r="L289" s="19"/>
      <c r="M289" s="19"/>
      <c r="N289" s="19"/>
      <c r="O289" s="19"/>
      <c r="P289" s="19"/>
      <c r="Q289" s="19"/>
      <c r="R289" s="19"/>
      <c r="S289" s="24" t="s">
        <v>1719</v>
      </c>
    </row>
    <row r="290" spans="1:19" x14ac:dyDescent="0.2">
      <c r="A290" s="19" t="s">
        <v>1720</v>
      </c>
      <c r="K290" s="19" t="s">
        <v>1721</v>
      </c>
      <c r="L290" s="19"/>
      <c r="M290" s="19"/>
      <c r="N290" s="19"/>
      <c r="O290" s="19"/>
      <c r="P290" s="19"/>
      <c r="Q290" s="19"/>
      <c r="R290" s="19"/>
      <c r="S290" s="24" t="s">
        <v>1722</v>
      </c>
    </row>
    <row r="291" spans="1:19" x14ac:dyDescent="0.2">
      <c r="A291" s="19" t="s">
        <v>1723</v>
      </c>
      <c r="K291" s="19" t="s">
        <v>1724</v>
      </c>
      <c r="L291" s="19"/>
      <c r="M291" s="19"/>
      <c r="N291" s="19"/>
      <c r="O291" s="19"/>
      <c r="P291" s="19"/>
      <c r="Q291" s="19"/>
      <c r="R291" s="19"/>
      <c r="S291" s="24" t="s">
        <v>1725</v>
      </c>
    </row>
    <row r="292" spans="1:19" x14ac:dyDescent="0.2">
      <c r="A292" s="19" t="s">
        <v>1726</v>
      </c>
      <c r="K292" s="19" t="s">
        <v>1727</v>
      </c>
      <c r="L292" s="19"/>
      <c r="M292" s="19"/>
      <c r="N292" s="19"/>
      <c r="O292" s="19"/>
      <c r="P292" s="19"/>
      <c r="Q292" s="19"/>
      <c r="R292" s="19"/>
      <c r="S292" s="24" t="s">
        <v>1728</v>
      </c>
    </row>
    <row r="293" spans="1:19" x14ac:dyDescent="0.2">
      <c r="A293" s="19" t="s">
        <v>1694</v>
      </c>
      <c r="K293" s="19" t="s">
        <v>1729</v>
      </c>
      <c r="L293" s="19"/>
      <c r="M293" s="19"/>
      <c r="N293" s="19"/>
      <c r="O293" s="19"/>
      <c r="P293" s="19"/>
      <c r="Q293" s="19"/>
      <c r="R293" s="19"/>
      <c r="S293" s="24" t="s">
        <v>1730</v>
      </c>
    </row>
    <row r="294" spans="1:19" x14ac:dyDescent="0.2">
      <c r="A294" s="19" t="s">
        <v>1731</v>
      </c>
      <c r="K294" s="19" t="s">
        <v>1732</v>
      </c>
      <c r="L294" s="19"/>
      <c r="M294" s="19"/>
      <c r="N294" s="19"/>
      <c r="O294" s="19"/>
      <c r="P294" s="19"/>
      <c r="Q294" s="19"/>
      <c r="R294" s="19"/>
      <c r="S294" s="24" t="s">
        <v>1733</v>
      </c>
    </row>
    <row r="295" spans="1:19" x14ac:dyDescent="0.2">
      <c r="A295" s="19" t="s">
        <v>1734</v>
      </c>
      <c r="K295" s="19" t="s">
        <v>1735</v>
      </c>
      <c r="L295" s="19"/>
      <c r="M295" s="19"/>
      <c r="N295" s="19"/>
      <c r="O295" s="19"/>
      <c r="P295" s="19"/>
      <c r="Q295" s="19"/>
      <c r="R295" s="19"/>
      <c r="S295" s="24" t="s">
        <v>1736</v>
      </c>
    </row>
    <row r="296" spans="1:19" x14ac:dyDescent="0.2">
      <c r="A296" s="19" t="s">
        <v>1700</v>
      </c>
      <c r="K296" s="19" t="s">
        <v>1737</v>
      </c>
      <c r="L296" s="19"/>
      <c r="M296" s="19"/>
      <c r="N296" s="19"/>
      <c r="O296" s="19"/>
      <c r="P296" s="19"/>
      <c r="Q296" s="19"/>
      <c r="R296" s="19"/>
      <c r="S296" s="24" t="s">
        <v>1738</v>
      </c>
    </row>
    <row r="297" spans="1:19" x14ac:dyDescent="0.2">
      <c r="A297" s="19" t="s">
        <v>1703</v>
      </c>
      <c r="K297" s="19" t="s">
        <v>1739</v>
      </c>
      <c r="L297" s="19"/>
      <c r="M297" s="19"/>
      <c r="N297" s="19"/>
      <c r="O297" s="19"/>
      <c r="P297" s="19"/>
      <c r="Q297" s="19"/>
      <c r="R297" s="19"/>
      <c r="S297" s="24" t="s">
        <v>1740</v>
      </c>
    </row>
    <row r="298" spans="1:19" x14ac:dyDescent="0.2">
      <c r="A298" s="19" t="s">
        <v>1741</v>
      </c>
      <c r="K298" s="19" t="s">
        <v>1742</v>
      </c>
      <c r="L298" s="19"/>
      <c r="M298" s="19"/>
      <c r="N298" s="19"/>
      <c r="O298" s="19"/>
      <c r="P298" s="19"/>
      <c r="Q298" s="19"/>
      <c r="R298" s="19"/>
      <c r="S298" s="24" t="s">
        <v>1743</v>
      </c>
    </row>
    <row r="299" spans="1:19" x14ac:dyDescent="0.2">
      <c r="A299" s="19" t="s">
        <v>1744</v>
      </c>
      <c r="K299" s="19" t="s">
        <v>1745</v>
      </c>
      <c r="L299" s="19"/>
      <c r="M299" s="19"/>
      <c r="N299" s="19"/>
      <c r="O299" s="19"/>
      <c r="P299" s="19"/>
      <c r="Q299" s="19"/>
      <c r="R299" s="19"/>
      <c r="S299" s="24" t="s">
        <v>1746</v>
      </c>
    </row>
    <row r="300" spans="1:19" x14ac:dyDescent="0.2">
      <c r="A300" s="19" t="s">
        <v>1747</v>
      </c>
      <c r="K300" s="19" t="s">
        <v>1748</v>
      </c>
      <c r="L300" s="19"/>
      <c r="M300" s="19"/>
      <c r="N300" s="19"/>
      <c r="O300" s="19"/>
      <c r="P300" s="19"/>
      <c r="Q300" s="19"/>
      <c r="R300" s="19"/>
      <c r="S300" s="24" t="s">
        <v>1749</v>
      </c>
    </row>
    <row r="301" spans="1:19" x14ac:dyDescent="0.2">
      <c r="A301" s="19" t="s">
        <v>1750</v>
      </c>
      <c r="K301" s="19" t="s">
        <v>1751</v>
      </c>
      <c r="L301" s="19"/>
      <c r="M301" s="19"/>
      <c r="N301" s="19"/>
      <c r="O301" s="19"/>
      <c r="P301" s="19"/>
      <c r="Q301" s="19"/>
      <c r="R301" s="19"/>
      <c r="S301" s="24" t="s">
        <v>1752</v>
      </c>
    </row>
    <row r="302" spans="1:19" x14ac:dyDescent="0.2">
      <c r="A302" s="19" t="s">
        <v>1753</v>
      </c>
      <c r="K302" s="19" t="s">
        <v>1754</v>
      </c>
      <c r="L302" s="19"/>
      <c r="M302" s="19"/>
      <c r="N302" s="19"/>
      <c r="O302" s="19"/>
      <c r="P302" s="19"/>
      <c r="Q302" s="19"/>
      <c r="R302" s="19"/>
      <c r="S302" s="24" t="s">
        <v>1755</v>
      </c>
    </row>
    <row r="303" spans="1:19" x14ac:dyDescent="0.2">
      <c r="A303" s="19" t="s">
        <v>1756</v>
      </c>
      <c r="K303" s="19" t="s">
        <v>1757</v>
      </c>
      <c r="L303" s="19"/>
      <c r="M303" s="19"/>
      <c r="N303" s="19"/>
      <c r="O303" s="19"/>
      <c r="P303" s="19"/>
      <c r="Q303" s="19"/>
      <c r="R303" s="19"/>
      <c r="S303" s="24" t="s">
        <v>1758</v>
      </c>
    </row>
    <row r="304" spans="1:19" x14ac:dyDescent="0.2">
      <c r="A304" s="19" t="s">
        <v>1759</v>
      </c>
      <c r="K304" s="19" t="s">
        <v>1760</v>
      </c>
      <c r="L304" s="19"/>
      <c r="M304" s="19"/>
      <c r="N304" s="19"/>
      <c r="O304" s="19"/>
      <c r="P304" s="19"/>
      <c r="Q304" s="19"/>
      <c r="R304" s="19"/>
      <c r="S304" s="24" t="s">
        <v>1761</v>
      </c>
    </row>
    <row r="305" spans="1:19" x14ac:dyDescent="0.2">
      <c r="A305" s="19" t="s">
        <v>1762</v>
      </c>
      <c r="K305" s="19" t="s">
        <v>1763</v>
      </c>
      <c r="L305" s="19"/>
      <c r="M305" s="19"/>
      <c r="N305" s="19"/>
      <c r="O305" s="19"/>
      <c r="P305" s="19"/>
      <c r="Q305" s="19"/>
      <c r="R305" s="19"/>
      <c r="S305" s="24" t="s">
        <v>1764</v>
      </c>
    </row>
    <row r="306" spans="1:19" x14ac:dyDescent="0.2">
      <c r="A306" s="19" t="s">
        <v>1730</v>
      </c>
      <c r="K306" s="19" t="s">
        <v>1765</v>
      </c>
      <c r="L306" s="19"/>
      <c r="M306" s="19"/>
      <c r="N306" s="19"/>
      <c r="O306" s="19"/>
      <c r="P306" s="19"/>
      <c r="Q306" s="19"/>
      <c r="R306" s="19"/>
      <c r="S306" s="24" t="s">
        <v>1766</v>
      </c>
    </row>
    <row r="307" spans="1:19" x14ac:dyDescent="0.2">
      <c r="A307" s="19" t="s">
        <v>1736</v>
      </c>
      <c r="K307" s="19" t="s">
        <v>1767</v>
      </c>
      <c r="L307" s="19"/>
      <c r="M307" s="19"/>
      <c r="N307" s="19"/>
      <c r="O307" s="19"/>
      <c r="P307" s="19"/>
      <c r="Q307" s="19"/>
      <c r="R307" s="19"/>
      <c r="S307" s="24" t="s">
        <v>1768</v>
      </c>
    </row>
    <row r="308" spans="1:19" x14ac:dyDescent="0.2">
      <c r="A308" s="19" t="s">
        <v>1738</v>
      </c>
      <c r="K308" s="19" t="s">
        <v>1769</v>
      </c>
      <c r="L308" s="19"/>
      <c r="M308" s="19"/>
      <c r="N308" s="19"/>
      <c r="O308" s="19"/>
      <c r="P308" s="19"/>
      <c r="Q308" s="19"/>
      <c r="R308" s="19"/>
      <c r="S308" s="24" t="s">
        <v>1770</v>
      </c>
    </row>
    <row r="309" spans="1:19" x14ac:dyDescent="0.2">
      <c r="A309" s="19" t="s">
        <v>1771</v>
      </c>
      <c r="K309" s="19" t="s">
        <v>1772</v>
      </c>
      <c r="L309" s="19"/>
      <c r="M309" s="19"/>
      <c r="N309" s="19"/>
      <c r="O309" s="19"/>
      <c r="P309" s="19"/>
      <c r="Q309" s="19"/>
      <c r="R309" s="19"/>
      <c r="S309" s="24" t="s">
        <v>1773</v>
      </c>
    </row>
    <row r="310" spans="1:19" x14ac:dyDescent="0.2">
      <c r="A310" s="19" t="s">
        <v>1774</v>
      </c>
      <c r="K310" s="19" t="s">
        <v>1775</v>
      </c>
      <c r="L310" s="19"/>
      <c r="M310" s="19"/>
      <c r="N310" s="19"/>
      <c r="O310" s="19"/>
      <c r="P310" s="19"/>
      <c r="Q310" s="19"/>
      <c r="R310" s="19"/>
      <c r="S310" s="24" t="s">
        <v>1776</v>
      </c>
    </row>
    <row r="311" spans="1:19" x14ac:dyDescent="0.2">
      <c r="A311" s="19" t="s">
        <v>1777</v>
      </c>
      <c r="K311" s="19" t="s">
        <v>1778</v>
      </c>
      <c r="L311" s="19"/>
      <c r="M311" s="19"/>
      <c r="N311" s="19"/>
      <c r="O311" s="19"/>
      <c r="P311" s="19"/>
      <c r="Q311" s="19"/>
      <c r="R311" s="19"/>
      <c r="S311" s="24" t="s">
        <v>1779</v>
      </c>
    </row>
    <row r="312" spans="1:19" x14ac:dyDescent="0.2">
      <c r="A312" s="19" t="s">
        <v>1780</v>
      </c>
      <c r="K312" s="19" t="s">
        <v>1781</v>
      </c>
      <c r="L312" s="19"/>
      <c r="M312" s="19"/>
      <c r="N312" s="19"/>
      <c r="O312" s="19"/>
      <c r="P312" s="19"/>
      <c r="Q312" s="19"/>
      <c r="R312" s="19"/>
      <c r="S312" s="24" t="s">
        <v>1782</v>
      </c>
    </row>
    <row r="313" spans="1:19" x14ac:dyDescent="0.2">
      <c r="A313" s="19" t="s">
        <v>1743</v>
      </c>
      <c r="K313" s="19" t="s">
        <v>1783</v>
      </c>
      <c r="L313" s="19"/>
      <c r="M313" s="19"/>
      <c r="N313" s="19"/>
      <c r="O313" s="19"/>
      <c r="P313" s="19"/>
      <c r="Q313" s="19"/>
      <c r="R313" s="19"/>
      <c r="S313" s="24" t="s">
        <v>1784</v>
      </c>
    </row>
    <row r="314" spans="1:19" x14ac:dyDescent="0.2">
      <c r="A314" s="19" t="s">
        <v>1785</v>
      </c>
      <c r="K314" s="19" t="s">
        <v>1786</v>
      </c>
      <c r="L314" s="19"/>
      <c r="M314" s="19"/>
      <c r="N314" s="19"/>
      <c r="O314" s="19"/>
      <c r="P314" s="19"/>
      <c r="Q314" s="19"/>
      <c r="R314" s="19"/>
      <c r="S314" s="24" t="s">
        <v>1787</v>
      </c>
    </row>
    <row r="315" spans="1:19" x14ac:dyDescent="0.2">
      <c r="A315" s="19" t="s">
        <v>1749</v>
      </c>
      <c r="K315" s="19" t="s">
        <v>1788</v>
      </c>
      <c r="L315" s="19"/>
      <c r="M315" s="19"/>
      <c r="N315" s="19"/>
      <c r="O315" s="19"/>
      <c r="P315" s="19"/>
      <c r="Q315" s="19"/>
      <c r="R315" s="19"/>
      <c r="S315" s="24" t="s">
        <v>1789</v>
      </c>
    </row>
    <row r="316" spans="1:19" x14ac:dyDescent="0.2">
      <c r="A316" s="19" t="s">
        <v>1752</v>
      </c>
      <c r="K316" s="19" t="s">
        <v>1790</v>
      </c>
      <c r="L316" s="19"/>
      <c r="M316" s="19"/>
      <c r="N316" s="19"/>
      <c r="O316" s="19"/>
      <c r="P316" s="19"/>
      <c r="Q316" s="19"/>
      <c r="R316" s="19"/>
      <c r="S316" s="24" t="s">
        <v>1791</v>
      </c>
    </row>
    <row r="317" spans="1:19" x14ac:dyDescent="0.2">
      <c r="A317" s="19" t="s">
        <v>1755</v>
      </c>
      <c r="K317" s="19" t="s">
        <v>1792</v>
      </c>
      <c r="L317" s="19"/>
      <c r="M317" s="19"/>
      <c r="N317" s="19"/>
      <c r="O317" s="19"/>
      <c r="P317" s="19"/>
      <c r="Q317" s="19"/>
      <c r="R317" s="19"/>
      <c r="S317" s="24" t="s">
        <v>1793</v>
      </c>
    </row>
    <row r="318" spans="1:19" x14ac:dyDescent="0.2">
      <c r="A318" s="19" t="s">
        <v>1758</v>
      </c>
      <c r="K318" s="19" t="s">
        <v>1794</v>
      </c>
      <c r="L318" s="19"/>
      <c r="M318" s="19"/>
      <c r="N318" s="19"/>
      <c r="O318" s="19"/>
      <c r="P318" s="19"/>
      <c r="Q318" s="19"/>
      <c r="R318" s="19"/>
      <c r="S318" s="24" t="s">
        <v>1795</v>
      </c>
    </row>
    <row r="319" spans="1:19" x14ac:dyDescent="0.2">
      <c r="A319" s="19" t="s">
        <v>1796</v>
      </c>
      <c r="K319" s="19" t="s">
        <v>1797</v>
      </c>
      <c r="L319" s="19"/>
      <c r="M319" s="19"/>
      <c r="N319" s="19"/>
      <c r="O319" s="19"/>
      <c r="P319" s="19"/>
      <c r="Q319" s="19"/>
      <c r="R319" s="19"/>
      <c r="S319" s="24" t="s">
        <v>1798</v>
      </c>
    </row>
    <row r="320" spans="1:19" x14ac:dyDescent="0.2">
      <c r="A320" s="19" t="s">
        <v>1799</v>
      </c>
      <c r="K320" s="19" t="s">
        <v>1800</v>
      </c>
      <c r="L320" s="19"/>
      <c r="M320" s="19"/>
      <c r="N320" s="19"/>
      <c r="O320" s="19"/>
      <c r="P320" s="19"/>
      <c r="Q320" s="19"/>
      <c r="R320" s="19"/>
      <c r="S320" s="24" t="s">
        <v>1801</v>
      </c>
    </row>
    <row r="321" spans="1:19" x14ac:dyDescent="0.2">
      <c r="A321" s="19" t="s">
        <v>1764</v>
      </c>
      <c r="K321" s="19" t="s">
        <v>1802</v>
      </c>
      <c r="L321" s="19"/>
      <c r="M321" s="19"/>
      <c r="N321" s="19"/>
      <c r="O321" s="19"/>
      <c r="P321" s="19"/>
      <c r="Q321" s="19"/>
      <c r="R321" s="19"/>
      <c r="S321" s="24" t="s">
        <v>1803</v>
      </c>
    </row>
    <row r="322" spans="1:19" x14ac:dyDescent="0.2">
      <c r="A322" s="19" t="s">
        <v>1768</v>
      </c>
      <c r="K322" s="19" t="s">
        <v>1804</v>
      </c>
      <c r="L322" s="19"/>
      <c r="M322" s="19"/>
      <c r="N322" s="19"/>
      <c r="O322" s="19"/>
      <c r="P322" s="19"/>
      <c r="Q322" s="19"/>
      <c r="R322" s="19"/>
      <c r="S322" s="24" t="s">
        <v>1805</v>
      </c>
    </row>
    <row r="323" spans="1:19" x14ac:dyDescent="0.2">
      <c r="A323" s="19" t="s">
        <v>1770</v>
      </c>
      <c r="K323" s="19" t="s">
        <v>1745</v>
      </c>
      <c r="L323" s="19"/>
      <c r="M323" s="19"/>
      <c r="N323" s="19"/>
      <c r="O323" s="19"/>
      <c r="P323" s="19"/>
      <c r="Q323" s="19"/>
      <c r="R323" s="19"/>
      <c r="S323" s="24" t="s">
        <v>1806</v>
      </c>
    </row>
    <row r="324" spans="1:19" x14ac:dyDescent="0.2">
      <c r="A324" s="19" t="s">
        <v>1773</v>
      </c>
      <c r="K324" s="19" t="s">
        <v>1807</v>
      </c>
      <c r="L324" s="19"/>
      <c r="M324" s="19"/>
      <c r="N324" s="19"/>
      <c r="O324" s="19"/>
      <c r="P324" s="19"/>
      <c r="Q324" s="19"/>
      <c r="R324" s="19"/>
      <c r="S324" s="24" t="s">
        <v>1808</v>
      </c>
    </row>
    <row r="325" spans="1:19" x14ac:dyDescent="0.2">
      <c r="A325" s="19" t="s">
        <v>1776</v>
      </c>
      <c r="K325" s="19" t="s">
        <v>1809</v>
      </c>
      <c r="L325" s="19"/>
      <c r="M325" s="19"/>
      <c r="N325" s="19"/>
      <c r="O325" s="19"/>
      <c r="P325" s="19"/>
      <c r="Q325" s="19"/>
      <c r="R325" s="19"/>
      <c r="S325" s="24" t="s">
        <v>1810</v>
      </c>
    </row>
    <row r="326" spans="1:19" x14ac:dyDescent="0.2">
      <c r="A326" s="19" t="s">
        <v>1779</v>
      </c>
      <c r="K326" s="19" t="s">
        <v>1811</v>
      </c>
      <c r="L326" s="19"/>
      <c r="M326" s="19"/>
      <c r="N326" s="19"/>
      <c r="O326" s="19"/>
      <c r="P326" s="19"/>
      <c r="Q326" s="19"/>
      <c r="R326" s="19"/>
      <c r="S326" s="24" t="s">
        <v>1812</v>
      </c>
    </row>
    <row r="327" spans="1:19" x14ac:dyDescent="0.2">
      <c r="A327" s="19" t="s">
        <v>1782</v>
      </c>
      <c r="K327" s="19" t="s">
        <v>1813</v>
      </c>
      <c r="L327" s="19"/>
      <c r="M327" s="19"/>
      <c r="N327" s="19"/>
      <c r="O327" s="19"/>
      <c r="P327" s="19"/>
      <c r="Q327" s="19"/>
      <c r="R327" s="19"/>
      <c r="S327" s="24" t="s">
        <v>1814</v>
      </c>
    </row>
    <row r="328" spans="1:19" x14ac:dyDescent="0.2">
      <c r="A328" s="19" t="s">
        <v>1815</v>
      </c>
      <c r="K328" s="19" t="s">
        <v>1816</v>
      </c>
      <c r="L328" s="19"/>
      <c r="M328" s="19"/>
      <c r="N328" s="19"/>
      <c r="O328" s="19"/>
      <c r="P328" s="19"/>
      <c r="Q328" s="19"/>
      <c r="R328" s="19"/>
      <c r="S328" s="24" t="s">
        <v>1817</v>
      </c>
    </row>
    <row r="329" spans="1:19" x14ac:dyDescent="0.2">
      <c r="A329" s="19" t="s">
        <v>1789</v>
      </c>
      <c r="K329" s="19" t="s">
        <v>1818</v>
      </c>
      <c r="L329" s="19"/>
      <c r="M329" s="19"/>
      <c r="N329" s="19"/>
      <c r="O329" s="19"/>
      <c r="P329" s="19"/>
      <c r="Q329" s="19"/>
      <c r="R329" s="19"/>
      <c r="S329" s="24" t="s">
        <v>1819</v>
      </c>
    </row>
    <row r="330" spans="1:19" x14ac:dyDescent="0.2">
      <c r="A330" s="19" t="s">
        <v>1791</v>
      </c>
      <c r="K330" s="19" t="s">
        <v>1820</v>
      </c>
      <c r="L330" s="19"/>
      <c r="M330" s="19"/>
      <c r="N330" s="19"/>
      <c r="O330" s="19"/>
      <c r="P330" s="19"/>
      <c r="Q330" s="19"/>
      <c r="R330" s="19"/>
      <c r="S330" s="24" t="s">
        <v>1821</v>
      </c>
    </row>
    <row r="331" spans="1:19" x14ac:dyDescent="0.2">
      <c r="A331" s="19" t="s">
        <v>1793</v>
      </c>
      <c r="K331" s="19" t="s">
        <v>1822</v>
      </c>
      <c r="L331" s="19"/>
      <c r="M331" s="19"/>
      <c r="N331" s="19"/>
      <c r="O331" s="19"/>
      <c r="P331" s="19"/>
      <c r="Q331" s="19"/>
      <c r="R331" s="19"/>
      <c r="S331" s="24" t="s">
        <v>1823</v>
      </c>
    </row>
    <row r="332" spans="1:19" x14ac:dyDescent="0.2">
      <c r="A332" s="19" t="s">
        <v>1795</v>
      </c>
      <c r="K332" s="19" t="s">
        <v>1824</v>
      </c>
      <c r="L332" s="19"/>
      <c r="M332" s="19"/>
      <c r="N332" s="19"/>
      <c r="O332" s="19"/>
      <c r="P332" s="19"/>
      <c r="Q332" s="19"/>
      <c r="R332" s="19"/>
      <c r="S332" s="24" t="s">
        <v>1825</v>
      </c>
    </row>
    <row r="333" spans="1:19" x14ac:dyDescent="0.2">
      <c r="A333" s="19" t="s">
        <v>1826</v>
      </c>
      <c r="K333" s="19" t="s">
        <v>1827</v>
      </c>
      <c r="L333" s="19"/>
      <c r="M333" s="19"/>
      <c r="N333" s="19"/>
      <c r="O333" s="19"/>
      <c r="P333" s="19"/>
      <c r="Q333" s="19"/>
      <c r="R333" s="19"/>
      <c r="S333" s="24" t="s">
        <v>1828</v>
      </c>
    </row>
    <row r="334" spans="1:19" x14ac:dyDescent="0.2">
      <c r="A334" s="19" t="s">
        <v>1801</v>
      </c>
      <c r="K334" s="19" t="s">
        <v>1829</v>
      </c>
      <c r="L334" s="19"/>
      <c r="M334" s="19"/>
      <c r="N334" s="19"/>
      <c r="O334" s="19"/>
      <c r="P334" s="19"/>
      <c r="Q334" s="19"/>
      <c r="R334" s="19"/>
      <c r="S334" s="24" t="s">
        <v>1830</v>
      </c>
    </row>
    <row r="335" spans="1:19" x14ac:dyDescent="0.2">
      <c r="A335" s="19" t="s">
        <v>1831</v>
      </c>
      <c r="K335" s="19" t="s">
        <v>1745</v>
      </c>
      <c r="L335" s="19"/>
      <c r="M335" s="19"/>
      <c r="N335" s="19"/>
      <c r="O335" s="19"/>
      <c r="P335" s="19"/>
      <c r="Q335" s="19"/>
      <c r="R335" s="19"/>
      <c r="S335" s="24" t="s">
        <v>1832</v>
      </c>
    </row>
    <row r="336" spans="1:19" x14ac:dyDescent="0.2">
      <c r="A336" s="19" t="s">
        <v>1833</v>
      </c>
      <c r="K336" s="19" t="s">
        <v>1834</v>
      </c>
      <c r="L336" s="19"/>
      <c r="M336" s="19"/>
      <c r="N336" s="19"/>
      <c r="O336" s="19"/>
      <c r="P336" s="19"/>
      <c r="Q336" s="19"/>
      <c r="R336" s="19"/>
      <c r="S336" s="24" t="s">
        <v>1835</v>
      </c>
    </row>
    <row r="337" spans="1:19" x14ac:dyDescent="0.2">
      <c r="A337" s="19" t="s">
        <v>1808</v>
      </c>
      <c r="K337" s="19" t="s">
        <v>1836</v>
      </c>
      <c r="L337" s="19"/>
      <c r="M337" s="19"/>
      <c r="N337" s="19"/>
      <c r="O337" s="19"/>
      <c r="P337" s="19"/>
      <c r="Q337" s="19"/>
      <c r="R337" s="19"/>
      <c r="S337" s="24" t="s">
        <v>1837</v>
      </c>
    </row>
    <row r="338" spans="1:19" x14ac:dyDescent="0.2">
      <c r="A338" s="19" t="s">
        <v>1810</v>
      </c>
      <c r="K338" s="19" t="s">
        <v>1838</v>
      </c>
      <c r="L338" s="19"/>
      <c r="M338" s="19"/>
      <c r="N338" s="19"/>
      <c r="O338" s="19"/>
      <c r="P338" s="19"/>
      <c r="Q338" s="19"/>
      <c r="R338" s="19"/>
      <c r="S338" s="24" t="s">
        <v>1839</v>
      </c>
    </row>
    <row r="339" spans="1:19" x14ac:dyDescent="0.2">
      <c r="A339" s="19" t="s">
        <v>1812</v>
      </c>
      <c r="K339" s="19" t="s">
        <v>1840</v>
      </c>
      <c r="L339" s="19"/>
      <c r="M339" s="19"/>
      <c r="N339" s="19"/>
      <c r="O339" s="19"/>
      <c r="P339" s="19"/>
      <c r="Q339" s="19"/>
      <c r="R339" s="19"/>
      <c r="S339" s="24" t="s">
        <v>1841</v>
      </c>
    </row>
    <row r="340" spans="1:19" x14ac:dyDescent="0.2">
      <c r="A340" s="19" t="s">
        <v>1814</v>
      </c>
      <c r="K340" s="19" t="s">
        <v>1842</v>
      </c>
      <c r="L340" s="19"/>
      <c r="M340" s="19"/>
      <c r="N340" s="19"/>
      <c r="O340" s="19"/>
      <c r="P340" s="19"/>
      <c r="Q340" s="19"/>
      <c r="R340" s="19"/>
      <c r="S340" s="24" t="s">
        <v>1843</v>
      </c>
    </row>
    <row r="341" spans="1:19" x14ac:dyDescent="0.2">
      <c r="A341" s="19" t="s">
        <v>1817</v>
      </c>
      <c r="K341" s="19" t="s">
        <v>1844</v>
      </c>
      <c r="L341" s="19"/>
      <c r="M341" s="19"/>
      <c r="N341" s="19"/>
      <c r="O341" s="19"/>
      <c r="P341" s="19"/>
      <c r="Q341" s="19"/>
      <c r="R341" s="19"/>
      <c r="S341" s="24" t="s">
        <v>1845</v>
      </c>
    </row>
    <row r="342" spans="1:19" x14ac:dyDescent="0.2">
      <c r="A342" s="19" t="s">
        <v>1819</v>
      </c>
      <c r="K342" s="19" t="s">
        <v>1745</v>
      </c>
      <c r="L342" s="19"/>
      <c r="M342" s="19"/>
      <c r="N342" s="19"/>
      <c r="O342" s="19"/>
      <c r="P342" s="19"/>
      <c r="Q342" s="19"/>
      <c r="R342" s="19"/>
      <c r="S342" s="24" t="s">
        <v>1846</v>
      </c>
    </row>
    <row r="343" spans="1:19" x14ac:dyDescent="0.2">
      <c r="A343" s="19" t="s">
        <v>1847</v>
      </c>
      <c r="K343" s="19" t="s">
        <v>1848</v>
      </c>
      <c r="L343" s="19"/>
      <c r="M343" s="19"/>
      <c r="N343" s="19"/>
      <c r="O343" s="19"/>
      <c r="P343" s="19"/>
      <c r="Q343" s="19"/>
      <c r="R343" s="19"/>
      <c r="S343" s="24" t="s">
        <v>1849</v>
      </c>
    </row>
    <row r="344" spans="1:19" x14ac:dyDescent="0.2">
      <c r="A344" s="19" t="s">
        <v>1823</v>
      </c>
      <c r="K344" s="19" t="s">
        <v>1850</v>
      </c>
      <c r="L344" s="19"/>
      <c r="M344" s="19"/>
      <c r="N344" s="19"/>
      <c r="O344" s="19"/>
      <c r="P344" s="19"/>
      <c r="Q344" s="19"/>
      <c r="R344" s="19"/>
      <c r="S344" s="24" t="s">
        <v>1851</v>
      </c>
    </row>
    <row r="345" spans="1:19" x14ac:dyDescent="0.2">
      <c r="A345" s="19" t="s">
        <v>1825</v>
      </c>
      <c r="K345" s="19" t="s">
        <v>1852</v>
      </c>
      <c r="L345" s="19"/>
      <c r="M345" s="19"/>
      <c r="N345" s="19"/>
      <c r="O345" s="19"/>
      <c r="P345" s="19"/>
      <c r="Q345" s="19"/>
      <c r="R345" s="19"/>
      <c r="S345" s="24" t="s">
        <v>1853</v>
      </c>
    </row>
    <row r="346" spans="1:19" x14ac:dyDescent="0.2">
      <c r="A346" s="19" t="s">
        <v>1828</v>
      </c>
      <c r="K346" s="19" t="s">
        <v>1854</v>
      </c>
      <c r="L346" s="19"/>
      <c r="M346" s="19"/>
      <c r="N346" s="19"/>
      <c r="O346" s="19"/>
      <c r="P346" s="19"/>
      <c r="Q346" s="19"/>
      <c r="R346" s="19"/>
      <c r="S346" s="24" t="s">
        <v>1855</v>
      </c>
    </row>
    <row r="347" spans="1:19" x14ac:dyDescent="0.2">
      <c r="A347" s="19" t="s">
        <v>1856</v>
      </c>
      <c r="K347" s="19" t="s">
        <v>1857</v>
      </c>
      <c r="L347" s="19"/>
      <c r="M347" s="19"/>
      <c r="N347" s="19"/>
      <c r="O347" s="19"/>
      <c r="P347" s="19"/>
      <c r="Q347" s="19"/>
      <c r="R347" s="19"/>
      <c r="S347" s="24" t="s">
        <v>1858</v>
      </c>
    </row>
    <row r="348" spans="1:19" x14ac:dyDescent="0.2">
      <c r="A348" s="19" t="s">
        <v>1859</v>
      </c>
      <c r="K348" s="19" t="s">
        <v>1860</v>
      </c>
      <c r="L348" s="19"/>
      <c r="M348" s="19"/>
      <c r="N348" s="19"/>
      <c r="O348" s="19"/>
      <c r="P348" s="19"/>
      <c r="Q348" s="19"/>
      <c r="R348" s="19"/>
      <c r="S348" s="24" t="s">
        <v>1861</v>
      </c>
    </row>
    <row r="349" spans="1:19" x14ac:dyDescent="0.2">
      <c r="A349" s="19" t="s">
        <v>1862</v>
      </c>
      <c r="K349" s="19" t="s">
        <v>1863</v>
      </c>
      <c r="L349" s="19"/>
      <c r="M349" s="19"/>
      <c r="N349" s="19"/>
      <c r="O349" s="19"/>
      <c r="P349" s="19"/>
      <c r="Q349" s="19"/>
      <c r="R349" s="19"/>
      <c r="S349" s="24" t="s">
        <v>1864</v>
      </c>
    </row>
    <row r="350" spans="1:19" x14ac:dyDescent="0.2">
      <c r="A350" s="19" t="s">
        <v>1865</v>
      </c>
      <c r="K350" s="19" t="s">
        <v>1866</v>
      </c>
      <c r="L350" s="19"/>
      <c r="M350" s="19"/>
      <c r="N350" s="19"/>
      <c r="O350" s="19"/>
      <c r="P350" s="19"/>
      <c r="Q350" s="19"/>
      <c r="R350" s="19"/>
      <c r="S350" s="24" t="s">
        <v>1867</v>
      </c>
    </row>
    <row r="351" spans="1:19" x14ac:dyDescent="0.2">
      <c r="A351" s="19" t="s">
        <v>1868</v>
      </c>
      <c r="K351" s="19" t="s">
        <v>1869</v>
      </c>
      <c r="L351" s="19"/>
      <c r="M351" s="19"/>
      <c r="N351" s="19"/>
      <c r="O351" s="19"/>
      <c r="P351" s="19"/>
      <c r="Q351" s="19"/>
      <c r="R351" s="19"/>
      <c r="S351" s="24" t="s">
        <v>1870</v>
      </c>
    </row>
    <row r="352" spans="1:19" x14ac:dyDescent="0.2">
      <c r="A352" s="19" t="s">
        <v>1832</v>
      </c>
      <c r="K352" s="19" t="s">
        <v>1871</v>
      </c>
      <c r="L352" s="19"/>
      <c r="M352" s="19"/>
      <c r="N352" s="19"/>
      <c r="O352" s="19"/>
      <c r="P352" s="19"/>
      <c r="Q352" s="19"/>
      <c r="R352" s="19"/>
      <c r="S352" s="24" t="s">
        <v>1872</v>
      </c>
    </row>
    <row r="353" spans="1:19" x14ac:dyDescent="0.2">
      <c r="A353" s="19" t="s">
        <v>1835</v>
      </c>
      <c r="K353" s="19" t="s">
        <v>1873</v>
      </c>
      <c r="L353" s="19"/>
      <c r="M353" s="19"/>
      <c r="N353" s="19"/>
      <c r="O353" s="19"/>
      <c r="P353" s="19"/>
      <c r="Q353" s="19"/>
      <c r="R353" s="19"/>
      <c r="S353" s="24" t="s">
        <v>1874</v>
      </c>
    </row>
    <row r="354" spans="1:19" x14ac:dyDescent="0.2">
      <c r="A354" s="19" t="s">
        <v>132</v>
      </c>
      <c r="K354" s="19" t="s">
        <v>1875</v>
      </c>
      <c r="L354" s="19"/>
      <c r="M354" s="19"/>
      <c r="N354" s="19"/>
      <c r="O354" s="19"/>
      <c r="P354" s="19"/>
      <c r="Q354" s="19"/>
      <c r="R354" s="19"/>
      <c r="S354" s="24" t="s">
        <v>1876</v>
      </c>
    </row>
    <row r="355" spans="1:19" x14ac:dyDescent="0.2">
      <c r="A355" s="19" t="s">
        <v>141</v>
      </c>
      <c r="K355" s="19" t="s">
        <v>1877</v>
      </c>
      <c r="L355" s="19"/>
      <c r="M355" s="19"/>
      <c r="N355" s="19"/>
      <c r="O355" s="19"/>
      <c r="P355" s="19"/>
      <c r="Q355" s="19"/>
      <c r="R355" s="19"/>
      <c r="S355" s="24" t="s">
        <v>1878</v>
      </c>
    </row>
    <row r="356" spans="1:19" x14ac:dyDescent="0.2">
      <c r="A356" s="19" t="s">
        <v>146</v>
      </c>
      <c r="K356" s="19" t="s">
        <v>1879</v>
      </c>
      <c r="L356" s="19"/>
      <c r="M356" s="19"/>
      <c r="N356" s="19"/>
      <c r="O356" s="19"/>
      <c r="P356" s="19"/>
      <c r="Q356" s="19"/>
      <c r="R356" s="19"/>
      <c r="S356" s="24" t="s">
        <v>1880</v>
      </c>
    </row>
    <row r="357" spans="1:19" x14ac:dyDescent="0.2">
      <c r="A357" s="19" t="s">
        <v>148</v>
      </c>
      <c r="K357" s="19" t="s">
        <v>1881</v>
      </c>
      <c r="L357" s="19"/>
      <c r="M357" s="19"/>
      <c r="N357" s="19"/>
      <c r="O357" s="19"/>
      <c r="P357" s="19"/>
      <c r="Q357" s="19"/>
      <c r="R357" s="19"/>
      <c r="S357" s="24" t="s">
        <v>1882</v>
      </c>
    </row>
    <row r="358" spans="1:19" x14ac:dyDescent="0.2">
      <c r="A358" s="19" t="s">
        <v>154</v>
      </c>
      <c r="K358" s="19" t="s">
        <v>1015</v>
      </c>
      <c r="L358" s="19"/>
      <c r="M358" s="19"/>
      <c r="N358" s="19"/>
      <c r="O358" s="19"/>
      <c r="P358" s="19"/>
      <c r="Q358" s="19"/>
      <c r="R358" s="19"/>
      <c r="S358" s="24" t="s">
        <v>1883</v>
      </c>
    </row>
    <row r="359" spans="1:19" x14ac:dyDescent="0.2">
      <c r="A359" s="19" t="s">
        <v>1884</v>
      </c>
      <c r="K359" s="19" t="s">
        <v>1014</v>
      </c>
      <c r="L359" s="19"/>
      <c r="M359" s="19"/>
      <c r="N359" s="19"/>
      <c r="O359" s="19"/>
      <c r="P359" s="19"/>
      <c r="Q359" s="19"/>
      <c r="R359" s="19"/>
      <c r="S359" s="24" t="s">
        <v>1885</v>
      </c>
    </row>
    <row r="360" spans="1:19" x14ac:dyDescent="0.2">
      <c r="A360" s="19" t="s">
        <v>1886</v>
      </c>
      <c r="K360" s="19" t="s">
        <v>1887</v>
      </c>
      <c r="L360" s="19"/>
      <c r="M360" s="19"/>
      <c r="N360" s="19"/>
      <c r="O360" s="19"/>
      <c r="P360" s="19"/>
      <c r="Q360" s="19"/>
      <c r="R360" s="19"/>
      <c r="S360" s="24" t="s">
        <v>1888</v>
      </c>
    </row>
    <row r="361" spans="1:19" x14ac:dyDescent="0.2">
      <c r="A361" s="19" t="s">
        <v>1889</v>
      </c>
      <c r="K361" s="19" t="s">
        <v>1890</v>
      </c>
      <c r="L361" s="19"/>
      <c r="M361" s="19"/>
      <c r="N361" s="19"/>
      <c r="O361" s="19"/>
      <c r="P361" s="19"/>
      <c r="Q361" s="19"/>
      <c r="R361" s="19"/>
      <c r="S361" s="24" t="s">
        <v>1891</v>
      </c>
    </row>
    <row r="362" spans="1:19" x14ac:dyDescent="0.2">
      <c r="A362" s="19" t="s">
        <v>1839</v>
      </c>
      <c r="K362" s="19" t="s">
        <v>1022</v>
      </c>
      <c r="L362" s="19"/>
      <c r="M362" s="19"/>
      <c r="N362" s="19"/>
      <c r="O362" s="19"/>
      <c r="P362" s="19"/>
      <c r="Q362" s="19"/>
      <c r="R362" s="19"/>
    </row>
    <row r="363" spans="1:19" x14ac:dyDescent="0.2">
      <c r="A363" s="19" t="s">
        <v>1843</v>
      </c>
      <c r="K363" s="19" t="s">
        <v>1892</v>
      </c>
      <c r="L363" s="19"/>
      <c r="M363" s="19"/>
      <c r="N363" s="19"/>
      <c r="O363" s="19"/>
      <c r="P363" s="19"/>
      <c r="Q363" s="19"/>
      <c r="R363" s="19"/>
    </row>
    <row r="364" spans="1:19" x14ac:dyDescent="0.2">
      <c r="A364" s="19" t="s">
        <v>1846</v>
      </c>
      <c r="K364" s="19" t="s">
        <v>1033</v>
      </c>
      <c r="L364" s="19"/>
      <c r="M364" s="19"/>
      <c r="N364" s="19"/>
      <c r="O364" s="19"/>
      <c r="P364" s="19"/>
      <c r="Q364" s="19"/>
      <c r="R364" s="19"/>
    </row>
    <row r="365" spans="1:19" x14ac:dyDescent="0.2">
      <c r="A365" s="19" t="s">
        <v>1849</v>
      </c>
      <c r="K365" s="19" t="s">
        <v>1893</v>
      </c>
      <c r="L365" s="19"/>
      <c r="M365" s="19"/>
      <c r="N365" s="19"/>
      <c r="O365" s="19"/>
      <c r="P365" s="19"/>
      <c r="Q365" s="19"/>
      <c r="R365" s="19"/>
    </row>
    <row r="366" spans="1:19" x14ac:dyDescent="0.2">
      <c r="A366" s="19" t="s">
        <v>1894</v>
      </c>
      <c r="K366" s="19" t="s">
        <v>1036</v>
      </c>
      <c r="L366" s="19"/>
      <c r="M366" s="19"/>
      <c r="N366" s="19"/>
      <c r="O366" s="19"/>
      <c r="P366" s="19"/>
      <c r="Q366" s="19"/>
      <c r="R366" s="19"/>
    </row>
    <row r="367" spans="1:19" x14ac:dyDescent="0.2">
      <c r="A367" s="19" t="s">
        <v>1895</v>
      </c>
      <c r="K367" s="19" t="s">
        <v>1039</v>
      </c>
      <c r="L367" s="19"/>
      <c r="M367" s="19"/>
      <c r="N367" s="19"/>
      <c r="O367" s="19"/>
      <c r="P367" s="19"/>
      <c r="Q367" s="19"/>
      <c r="R367" s="19"/>
    </row>
    <row r="368" spans="1:19" x14ac:dyDescent="0.2">
      <c r="A368" s="19" t="s">
        <v>1896</v>
      </c>
      <c r="K368" s="19" t="s">
        <v>1042</v>
      </c>
      <c r="L368" s="19"/>
      <c r="M368" s="19"/>
      <c r="N368" s="19"/>
      <c r="O368" s="19"/>
      <c r="P368" s="19"/>
      <c r="Q368" s="19"/>
      <c r="R368" s="19"/>
    </row>
    <row r="369" spans="1:18" x14ac:dyDescent="0.2">
      <c r="A369" s="19" t="s">
        <v>1897</v>
      </c>
      <c r="K369" s="19" t="s">
        <v>1898</v>
      </c>
      <c r="L369" s="19"/>
      <c r="M369" s="19"/>
      <c r="N369" s="19"/>
      <c r="O369" s="19"/>
      <c r="P369" s="19"/>
      <c r="Q369" s="19"/>
      <c r="R369" s="19"/>
    </row>
    <row r="370" spans="1:18" x14ac:dyDescent="0.2">
      <c r="A370" s="19" t="s">
        <v>1855</v>
      </c>
      <c r="K370" s="19" t="s">
        <v>1899</v>
      </c>
      <c r="L370" s="19"/>
      <c r="M370" s="19"/>
      <c r="N370" s="19"/>
      <c r="O370" s="19"/>
      <c r="P370" s="19"/>
      <c r="Q370" s="19"/>
      <c r="R370" s="19"/>
    </row>
    <row r="371" spans="1:18" x14ac:dyDescent="0.2">
      <c r="A371" s="19" t="s">
        <v>1900</v>
      </c>
      <c r="K371" s="19" t="s">
        <v>1050</v>
      </c>
      <c r="L371" s="19"/>
      <c r="M371" s="19"/>
      <c r="N371" s="19"/>
      <c r="O371" s="19"/>
      <c r="P371" s="19"/>
      <c r="Q371" s="19"/>
      <c r="R371" s="19"/>
    </row>
    <row r="372" spans="1:18" x14ac:dyDescent="0.2">
      <c r="A372" s="19" t="s">
        <v>1901</v>
      </c>
      <c r="K372" s="19" t="s">
        <v>1053</v>
      </c>
      <c r="L372" s="19"/>
      <c r="M372" s="19"/>
      <c r="N372" s="19"/>
      <c r="O372" s="19"/>
      <c r="P372" s="19"/>
      <c r="Q372" s="19"/>
      <c r="R372" s="19"/>
    </row>
    <row r="373" spans="1:18" x14ac:dyDescent="0.2">
      <c r="A373" s="19" t="s">
        <v>1902</v>
      </c>
      <c r="K373" s="19" t="s">
        <v>1903</v>
      </c>
      <c r="L373" s="19"/>
      <c r="M373" s="19"/>
      <c r="N373" s="19"/>
      <c r="O373" s="19"/>
      <c r="P373" s="19"/>
      <c r="Q373" s="19"/>
      <c r="R373" s="19"/>
    </row>
    <row r="374" spans="1:18" x14ac:dyDescent="0.2">
      <c r="A374" s="19" t="s">
        <v>1904</v>
      </c>
      <c r="K374" s="19" t="s">
        <v>1041</v>
      </c>
      <c r="L374" s="19"/>
      <c r="M374" s="19"/>
      <c r="N374" s="19"/>
      <c r="O374" s="19"/>
      <c r="P374" s="19"/>
      <c r="Q374" s="19"/>
      <c r="R374" s="19"/>
    </row>
    <row r="375" spans="1:18" x14ac:dyDescent="0.2">
      <c r="A375" s="19" t="s">
        <v>1905</v>
      </c>
      <c r="K375" s="19" t="s">
        <v>1047</v>
      </c>
      <c r="L375" s="19"/>
      <c r="M375" s="19"/>
      <c r="N375" s="19"/>
      <c r="O375" s="19"/>
      <c r="P375" s="19"/>
      <c r="Q375" s="19"/>
      <c r="R375" s="19"/>
    </row>
    <row r="376" spans="1:18" x14ac:dyDescent="0.2">
      <c r="A376" s="19" t="s">
        <v>1870</v>
      </c>
      <c r="K376" s="19" t="s">
        <v>1906</v>
      </c>
      <c r="L376" s="19"/>
      <c r="M376" s="19"/>
      <c r="N376" s="19"/>
      <c r="O376" s="19"/>
      <c r="P376" s="19"/>
      <c r="Q376" s="19"/>
      <c r="R376" s="19"/>
    </row>
    <row r="377" spans="1:18" x14ac:dyDescent="0.2">
      <c r="A377" s="19" t="s">
        <v>1907</v>
      </c>
      <c r="K377" s="19" t="s">
        <v>1063</v>
      </c>
      <c r="L377" s="19"/>
      <c r="M377" s="19"/>
      <c r="N377" s="19"/>
      <c r="O377" s="19"/>
      <c r="P377" s="19"/>
      <c r="Q377" s="19"/>
      <c r="R377" s="19"/>
    </row>
    <row r="378" spans="1:18" x14ac:dyDescent="0.2">
      <c r="A378" s="19" t="s">
        <v>1908</v>
      </c>
      <c r="K378" s="19" t="s">
        <v>1909</v>
      </c>
      <c r="L378" s="19"/>
      <c r="M378" s="19"/>
      <c r="N378" s="19"/>
      <c r="O378" s="19"/>
      <c r="P378" s="19"/>
      <c r="Q378" s="19"/>
      <c r="R378" s="19"/>
    </row>
    <row r="379" spans="1:18" x14ac:dyDescent="0.2">
      <c r="A379" s="19" t="s">
        <v>1910</v>
      </c>
      <c r="K379" s="19" t="s">
        <v>1060</v>
      </c>
      <c r="L379" s="19"/>
      <c r="M379" s="19"/>
      <c r="N379" s="19"/>
      <c r="O379" s="19"/>
      <c r="P379" s="19"/>
      <c r="Q379" s="19"/>
      <c r="R379" s="19"/>
    </row>
    <row r="380" spans="1:18" x14ac:dyDescent="0.2">
      <c r="A380" s="19" t="s">
        <v>1911</v>
      </c>
      <c r="K380" s="19" t="s">
        <v>1062</v>
      </c>
      <c r="L380" s="19"/>
      <c r="M380" s="19"/>
      <c r="N380" s="19"/>
      <c r="O380" s="19"/>
      <c r="P380" s="19"/>
      <c r="Q380" s="19"/>
      <c r="R380" s="19"/>
    </row>
    <row r="381" spans="1:18" x14ac:dyDescent="0.2">
      <c r="A381" s="19" t="s">
        <v>1912</v>
      </c>
      <c r="K381" s="19" t="s">
        <v>1913</v>
      </c>
      <c r="L381" s="19"/>
      <c r="M381" s="19"/>
      <c r="N381" s="19"/>
      <c r="O381" s="19"/>
      <c r="P381" s="19"/>
      <c r="Q381" s="19"/>
      <c r="R381" s="19"/>
    </row>
    <row r="382" spans="1:18" x14ac:dyDescent="0.2">
      <c r="A382" s="19" t="s">
        <v>1914</v>
      </c>
      <c r="K382" s="19" t="s">
        <v>1915</v>
      </c>
      <c r="L382" s="19"/>
      <c r="M382" s="19"/>
      <c r="N382" s="19"/>
      <c r="O382" s="19"/>
      <c r="P382" s="19"/>
      <c r="Q382" s="19"/>
      <c r="R382" s="19"/>
    </row>
    <row r="383" spans="1:18" x14ac:dyDescent="0.2">
      <c r="A383" s="19" t="s">
        <v>1916</v>
      </c>
      <c r="K383" s="19" t="s">
        <v>1917</v>
      </c>
      <c r="L383" s="19"/>
      <c r="M383" s="19"/>
      <c r="N383" s="19"/>
      <c r="O383" s="19"/>
      <c r="P383" s="19"/>
      <c r="Q383" s="19"/>
      <c r="R383" s="19"/>
    </row>
    <row r="384" spans="1:18" x14ac:dyDescent="0.2">
      <c r="A384" s="19" t="s">
        <v>1918</v>
      </c>
      <c r="K384" s="19" t="s">
        <v>1919</v>
      </c>
      <c r="L384" s="19"/>
      <c r="M384" s="19"/>
      <c r="N384" s="19"/>
      <c r="O384" s="19"/>
      <c r="P384" s="19"/>
      <c r="Q384" s="19"/>
      <c r="R384" s="19"/>
    </row>
    <row r="385" spans="1:18" x14ac:dyDescent="0.2">
      <c r="A385" s="19" t="s">
        <v>1920</v>
      </c>
      <c r="K385" s="19" t="s">
        <v>1921</v>
      </c>
      <c r="L385" s="19"/>
      <c r="M385" s="19"/>
      <c r="N385" s="19"/>
      <c r="O385" s="19"/>
      <c r="P385" s="19"/>
      <c r="Q385" s="19"/>
      <c r="R385" s="19"/>
    </row>
    <row r="386" spans="1:18" x14ac:dyDescent="0.2">
      <c r="A386" s="19" t="s">
        <v>1922</v>
      </c>
      <c r="K386" s="19" t="s">
        <v>1923</v>
      </c>
      <c r="L386" s="19"/>
      <c r="M386" s="19"/>
      <c r="N386" s="19"/>
      <c r="O386" s="19"/>
      <c r="P386" s="19"/>
      <c r="Q386" s="19"/>
      <c r="R386" s="19"/>
    </row>
    <row r="387" spans="1:18" x14ac:dyDescent="0.2">
      <c r="A387" s="19" t="s">
        <v>1924</v>
      </c>
      <c r="K387" s="19" t="s">
        <v>1076</v>
      </c>
      <c r="L387" s="19"/>
      <c r="M387" s="19"/>
      <c r="N387" s="19"/>
      <c r="O387" s="19"/>
      <c r="P387" s="19"/>
      <c r="Q387" s="19"/>
      <c r="R387" s="19"/>
    </row>
    <row r="388" spans="1:18" x14ac:dyDescent="0.2">
      <c r="A388" s="19" t="s">
        <v>1874</v>
      </c>
      <c r="K388" s="19" t="s">
        <v>1095</v>
      </c>
      <c r="L388" s="19"/>
      <c r="M388" s="19"/>
      <c r="N388" s="19"/>
      <c r="O388" s="19"/>
      <c r="P388" s="19"/>
      <c r="Q388" s="19"/>
      <c r="R388" s="19"/>
    </row>
    <row r="389" spans="1:18" x14ac:dyDescent="0.2">
      <c r="A389" s="19" t="s">
        <v>1925</v>
      </c>
      <c r="K389" s="19" t="s">
        <v>1926</v>
      </c>
      <c r="L389" s="19"/>
      <c r="M389" s="19"/>
      <c r="N389" s="19"/>
      <c r="O389" s="19"/>
      <c r="P389" s="19"/>
      <c r="Q389" s="19"/>
      <c r="R389" s="19"/>
    </row>
    <row r="390" spans="1:18" x14ac:dyDescent="0.2">
      <c r="A390" s="19" t="s">
        <v>1876</v>
      </c>
      <c r="K390" s="19" t="s">
        <v>1114</v>
      </c>
      <c r="L390" s="19"/>
      <c r="M390" s="19"/>
      <c r="N390" s="19"/>
      <c r="O390" s="19"/>
      <c r="P390" s="19"/>
      <c r="Q390" s="19"/>
      <c r="R390" s="19"/>
    </row>
    <row r="391" spans="1:18" x14ac:dyDescent="0.2">
      <c r="A391" s="19" t="s">
        <v>1927</v>
      </c>
      <c r="K391" s="19" t="s">
        <v>1102</v>
      </c>
      <c r="L391" s="19"/>
      <c r="M391" s="19"/>
      <c r="N391" s="19"/>
      <c r="O391" s="19"/>
      <c r="P391" s="19"/>
      <c r="Q391" s="19"/>
      <c r="R391" s="19"/>
    </row>
    <row r="392" spans="1:18" x14ac:dyDescent="0.2">
      <c r="A392" s="19" t="s">
        <v>1880</v>
      </c>
      <c r="K392" s="19" t="s">
        <v>1104</v>
      </c>
      <c r="L392" s="19"/>
      <c r="M392" s="19"/>
      <c r="N392" s="19"/>
      <c r="O392" s="19"/>
      <c r="P392" s="19"/>
      <c r="Q392" s="19"/>
      <c r="R392" s="19"/>
    </row>
    <row r="393" spans="1:18" x14ac:dyDescent="0.2">
      <c r="A393" s="19" t="s">
        <v>1885</v>
      </c>
      <c r="K393" s="19" t="s">
        <v>1107</v>
      </c>
      <c r="L393" s="19"/>
      <c r="M393" s="19"/>
      <c r="N393" s="19"/>
      <c r="O393" s="19"/>
      <c r="P393" s="19"/>
      <c r="Q393" s="19"/>
      <c r="R393" s="19"/>
    </row>
    <row r="394" spans="1:18" x14ac:dyDescent="0.2">
      <c r="A394" s="19" t="s">
        <v>1891</v>
      </c>
      <c r="K394" s="19" t="s">
        <v>1928</v>
      </c>
      <c r="L394" s="19"/>
      <c r="M394" s="19"/>
      <c r="N394" s="19"/>
      <c r="O394" s="19"/>
      <c r="P394" s="19"/>
      <c r="Q394" s="19"/>
      <c r="R394" s="19"/>
    </row>
    <row r="395" spans="1:18" x14ac:dyDescent="0.2">
      <c r="A395" s="19" t="s">
        <v>1929</v>
      </c>
      <c r="K395" s="19" t="s">
        <v>1110</v>
      </c>
      <c r="L395" s="19"/>
      <c r="M395" s="19"/>
      <c r="N395" s="19"/>
      <c r="O395" s="19"/>
      <c r="P395" s="19"/>
      <c r="Q395" s="19"/>
      <c r="R395" s="19"/>
    </row>
    <row r="396" spans="1:18" x14ac:dyDescent="0.2">
      <c r="A396" s="19" t="s">
        <v>1930</v>
      </c>
      <c r="K396" s="19" t="s">
        <v>1113</v>
      </c>
      <c r="L396" s="19"/>
      <c r="M396" s="19"/>
      <c r="N396" s="19"/>
      <c r="O396" s="19"/>
      <c r="P396" s="19"/>
      <c r="Q396" s="19"/>
      <c r="R396" s="19"/>
    </row>
    <row r="397" spans="1:18" x14ac:dyDescent="0.2">
      <c r="A397" s="19" t="s">
        <v>1931</v>
      </c>
      <c r="K397" s="19" t="s">
        <v>1932</v>
      </c>
      <c r="L397" s="19"/>
      <c r="M397" s="19"/>
      <c r="N397" s="19"/>
      <c r="O397" s="19"/>
      <c r="P397" s="19"/>
      <c r="Q397" s="19"/>
      <c r="R397" s="19"/>
    </row>
    <row r="398" spans="1:18" x14ac:dyDescent="0.2">
      <c r="A398" s="19" t="s">
        <v>549</v>
      </c>
      <c r="K398" s="19" t="s">
        <v>1118</v>
      </c>
      <c r="L398" s="19"/>
      <c r="M398" s="19"/>
      <c r="N398" s="19"/>
      <c r="O398" s="19"/>
      <c r="P398" s="19"/>
      <c r="Q398" s="19"/>
      <c r="R398" s="19"/>
    </row>
    <row r="399" spans="1:18" x14ac:dyDescent="0.2">
      <c r="A399" s="19" t="s">
        <v>550</v>
      </c>
      <c r="K399" s="19" t="s">
        <v>1120</v>
      </c>
      <c r="L399" s="19"/>
      <c r="M399" s="19"/>
      <c r="N399" s="19"/>
      <c r="O399" s="19"/>
      <c r="P399" s="19"/>
      <c r="Q399" s="19"/>
      <c r="R399" s="19"/>
    </row>
    <row r="400" spans="1:18" x14ac:dyDescent="0.2">
      <c r="A400" s="19" t="s">
        <v>214</v>
      </c>
      <c r="K400" s="19" t="s">
        <v>1933</v>
      </c>
      <c r="L400" s="19"/>
      <c r="M400" s="19"/>
      <c r="N400" s="19"/>
      <c r="O400" s="19"/>
      <c r="P400" s="19"/>
      <c r="Q400" s="19"/>
      <c r="R400" s="19"/>
    </row>
    <row r="401" spans="1:18" x14ac:dyDescent="0.2">
      <c r="A401" s="19" t="s">
        <v>216</v>
      </c>
      <c r="K401" s="19" t="s">
        <v>1127</v>
      </c>
      <c r="L401" s="19"/>
      <c r="M401" s="19"/>
      <c r="N401" s="19"/>
      <c r="O401" s="19"/>
      <c r="P401" s="19"/>
      <c r="Q401" s="19"/>
      <c r="R401" s="19"/>
    </row>
    <row r="402" spans="1:18" x14ac:dyDescent="0.2">
      <c r="A402" s="19" t="s">
        <v>218</v>
      </c>
      <c r="K402" s="19" t="s">
        <v>1129</v>
      </c>
      <c r="L402" s="19"/>
      <c r="M402" s="19"/>
      <c r="N402" s="19"/>
      <c r="O402" s="19"/>
      <c r="P402" s="19"/>
      <c r="Q402" s="19"/>
      <c r="R402" s="19"/>
    </row>
    <row r="403" spans="1:18" x14ac:dyDescent="0.2">
      <c r="A403" s="19" t="s">
        <v>1934</v>
      </c>
      <c r="K403" s="19" t="s">
        <v>1131</v>
      </c>
      <c r="L403" s="19"/>
      <c r="M403" s="19"/>
      <c r="N403" s="19"/>
      <c r="O403" s="19"/>
      <c r="P403" s="19"/>
      <c r="Q403" s="19"/>
      <c r="R403" s="19"/>
    </row>
    <row r="404" spans="1:18" x14ac:dyDescent="0.2">
      <c r="K404" s="19" t="s">
        <v>1133</v>
      </c>
      <c r="L404" s="19"/>
      <c r="M404" s="19"/>
      <c r="N404" s="19"/>
      <c r="O404" s="19"/>
      <c r="P404" s="19"/>
      <c r="Q404" s="19"/>
      <c r="R404" s="19"/>
    </row>
    <row r="405" spans="1:18" x14ac:dyDescent="0.2">
      <c r="K405" s="19" t="s">
        <v>1146</v>
      </c>
      <c r="L405" s="19"/>
      <c r="M405" s="19"/>
      <c r="N405" s="19"/>
      <c r="O405" s="19"/>
      <c r="P405" s="19"/>
      <c r="Q405" s="19"/>
      <c r="R405" s="19"/>
    </row>
    <row r="406" spans="1:18" x14ac:dyDescent="0.2">
      <c r="K406" s="19" t="s">
        <v>1136</v>
      </c>
      <c r="L406" s="19"/>
      <c r="M406" s="19"/>
      <c r="N406" s="19"/>
      <c r="O406" s="19"/>
      <c r="P406" s="19"/>
      <c r="Q406" s="19"/>
      <c r="R406" s="19"/>
    </row>
    <row r="407" spans="1:18" x14ac:dyDescent="0.2">
      <c r="K407" s="19" t="s">
        <v>1935</v>
      </c>
      <c r="L407" s="19"/>
      <c r="M407" s="19"/>
      <c r="N407" s="19"/>
      <c r="O407" s="19"/>
      <c r="P407" s="19"/>
      <c r="Q407" s="19"/>
      <c r="R407" s="19"/>
    </row>
    <row r="408" spans="1:18" x14ac:dyDescent="0.2">
      <c r="K408" s="19" t="s">
        <v>1138</v>
      </c>
      <c r="L408" s="19"/>
      <c r="M408" s="19"/>
      <c r="N408" s="19"/>
      <c r="O408" s="19"/>
      <c r="P408" s="19"/>
      <c r="Q408" s="19"/>
      <c r="R408" s="19"/>
    </row>
    <row r="409" spans="1:18" x14ac:dyDescent="0.2">
      <c r="K409" s="19" t="s">
        <v>1142</v>
      </c>
      <c r="L409" s="19"/>
      <c r="M409" s="19"/>
      <c r="N409" s="19"/>
      <c r="O409" s="19"/>
      <c r="P409" s="19"/>
      <c r="Q409" s="19"/>
      <c r="R409" s="19"/>
    </row>
    <row r="410" spans="1:18" x14ac:dyDescent="0.2">
      <c r="K410" s="19" t="s">
        <v>1145</v>
      </c>
      <c r="L410" s="19"/>
      <c r="M410" s="19"/>
      <c r="N410" s="19"/>
      <c r="O410" s="19"/>
      <c r="P410" s="19"/>
      <c r="Q410" s="19"/>
      <c r="R410" s="19"/>
    </row>
    <row r="411" spans="1:18" x14ac:dyDescent="0.2">
      <c r="K411" s="19" t="s">
        <v>1936</v>
      </c>
      <c r="L411" s="19"/>
      <c r="M411" s="19"/>
      <c r="N411" s="19"/>
      <c r="O411" s="19"/>
      <c r="P411" s="19"/>
      <c r="Q411" s="19"/>
      <c r="R411" s="19"/>
    </row>
    <row r="412" spans="1:18" x14ac:dyDescent="0.2">
      <c r="K412" s="19" t="s">
        <v>1172</v>
      </c>
      <c r="L412" s="19"/>
      <c r="M412" s="19"/>
      <c r="N412" s="19"/>
      <c r="O412" s="19"/>
      <c r="P412" s="19"/>
      <c r="Q412" s="19"/>
      <c r="R412" s="19"/>
    </row>
    <row r="413" spans="1:18" x14ac:dyDescent="0.2">
      <c r="K413" s="19" t="s">
        <v>1153</v>
      </c>
      <c r="L413" s="19"/>
      <c r="M413" s="19"/>
      <c r="N413" s="19"/>
      <c r="O413" s="19"/>
      <c r="P413" s="19"/>
      <c r="Q413" s="19"/>
      <c r="R413" s="19"/>
    </row>
    <row r="414" spans="1:18" x14ac:dyDescent="0.2">
      <c r="K414" s="19" t="s">
        <v>1157</v>
      </c>
      <c r="L414" s="19"/>
      <c r="M414" s="19"/>
      <c r="N414" s="19"/>
      <c r="O414" s="19"/>
      <c r="P414" s="19"/>
      <c r="Q414" s="19"/>
      <c r="R414" s="19"/>
    </row>
    <row r="415" spans="1:18" x14ac:dyDescent="0.2">
      <c r="K415" s="19" t="s">
        <v>1177</v>
      </c>
      <c r="L415" s="19"/>
      <c r="M415" s="19"/>
      <c r="N415" s="19"/>
      <c r="O415" s="19"/>
      <c r="P415" s="19"/>
      <c r="Q415" s="19"/>
      <c r="R415" s="19"/>
    </row>
    <row r="416" spans="1:18" x14ac:dyDescent="0.2">
      <c r="K416" s="19" t="s">
        <v>1162</v>
      </c>
      <c r="L416" s="19"/>
      <c r="M416" s="19"/>
      <c r="N416" s="19"/>
      <c r="O416" s="19"/>
      <c r="P416" s="19"/>
      <c r="Q416" s="19"/>
      <c r="R416" s="19"/>
    </row>
    <row r="417" spans="11:18" x14ac:dyDescent="0.2">
      <c r="K417" s="19" t="s">
        <v>1165</v>
      </c>
      <c r="L417" s="19"/>
      <c r="M417" s="19"/>
      <c r="N417" s="19"/>
      <c r="O417" s="19"/>
      <c r="P417" s="19"/>
      <c r="Q417" s="19"/>
      <c r="R417" s="19"/>
    </row>
    <row r="418" spans="11:18" x14ac:dyDescent="0.2">
      <c r="K418" s="19" t="s">
        <v>1194</v>
      </c>
      <c r="L418" s="19"/>
      <c r="M418" s="19"/>
      <c r="N418" s="19"/>
      <c r="O418" s="19"/>
      <c r="P418" s="19"/>
      <c r="Q418" s="19"/>
      <c r="R418" s="19"/>
    </row>
    <row r="419" spans="11:18" x14ac:dyDescent="0.2">
      <c r="K419" s="19" t="s">
        <v>1168</v>
      </c>
      <c r="L419" s="19"/>
      <c r="M419" s="19"/>
      <c r="N419" s="19"/>
      <c r="O419" s="19"/>
      <c r="P419" s="19"/>
      <c r="Q419" s="19"/>
      <c r="R419" s="19"/>
    </row>
    <row r="420" spans="11:18" x14ac:dyDescent="0.2">
      <c r="K420" s="19" t="s">
        <v>1937</v>
      </c>
      <c r="L420" s="19"/>
      <c r="M420" s="19"/>
      <c r="N420" s="19"/>
      <c r="O420" s="19"/>
      <c r="P420" s="19"/>
      <c r="Q420" s="19"/>
      <c r="R420" s="19"/>
    </row>
    <row r="421" spans="11:18" x14ac:dyDescent="0.2">
      <c r="K421" s="19" t="s">
        <v>1176</v>
      </c>
      <c r="L421" s="19"/>
      <c r="M421" s="19"/>
      <c r="N421" s="19"/>
      <c r="O421" s="19"/>
      <c r="P421" s="19"/>
      <c r="Q421" s="19"/>
      <c r="R421" s="19"/>
    </row>
    <row r="422" spans="11:18" x14ac:dyDescent="0.2">
      <c r="K422" s="19" t="s">
        <v>1179</v>
      </c>
      <c r="L422" s="19"/>
      <c r="M422" s="19"/>
      <c r="N422" s="19"/>
      <c r="O422" s="19"/>
      <c r="P422" s="19"/>
      <c r="Q422" s="19"/>
      <c r="R422" s="19"/>
    </row>
    <row r="423" spans="11:18" x14ac:dyDescent="0.2">
      <c r="K423" s="19" t="s">
        <v>1182</v>
      </c>
      <c r="L423" s="19"/>
      <c r="M423" s="19"/>
      <c r="N423" s="19"/>
      <c r="O423" s="19"/>
      <c r="P423" s="19"/>
      <c r="Q423" s="19"/>
      <c r="R423" s="19"/>
    </row>
    <row r="424" spans="11:18" x14ac:dyDescent="0.2">
      <c r="K424" s="19" t="s">
        <v>1938</v>
      </c>
      <c r="L424" s="19"/>
      <c r="M424" s="19"/>
      <c r="N424" s="19"/>
      <c r="O424" s="19"/>
      <c r="P424" s="19"/>
      <c r="Q424" s="19"/>
      <c r="R424" s="19"/>
    </row>
    <row r="425" spans="11:18" x14ac:dyDescent="0.2">
      <c r="K425" s="19" t="s">
        <v>1939</v>
      </c>
      <c r="L425" s="19"/>
      <c r="M425" s="19"/>
      <c r="N425" s="19"/>
      <c r="O425" s="19"/>
      <c r="P425" s="19"/>
      <c r="Q425" s="19"/>
      <c r="R425" s="19"/>
    </row>
    <row r="426" spans="11:18" x14ac:dyDescent="0.2">
      <c r="K426" s="19" t="s">
        <v>1200</v>
      </c>
      <c r="L426" s="19"/>
      <c r="M426" s="19"/>
      <c r="N426" s="19"/>
      <c r="O426" s="19"/>
      <c r="P426" s="19"/>
      <c r="Q426" s="19"/>
      <c r="R426" s="19"/>
    </row>
    <row r="427" spans="11:18" x14ac:dyDescent="0.2">
      <c r="K427" s="19" t="s">
        <v>1223</v>
      </c>
      <c r="L427" s="19"/>
      <c r="M427" s="19"/>
      <c r="N427" s="19"/>
      <c r="O427" s="19"/>
      <c r="P427" s="19"/>
      <c r="Q427" s="19"/>
      <c r="R427" s="19"/>
    </row>
    <row r="428" spans="11:18" x14ac:dyDescent="0.2">
      <c r="K428" s="19" t="s">
        <v>1202</v>
      </c>
      <c r="L428" s="19"/>
      <c r="M428" s="19"/>
      <c r="N428" s="19"/>
      <c r="O428" s="19"/>
      <c r="P428" s="19"/>
      <c r="Q428" s="19"/>
      <c r="R428" s="19"/>
    </row>
    <row r="429" spans="11:18" x14ac:dyDescent="0.2">
      <c r="K429" s="19" t="s">
        <v>1204</v>
      </c>
      <c r="L429" s="19"/>
      <c r="M429" s="19"/>
      <c r="N429" s="19"/>
      <c r="O429" s="19"/>
      <c r="P429" s="19"/>
      <c r="Q429" s="19"/>
      <c r="R429" s="19"/>
    </row>
    <row r="430" spans="11:18" x14ac:dyDescent="0.2">
      <c r="K430" s="19" t="s">
        <v>1208</v>
      </c>
      <c r="L430" s="19"/>
      <c r="M430" s="19"/>
      <c r="N430" s="19"/>
      <c r="O430" s="19"/>
      <c r="P430" s="19"/>
      <c r="Q430" s="19"/>
      <c r="R430" s="19"/>
    </row>
    <row r="431" spans="11:18" x14ac:dyDescent="0.2">
      <c r="K431" s="19" t="s">
        <v>1210</v>
      </c>
      <c r="L431" s="19"/>
      <c r="M431" s="19"/>
      <c r="N431" s="19"/>
      <c r="O431" s="19"/>
      <c r="P431" s="19"/>
      <c r="Q431" s="19"/>
      <c r="R431" s="19"/>
    </row>
    <row r="432" spans="11:18" x14ac:dyDescent="0.2">
      <c r="K432" s="19" t="s">
        <v>1212</v>
      </c>
      <c r="L432" s="19"/>
      <c r="M432" s="19"/>
      <c r="N432" s="19"/>
      <c r="O432" s="19"/>
      <c r="P432" s="19"/>
      <c r="Q432" s="19"/>
      <c r="R432" s="19"/>
    </row>
    <row r="433" spans="11:18" x14ac:dyDescent="0.2">
      <c r="K433" s="19" t="s">
        <v>1214</v>
      </c>
      <c r="L433" s="19"/>
      <c r="M433" s="19"/>
      <c r="N433" s="19"/>
      <c r="O433" s="19"/>
      <c r="P433" s="19"/>
      <c r="Q433" s="19"/>
      <c r="R433" s="19"/>
    </row>
    <row r="434" spans="11:18" x14ac:dyDescent="0.2">
      <c r="K434" s="19" t="s">
        <v>1232</v>
      </c>
      <c r="L434" s="19"/>
      <c r="M434" s="19"/>
      <c r="N434" s="19"/>
      <c r="O434" s="19"/>
      <c r="P434" s="19"/>
      <c r="Q434" s="19"/>
      <c r="R434" s="19"/>
    </row>
    <row r="435" spans="11:18" x14ac:dyDescent="0.2">
      <c r="K435" s="19" t="s">
        <v>1249</v>
      </c>
      <c r="L435" s="19"/>
      <c r="M435" s="19"/>
      <c r="N435" s="19"/>
      <c r="O435" s="19"/>
      <c r="P435" s="19"/>
      <c r="Q435" s="19"/>
      <c r="R435" s="19"/>
    </row>
    <row r="436" spans="11:18" x14ac:dyDescent="0.2">
      <c r="K436" s="19" t="s">
        <v>1251</v>
      </c>
      <c r="L436" s="19"/>
      <c r="M436" s="19"/>
      <c r="N436" s="19"/>
      <c r="O436" s="19"/>
      <c r="P436" s="19"/>
      <c r="Q436" s="19"/>
      <c r="R436" s="19"/>
    </row>
    <row r="437" spans="11:18" x14ac:dyDescent="0.2">
      <c r="K437" s="19" t="s">
        <v>1253</v>
      </c>
      <c r="L437" s="19"/>
      <c r="M437" s="19"/>
      <c r="N437" s="19"/>
      <c r="O437" s="19"/>
      <c r="P437" s="19"/>
      <c r="Q437" s="19"/>
      <c r="R437" s="19"/>
    </row>
    <row r="438" spans="11:18" x14ac:dyDescent="0.2">
      <c r="K438" s="19" t="s">
        <v>1940</v>
      </c>
      <c r="L438" s="19"/>
      <c r="M438" s="19"/>
      <c r="N438" s="19"/>
      <c r="O438" s="19"/>
      <c r="P438" s="19"/>
      <c r="Q438" s="19"/>
      <c r="R438" s="19"/>
    </row>
    <row r="439" spans="11:18" x14ac:dyDescent="0.2">
      <c r="K439" s="19" t="s">
        <v>1941</v>
      </c>
      <c r="L439" s="19"/>
      <c r="M439" s="19"/>
      <c r="N439" s="19"/>
      <c r="O439" s="19"/>
      <c r="P439" s="19"/>
      <c r="Q439" s="19"/>
      <c r="R439" s="19"/>
    </row>
    <row r="440" spans="11:18" x14ac:dyDescent="0.2">
      <c r="K440" s="19" t="s">
        <v>1942</v>
      </c>
      <c r="L440" s="19"/>
      <c r="M440" s="19"/>
      <c r="N440" s="19"/>
      <c r="O440" s="19"/>
      <c r="P440" s="19"/>
      <c r="Q440" s="19"/>
      <c r="R440" s="19"/>
    </row>
    <row r="441" spans="11:18" x14ac:dyDescent="0.2">
      <c r="K441" s="19" t="s">
        <v>1255</v>
      </c>
      <c r="L441" s="19"/>
      <c r="M441" s="19"/>
      <c r="N441" s="19"/>
      <c r="O441" s="19"/>
      <c r="P441" s="19"/>
      <c r="Q441" s="19"/>
      <c r="R441" s="19"/>
    </row>
    <row r="442" spans="11:18" x14ac:dyDescent="0.2">
      <c r="K442" s="19" t="s">
        <v>1258</v>
      </c>
      <c r="L442" s="19"/>
      <c r="M442" s="19"/>
      <c r="N442" s="19"/>
      <c r="O442" s="19"/>
      <c r="P442" s="19"/>
      <c r="Q442" s="19"/>
      <c r="R442" s="19"/>
    </row>
    <row r="443" spans="11:18" x14ac:dyDescent="0.2">
      <c r="K443" s="19" t="s">
        <v>1260</v>
      </c>
      <c r="L443" s="19"/>
      <c r="M443" s="19"/>
      <c r="N443" s="19"/>
      <c r="O443" s="19"/>
      <c r="P443" s="19"/>
      <c r="Q443" s="19"/>
      <c r="R443" s="19"/>
    </row>
    <row r="444" spans="11:18" x14ac:dyDescent="0.2">
      <c r="K444" s="19" t="s">
        <v>1262</v>
      </c>
      <c r="L444" s="19"/>
      <c r="M444" s="19"/>
      <c r="N444" s="19"/>
      <c r="O444" s="19"/>
      <c r="P444" s="19"/>
      <c r="Q444" s="19"/>
      <c r="R444" s="19"/>
    </row>
    <row r="445" spans="11:18" x14ac:dyDescent="0.2">
      <c r="K445" s="19" t="s">
        <v>1943</v>
      </c>
      <c r="L445" s="19"/>
      <c r="M445" s="19"/>
      <c r="N445" s="19"/>
      <c r="O445" s="19"/>
      <c r="P445" s="19"/>
      <c r="Q445" s="19"/>
      <c r="R445" s="19"/>
    </row>
    <row r="446" spans="11:18" x14ac:dyDescent="0.2">
      <c r="K446" s="19" t="s">
        <v>1279</v>
      </c>
      <c r="L446" s="19"/>
      <c r="M446" s="19"/>
      <c r="N446" s="19"/>
      <c r="O446" s="19"/>
      <c r="P446" s="19"/>
      <c r="Q446" s="19"/>
      <c r="R446" s="19"/>
    </row>
    <row r="447" spans="11:18" x14ac:dyDescent="0.2">
      <c r="K447" s="19" t="s">
        <v>1271</v>
      </c>
      <c r="L447" s="19"/>
      <c r="M447" s="19"/>
      <c r="N447" s="19"/>
      <c r="O447" s="19"/>
      <c r="P447" s="19"/>
      <c r="Q447" s="19"/>
      <c r="R447" s="19"/>
    </row>
    <row r="448" spans="11:18" x14ac:dyDescent="0.2">
      <c r="K448" s="19" t="s">
        <v>1273</v>
      </c>
      <c r="L448" s="19"/>
      <c r="M448" s="19"/>
      <c r="N448" s="19"/>
      <c r="O448" s="19"/>
      <c r="P448" s="19"/>
      <c r="Q448" s="19"/>
      <c r="R448" s="19"/>
    </row>
    <row r="449" spans="11:18" x14ac:dyDescent="0.2">
      <c r="K449" s="19" t="s">
        <v>1302</v>
      </c>
      <c r="L449" s="19"/>
      <c r="M449" s="19"/>
      <c r="N449" s="19"/>
      <c r="O449" s="19"/>
      <c r="P449" s="19"/>
      <c r="Q449" s="19"/>
      <c r="R449" s="19"/>
    </row>
    <row r="450" spans="11:18" x14ac:dyDescent="0.2">
      <c r="K450" s="19" t="s">
        <v>1944</v>
      </c>
      <c r="L450" s="19"/>
      <c r="M450" s="19"/>
      <c r="N450" s="19"/>
      <c r="O450" s="19"/>
      <c r="P450" s="19"/>
      <c r="Q450" s="19"/>
      <c r="R450" s="19"/>
    </row>
    <row r="451" spans="11:18" x14ac:dyDescent="0.2">
      <c r="K451" s="19" t="s">
        <v>1945</v>
      </c>
      <c r="L451" s="19"/>
      <c r="M451" s="19"/>
      <c r="N451" s="19"/>
      <c r="O451" s="19"/>
      <c r="P451" s="19"/>
      <c r="Q451" s="19"/>
      <c r="R451" s="19"/>
    </row>
    <row r="452" spans="11:18" x14ac:dyDescent="0.2">
      <c r="K452" s="19" t="s">
        <v>1946</v>
      </c>
      <c r="L452" s="19"/>
      <c r="M452" s="19"/>
      <c r="N452" s="19"/>
      <c r="O452" s="19"/>
      <c r="P452" s="19"/>
      <c r="Q452" s="19"/>
      <c r="R452" s="19"/>
    </row>
    <row r="453" spans="11:18" x14ac:dyDescent="0.2">
      <c r="K453" s="19" t="s">
        <v>1305</v>
      </c>
      <c r="L453" s="19"/>
      <c r="M453" s="19"/>
      <c r="N453" s="19"/>
      <c r="O453" s="19"/>
      <c r="P453" s="19"/>
      <c r="Q453" s="19"/>
      <c r="R453" s="19"/>
    </row>
    <row r="454" spans="11:18" x14ac:dyDescent="0.2">
      <c r="K454" s="19" t="s">
        <v>1286</v>
      </c>
      <c r="L454" s="19"/>
      <c r="M454" s="19"/>
      <c r="N454" s="19"/>
      <c r="O454" s="19"/>
      <c r="P454" s="19"/>
      <c r="Q454" s="19"/>
      <c r="R454" s="19"/>
    </row>
    <row r="455" spans="11:18" x14ac:dyDescent="0.2">
      <c r="K455" s="19" t="s">
        <v>1947</v>
      </c>
      <c r="L455" s="19"/>
      <c r="M455" s="19"/>
      <c r="N455" s="19"/>
      <c r="O455" s="19"/>
      <c r="P455" s="19"/>
      <c r="Q455" s="19"/>
      <c r="R455" s="19"/>
    </row>
    <row r="456" spans="11:18" x14ac:dyDescent="0.2">
      <c r="K456" s="19" t="s">
        <v>1295</v>
      </c>
      <c r="L456" s="19"/>
      <c r="M456" s="19"/>
      <c r="N456" s="19"/>
      <c r="O456" s="19"/>
      <c r="P456" s="19"/>
      <c r="Q456" s="19"/>
      <c r="R456" s="19"/>
    </row>
    <row r="457" spans="11:18" x14ac:dyDescent="0.2">
      <c r="K457" s="19" t="s">
        <v>1948</v>
      </c>
      <c r="L457" s="19"/>
      <c r="M457" s="19"/>
      <c r="N457" s="19"/>
      <c r="O457" s="19"/>
      <c r="P457" s="19"/>
      <c r="Q457" s="19"/>
      <c r="R457" s="19"/>
    </row>
    <row r="458" spans="11:18" x14ac:dyDescent="0.2">
      <c r="K458" s="19" t="s">
        <v>1949</v>
      </c>
      <c r="L458" s="19"/>
      <c r="M458" s="19"/>
      <c r="N458" s="19"/>
      <c r="O458" s="19"/>
      <c r="P458" s="19"/>
      <c r="Q458" s="19"/>
      <c r="R458" s="19"/>
    </row>
    <row r="459" spans="11:18" x14ac:dyDescent="0.2">
      <c r="K459" s="19" t="s">
        <v>1950</v>
      </c>
      <c r="L459" s="19"/>
      <c r="M459" s="19"/>
      <c r="N459" s="19"/>
      <c r="O459" s="19"/>
      <c r="P459" s="19"/>
      <c r="Q459" s="19"/>
      <c r="R459" s="19"/>
    </row>
    <row r="460" spans="11:18" x14ac:dyDescent="0.2">
      <c r="K460" s="19" t="s">
        <v>1298</v>
      </c>
      <c r="L460" s="19"/>
      <c r="M460" s="19"/>
      <c r="N460" s="19"/>
      <c r="O460" s="19"/>
      <c r="P460" s="19"/>
      <c r="Q460" s="19"/>
      <c r="R460" s="19"/>
    </row>
    <row r="461" spans="11:18" x14ac:dyDescent="0.2">
      <c r="K461" s="19" t="s">
        <v>1301</v>
      </c>
      <c r="L461" s="19"/>
      <c r="M461" s="19"/>
      <c r="N461" s="19"/>
      <c r="O461" s="19"/>
      <c r="P461" s="19"/>
      <c r="Q461" s="19"/>
      <c r="R461" s="19"/>
    </row>
    <row r="462" spans="11:18" x14ac:dyDescent="0.2">
      <c r="K462" s="19" t="s">
        <v>1951</v>
      </c>
      <c r="L462" s="19"/>
      <c r="M462" s="19"/>
      <c r="N462" s="19"/>
      <c r="O462" s="19"/>
      <c r="P462" s="19"/>
      <c r="Q462" s="19"/>
      <c r="R462" s="19"/>
    </row>
    <row r="463" spans="11:18" x14ac:dyDescent="0.2">
      <c r="K463" s="19" t="s">
        <v>1323</v>
      </c>
      <c r="L463" s="19"/>
      <c r="M463" s="19"/>
      <c r="N463" s="19"/>
      <c r="O463" s="19"/>
      <c r="P463" s="19"/>
      <c r="Q463" s="19"/>
      <c r="R463" s="19"/>
    </row>
    <row r="464" spans="11:18" x14ac:dyDescent="0.2">
      <c r="K464" s="19" t="s">
        <v>1326</v>
      </c>
      <c r="L464" s="19"/>
      <c r="M464" s="19"/>
      <c r="N464" s="19"/>
      <c r="O464" s="19"/>
      <c r="P464" s="19"/>
      <c r="Q464" s="19"/>
      <c r="R464" s="19"/>
    </row>
    <row r="465" spans="11:18" x14ac:dyDescent="0.2">
      <c r="K465" s="19" t="s">
        <v>1307</v>
      </c>
      <c r="L465" s="19"/>
      <c r="M465" s="19"/>
      <c r="N465" s="19"/>
      <c r="O465" s="19"/>
      <c r="P465" s="19"/>
      <c r="Q465" s="19"/>
      <c r="R465" s="19"/>
    </row>
    <row r="466" spans="11:18" x14ac:dyDescent="0.2">
      <c r="K466" s="19" t="s">
        <v>1952</v>
      </c>
      <c r="L466" s="19"/>
      <c r="M466" s="19"/>
      <c r="N466" s="19"/>
      <c r="O466" s="19"/>
      <c r="P466" s="19"/>
      <c r="Q466" s="19"/>
      <c r="R466" s="19"/>
    </row>
    <row r="467" spans="11:18" x14ac:dyDescent="0.2">
      <c r="K467" s="19" t="s">
        <v>1309</v>
      </c>
      <c r="L467" s="19"/>
      <c r="M467" s="19"/>
      <c r="N467" s="19"/>
      <c r="O467" s="19"/>
      <c r="P467" s="19"/>
      <c r="Q467" s="19"/>
      <c r="R467" s="19"/>
    </row>
    <row r="468" spans="11:18" x14ac:dyDescent="0.2">
      <c r="K468" s="19" t="s">
        <v>1311</v>
      </c>
      <c r="L468" s="19"/>
      <c r="M468" s="19"/>
      <c r="N468" s="19"/>
      <c r="O468" s="19"/>
      <c r="P468" s="19"/>
      <c r="Q468" s="19"/>
      <c r="R468" s="19"/>
    </row>
    <row r="469" spans="11:18" x14ac:dyDescent="0.2">
      <c r="K469" s="19" t="s">
        <v>1314</v>
      </c>
      <c r="L469" s="19"/>
      <c r="M469" s="19"/>
      <c r="N469" s="19"/>
      <c r="O469" s="19"/>
      <c r="P469" s="19"/>
      <c r="Q469" s="19"/>
      <c r="R469" s="19"/>
    </row>
    <row r="470" spans="11:18" x14ac:dyDescent="0.2">
      <c r="K470" s="19" t="s">
        <v>1328</v>
      </c>
      <c r="L470" s="19"/>
      <c r="M470" s="19"/>
      <c r="N470" s="19"/>
      <c r="O470" s="19"/>
      <c r="P470" s="19"/>
      <c r="Q470" s="19"/>
      <c r="R470" s="19"/>
    </row>
    <row r="471" spans="11:18" x14ac:dyDescent="0.2">
      <c r="K471" s="19" t="s">
        <v>1331</v>
      </c>
      <c r="L471" s="19"/>
      <c r="M471" s="19"/>
      <c r="N471" s="19"/>
      <c r="O471" s="19"/>
      <c r="P471" s="19"/>
      <c r="Q471" s="19"/>
      <c r="R471" s="19"/>
    </row>
    <row r="472" spans="11:18" x14ac:dyDescent="0.2">
      <c r="K472" s="19" t="s">
        <v>1333</v>
      </c>
      <c r="L472" s="19"/>
      <c r="M472" s="19"/>
      <c r="N472" s="19"/>
      <c r="O472" s="19"/>
      <c r="P472" s="19"/>
      <c r="Q472" s="19"/>
      <c r="R472" s="19"/>
    </row>
    <row r="473" spans="11:18" x14ac:dyDescent="0.2">
      <c r="K473" s="19" t="s">
        <v>1335</v>
      </c>
      <c r="L473" s="19"/>
      <c r="M473" s="19"/>
      <c r="N473" s="19"/>
      <c r="O473" s="19"/>
      <c r="P473" s="19"/>
      <c r="Q473" s="19"/>
      <c r="R473" s="19"/>
    </row>
    <row r="474" spans="11:18" x14ac:dyDescent="0.2">
      <c r="K474" s="19" t="s">
        <v>1337</v>
      </c>
      <c r="L474" s="19"/>
      <c r="M474" s="19"/>
      <c r="N474" s="19"/>
      <c r="O474" s="19"/>
      <c r="P474" s="19"/>
      <c r="Q474" s="19"/>
      <c r="R474" s="19"/>
    </row>
    <row r="475" spans="11:18" x14ac:dyDescent="0.2">
      <c r="K475" s="19" t="s">
        <v>1953</v>
      </c>
      <c r="L475" s="19"/>
      <c r="M475" s="19"/>
      <c r="N475" s="19"/>
      <c r="O475" s="19"/>
      <c r="P475" s="19"/>
      <c r="Q475" s="19"/>
      <c r="R475" s="19"/>
    </row>
    <row r="476" spans="11:18" x14ac:dyDescent="0.2">
      <c r="K476" s="19" t="s">
        <v>1954</v>
      </c>
      <c r="L476" s="19"/>
      <c r="M476" s="19"/>
      <c r="N476" s="19"/>
      <c r="O476" s="19"/>
      <c r="P476" s="19"/>
      <c r="Q476" s="19"/>
      <c r="R476" s="19"/>
    </row>
    <row r="477" spans="11:18" x14ac:dyDescent="0.2">
      <c r="K477" s="19" t="s">
        <v>1955</v>
      </c>
      <c r="L477" s="19"/>
      <c r="M477" s="19"/>
      <c r="N477" s="19"/>
      <c r="O477" s="19"/>
      <c r="P477" s="19"/>
      <c r="Q477" s="19"/>
      <c r="R477" s="19"/>
    </row>
    <row r="478" spans="11:18" x14ac:dyDescent="0.2">
      <c r="K478" s="19" t="s">
        <v>1956</v>
      </c>
      <c r="L478" s="19"/>
      <c r="M478" s="19"/>
      <c r="N478" s="19"/>
      <c r="O478" s="19"/>
      <c r="P478" s="19"/>
      <c r="Q478" s="19"/>
      <c r="R478" s="19"/>
    </row>
    <row r="479" spans="11:18" x14ac:dyDescent="0.2">
      <c r="K479" s="19" t="s">
        <v>1957</v>
      </c>
      <c r="L479" s="19"/>
      <c r="M479" s="19"/>
      <c r="N479" s="19"/>
      <c r="O479" s="19"/>
      <c r="P479" s="19"/>
      <c r="Q479" s="19"/>
      <c r="R479" s="19"/>
    </row>
    <row r="480" spans="11:18" x14ac:dyDescent="0.2">
      <c r="K480" s="19" t="s">
        <v>1350</v>
      </c>
      <c r="L480" s="19"/>
      <c r="M480" s="19"/>
      <c r="N480" s="19"/>
      <c r="O480" s="19"/>
      <c r="P480" s="19"/>
      <c r="Q480" s="19"/>
      <c r="R480" s="19"/>
    </row>
    <row r="481" spans="11:18" x14ac:dyDescent="0.2">
      <c r="K481" s="19" t="s">
        <v>1353</v>
      </c>
      <c r="L481" s="19"/>
      <c r="M481" s="19"/>
      <c r="N481" s="19"/>
      <c r="O481" s="19"/>
      <c r="P481" s="19"/>
      <c r="Q481" s="19"/>
      <c r="R481" s="19"/>
    </row>
    <row r="482" spans="11:18" x14ac:dyDescent="0.2">
      <c r="K482" s="19" t="s">
        <v>1374</v>
      </c>
      <c r="L482" s="19"/>
      <c r="M482" s="19"/>
      <c r="N482" s="19"/>
      <c r="O482" s="19"/>
      <c r="P482" s="19"/>
      <c r="Q482" s="19"/>
      <c r="R482" s="19"/>
    </row>
    <row r="483" spans="11:18" x14ac:dyDescent="0.2">
      <c r="K483" s="19" t="s">
        <v>1377</v>
      </c>
      <c r="L483" s="19"/>
      <c r="M483" s="19"/>
      <c r="N483" s="19"/>
      <c r="O483" s="19"/>
      <c r="P483" s="19"/>
      <c r="Q483" s="19"/>
      <c r="R483" s="19"/>
    </row>
    <row r="484" spans="11:18" x14ac:dyDescent="0.2">
      <c r="K484" s="19" t="s">
        <v>1358</v>
      </c>
      <c r="L484" s="19"/>
      <c r="M484" s="19"/>
      <c r="N484" s="19"/>
      <c r="O484" s="19"/>
      <c r="P484" s="19"/>
      <c r="Q484" s="19"/>
      <c r="R484" s="19"/>
    </row>
    <row r="485" spans="11:18" x14ac:dyDescent="0.2">
      <c r="K485" s="19" t="s">
        <v>1364</v>
      </c>
      <c r="L485" s="19"/>
      <c r="M485" s="19"/>
      <c r="N485" s="19"/>
      <c r="O485" s="19"/>
      <c r="P485" s="19"/>
      <c r="Q485" s="19"/>
      <c r="R485" s="19"/>
    </row>
    <row r="486" spans="11:18" x14ac:dyDescent="0.2">
      <c r="K486" s="19" t="s">
        <v>1958</v>
      </c>
      <c r="L486" s="19"/>
      <c r="M486" s="19"/>
      <c r="N486" s="19"/>
      <c r="O486" s="19"/>
      <c r="P486" s="19"/>
      <c r="Q486" s="19"/>
      <c r="R486" s="19"/>
    </row>
    <row r="487" spans="11:18" x14ac:dyDescent="0.2">
      <c r="K487" s="19" t="s">
        <v>1367</v>
      </c>
      <c r="L487" s="19"/>
      <c r="M487" s="19"/>
      <c r="N487" s="19"/>
      <c r="O487" s="19"/>
      <c r="P487" s="19"/>
      <c r="Q487" s="19"/>
      <c r="R487" s="19"/>
    </row>
    <row r="488" spans="11:18" x14ac:dyDescent="0.2">
      <c r="K488" s="19" t="s">
        <v>1959</v>
      </c>
      <c r="L488" s="19"/>
      <c r="M488" s="19"/>
      <c r="N488" s="19"/>
      <c r="O488" s="19"/>
      <c r="P488" s="19"/>
      <c r="Q488" s="19"/>
      <c r="R488" s="19"/>
    </row>
    <row r="489" spans="11:18" x14ac:dyDescent="0.2">
      <c r="K489" s="19" t="s">
        <v>1960</v>
      </c>
      <c r="L489" s="19"/>
      <c r="M489" s="19"/>
      <c r="N489" s="19"/>
      <c r="O489" s="19"/>
      <c r="P489" s="19"/>
      <c r="Q489" s="19"/>
      <c r="R489" s="19"/>
    </row>
    <row r="490" spans="11:18" x14ac:dyDescent="0.2">
      <c r="K490" s="19" t="s">
        <v>1961</v>
      </c>
      <c r="L490" s="19"/>
      <c r="M490" s="19"/>
      <c r="N490" s="19"/>
      <c r="O490" s="19"/>
      <c r="P490" s="19"/>
      <c r="Q490" s="19"/>
      <c r="R490" s="19"/>
    </row>
    <row r="491" spans="11:18" x14ac:dyDescent="0.2">
      <c r="K491" s="19" t="s">
        <v>1962</v>
      </c>
      <c r="L491" s="19"/>
      <c r="M491" s="19"/>
      <c r="N491" s="19"/>
      <c r="O491" s="19"/>
      <c r="P491" s="19"/>
      <c r="Q491" s="19"/>
      <c r="R491" s="19"/>
    </row>
    <row r="492" spans="11:18" x14ac:dyDescent="0.2">
      <c r="K492" s="19" t="s">
        <v>1373</v>
      </c>
      <c r="L492" s="19"/>
      <c r="M492" s="19"/>
      <c r="N492" s="19"/>
      <c r="O492" s="19"/>
      <c r="P492" s="19"/>
      <c r="Q492" s="19"/>
      <c r="R492" s="19"/>
    </row>
    <row r="493" spans="11:18" x14ac:dyDescent="0.2">
      <c r="K493" s="19" t="s">
        <v>1376</v>
      </c>
      <c r="L493" s="19"/>
      <c r="M493" s="19"/>
      <c r="N493" s="19"/>
      <c r="O493" s="19"/>
      <c r="P493" s="19"/>
      <c r="Q493" s="19"/>
      <c r="R493" s="19"/>
    </row>
    <row r="494" spans="11:18" x14ac:dyDescent="0.2">
      <c r="K494" s="19" t="s">
        <v>1963</v>
      </c>
      <c r="L494" s="19"/>
      <c r="M494" s="19"/>
      <c r="N494" s="19"/>
      <c r="O494" s="19"/>
      <c r="P494" s="19"/>
      <c r="Q494" s="19"/>
      <c r="R494" s="19"/>
    </row>
    <row r="495" spans="11:18" x14ac:dyDescent="0.2">
      <c r="K495" s="19" t="s">
        <v>1964</v>
      </c>
      <c r="L495" s="19"/>
      <c r="M495" s="19"/>
      <c r="N495" s="19"/>
      <c r="O495" s="19"/>
      <c r="P495" s="19"/>
      <c r="Q495" s="19"/>
      <c r="R495" s="19"/>
    </row>
    <row r="496" spans="11:18" x14ac:dyDescent="0.2">
      <c r="K496" s="19" t="s">
        <v>1379</v>
      </c>
      <c r="L496" s="19"/>
      <c r="M496" s="19"/>
      <c r="N496" s="19"/>
      <c r="O496" s="19"/>
      <c r="P496" s="19"/>
      <c r="Q496" s="19"/>
      <c r="R496" s="19"/>
    </row>
    <row r="497" spans="11:18" x14ac:dyDescent="0.2">
      <c r="K497" s="19" t="s">
        <v>1404</v>
      </c>
      <c r="L497" s="19"/>
      <c r="M497" s="19"/>
      <c r="N497" s="19"/>
      <c r="O497" s="19"/>
      <c r="P497" s="19"/>
      <c r="Q497" s="19"/>
      <c r="R497" s="19"/>
    </row>
    <row r="498" spans="11:18" x14ac:dyDescent="0.2">
      <c r="K498" s="19" t="s">
        <v>1407</v>
      </c>
      <c r="L498" s="19"/>
      <c r="M498" s="19"/>
      <c r="N498" s="19"/>
      <c r="O498" s="19"/>
      <c r="P498" s="19"/>
      <c r="Q498" s="19"/>
      <c r="R498" s="19"/>
    </row>
    <row r="499" spans="11:18" x14ac:dyDescent="0.2">
      <c r="K499" s="19" t="s">
        <v>1965</v>
      </c>
      <c r="L499" s="19"/>
      <c r="M499" s="19"/>
      <c r="N499" s="19"/>
      <c r="O499" s="19"/>
      <c r="P499" s="19"/>
      <c r="Q499" s="19"/>
      <c r="R499" s="19"/>
    </row>
    <row r="500" spans="11:18" x14ac:dyDescent="0.2">
      <c r="K500" s="19" t="s">
        <v>1395</v>
      </c>
      <c r="L500" s="19"/>
      <c r="M500" s="19"/>
      <c r="N500" s="19"/>
      <c r="O500" s="19"/>
      <c r="P500" s="19"/>
      <c r="Q500" s="19"/>
      <c r="R500" s="19"/>
    </row>
    <row r="501" spans="11:18" x14ac:dyDescent="0.2">
      <c r="K501" s="19" t="s">
        <v>1403</v>
      </c>
      <c r="L501" s="19"/>
      <c r="M501" s="19"/>
      <c r="N501" s="19"/>
      <c r="O501" s="19"/>
      <c r="P501" s="19"/>
      <c r="Q501" s="19"/>
      <c r="R501" s="19"/>
    </row>
    <row r="502" spans="11:18" x14ac:dyDescent="0.2">
      <c r="K502" s="19" t="s">
        <v>1409</v>
      </c>
      <c r="L502" s="19"/>
      <c r="M502" s="19"/>
      <c r="N502" s="19"/>
      <c r="O502" s="19"/>
      <c r="P502" s="19"/>
      <c r="Q502" s="19"/>
      <c r="R502" s="19"/>
    </row>
    <row r="503" spans="11:18" x14ac:dyDescent="0.2">
      <c r="K503" s="19" t="s">
        <v>1412</v>
      </c>
      <c r="L503" s="19"/>
      <c r="M503" s="19"/>
      <c r="N503" s="19"/>
      <c r="O503" s="19"/>
      <c r="P503" s="19"/>
      <c r="Q503" s="19"/>
      <c r="R503" s="19"/>
    </row>
    <row r="504" spans="11:18" x14ac:dyDescent="0.2">
      <c r="K504" s="19" t="s">
        <v>1414</v>
      </c>
      <c r="L504" s="19"/>
      <c r="M504" s="19"/>
      <c r="N504" s="19"/>
      <c r="O504" s="19"/>
      <c r="P504" s="19"/>
      <c r="Q504" s="19"/>
      <c r="R504" s="19"/>
    </row>
    <row r="505" spans="11:18" x14ac:dyDescent="0.2">
      <c r="K505" s="19" t="s">
        <v>1416</v>
      </c>
      <c r="L505" s="19"/>
      <c r="M505" s="19"/>
      <c r="N505" s="19"/>
      <c r="O505" s="19"/>
      <c r="P505" s="19"/>
      <c r="Q505" s="19"/>
      <c r="R505" s="19"/>
    </row>
    <row r="506" spans="11:18" x14ac:dyDescent="0.2">
      <c r="K506" s="19" t="s">
        <v>1419</v>
      </c>
      <c r="L506" s="19"/>
      <c r="M506" s="19"/>
      <c r="N506" s="19"/>
      <c r="O506" s="19"/>
      <c r="P506" s="19"/>
      <c r="Q506" s="19"/>
      <c r="R506" s="19"/>
    </row>
    <row r="507" spans="11:18" x14ac:dyDescent="0.2">
      <c r="K507" s="19" t="s">
        <v>1423</v>
      </c>
      <c r="L507" s="19"/>
      <c r="M507" s="19"/>
      <c r="N507" s="19"/>
      <c r="O507" s="19"/>
      <c r="P507" s="19"/>
      <c r="Q507" s="19"/>
      <c r="R507" s="19"/>
    </row>
    <row r="508" spans="11:18" x14ac:dyDescent="0.2">
      <c r="K508" s="19" t="s">
        <v>1431</v>
      </c>
      <c r="L508" s="19"/>
      <c r="M508" s="19"/>
      <c r="N508" s="19"/>
      <c r="O508" s="19"/>
      <c r="P508" s="19"/>
      <c r="Q508" s="19"/>
      <c r="R508" s="19"/>
    </row>
    <row r="509" spans="11:18" x14ac:dyDescent="0.2">
      <c r="K509" s="19" t="s">
        <v>1433</v>
      </c>
      <c r="L509" s="19"/>
      <c r="M509" s="19"/>
      <c r="N509" s="19"/>
      <c r="O509" s="19"/>
      <c r="P509" s="19"/>
      <c r="Q509" s="19"/>
      <c r="R509" s="19"/>
    </row>
    <row r="510" spans="11:18" x14ac:dyDescent="0.2">
      <c r="K510" s="19" t="s">
        <v>1444</v>
      </c>
      <c r="L510" s="19"/>
      <c r="M510" s="19"/>
      <c r="N510" s="19"/>
      <c r="O510" s="19"/>
      <c r="P510" s="19"/>
      <c r="Q510" s="19"/>
      <c r="R510" s="19"/>
    </row>
    <row r="511" spans="11:18" x14ac:dyDescent="0.2">
      <c r="K511" s="19" t="s">
        <v>1437</v>
      </c>
      <c r="L511" s="19"/>
      <c r="M511" s="19"/>
      <c r="N511" s="19"/>
      <c r="O511" s="19"/>
      <c r="P511" s="19"/>
      <c r="Q511" s="19"/>
      <c r="R511" s="19"/>
    </row>
    <row r="512" spans="11:18" x14ac:dyDescent="0.2">
      <c r="K512" s="19" t="s">
        <v>1439</v>
      </c>
      <c r="L512" s="19"/>
      <c r="M512" s="19"/>
      <c r="N512" s="19"/>
      <c r="O512" s="19"/>
      <c r="P512" s="19"/>
      <c r="Q512" s="19"/>
      <c r="R512" s="19"/>
    </row>
    <row r="513" spans="11:18" x14ac:dyDescent="0.2">
      <c r="K513" s="19" t="s">
        <v>1443</v>
      </c>
      <c r="L513" s="19"/>
      <c r="M513" s="19"/>
      <c r="N513" s="19"/>
      <c r="O513" s="19"/>
      <c r="P513" s="19"/>
      <c r="Q513" s="19"/>
      <c r="R513" s="19"/>
    </row>
    <row r="514" spans="11:18" x14ac:dyDescent="0.2">
      <c r="K514" s="19" t="s">
        <v>1456</v>
      </c>
      <c r="L514" s="19"/>
      <c r="M514" s="19"/>
      <c r="N514" s="19"/>
      <c r="O514" s="19"/>
      <c r="P514" s="19"/>
      <c r="Q514" s="19"/>
      <c r="R514" s="19"/>
    </row>
    <row r="515" spans="11:18" x14ac:dyDescent="0.2">
      <c r="K515" s="19" t="s">
        <v>1966</v>
      </c>
      <c r="L515" s="19"/>
      <c r="M515" s="19"/>
      <c r="N515" s="19"/>
      <c r="O515" s="19"/>
      <c r="P515" s="19"/>
      <c r="Q515" s="19"/>
      <c r="R515" s="19"/>
    </row>
    <row r="516" spans="11:18" x14ac:dyDescent="0.2">
      <c r="K516" s="19" t="s">
        <v>1459</v>
      </c>
      <c r="L516" s="19"/>
      <c r="M516" s="19"/>
      <c r="N516" s="19"/>
      <c r="O516" s="19"/>
      <c r="P516" s="19"/>
      <c r="Q516" s="19"/>
      <c r="R516" s="19"/>
    </row>
    <row r="517" spans="11:18" x14ac:dyDescent="0.2">
      <c r="K517" s="19" t="s">
        <v>1461</v>
      </c>
      <c r="L517" s="19"/>
      <c r="M517" s="19"/>
      <c r="N517" s="19"/>
      <c r="O517" s="19"/>
      <c r="P517" s="19"/>
      <c r="Q517" s="19"/>
      <c r="R517" s="19"/>
    </row>
    <row r="518" spans="11:18" x14ac:dyDescent="0.2">
      <c r="K518" s="19" t="s">
        <v>1466</v>
      </c>
      <c r="L518" s="19"/>
      <c r="M518" s="19"/>
      <c r="N518" s="19"/>
      <c r="O518" s="19"/>
      <c r="P518" s="19"/>
      <c r="Q518" s="19"/>
      <c r="R518" s="19"/>
    </row>
    <row r="519" spans="11:18" x14ac:dyDescent="0.2">
      <c r="K519" s="19" t="s">
        <v>1482</v>
      </c>
      <c r="L519" s="19"/>
      <c r="M519" s="19"/>
      <c r="N519" s="19"/>
      <c r="O519" s="19"/>
      <c r="P519" s="19"/>
      <c r="Q519" s="19"/>
      <c r="R519" s="19"/>
    </row>
    <row r="520" spans="11:18" x14ac:dyDescent="0.2">
      <c r="K520" s="19" t="s">
        <v>1475</v>
      </c>
      <c r="L520" s="19"/>
      <c r="M520" s="19"/>
      <c r="N520" s="19"/>
      <c r="O520" s="19"/>
      <c r="P520" s="19"/>
      <c r="Q520" s="19"/>
      <c r="R520" s="19"/>
    </row>
    <row r="521" spans="11:18" x14ac:dyDescent="0.2">
      <c r="K521" s="19" t="s">
        <v>1967</v>
      </c>
      <c r="L521" s="19"/>
      <c r="M521" s="19"/>
      <c r="N521" s="19"/>
      <c r="O521" s="19"/>
      <c r="P521" s="19"/>
      <c r="Q521" s="19"/>
      <c r="R521" s="19"/>
    </row>
    <row r="522" spans="11:18" x14ac:dyDescent="0.2">
      <c r="K522" s="19" t="s">
        <v>1477</v>
      </c>
      <c r="L522" s="19"/>
      <c r="M522" s="19"/>
      <c r="N522" s="19"/>
      <c r="O522" s="19"/>
      <c r="P522" s="19"/>
      <c r="Q522" s="19"/>
      <c r="R522" s="19"/>
    </row>
    <row r="523" spans="11:18" x14ac:dyDescent="0.2">
      <c r="K523" s="19" t="s">
        <v>1492</v>
      </c>
      <c r="L523" s="19"/>
      <c r="M523" s="19"/>
      <c r="N523" s="19"/>
      <c r="O523" s="19"/>
      <c r="P523" s="19"/>
      <c r="Q523" s="19"/>
      <c r="R523" s="19"/>
    </row>
    <row r="524" spans="11:18" x14ac:dyDescent="0.2">
      <c r="K524" s="19" t="s">
        <v>1479</v>
      </c>
      <c r="L524" s="19"/>
      <c r="M524" s="19"/>
      <c r="N524" s="19"/>
      <c r="O524" s="19"/>
      <c r="P524" s="19"/>
      <c r="Q524" s="19"/>
      <c r="R524" s="19"/>
    </row>
    <row r="525" spans="11:18" x14ac:dyDescent="0.2">
      <c r="K525" s="19" t="s">
        <v>1481</v>
      </c>
      <c r="L525" s="19"/>
      <c r="M525" s="19"/>
      <c r="N525" s="19"/>
      <c r="O525" s="19"/>
      <c r="P525" s="19"/>
      <c r="Q525" s="19"/>
      <c r="R525" s="19"/>
    </row>
    <row r="526" spans="11:18" x14ac:dyDescent="0.2">
      <c r="K526" s="19" t="s">
        <v>1484</v>
      </c>
      <c r="L526" s="19"/>
      <c r="M526" s="19"/>
      <c r="N526" s="19"/>
      <c r="O526" s="19"/>
      <c r="P526" s="19"/>
      <c r="Q526" s="19"/>
      <c r="R526" s="19"/>
    </row>
    <row r="527" spans="11:18" x14ac:dyDescent="0.2">
      <c r="K527" s="19" t="s">
        <v>1487</v>
      </c>
      <c r="L527" s="19"/>
      <c r="M527" s="19"/>
      <c r="N527" s="19"/>
      <c r="O527" s="19"/>
      <c r="P527" s="19"/>
      <c r="Q527" s="19"/>
      <c r="R527" s="19"/>
    </row>
    <row r="528" spans="11:18" x14ac:dyDescent="0.2">
      <c r="K528" s="19" t="s">
        <v>1501</v>
      </c>
      <c r="L528" s="19"/>
      <c r="M528" s="19"/>
      <c r="N528" s="19"/>
      <c r="O528" s="19"/>
      <c r="P528" s="19"/>
      <c r="Q528" s="19"/>
      <c r="R528" s="19"/>
    </row>
    <row r="529" spans="11:18" x14ac:dyDescent="0.2">
      <c r="K529" s="19" t="s">
        <v>1968</v>
      </c>
      <c r="L529" s="19"/>
      <c r="M529" s="19"/>
      <c r="N529" s="19"/>
      <c r="O529" s="19"/>
      <c r="P529" s="19"/>
      <c r="Q529" s="19"/>
      <c r="R529" s="19"/>
    </row>
    <row r="530" spans="11:18" x14ac:dyDescent="0.2">
      <c r="K530" s="19" t="s">
        <v>1494</v>
      </c>
      <c r="L530" s="19"/>
      <c r="M530" s="19"/>
      <c r="N530" s="19"/>
      <c r="O530" s="19"/>
      <c r="P530" s="19"/>
      <c r="Q530" s="19"/>
      <c r="R530" s="19"/>
    </row>
    <row r="531" spans="11:18" x14ac:dyDescent="0.2">
      <c r="K531" s="19" t="s">
        <v>1496</v>
      </c>
      <c r="L531" s="19"/>
      <c r="M531" s="19"/>
      <c r="N531" s="19"/>
      <c r="O531" s="19"/>
      <c r="P531" s="19"/>
      <c r="Q531" s="19"/>
      <c r="R531" s="19"/>
    </row>
    <row r="532" spans="11:18" x14ac:dyDescent="0.2">
      <c r="K532" s="19" t="s">
        <v>1498</v>
      </c>
      <c r="L532" s="19"/>
      <c r="M532" s="19"/>
      <c r="N532" s="19"/>
      <c r="O532" s="19"/>
      <c r="P532" s="19"/>
      <c r="Q532" s="19"/>
      <c r="R532" s="19"/>
    </row>
    <row r="533" spans="11:18" x14ac:dyDescent="0.2">
      <c r="K533" s="19" t="s">
        <v>1511</v>
      </c>
      <c r="L533" s="19"/>
      <c r="M533" s="19"/>
      <c r="N533" s="19"/>
      <c r="O533" s="19"/>
      <c r="P533" s="19"/>
      <c r="Q533" s="19"/>
      <c r="R533" s="19"/>
    </row>
    <row r="534" spans="11:18" x14ac:dyDescent="0.2">
      <c r="K534" s="19" t="s">
        <v>1969</v>
      </c>
      <c r="L534" s="19"/>
      <c r="M534" s="19"/>
      <c r="N534" s="19"/>
      <c r="O534" s="19"/>
      <c r="P534" s="19"/>
      <c r="Q534" s="19"/>
      <c r="R534" s="19"/>
    </row>
    <row r="535" spans="11:18" x14ac:dyDescent="0.2">
      <c r="K535" s="19" t="s">
        <v>1500</v>
      </c>
      <c r="L535" s="19"/>
      <c r="M535" s="19"/>
      <c r="N535" s="19"/>
      <c r="O535" s="19"/>
      <c r="P535" s="19"/>
      <c r="Q535" s="19"/>
      <c r="R535" s="19"/>
    </row>
    <row r="536" spans="11:18" x14ac:dyDescent="0.2">
      <c r="K536" s="19" t="s">
        <v>1508</v>
      </c>
      <c r="L536" s="19"/>
      <c r="M536" s="19"/>
      <c r="N536" s="19"/>
      <c r="O536" s="19"/>
      <c r="P536" s="19"/>
      <c r="Q536" s="19"/>
      <c r="R536" s="19"/>
    </row>
    <row r="537" spans="11:18" x14ac:dyDescent="0.2">
      <c r="K537" s="19" t="s">
        <v>1510</v>
      </c>
      <c r="L537" s="19"/>
      <c r="M537" s="19"/>
      <c r="N537" s="19"/>
      <c r="O537" s="19"/>
      <c r="P537" s="19"/>
      <c r="Q537" s="19"/>
      <c r="R537" s="19"/>
    </row>
    <row r="538" spans="11:18" x14ac:dyDescent="0.2">
      <c r="K538" s="19" t="s">
        <v>1970</v>
      </c>
      <c r="L538" s="19"/>
      <c r="M538" s="19"/>
      <c r="N538" s="19"/>
      <c r="O538" s="19"/>
      <c r="P538" s="19"/>
      <c r="Q538" s="19"/>
      <c r="R538" s="19"/>
    </row>
    <row r="539" spans="11:18" x14ac:dyDescent="0.2">
      <c r="K539" s="19" t="s">
        <v>1513</v>
      </c>
      <c r="L539" s="19"/>
      <c r="M539" s="19"/>
      <c r="N539" s="19"/>
      <c r="O539" s="19"/>
      <c r="P539" s="19"/>
      <c r="Q539" s="19"/>
      <c r="R539" s="19"/>
    </row>
    <row r="540" spans="11:18" x14ac:dyDescent="0.2">
      <c r="K540" s="19" t="s">
        <v>1971</v>
      </c>
      <c r="L540" s="19"/>
      <c r="M540" s="19"/>
      <c r="N540" s="19"/>
      <c r="O540" s="19"/>
      <c r="P540" s="19"/>
      <c r="Q540" s="19"/>
      <c r="R540" s="19"/>
    </row>
    <row r="541" spans="11:18" x14ac:dyDescent="0.2">
      <c r="K541" s="19" t="s">
        <v>1972</v>
      </c>
      <c r="L541" s="19"/>
      <c r="M541" s="19"/>
      <c r="N541" s="19"/>
      <c r="O541" s="19"/>
      <c r="P541" s="19"/>
      <c r="Q541" s="19"/>
      <c r="R541" s="19"/>
    </row>
    <row r="542" spans="11:18" x14ac:dyDescent="0.2">
      <c r="K542" s="19" t="s">
        <v>1515</v>
      </c>
      <c r="L542" s="19"/>
      <c r="M542" s="19"/>
      <c r="N542" s="19"/>
      <c r="O542" s="19"/>
      <c r="P542" s="19"/>
      <c r="Q542" s="19"/>
      <c r="R542" s="19"/>
    </row>
    <row r="543" spans="11:18" x14ac:dyDescent="0.2">
      <c r="K543" s="19" t="s">
        <v>1973</v>
      </c>
      <c r="L543" s="19"/>
      <c r="M543" s="19"/>
      <c r="N543" s="19"/>
      <c r="O543" s="19"/>
      <c r="P543" s="19"/>
      <c r="Q543" s="19"/>
      <c r="R543" s="19"/>
    </row>
    <row r="544" spans="11:18" x14ac:dyDescent="0.2">
      <c r="K544" s="19" t="s">
        <v>1528</v>
      </c>
      <c r="L544" s="19"/>
      <c r="M544" s="19"/>
      <c r="N544" s="19"/>
      <c r="O544" s="19"/>
      <c r="P544" s="19"/>
      <c r="Q544" s="19"/>
      <c r="R544" s="19"/>
    </row>
    <row r="545" spans="11:18" x14ac:dyDescent="0.2">
      <c r="K545" s="19" t="s">
        <v>1518</v>
      </c>
      <c r="L545" s="19"/>
      <c r="M545" s="19"/>
      <c r="N545" s="19"/>
      <c r="O545" s="19"/>
      <c r="P545" s="19"/>
      <c r="Q545" s="19"/>
      <c r="R545" s="19"/>
    </row>
    <row r="546" spans="11:18" x14ac:dyDescent="0.2">
      <c r="K546" s="19" t="s">
        <v>1974</v>
      </c>
      <c r="L546" s="19"/>
      <c r="M546" s="19"/>
      <c r="N546" s="19"/>
      <c r="O546" s="19"/>
      <c r="P546" s="19"/>
      <c r="Q546" s="19"/>
      <c r="R546" s="19"/>
    </row>
    <row r="547" spans="11:18" x14ac:dyDescent="0.2">
      <c r="K547" s="19" t="s">
        <v>1975</v>
      </c>
      <c r="L547" s="19"/>
      <c r="M547" s="19"/>
      <c r="N547" s="19"/>
      <c r="O547" s="19"/>
      <c r="P547" s="19"/>
      <c r="Q547" s="19"/>
      <c r="R547" s="19"/>
    </row>
    <row r="548" spans="11:18" x14ac:dyDescent="0.2">
      <c r="K548" s="19" t="s">
        <v>1525</v>
      </c>
      <c r="L548" s="19"/>
      <c r="M548" s="19"/>
      <c r="N548" s="19"/>
      <c r="O548" s="19"/>
      <c r="P548" s="19"/>
      <c r="Q548" s="19"/>
      <c r="R548" s="19"/>
    </row>
    <row r="549" spans="11:18" x14ac:dyDescent="0.2">
      <c r="K549" s="19" t="s">
        <v>1976</v>
      </c>
      <c r="L549" s="19"/>
      <c r="M549" s="19"/>
      <c r="N549" s="19"/>
      <c r="O549" s="19"/>
      <c r="P549" s="19"/>
      <c r="Q549" s="19"/>
      <c r="R549" s="19"/>
    </row>
    <row r="550" spans="11:18" x14ac:dyDescent="0.2">
      <c r="K550" s="19" t="s">
        <v>1527</v>
      </c>
      <c r="L550" s="19"/>
      <c r="M550" s="19"/>
      <c r="N550" s="19"/>
      <c r="O550" s="19"/>
      <c r="P550" s="19"/>
      <c r="Q550" s="19"/>
      <c r="R550" s="19"/>
    </row>
    <row r="551" spans="11:18" x14ac:dyDescent="0.2">
      <c r="K551" s="19" t="s">
        <v>1530</v>
      </c>
      <c r="L551" s="19"/>
      <c r="M551" s="19"/>
      <c r="N551" s="19"/>
      <c r="O551" s="19"/>
      <c r="P551" s="19"/>
      <c r="Q551" s="19"/>
      <c r="R551" s="19"/>
    </row>
    <row r="552" spans="11:18" x14ac:dyDescent="0.2">
      <c r="K552" s="19" t="s">
        <v>1977</v>
      </c>
      <c r="L552" s="19"/>
      <c r="M552" s="19"/>
      <c r="N552" s="19"/>
      <c r="O552" s="19"/>
      <c r="P552" s="19"/>
      <c r="Q552" s="19"/>
      <c r="R552" s="19"/>
    </row>
    <row r="553" spans="11:18" x14ac:dyDescent="0.2">
      <c r="K553" s="19" t="s">
        <v>1978</v>
      </c>
      <c r="L553" s="19"/>
      <c r="M553" s="19"/>
      <c r="N553" s="19"/>
      <c r="O553" s="19"/>
      <c r="P553" s="19"/>
      <c r="Q553" s="19"/>
      <c r="R553" s="19"/>
    </row>
    <row r="554" spans="11:18" x14ac:dyDescent="0.2">
      <c r="K554" s="19" t="s">
        <v>1535</v>
      </c>
      <c r="L554" s="19"/>
      <c r="M554" s="19"/>
      <c r="N554" s="19"/>
      <c r="O554" s="19"/>
      <c r="P554" s="19"/>
      <c r="Q554" s="19"/>
      <c r="R554" s="19"/>
    </row>
    <row r="555" spans="11:18" x14ac:dyDescent="0.2">
      <c r="K555" s="19" t="s">
        <v>1979</v>
      </c>
      <c r="L555" s="19"/>
      <c r="M555" s="19"/>
      <c r="N555" s="19"/>
      <c r="O555" s="19"/>
      <c r="P555" s="19"/>
      <c r="Q555" s="19"/>
      <c r="R555" s="19"/>
    </row>
    <row r="556" spans="11:18" x14ac:dyDescent="0.2">
      <c r="K556" s="19" t="s">
        <v>1549</v>
      </c>
      <c r="L556" s="19"/>
      <c r="M556" s="19"/>
      <c r="N556" s="19"/>
      <c r="O556" s="19"/>
      <c r="P556" s="19"/>
      <c r="Q556" s="19"/>
      <c r="R556" s="19"/>
    </row>
    <row r="557" spans="11:18" x14ac:dyDescent="0.2">
      <c r="K557" s="19" t="s">
        <v>1558</v>
      </c>
      <c r="L557" s="19"/>
      <c r="M557" s="19"/>
      <c r="N557" s="19"/>
      <c r="O557" s="19"/>
      <c r="P557" s="19"/>
      <c r="Q557" s="19"/>
      <c r="R557" s="19"/>
    </row>
    <row r="558" spans="11:18" x14ac:dyDescent="0.2">
      <c r="K558" s="19" t="s">
        <v>1561</v>
      </c>
      <c r="L558" s="19"/>
      <c r="M558" s="19"/>
      <c r="N558" s="19"/>
      <c r="O558" s="19"/>
      <c r="P558" s="19"/>
      <c r="Q558" s="19"/>
      <c r="R558" s="19"/>
    </row>
    <row r="559" spans="11:18" x14ac:dyDescent="0.2">
      <c r="K559" s="19" t="s">
        <v>1980</v>
      </c>
      <c r="L559" s="19"/>
      <c r="M559" s="19"/>
      <c r="N559" s="19"/>
      <c r="O559" s="19"/>
      <c r="P559" s="19"/>
      <c r="Q559" s="19"/>
      <c r="R559" s="19"/>
    </row>
    <row r="560" spans="11:18" x14ac:dyDescent="0.2">
      <c r="K560" s="19" t="s">
        <v>1981</v>
      </c>
      <c r="L560" s="19"/>
      <c r="M560" s="19"/>
      <c r="N560" s="19"/>
      <c r="O560" s="19"/>
      <c r="P560" s="19"/>
      <c r="Q560" s="19"/>
      <c r="R560" s="19"/>
    </row>
    <row r="561" spans="11:18" x14ac:dyDescent="0.2">
      <c r="K561" s="19" t="s">
        <v>1565</v>
      </c>
      <c r="L561" s="19"/>
      <c r="M561" s="19"/>
      <c r="N561" s="19"/>
      <c r="O561" s="19"/>
      <c r="P561" s="19"/>
      <c r="Q561" s="19"/>
      <c r="R561" s="19"/>
    </row>
    <row r="562" spans="11:18" x14ac:dyDescent="0.2">
      <c r="K562" s="19" t="s">
        <v>1569</v>
      </c>
      <c r="L562" s="19"/>
      <c r="M562" s="19"/>
      <c r="N562" s="19"/>
      <c r="O562" s="19"/>
      <c r="P562" s="19"/>
      <c r="Q562" s="19"/>
      <c r="R562" s="19"/>
    </row>
    <row r="563" spans="11:18" x14ac:dyDescent="0.2">
      <c r="K563" s="19" t="s">
        <v>1576</v>
      </c>
      <c r="L563" s="19"/>
      <c r="M563" s="19"/>
      <c r="N563" s="19"/>
      <c r="O563" s="19"/>
      <c r="P563" s="19"/>
      <c r="Q563" s="19"/>
      <c r="R563" s="19"/>
    </row>
    <row r="564" spans="11:18" x14ac:dyDescent="0.2">
      <c r="K564" s="19" t="s">
        <v>1590</v>
      </c>
      <c r="L564" s="19"/>
      <c r="M564" s="19"/>
      <c r="N564" s="19"/>
      <c r="O564" s="19"/>
      <c r="P564" s="19"/>
      <c r="Q564" s="19"/>
      <c r="R564" s="19"/>
    </row>
    <row r="565" spans="11:18" x14ac:dyDescent="0.2">
      <c r="K565" s="19" t="s">
        <v>1982</v>
      </c>
      <c r="L565" s="19"/>
      <c r="M565" s="19"/>
      <c r="N565" s="19"/>
      <c r="O565" s="19"/>
      <c r="P565" s="19"/>
      <c r="Q565" s="19"/>
      <c r="R565" s="19"/>
    </row>
    <row r="566" spans="11:18" x14ac:dyDescent="0.2">
      <c r="K566" s="19" t="s">
        <v>1983</v>
      </c>
      <c r="L566" s="19"/>
      <c r="M566" s="19"/>
      <c r="N566" s="19"/>
      <c r="O566" s="19"/>
      <c r="P566" s="19"/>
      <c r="Q566" s="19"/>
      <c r="R566" s="19"/>
    </row>
    <row r="567" spans="11:18" x14ac:dyDescent="0.2">
      <c r="K567" s="19" t="s">
        <v>1581</v>
      </c>
      <c r="L567" s="19"/>
      <c r="M567" s="19"/>
      <c r="N567" s="19"/>
      <c r="O567" s="19"/>
      <c r="P567" s="19"/>
      <c r="Q567" s="19"/>
      <c r="R567" s="19"/>
    </row>
    <row r="568" spans="11:18" x14ac:dyDescent="0.2">
      <c r="K568" s="19" t="s">
        <v>1984</v>
      </c>
      <c r="L568" s="19"/>
      <c r="M568" s="19"/>
      <c r="N568" s="19"/>
      <c r="O568" s="19"/>
      <c r="P568" s="19"/>
      <c r="Q568" s="19"/>
      <c r="R568" s="19"/>
    </row>
    <row r="569" spans="11:18" x14ac:dyDescent="0.2">
      <c r="K569" s="19" t="s">
        <v>1985</v>
      </c>
      <c r="L569" s="19"/>
      <c r="M569" s="19"/>
      <c r="N569" s="19"/>
      <c r="O569" s="19"/>
      <c r="P569" s="19"/>
      <c r="Q569" s="19"/>
      <c r="R569" s="19"/>
    </row>
    <row r="570" spans="11:18" x14ac:dyDescent="0.2">
      <c r="K570" s="19" t="s">
        <v>1986</v>
      </c>
      <c r="L570" s="19"/>
      <c r="M570" s="19"/>
      <c r="N570" s="19"/>
      <c r="O570" s="19"/>
      <c r="P570" s="19"/>
      <c r="Q570" s="19"/>
      <c r="R570" s="19"/>
    </row>
    <row r="571" spans="11:18" x14ac:dyDescent="0.2">
      <c r="K571" s="19" t="s">
        <v>1606</v>
      </c>
      <c r="L571" s="19"/>
      <c r="M571" s="19"/>
      <c r="N571" s="19"/>
      <c r="O571" s="19"/>
      <c r="P571" s="19"/>
      <c r="Q571" s="19"/>
      <c r="R571" s="19"/>
    </row>
    <row r="572" spans="11:18" x14ac:dyDescent="0.2">
      <c r="K572" s="19" t="s">
        <v>1987</v>
      </c>
      <c r="L572" s="19"/>
      <c r="M572" s="19"/>
      <c r="N572" s="19"/>
      <c r="O572" s="19"/>
      <c r="P572" s="19"/>
      <c r="Q572" s="19"/>
      <c r="R572" s="19"/>
    </row>
    <row r="573" spans="11:18" x14ac:dyDescent="0.2">
      <c r="K573" s="19" t="s">
        <v>1988</v>
      </c>
      <c r="L573" s="19"/>
      <c r="M573" s="19"/>
      <c r="N573" s="19"/>
      <c r="O573" s="19"/>
      <c r="P573" s="19"/>
      <c r="Q573" s="19"/>
      <c r="R573" s="19"/>
    </row>
    <row r="574" spans="11:18" x14ac:dyDescent="0.2">
      <c r="K574" s="19" t="s">
        <v>1605</v>
      </c>
      <c r="L574" s="19"/>
      <c r="M574" s="19"/>
      <c r="N574" s="19"/>
      <c r="O574" s="19"/>
      <c r="P574" s="19"/>
      <c r="Q574" s="19"/>
      <c r="R574" s="19"/>
    </row>
    <row r="575" spans="11:18" x14ac:dyDescent="0.2">
      <c r="K575" s="19" t="s">
        <v>1608</v>
      </c>
      <c r="L575" s="19"/>
      <c r="M575" s="19"/>
      <c r="N575" s="19"/>
      <c r="O575" s="19"/>
      <c r="P575" s="19"/>
      <c r="Q575" s="19"/>
      <c r="R575" s="19"/>
    </row>
    <row r="576" spans="11:18" x14ac:dyDescent="0.2">
      <c r="K576" s="19" t="s">
        <v>1613</v>
      </c>
      <c r="L576" s="19"/>
      <c r="M576" s="19"/>
      <c r="N576" s="19"/>
      <c r="O576" s="19"/>
      <c r="P576" s="19"/>
      <c r="Q576" s="19"/>
      <c r="R576" s="19"/>
    </row>
    <row r="577" spans="11:18" x14ac:dyDescent="0.2">
      <c r="K577" s="19" t="s">
        <v>1616</v>
      </c>
      <c r="L577" s="19"/>
      <c r="M577" s="19"/>
      <c r="N577" s="19"/>
      <c r="O577" s="19"/>
      <c r="P577" s="19"/>
      <c r="Q577" s="19"/>
      <c r="R577" s="19"/>
    </row>
    <row r="578" spans="11:18" x14ac:dyDescent="0.2">
      <c r="K578" s="19" t="s">
        <v>1624</v>
      </c>
      <c r="L578" s="19"/>
      <c r="M578" s="19"/>
      <c r="N578" s="19"/>
      <c r="O578" s="19"/>
      <c r="P578" s="19"/>
      <c r="Q578" s="19"/>
      <c r="R578" s="19"/>
    </row>
    <row r="579" spans="11:18" x14ac:dyDescent="0.2">
      <c r="K579" s="19" t="s">
        <v>1629</v>
      </c>
      <c r="L579" s="19"/>
      <c r="M579" s="19"/>
      <c r="N579" s="19"/>
      <c r="O579" s="19"/>
      <c r="P579" s="19"/>
      <c r="Q579" s="19"/>
      <c r="R579" s="19"/>
    </row>
    <row r="580" spans="11:18" x14ac:dyDescent="0.2">
      <c r="K580" s="19" t="s">
        <v>1635</v>
      </c>
      <c r="L580" s="19"/>
      <c r="M580" s="19"/>
      <c r="N580" s="19"/>
      <c r="O580" s="19"/>
      <c r="P580" s="19"/>
      <c r="Q580" s="19"/>
      <c r="R580" s="19"/>
    </row>
    <row r="581" spans="11:18" x14ac:dyDescent="0.2">
      <c r="K581" s="19" t="s">
        <v>1637</v>
      </c>
      <c r="L581" s="19"/>
      <c r="M581" s="19"/>
      <c r="N581" s="19"/>
      <c r="O581" s="19"/>
      <c r="P581" s="19"/>
      <c r="Q581" s="19"/>
      <c r="R581" s="19"/>
    </row>
    <row r="582" spans="11:18" x14ac:dyDescent="0.2">
      <c r="K582" s="19" t="s">
        <v>1643</v>
      </c>
      <c r="L582" s="19"/>
      <c r="M582" s="19"/>
      <c r="N582" s="19"/>
      <c r="O582" s="19"/>
      <c r="P582" s="19"/>
      <c r="Q582" s="19"/>
      <c r="R582" s="19"/>
    </row>
    <row r="583" spans="11:18" x14ac:dyDescent="0.2">
      <c r="K583" s="19" t="s">
        <v>1989</v>
      </c>
      <c r="L583" s="19"/>
      <c r="M583" s="19"/>
      <c r="N583" s="19"/>
      <c r="O583" s="19"/>
      <c r="P583" s="19"/>
      <c r="Q583" s="19"/>
      <c r="R583" s="19"/>
    </row>
    <row r="584" spans="11:18" x14ac:dyDescent="0.2">
      <c r="K584" s="19" t="s">
        <v>1649</v>
      </c>
      <c r="L584" s="19"/>
      <c r="M584" s="19"/>
      <c r="N584" s="19"/>
      <c r="O584" s="19"/>
      <c r="P584" s="19"/>
      <c r="Q584" s="19"/>
      <c r="R584" s="19"/>
    </row>
    <row r="585" spans="11:18" x14ac:dyDescent="0.2">
      <c r="K585" s="19" t="s">
        <v>1658</v>
      </c>
      <c r="L585" s="19"/>
      <c r="M585" s="19"/>
      <c r="N585" s="19"/>
      <c r="O585" s="19"/>
      <c r="P585" s="19"/>
      <c r="Q585" s="19"/>
      <c r="R585" s="19"/>
    </row>
    <row r="586" spans="11:18" x14ac:dyDescent="0.2">
      <c r="K586" s="19" t="s">
        <v>1661</v>
      </c>
      <c r="L586" s="19"/>
      <c r="M586" s="19"/>
      <c r="N586" s="19"/>
      <c r="O586" s="19"/>
      <c r="P586" s="19"/>
      <c r="Q586" s="19"/>
      <c r="R586" s="19"/>
    </row>
    <row r="587" spans="11:18" x14ac:dyDescent="0.2">
      <c r="K587" s="19" t="s">
        <v>1990</v>
      </c>
      <c r="L587" s="19"/>
      <c r="M587" s="19"/>
      <c r="N587" s="19"/>
      <c r="O587" s="19"/>
      <c r="P587" s="19"/>
      <c r="Q587" s="19"/>
      <c r="R587" s="19"/>
    </row>
    <row r="588" spans="11:18" x14ac:dyDescent="0.2">
      <c r="K588" s="19" t="s">
        <v>1991</v>
      </c>
      <c r="L588" s="19"/>
      <c r="M588" s="19"/>
      <c r="N588" s="19"/>
      <c r="O588" s="19"/>
      <c r="P588" s="19"/>
      <c r="Q588" s="19"/>
      <c r="R588" s="19"/>
    </row>
    <row r="589" spans="11:18" x14ac:dyDescent="0.2">
      <c r="K589" s="19" t="s">
        <v>1676</v>
      </c>
      <c r="L589" s="19"/>
      <c r="M589" s="19"/>
      <c r="N589" s="19"/>
      <c r="O589" s="19"/>
      <c r="P589" s="19"/>
      <c r="Q589" s="19"/>
      <c r="R589" s="19"/>
    </row>
    <row r="590" spans="11:18" x14ac:dyDescent="0.2">
      <c r="K590" s="19" t="s">
        <v>1678</v>
      </c>
      <c r="L590" s="19"/>
      <c r="M590" s="19"/>
      <c r="N590" s="19"/>
      <c r="O590" s="19"/>
      <c r="P590" s="19"/>
      <c r="Q590" s="19"/>
      <c r="R590" s="19"/>
    </row>
    <row r="591" spans="11:18" x14ac:dyDescent="0.2">
      <c r="K591" s="19" t="s">
        <v>1680</v>
      </c>
      <c r="L591" s="19"/>
      <c r="M591" s="19"/>
      <c r="N591" s="19"/>
      <c r="O591" s="19"/>
      <c r="P591" s="19"/>
      <c r="Q591" s="19"/>
      <c r="R591" s="19"/>
    </row>
    <row r="592" spans="11:18" x14ac:dyDescent="0.2">
      <c r="K592" s="19" t="s">
        <v>1695</v>
      </c>
      <c r="L592" s="19"/>
      <c r="M592" s="19"/>
      <c r="N592" s="19"/>
      <c r="O592" s="19"/>
      <c r="P592" s="19"/>
      <c r="Q592" s="19"/>
      <c r="R592" s="19"/>
    </row>
    <row r="593" spans="11:18" x14ac:dyDescent="0.2">
      <c r="K593" s="19" t="s">
        <v>1992</v>
      </c>
      <c r="L593" s="19"/>
      <c r="M593" s="19"/>
      <c r="N593" s="19"/>
      <c r="O593" s="19"/>
      <c r="P593" s="19"/>
      <c r="Q593" s="19"/>
      <c r="R593" s="19"/>
    </row>
    <row r="594" spans="11:18" x14ac:dyDescent="0.2">
      <c r="K594" s="19" t="s">
        <v>1993</v>
      </c>
      <c r="L594" s="19"/>
      <c r="M594" s="19"/>
      <c r="N594" s="19"/>
      <c r="O594" s="19"/>
      <c r="P594" s="19"/>
      <c r="Q594" s="19"/>
      <c r="R594" s="19"/>
    </row>
    <row r="595" spans="11:18" x14ac:dyDescent="0.2">
      <c r="K595" s="19" t="s">
        <v>1994</v>
      </c>
      <c r="L595" s="19"/>
      <c r="M595" s="19"/>
      <c r="N595" s="19"/>
      <c r="O595" s="19"/>
      <c r="P595" s="19"/>
      <c r="Q595" s="19"/>
      <c r="R595" s="19"/>
    </row>
    <row r="596" spans="11:18" x14ac:dyDescent="0.2">
      <c r="K596" s="19" t="s">
        <v>1689</v>
      </c>
      <c r="L596" s="19"/>
      <c r="M596" s="19"/>
      <c r="N596" s="19"/>
      <c r="O596" s="19"/>
      <c r="P596" s="19"/>
      <c r="Q596" s="19"/>
      <c r="R596" s="19"/>
    </row>
    <row r="597" spans="11:18" x14ac:dyDescent="0.2">
      <c r="K597" s="19" t="s">
        <v>1720</v>
      </c>
      <c r="L597" s="19"/>
      <c r="M597" s="19"/>
      <c r="N597" s="19"/>
      <c r="O597" s="19"/>
      <c r="P597" s="19"/>
      <c r="Q597" s="19"/>
      <c r="R597" s="19"/>
    </row>
    <row r="598" spans="11:18" x14ac:dyDescent="0.2">
      <c r="K598" s="19" t="s">
        <v>1723</v>
      </c>
      <c r="L598" s="19"/>
      <c r="M598" s="19"/>
      <c r="N598" s="19"/>
      <c r="O598" s="19"/>
      <c r="P598" s="19"/>
      <c r="Q598" s="19"/>
      <c r="R598" s="19"/>
    </row>
    <row r="599" spans="11:18" x14ac:dyDescent="0.2">
      <c r="K599" s="19" t="s">
        <v>1995</v>
      </c>
      <c r="L599" s="19"/>
      <c r="M599" s="19"/>
      <c r="N599" s="19"/>
      <c r="O599" s="19"/>
      <c r="P599" s="19"/>
      <c r="Q599" s="19"/>
      <c r="R599" s="19"/>
    </row>
    <row r="600" spans="11:18" x14ac:dyDescent="0.2">
      <c r="K600" s="19" t="s">
        <v>1996</v>
      </c>
      <c r="L600" s="19"/>
      <c r="M600" s="19"/>
      <c r="N600" s="19"/>
      <c r="O600" s="19"/>
      <c r="P600" s="19"/>
      <c r="Q600" s="19"/>
      <c r="R600" s="19"/>
    </row>
    <row r="601" spans="11:18" x14ac:dyDescent="0.2">
      <c r="K601" s="19" t="s">
        <v>1997</v>
      </c>
      <c r="L601" s="19"/>
      <c r="M601" s="19"/>
      <c r="N601" s="19"/>
      <c r="O601" s="19"/>
      <c r="P601" s="19"/>
      <c r="Q601" s="19"/>
      <c r="R601" s="19"/>
    </row>
    <row r="602" spans="11:18" x14ac:dyDescent="0.2">
      <c r="K602" s="19" t="s">
        <v>1998</v>
      </c>
      <c r="L602" s="19"/>
      <c r="M602" s="19"/>
      <c r="N602" s="19"/>
      <c r="O602" s="19"/>
      <c r="P602" s="19"/>
      <c r="Q602" s="19"/>
      <c r="R602" s="19"/>
    </row>
    <row r="603" spans="11:18" x14ac:dyDescent="0.2">
      <c r="K603" s="19" t="s">
        <v>1703</v>
      </c>
      <c r="L603" s="19"/>
      <c r="M603" s="19"/>
      <c r="N603" s="19"/>
      <c r="O603" s="19"/>
      <c r="P603" s="19"/>
      <c r="Q603" s="19"/>
      <c r="R603" s="19"/>
    </row>
    <row r="604" spans="11:18" x14ac:dyDescent="0.2">
      <c r="K604" s="19" t="s">
        <v>1741</v>
      </c>
      <c r="L604" s="19"/>
      <c r="M604" s="19"/>
      <c r="N604" s="19"/>
      <c r="O604" s="19"/>
      <c r="P604" s="19"/>
      <c r="Q604" s="19"/>
      <c r="R604" s="19"/>
    </row>
    <row r="605" spans="11:18" x14ac:dyDescent="0.2">
      <c r="K605" s="19" t="s">
        <v>1706</v>
      </c>
      <c r="L605" s="19"/>
      <c r="M605" s="19"/>
      <c r="N605" s="19"/>
      <c r="O605" s="19"/>
      <c r="P605" s="19"/>
      <c r="Q605" s="19"/>
      <c r="R605" s="19"/>
    </row>
    <row r="606" spans="11:18" x14ac:dyDescent="0.2">
      <c r="K606" s="19" t="s">
        <v>1709</v>
      </c>
      <c r="L606" s="19"/>
      <c r="M606" s="19"/>
      <c r="N606" s="19"/>
      <c r="O606" s="19"/>
      <c r="P606" s="19"/>
      <c r="Q606" s="19"/>
      <c r="R606" s="19"/>
    </row>
    <row r="607" spans="11:18" x14ac:dyDescent="0.2">
      <c r="K607" s="19" t="s">
        <v>1712</v>
      </c>
      <c r="L607" s="19"/>
      <c r="M607" s="19"/>
      <c r="N607" s="19"/>
      <c r="O607" s="19"/>
      <c r="P607" s="19"/>
      <c r="Q607" s="19"/>
      <c r="R607" s="19"/>
    </row>
    <row r="608" spans="11:18" x14ac:dyDescent="0.2">
      <c r="K608" s="19" t="s">
        <v>1714</v>
      </c>
      <c r="L608" s="19"/>
      <c r="M608" s="19"/>
      <c r="N608" s="19"/>
      <c r="O608" s="19"/>
      <c r="P608" s="19"/>
      <c r="Q608" s="19"/>
      <c r="R608" s="19"/>
    </row>
    <row r="609" spans="11:18" x14ac:dyDescent="0.2">
      <c r="K609" s="19" t="s">
        <v>1716</v>
      </c>
      <c r="L609" s="19"/>
      <c r="M609" s="19"/>
      <c r="N609" s="19"/>
      <c r="O609" s="19"/>
      <c r="P609" s="19"/>
      <c r="Q609" s="19"/>
      <c r="R609" s="19"/>
    </row>
    <row r="610" spans="11:18" x14ac:dyDescent="0.2">
      <c r="K610" s="19" t="s">
        <v>1999</v>
      </c>
      <c r="L610" s="19"/>
      <c r="M610" s="19"/>
      <c r="N610" s="19"/>
      <c r="O610" s="19"/>
      <c r="P610" s="19"/>
      <c r="Q610" s="19"/>
      <c r="R610" s="19"/>
    </row>
    <row r="611" spans="11:18" x14ac:dyDescent="0.2">
      <c r="K611" s="19" t="s">
        <v>2000</v>
      </c>
      <c r="L611" s="19"/>
      <c r="M611" s="19"/>
      <c r="N611" s="19"/>
      <c r="O611" s="19"/>
      <c r="P611" s="19"/>
      <c r="Q611" s="19"/>
      <c r="R611" s="19"/>
    </row>
    <row r="612" spans="11:18" x14ac:dyDescent="0.2">
      <c r="K612" s="19" t="s">
        <v>2001</v>
      </c>
      <c r="L612" s="19"/>
      <c r="M612" s="19"/>
      <c r="N612" s="19"/>
      <c r="O612" s="19"/>
      <c r="P612" s="19"/>
      <c r="Q612" s="19"/>
      <c r="R612" s="19"/>
    </row>
    <row r="613" spans="11:18" x14ac:dyDescent="0.2">
      <c r="K613" s="19" t="s">
        <v>2002</v>
      </c>
      <c r="L613" s="19"/>
      <c r="M613" s="19"/>
      <c r="N613" s="19"/>
      <c r="O613" s="19"/>
      <c r="P613" s="19"/>
      <c r="Q613" s="19"/>
      <c r="R613" s="19"/>
    </row>
    <row r="614" spans="11:18" x14ac:dyDescent="0.2">
      <c r="K614" s="19" t="s">
        <v>2003</v>
      </c>
      <c r="L614" s="19"/>
      <c r="M614" s="19"/>
      <c r="N614" s="19"/>
      <c r="O614" s="19"/>
      <c r="P614" s="19"/>
      <c r="Q614" s="19"/>
      <c r="R614" s="19"/>
    </row>
    <row r="615" spans="11:18" x14ac:dyDescent="0.2">
      <c r="K615" s="19" t="s">
        <v>1730</v>
      </c>
      <c r="L615" s="19"/>
      <c r="M615" s="19"/>
      <c r="N615" s="19"/>
      <c r="O615" s="19"/>
      <c r="P615" s="19"/>
      <c r="Q615" s="19"/>
      <c r="R615" s="19"/>
    </row>
    <row r="616" spans="11:18" x14ac:dyDescent="0.2">
      <c r="K616" s="19" t="s">
        <v>1733</v>
      </c>
      <c r="L616" s="19"/>
      <c r="M616" s="19"/>
      <c r="N616" s="19"/>
      <c r="O616" s="19"/>
      <c r="P616" s="19"/>
      <c r="Q616" s="19"/>
      <c r="R616" s="19"/>
    </row>
    <row r="617" spans="11:18" x14ac:dyDescent="0.2">
      <c r="K617" s="19" t="s">
        <v>1736</v>
      </c>
      <c r="L617" s="19"/>
      <c r="M617" s="19"/>
      <c r="N617" s="19"/>
      <c r="O617" s="19"/>
      <c r="P617" s="19"/>
      <c r="Q617" s="19"/>
      <c r="R617" s="19"/>
    </row>
    <row r="618" spans="11:18" x14ac:dyDescent="0.2">
      <c r="K618" s="19" t="s">
        <v>2004</v>
      </c>
      <c r="L618" s="19"/>
      <c r="M618" s="19"/>
      <c r="N618" s="19"/>
      <c r="O618" s="19"/>
      <c r="P618" s="19"/>
      <c r="Q618" s="19"/>
      <c r="R618" s="19"/>
    </row>
    <row r="619" spans="11:18" x14ac:dyDescent="0.2">
      <c r="K619" s="19" t="s">
        <v>2005</v>
      </c>
      <c r="L619" s="19"/>
      <c r="M619" s="19"/>
      <c r="N619" s="19"/>
      <c r="O619" s="19"/>
      <c r="P619" s="19"/>
      <c r="Q619" s="19"/>
      <c r="R619" s="19"/>
    </row>
    <row r="620" spans="11:18" x14ac:dyDescent="0.2">
      <c r="K620" s="19" t="s">
        <v>1774</v>
      </c>
      <c r="L620" s="19"/>
      <c r="M620" s="19"/>
      <c r="N620" s="19"/>
      <c r="O620" s="19"/>
      <c r="P620" s="19"/>
      <c r="Q620" s="19"/>
      <c r="R620" s="19"/>
    </row>
    <row r="621" spans="11:18" x14ac:dyDescent="0.2">
      <c r="K621" s="19" t="s">
        <v>1777</v>
      </c>
      <c r="L621" s="19"/>
      <c r="M621" s="19"/>
      <c r="N621" s="19"/>
      <c r="O621" s="19"/>
      <c r="P621" s="19"/>
      <c r="Q621" s="19"/>
      <c r="R621" s="19"/>
    </row>
    <row r="622" spans="11:18" x14ac:dyDescent="0.2">
      <c r="K622" s="19" t="s">
        <v>1749</v>
      </c>
      <c r="L622" s="19"/>
      <c r="M622" s="19"/>
      <c r="N622" s="19"/>
      <c r="O622" s="19"/>
      <c r="P622" s="19"/>
      <c r="Q622" s="19"/>
      <c r="R622" s="19"/>
    </row>
    <row r="623" spans="11:18" x14ac:dyDescent="0.2">
      <c r="K623" s="19" t="s">
        <v>1752</v>
      </c>
      <c r="L623" s="19"/>
      <c r="M623" s="19"/>
      <c r="N623" s="19"/>
      <c r="O623" s="19"/>
      <c r="P623" s="19"/>
      <c r="Q623" s="19"/>
      <c r="R623" s="19"/>
    </row>
    <row r="624" spans="11:18" x14ac:dyDescent="0.2">
      <c r="K624" s="19" t="s">
        <v>1755</v>
      </c>
      <c r="L624" s="19"/>
      <c r="M624" s="19"/>
      <c r="N624" s="19"/>
      <c r="O624" s="19"/>
      <c r="P624" s="19"/>
      <c r="Q624" s="19"/>
      <c r="R624" s="19"/>
    </row>
    <row r="625" spans="11:18" x14ac:dyDescent="0.2">
      <c r="K625" s="19" t="s">
        <v>2006</v>
      </c>
      <c r="L625" s="19"/>
      <c r="M625" s="19"/>
      <c r="N625" s="19"/>
      <c r="O625" s="19"/>
      <c r="P625" s="19"/>
      <c r="Q625" s="19"/>
      <c r="R625" s="19"/>
    </row>
    <row r="626" spans="11:18" x14ac:dyDescent="0.2">
      <c r="K626" s="19" t="s">
        <v>1758</v>
      </c>
      <c r="L626" s="19"/>
      <c r="M626" s="19"/>
      <c r="N626" s="19"/>
      <c r="O626" s="19"/>
      <c r="P626" s="19"/>
      <c r="Q626" s="19"/>
      <c r="R626" s="19"/>
    </row>
    <row r="627" spans="11:18" x14ac:dyDescent="0.2">
      <c r="K627" s="19" t="s">
        <v>1799</v>
      </c>
      <c r="L627" s="19"/>
      <c r="M627" s="19"/>
      <c r="N627" s="19"/>
      <c r="O627" s="19"/>
      <c r="P627" s="19"/>
      <c r="Q627" s="19"/>
      <c r="R627" s="19"/>
    </row>
    <row r="628" spans="11:18" x14ac:dyDescent="0.2">
      <c r="K628" s="19" t="s">
        <v>1764</v>
      </c>
      <c r="L628" s="19"/>
      <c r="M628" s="19"/>
      <c r="N628" s="19"/>
      <c r="O628" s="19"/>
      <c r="P628" s="19"/>
      <c r="Q628" s="19"/>
      <c r="R628" s="19"/>
    </row>
    <row r="629" spans="11:18" x14ac:dyDescent="0.2">
      <c r="K629" s="19" t="s">
        <v>1766</v>
      </c>
      <c r="L629" s="19"/>
      <c r="M629" s="19"/>
      <c r="N629" s="19"/>
      <c r="O629" s="19"/>
      <c r="P629" s="19"/>
      <c r="Q629" s="19"/>
      <c r="R629" s="19"/>
    </row>
    <row r="630" spans="11:18" x14ac:dyDescent="0.2">
      <c r="K630" s="19" t="s">
        <v>1768</v>
      </c>
      <c r="L630" s="19"/>
      <c r="M630" s="19"/>
      <c r="N630" s="19"/>
      <c r="O630" s="19"/>
      <c r="P630" s="19"/>
      <c r="Q630" s="19"/>
      <c r="R630" s="19"/>
    </row>
    <row r="631" spans="11:18" x14ac:dyDescent="0.2">
      <c r="K631" s="19" t="s">
        <v>1782</v>
      </c>
      <c r="L631" s="19"/>
      <c r="M631" s="19"/>
      <c r="N631" s="19"/>
      <c r="O631" s="19"/>
      <c r="P631" s="19"/>
      <c r="Q631" s="19"/>
      <c r="R631" s="19"/>
    </row>
    <row r="632" spans="11:18" x14ac:dyDescent="0.2">
      <c r="K632" s="19" t="s">
        <v>1791</v>
      </c>
      <c r="L632" s="19"/>
      <c r="M632" s="19"/>
      <c r="N632" s="19"/>
      <c r="O632" s="19"/>
      <c r="P632" s="19"/>
      <c r="Q632" s="19"/>
      <c r="R632" s="19"/>
    </row>
    <row r="633" spans="11:18" x14ac:dyDescent="0.2">
      <c r="K633" s="19" t="s">
        <v>1793</v>
      </c>
      <c r="L633" s="19"/>
      <c r="M633" s="19"/>
      <c r="N633" s="19"/>
      <c r="O633" s="19"/>
      <c r="P633" s="19"/>
      <c r="Q633" s="19"/>
      <c r="R633" s="19"/>
    </row>
    <row r="634" spans="11:18" x14ac:dyDescent="0.2">
      <c r="K634" s="19" t="s">
        <v>1795</v>
      </c>
      <c r="L634" s="19"/>
      <c r="M634" s="19"/>
      <c r="N634" s="19"/>
      <c r="O634" s="19"/>
      <c r="P634" s="19"/>
      <c r="Q634" s="19"/>
      <c r="R634" s="19"/>
    </row>
    <row r="635" spans="11:18" x14ac:dyDescent="0.2">
      <c r="K635" s="19" t="s">
        <v>1803</v>
      </c>
      <c r="L635" s="19"/>
      <c r="M635" s="19"/>
      <c r="N635" s="19"/>
      <c r="O635" s="19"/>
      <c r="P635" s="19"/>
      <c r="Q635" s="19"/>
      <c r="R635" s="19"/>
    </row>
    <row r="636" spans="11:18" x14ac:dyDescent="0.2">
      <c r="K636" s="19" t="s">
        <v>1805</v>
      </c>
      <c r="L636" s="19"/>
      <c r="M636" s="19"/>
      <c r="N636" s="19"/>
      <c r="O636" s="19"/>
      <c r="P636" s="19"/>
      <c r="Q636" s="19"/>
      <c r="R636" s="19"/>
    </row>
    <row r="637" spans="11:18" x14ac:dyDescent="0.2">
      <c r="K637" s="19" t="s">
        <v>1833</v>
      </c>
      <c r="L637" s="19"/>
      <c r="M637" s="19"/>
      <c r="N637" s="19"/>
      <c r="O637" s="19"/>
      <c r="P637" s="19"/>
      <c r="Q637" s="19"/>
      <c r="R637" s="19"/>
    </row>
    <row r="638" spans="11:18" x14ac:dyDescent="0.2">
      <c r="K638" s="19" t="s">
        <v>2007</v>
      </c>
      <c r="L638" s="19"/>
      <c r="M638" s="19"/>
      <c r="N638" s="19"/>
      <c r="O638" s="19"/>
      <c r="P638" s="19"/>
      <c r="Q638" s="19"/>
      <c r="R638" s="19"/>
    </row>
    <row r="639" spans="11:18" x14ac:dyDescent="0.2">
      <c r="K639" s="19" t="s">
        <v>2008</v>
      </c>
      <c r="L639" s="19"/>
      <c r="M639" s="19"/>
      <c r="N639" s="19"/>
      <c r="O639" s="19"/>
      <c r="P639" s="19"/>
      <c r="Q639" s="19"/>
      <c r="R639" s="19"/>
    </row>
    <row r="640" spans="11:18" x14ac:dyDescent="0.2">
      <c r="K640" s="19" t="s">
        <v>1810</v>
      </c>
      <c r="L640" s="19"/>
      <c r="M640" s="19"/>
      <c r="N640" s="19"/>
      <c r="O640" s="19"/>
      <c r="P640" s="19"/>
      <c r="Q640" s="19"/>
      <c r="R640" s="19"/>
    </row>
    <row r="641" spans="11:18" x14ac:dyDescent="0.2">
      <c r="K641" s="19" t="s">
        <v>1817</v>
      </c>
      <c r="L641" s="19"/>
      <c r="M641" s="19"/>
      <c r="N641" s="19"/>
      <c r="O641" s="19"/>
      <c r="P641" s="19"/>
      <c r="Q641" s="19"/>
      <c r="R641" s="19"/>
    </row>
    <row r="642" spans="11:18" x14ac:dyDescent="0.2">
      <c r="K642" s="19" t="s">
        <v>1819</v>
      </c>
      <c r="L642" s="19"/>
      <c r="M642" s="19"/>
      <c r="N642" s="19"/>
      <c r="O642" s="19"/>
      <c r="P642" s="19"/>
      <c r="Q642" s="19"/>
      <c r="R642" s="19"/>
    </row>
    <row r="643" spans="11:18" x14ac:dyDescent="0.2">
      <c r="K643" s="19" t="s">
        <v>2009</v>
      </c>
      <c r="L643" s="19"/>
      <c r="M643" s="19"/>
      <c r="N643" s="19"/>
      <c r="O643" s="19"/>
      <c r="P643" s="19"/>
      <c r="Q643" s="19"/>
      <c r="R643" s="19"/>
    </row>
    <row r="644" spans="11:18" x14ac:dyDescent="0.2">
      <c r="K644" s="19" t="s">
        <v>2010</v>
      </c>
      <c r="L644" s="19"/>
      <c r="M644" s="19"/>
      <c r="N644" s="19"/>
      <c r="O644" s="19"/>
      <c r="P644" s="19"/>
      <c r="Q644" s="19"/>
      <c r="R644" s="19"/>
    </row>
    <row r="645" spans="11:18" x14ac:dyDescent="0.2">
      <c r="K645" s="19" t="s">
        <v>1823</v>
      </c>
      <c r="L645" s="19"/>
      <c r="M645" s="19"/>
      <c r="N645" s="19"/>
      <c r="O645" s="19"/>
      <c r="P645" s="19"/>
      <c r="Q645" s="19"/>
      <c r="R645" s="19"/>
    </row>
    <row r="646" spans="11:18" x14ac:dyDescent="0.2">
      <c r="K646" s="19" t="s">
        <v>1825</v>
      </c>
      <c r="L646" s="19"/>
      <c r="M646" s="19"/>
      <c r="N646" s="19"/>
      <c r="O646" s="19"/>
      <c r="P646" s="19"/>
      <c r="Q646" s="19"/>
      <c r="R646" s="19"/>
    </row>
    <row r="647" spans="11:18" x14ac:dyDescent="0.2">
      <c r="K647" s="19" t="s">
        <v>1828</v>
      </c>
      <c r="L647" s="19"/>
      <c r="M647" s="19"/>
      <c r="N647" s="19"/>
      <c r="O647" s="19"/>
      <c r="P647" s="19"/>
      <c r="Q647" s="19"/>
      <c r="R647" s="19"/>
    </row>
    <row r="648" spans="11:18" x14ac:dyDescent="0.2">
      <c r="K648" s="19" t="s">
        <v>1862</v>
      </c>
      <c r="L648" s="19"/>
      <c r="M648" s="19"/>
      <c r="N648" s="19"/>
      <c r="O648" s="19"/>
      <c r="P648" s="19"/>
      <c r="Q648" s="19"/>
      <c r="R648" s="19"/>
    </row>
    <row r="649" spans="11:18" x14ac:dyDescent="0.2">
      <c r="K649" s="19" t="s">
        <v>1865</v>
      </c>
      <c r="L649" s="19"/>
      <c r="M649" s="19"/>
      <c r="N649" s="19"/>
      <c r="O649" s="19"/>
      <c r="P649" s="19"/>
      <c r="Q649" s="19"/>
      <c r="R649" s="19"/>
    </row>
    <row r="650" spans="11:18" x14ac:dyDescent="0.2">
      <c r="K650" s="19" t="s">
        <v>2011</v>
      </c>
      <c r="L650" s="19"/>
      <c r="M650" s="19"/>
      <c r="N650" s="19"/>
      <c r="O650" s="19"/>
      <c r="P650" s="19"/>
      <c r="Q650" s="19"/>
      <c r="R650" s="19"/>
    </row>
    <row r="651" spans="11:18" x14ac:dyDescent="0.2">
      <c r="K651" s="19" t="s">
        <v>2012</v>
      </c>
      <c r="L651" s="19"/>
      <c r="M651" s="19"/>
      <c r="N651" s="19"/>
      <c r="O651" s="19"/>
      <c r="P651" s="19"/>
      <c r="Q651" s="19"/>
      <c r="R651" s="19"/>
    </row>
    <row r="652" spans="11:18" x14ac:dyDescent="0.2">
      <c r="K652" s="19" t="s">
        <v>1868</v>
      </c>
      <c r="L652" s="19"/>
      <c r="M652" s="19"/>
      <c r="N652" s="19"/>
      <c r="O652" s="19"/>
      <c r="P652" s="19"/>
      <c r="Q652" s="19"/>
      <c r="R652" s="19"/>
    </row>
    <row r="653" spans="11:18" x14ac:dyDescent="0.2">
      <c r="K653" s="19" t="s">
        <v>1830</v>
      </c>
      <c r="L653" s="19"/>
      <c r="M653" s="19"/>
      <c r="N653" s="19"/>
      <c r="O653" s="19"/>
      <c r="P653" s="19"/>
      <c r="Q653" s="19"/>
      <c r="R653" s="19"/>
    </row>
    <row r="654" spans="11:18" x14ac:dyDescent="0.2">
      <c r="K654" s="19" t="s">
        <v>1835</v>
      </c>
      <c r="L654" s="19"/>
      <c r="M654" s="19"/>
      <c r="N654" s="19"/>
      <c r="O654" s="19"/>
      <c r="P654" s="19"/>
      <c r="Q654" s="19"/>
      <c r="R654" s="19"/>
    </row>
    <row r="655" spans="11:18" x14ac:dyDescent="0.2">
      <c r="K655" s="19" t="s">
        <v>1884</v>
      </c>
      <c r="L655" s="19"/>
      <c r="M655" s="19"/>
      <c r="N655" s="19"/>
      <c r="O655" s="19"/>
      <c r="P655" s="19"/>
      <c r="Q655" s="19"/>
      <c r="R655" s="19"/>
    </row>
    <row r="656" spans="11:18" x14ac:dyDescent="0.2">
      <c r="K656" s="19" t="s">
        <v>2013</v>
      </c>
      <c r="L656" s="19"/>
      <c r="M656" s="19"/>
      <c r="N656" s="19"/>
      <c r="O656" s="19"/>
      <c r="P656" s="19"/>
      <c r="Q656" s="19"/>
      <c r="R656" s="19"/>
    </row>
    <row r="657" spans="11:18" x14ac:dyDescent="0.2">
      <c r="K657" s="19" t="s">
        <v>2014</v>
      </c>
      <c r="L657" s="19"/>
      <c r="M657" s="19"/>
      <c r="N657" s="19"/>
      <c r="O657" s="19"/>
      <c r="P657" s="19"/>
      <c r="Q657" s="19"/>
      <c r="R657" s="19"/>
    </row>
    <row r="658" spans="11:18" x14ac:dyDescent="0.2">
      <c r="K658" s="19" t="s">
        <v>1837</v>
      </c>
      <c r="L658" s="19"/>
      <c r="M658" s="19"/>
      <c r="N658" s="19"/>
      <c r="O658" s="19"/>
      <c r="P658" s="19"/>
      <c r="Q658" s="19"/>
      <c r="R658" s="19"/>
    </row>
    <row r="659" spans="11:18" x14ac:dyDescent="0.2">
      <c r="K659" s="19" t="s">
        <v>2015</v>
      </c>
      <c r="L659" s="19"/>
      <c r="M659" s="19"/>
      <c r="N659" s="19"/>
      <c r="O659" s="19"/>
      <c r="P659" s="19"/>
      <c r="Q659" s="19"/>
      <c r="R659" s="19"/>
    </row>
    <row r="660" spans="11:18" x14ac:dyDescent="0.2">
      <c r="K660" s="19" t="s">
        <v>1889</v>
      </c>
      <c r="L660" s="19"/>
      <c r="M660" s="19"/>
      <c r="N660" s="19"/>
      <c r="O660" s="19"/>
      <c r="P660" s="19"/>
      <c r="Q660" s="19"/>
      <c r="R660" s="19"/>
    </row>
    <row r="661" spans="11:18" x14ac:dyDescent="0.2">
      <c r="K661" s="19" t="s">
        <v>1843</v>
      </c>
      <c r="L661" s="19"/>
      <c r="M661" s="19"/>
      <c r="N661" s="19"/>
      <c r="O661" s="19"/>
      <c r="P661" s="19"/>
      <c r="Q661" s="19"/>
      <c r="R661" s="19"/>
    </row>
    <row r="662" spans="11:18" x14ac:dyDescent="0.2">
      <c r="K662" s="19" t="s">
        <v>2016</v>
      </c>
      <c r="L662" s="19"/>
      <c r="M662" s="19"/>
      <c r="N662" s="19"/>
      <c r="O662" s="19"/>
      <c r="P662" s="19"/>
      <c r="Q662" s="19"/>
      <c r="R662" s="19"/>
    </row>
    <row r="663" spans="11:18" x14ac:dyDescent="0.2">
      <c r="K663" s="19" t="s">
        <v>1849</v>
      </c>
      <c r="L663" s="19"/>
      <c r="M663" s="19"/>
      <c r="N663" s="19"/>
      <c r="O663" s="19"/>
      <c r="P663" s="19"/>
      <c r="Q663" s="19"/>
      <c r="R663" s="19"/>
    </row>
    <row r="664" spans="11:18" x14ac:dyDescent="0.2">
      <c r="K664" s="19" t="s">
        <v>2017</v>
      </c>
      <c r="L664" s="19"/>
      <c r="M664" s="19"/>
      <c r="N664" s="19"/>
      <c r="O664" s="19"/>
      <c r="P664" s="19"/>
      <c r="Q664" s="19"/>
      <c r="R664" s="19"/>
    </row>
    <row r="665" spans="11:18" x14ac:dyDescent="0.2">
      <c r="K665" s="19" t="s">
        <v>2018</v>
      </c>
      <c r="L665" s="19"/>
      <c r="M665" s="19"/>
      <c r="N665" s="19"/>
      <c r="O665" s="19"/>
      <c r="P665" s="19"/>
      <c r="Q665" s="19"/>
      <c r="R665" s="19"/>
    </row>
    <row r="666" spans="11:18" x14ac:dyDescent="0.2">
      <c r="K666" s="19" t="s">
        <v>2019</v>
      </c>
      <c r="L666" s="19"/>
      <c r="M666" s="19"/>
      <c r="N666" s="19"/>
      <c r="O666" s="19"/>
      <c r="P666" s="19"/>
      <c r="Q666" s="19"/>
      <c r="R666" s="19"/>
    </row>
    <row r="667" spans="11:18" x14ac:dyDescent="0.2">
      <c r="K667" s="19" t="s">
        <v>2020</v>
      </c>
      <c r="L667" s="19"/>
      <c r="M667" s="19"/>
      <c r="N667" s="19"/>
      <c r="O667" s="19"/>
      <c r="P667" s="19"/>
      <c r="Q667" s="19"/>
      <c r="R667" s="19"/>
    </row>
    <row r="668" spans="11:18" x14ac:dyDescent="0.2">
      <c r="K668" s="19" t="s">
        <v>2021</v>
      </c>
      <c r="L668" s="19"/>
      <c r="M668" s="19"/>
      <c r="N668" s="19"/>
      <c r="O668" s="19"/>
      <c r="P668" s="19"/>
      <c r="Q668" s="19"/>
      <c r="R668" s="19"/>
    </row>
    <row r="669" spans="11:18" x14ac:dyDescent="0.2">
      <c r="K669" s="19" t="s">
        <v>2022</v>
      </c>
      <c r="L669" s="19"/>
      <c r="M669" s="19"/>
      <c r="N669" s="19"/>
      <c r="O669" s="19"/>
      <c r="P669" s="19"/>
      <c r="Q669" s="19"/>
      <c r="R669" s="19"/>
    </row>
    <row r="670" spans="11:18" x14ac:dyDescent="0.2">
      <c r="K670" s="19" t="s">
        <v>2023</v>
      </c>
      <c r="L670" s="19"/>
      <c r="M670" s="19"/>
      <c r="N670" s="19"/>
      <c r="O670" s="19"/>
      <c r="P670" s="19"/>
      <c r="Q670" s="19"/>
      <c r="R670" s="19"/>
    </row>
    <row r="671" spans="11:18" x14ac:dyDescent="0.2">
      <c r="K671" s="19" t="s">
        <v>2024</v>
      </c>
      <c r="L671" s="19"/>
      <c r="M671" s="19"/>
      <c r="N671" s="19"/>
      <c r="O671" s="19"/>
      <c r="P671" s="19"/>
      <c r="Q671" s="19"/>
      <c r="R671" s="19"/>
    </row>
    <row r="672" spans="11:18" x14ac:dyDescent="0.2">
      <c r="K672" s="19" t="s">
        <v>2025</v>
      </c>
      <c r="L672" s="19"/>
      <c r="M672" s="19"/>
      <c r="N672" s="19"/>
      <c r="O672" s="19"/>
      <c r="P672" s="19"/>
      <c r="Q672" s="19"/>
      <c r="R672" s="19"/>
    </row>
    <row r="673" spans="11:18" x14ac:dyDescent="0.2">
      <c r="K673" s="19" t="s">
        <v>1897</v>
      </c>
      <c r="L673" s="19"/>
      <c r="M673" s="19"/>
      <c r="N673" s="19"/>
      <c r="O673" s="19"/>
      <c r="P673" s="19"/>
      <c r="Q673" s="19"/>
      <c r="R673" s="19"/>
    </row>
    <row r="674" spans="11:18" x14ac:dyDescent="0.2">
      <c r="K674" s="19" t="s">
        <v>2026</v>
      </c>
      <c r="L674" s="19"/>
      <c r="M674" s="19"/>
      <c r="N674" s="19"/>
      <c r="O674" s="19"/>
      <c r="P674" s="19"/>
      <c r="Q674" s="19"/>
      <c r="R674" s="19"/>
    </row>
    <row r="675" spans="11:18" x14ac:dyDescent="0.2">
      <c r="K675" s="19" t="s">
        <v>1851</v>
      </c>
      <c r="L675" s="19"/>
      <c r="M675" s="19"/>
      <c r="N675" s="19"/>
      <c r="O675" s="19"/>
      <c r="P675" s="19"/>
      <c r="Q675" s="19"/>
      <c r="R675" s="19"/>
    </row>
    <row r="676" spans="11:18" x14ac:dyDescent="0.2">
      <c r="K676" s="19" t="s">
        <v>1855</v>
      </c>
      <c r="L676" s="19"/>
      <c r="M676" s="19"/>
      <c r="N676" s="19"/>
      <c r="O676" s="19"/>
      <c r="P676" s="19"/>
      <c r="Q676" s="19"/>
      <c r="R676" s="19"/>
    </row>
    <row r="677" spans="11:18" x14ac:dyDescent="0.2">
      <c r="K677" s="19" t="s">
        <v>1858</v>
      </c>
      <c r="L677" s="19"/>
      <c r="M677" s="19"/>
      <c r="N677" s="19"/>
      <c r="O677" s="19"/>
      <c r="P677" s="19"/>
      <c r="Q677" s="19"/>
      <c r="R677" s="19"/>
    </row>
    <row r="678" spans="11:18" x14ac:dyDescent="0.2">
      <c r="K678" s="19" t="s">
        <v>1901</v>
      </c>
      <c r="L678" s="19"/>
      <c r="M678" s="19"/>
      <c r="N678" s="19"/>
      <c r="O678" s="19"/>
      <c r="P678" s="19"/>
      <c r="Q678" s="19"/>
      <c r="R678" s="19"/>
    </row>
    <row r="679" spans="11:18" x14ac:dyDescent="0.2">
      <c r="K679" s="19" t="s">
        <v>2027</v>
      </c>
      <c r="L679" s="19"/>
      <c r="M679" s="19"/>
      <c r="N679" s="19"/>
      <c r="O679" s="19"/>
      <c r="P679" s="19"/>
      <c r="Q679" s="19"/>
      <c r="R679" s="19"/>
    </row>
    <row r="680" spans="11:18" x14ac:dyDescent="0.2">
      <c r="K680" s="19" t="s">
        <v>2028</v>
      </c>
      <c r="L680" s="19"/>
      <c r="M680" s="19"/>
      <c r="N680" s="19"/>
      <c r="O680" s="19"/>
      <c r="P680" s="19"/>
      <c r="Q680" s="19"/>
      <c r="R680" s="19"/>
    </row>
    <row r="681" spans="11:18" x14ac:dyDescent="0.2">
      <c r="K681" s="19" t="s">
        <v>1905</v>
      </c>
      <c r="L681" s="19"/>
      <c r="M681" s="19"/>
      <c r="N681" s="19"/>
      <c r="O681" s="19"/>
      <c r="P681" s="19"/>
      <c r="Q681" s="19"/>
      <c r="R681" s="19"/>
    </row>
    <row r="682" spans="11:18" x14ac:dyDescent="0.2">
      <c r="K682" s="19" t="s">
        <v>2029</v>
      </c>
      <c r="L682" s="19"/>
      <c r="M682" s="19"/>
      <c r="N682" s="19"/>
      <c r="O682" s="19"/>
      <c r="P682" s="19"/>
      <c r="Q682" s="19"/>
      <c r="R682" s="19"/>
    </row>
    <row r="683" spans="11:18" x14ac:dyDescent="0.2">
      <c r="K683" s="19" t="s">
        <v>2030</v>
      </c>
      <c r="L683" s="19"/>
      <c r="M683" s="19"/>
      <c r="N683" s="19"/>
      <c r="O683" s="19"/>
      <c r="P683" s="19"/>
      <c r="Q683" s="19"/>
      <c r="R683" s="19"/>
    </row>
    <row r="684" spans="11:18" x14ac:dyDescent="0.2">
      <c r="K684" s="19" t="s">
        <v>2031</v>
      </c>
      <c r="L684" s="19"/>
      <c r="M684" s="19"/>
      <c r="N684" s="19"/>
      <c r="O684" s="19"/>
      <c r="P684" s="19"/>
      <c r="Q684" s="19"/>
      <c r="R684" s="19"/>
    </row>
    <row r="685" spans="11:18" x14ac:dyDescent="0.2">
      <c r="K685" s="19" t="s">
        <v>2032</v>
      </c>
      <c r="L685" s="19"/>
      <c r="M685" s="19"/>
      <c r="N685" s="19"/>
      <c r="O685" s="19"/>
      <c r="P685" s="19"/>
      <c r="Q685" s="19"/>
      <c r="R685" s="19"/>
    </row>
    <row r="686" spans="11:18" x14ac:dyDescent="0.2">
      <c r="K686" s="19" t="s">
        <v>2033</v>
      </c>
      <c r="L686" s="19"/>
      <c r="M686" s="19"/>
      <c r="N686" s="19"/>
      <c r="O686" s="19"/>
      <c r="P686" s="19"/>
      <c r="Q686" s="19"/>
      <c r="R686" s="19"/>
    </row>
    <row r="687" spans="11:18" x14ac:dyDescent="0.2">
      <c r="K687" s="19" t="s">
        <v>2034</v>
      </c>
      <c r="L687" s="19"/>
      <c r="M687" s="19"/>
      <c r="N687" s="19"/>
      <c r="O687" s="19"/>
      <c r="P687" s="19"/>
      <c r="Q687" s="19"/>
      <c r="R687" s="19"/>
    </row>
    <row r="688" spans="11:18" x14ac:dyDescent="0.2">
      <c r="K688" s="19" t="s">
        <v>2035</v>
      </c>
      <c r="L688" s="19"/>
      <c r="M688" s="19"/>
      <c r="N688" s="19"/>
      <c r="O688" s="19"/>
      <c r="P688" s="19"/>
      <c r="Q688" s="19"/>
      <c r="R688" s="19"/>
    </row>
    <row r="689" spans="11:18" x14ac:dyDescent="0.2">
      <c r="K689" s="19" t="s">
        <v>2036</v>
      </c>
      <c r="L689" s="19"/>
      <c r="M689" s="19"/>
      <c r="N689" s="19"/>
      <c r="O689" s="19"/>
      <c r="P689" s="19"/>
      <c r="Q689" s="19"/>
      <c r="R689" s="19"/>
    </row>
    <row r="690" spans="11:18" x14ac:dyDescent="0.2">
      <c r="K690" s="19" t="s">
        <v>2037</v>
      </c>
      <c r="L690" s="19"/>
      <c r="M690" s="19"/>
      <c r="N690" s="19"/>
      <c r="O690" s="19"/>
      <c r="P690" s="19"/>
      <c r="Q690" s="19"/>
      <c r="R690" s="19"/>
    </row>
    <row r="691" spans="11:18" x14ac:dyDescent="0.2">
      <c r="K691" s="19" t="s">
        <v>1910</v>
      </c>
      <c r="L691" s="19"/>
      <c r="M691" s="19"/>
      <c r="N691" s="19"/>
      <c r="O691" s="19"/>
      <c r="P691" s="19"/>
      <c r="Q691" s="19"/>
      <c r="R691" s="19"/>
    </row>
    <row r="692" spans="11:18" x14ac:dyDescent="0.2">
      <c r="K692" s="19" t="s">
        <v>1911</v>
      </c>
      <c r="L692" s="19"/>
      <c r="M692" s="19"/>
      <c r="N692" s="19"/>
      <c r="O692" s="19"/>
      <c r="P692" s="19"/>
      <c r="Q692" s="19"/>
      <c r="R692" s="19"/>
    </row>
    <row r="693" spans="11:18" x14ac:dyDescent="0.2">
      <c r="K693" s="19" t="s">
        <v>1912</v>
      </c>
      <c r="L693" s="19"/>
      <c r="M693" s="19"/>
      <c r="N693" s="19"/>
      <c r="O693" s="19"/>
      <c r="P693" s="19"/>
      <c r="Q693" s="19"/>
      <c r="R693" s="19"/>
    </row>
    <row r="694" spans="11:18" x14ac:dyDescent="0.2">
      <c r="K694" s="19" t="s">
        <v>1914</v>
      </c>
      <c r="L694" s="19"/>
      <c r="M694" s="19"/>
      <c r="N694" s="19"/>
      <c r="O694" s="19"/>
      <c r="P694" s="19"/>
      <c r="Q694" s="19"/>
      <c r="R694" s="19"/>
    </row>
    <row r="695" spans="11:18" x14ac:dyDescent="0.2">
      <c r="K695" s="19" t="s">
        <v>1916</v>
      </c>
      <c r="L695" s="19"/>
      <c r="M695" s="19"/>
      <c r="N695" s="19"/>
      <c r="O695" s="19"/>
      <c r="P695" s="19"/>
      <c r="Q695" s="19"/>
      <c r="R695" s="19"/>
    </row>
    <row r="696" spans="11:18" x14ac:dyDescent="0.2">
      <c r="K696" s="19" t="s">
        <v>1918</v>
      </c>
      <c r="L696" s="19"/>
      <c r="M696" s="19"/>
      <c r="N696" s="19"/>
      <c r="O696" s="19"/>
      <c r="P696" s="19"/>
      <c r="Q696" s="19"/>
      <c r="R696" s="19"/>
    </row>
    <row r="697" spans="11:18" x14ac:dyDescent="0.2">
      <c r="K697" s="19" t="s">
        <v>1920</v>
      </c>
      <c r="L697" s="19"/>
      <c r="M697" s="19"/>
      <c r="N697" s="19"/>
      <c r="O697" s="19"/>
      <c r="P697" s="19"/>
      <c r="Q697" s="19"/>
      <c r="R697" s="19"/>
    </row>
    <row r="698" spans="11:18" x14ac:dyDescent="0.2">
      <c r="K698" s="19" t="s">
        <v>1922</v>
      </c>
      <c r="L698" s="19"/>
      <c r="M698" s="19"/>
      <c r="N698" s="19"/>
      <c r="O698" s="19"/>
      <c r="P698" s="19"/>
      <c r="Q698" s="19"/>
      <c r="R698" s="19"/>
    </row>
    <row r="699" spans="11:18" x14ac:dyDescent="0.2">
      <c r="K699" s="19" t="s">
        <v>1872</v>
      </c>
      <c r="L699" s="19"/>
      <c r="M699" s="19"/>
      <c r="N699" s="19"/>
      <c r="O699" s="19"/>
      <c r="P699" s="19"/>
      <c r="Q699" s="19"/>
      <c r="R699" s="19"/>
    </row>
    <row r="700" spans="11:18" x14ac:dyDescent="0.2">
      <c r="K700" s="19" t="s">
        <v>1874</v>
      </c>
      <c r="L700" s="19"/>
      <c r="M700" s="19"/>
      <c r="N700" s="19"/>
      <c r="O700" s="19"/>
      <c r="P700" s="19"/>
      <c r="Q700" s="19"/>
      <c r="R700" s="19"/>
    </row>
    <row r="701" spans="11:18" x14ac:dyDescent="0.2">
      <c r="K701" s="19" t="s">
        <v>2038</v>
      </c>
      <c r="L701" s="19"/>
      <c r="M701" s="19"/>
      <c r="N701" s="19"/>
      <c r="O701" s="19"/>
      <c r="P701" s="19"/>
      <c r="Q701" s="19"/>
      <c r="R701" s="19"/>
    </row>
    <row r="702" spans="11:18" x14ac:dyDescent="0.2">
      <c r="K702" s="19" t="s">
        <v>1885</v>
      </c>
      <c r="L702" s="19"/>
      <c r="M702" s="19"/>
      <c r="N702" s="19"/>
      <c r="O702" s="19"/>
      <c r="P702" s="19"/>
      <c r="Q702" s="19"/>
      <c r="R702" s="19"/>
    </row>
    <row r="703" spans="11:18" x14ac:dyDescent="0.2">
      <c r="K703" s="19" t="s">
        <v>2039</v>
      </c>
      <c r="L703" s="19"/>
      <c r="M703" s="19"/>
      <c r="N703" s="19"/>
      <c r="O703" s="19"/>
      <c r="P703" s="19"/>
      <c r="Q703" s="19"/>
      <c r="R703" s="19"/>
    </row>
    <row r="704" spans="11:18" x14ac:dyDescent="0.2">
      <c r="K704" s="19" t="s">
        <v>1929</v>
      </c>
      <c r="L704" s="19"/>
      <c r="M704" s="19"/>
      <c r="N704" s="19"/>
      <c r="O704" s="19"/>
      <c r="P704" s="19"/>
      <c r="Q704" s="19"/>
      <c r="R704" s="19"/>
    </row>
    <row r="705" spans="11:18" x14ac:dyDescent="0.2">
      <c r="K705" s="19" t="s">
        <v>1930</v>
      </c>
      <c r="L705" s="19"/>
      <c r="M705" s="19"/>
      <c r="N705" s="19"/>
      <c r="O705" s="19"/>
      <c r="P705" s="19"/>
      <c r="Q705" s="19"/>
      <c r="R705" s="19"/>
    </row>
    <row r="706" spans="11:18" x14ac:dyDescent="0.2">
      <c r="K706" s="19" t="s">
        <v>1931</v>
      </c>
      <c r="L706" s="19"/>
      <c r="M706" s="19"/>
      <c r="N706" s="19"/>
      <c r="O706" s="19"/>
      <c r="P706" s="19"/>
      <c r="Q706" s="19"/>
      <c r="R706" s="19"/>
    </row>
    <row r="707" spans="11:18" x14ac:dyDescent="0.2">
      <c r="K707" s="19" t="s">
        <v>2040</v>
      </c>
      <c r="L707" s="19"/>
      <c r="M707" s="19"/>
      <c r="N707" s="19"/>
      <c r="O707" s="19"/>
      <c r="P707" s="19"/>
      <c r="Q707" s="19"/>
      <c r="R707" s="19"/>
    </row>
    <row r="708" spans="11:18" x14ac:dyDescent="0.2">
      <c r="K708" s="19" t="s">
        <v>2041</v>
      </c>
      <c r="L708" s="19"/>
      <c r="M708" s="19"/>
      <c r="N708" s="19"/>
      <c r="O708" s="19"/>
      <c r="P708" s="19"/>
      <c r="Q708" s="19"/>
      <c r="R708" s="19"/>
    </row>
    <row r="709" spans="11:18" x14ac:dyDescent="0.2">
      <c r="K709" s="19" t="s">
        <v>2042</v>
      </c>
      <c r="L709" s="19"/>
      <c r="M709" s="19"/>
      <c r="N709" s="19"/>
      <c r="O709" s="19"/>
      <c r="P709" s="19"/>
      <c r="Q709" s="19"/>
      <c r="R709" s="19"/>
    </row>
    <row r="710" spans="11:18" x14ac:dyDescent="0.2">
      <c r="K710" s="19" t="s">
        <v>2043</v>
      </c>
      <c r="L710" s="19"/>
      <c r="M710" s="19"/>
      <c r="N710" s="19"/>
      <c r="O710" s="19"/>
      <c r="P710" s="19"/>
      <c r="Q710" s="19"/>
      <c r="R710" s="19"/>
    </row>
    <row r="711" spans="11:18" x14ac:dyDescent="0.2">
      <c r="K711" s="19" t="s">
        <v>2044</v>
      </c>
      <c r="L711" s="19"/>
      <c r="M711" s="19"/>
      <c r="N711" s="19"/>
      <c r="O711" s="19"/>
      <c r="P711" s="19"/>
      <c r="Q711" s="19"/>
      <c r="R711" s="19"/>
    </row>
    <row r="712" spans="11:18" x14ac:dyDescent="0.2">
      <c r="K712" s="19" t="s">
        <v>2045</v>
      </c>
      <c r="L712" s="19"/>
      <c r="M712" s="19"/>
      <c r="N712" s="19"/>
      <c r="O712" s="19"/>
      <c r="P712" s="19"/>
      <c r="Q712" s="19"/>
      <c r="R712" s="19"/>
    </row>
    <row r="713" spans="11:18" x14ac:dyDescent="0.2">
      <c r="K713" s="19" t="s">
        <v>2046</v>
      </c>
      <c r="L713" s="19"/>
      <c r="M713" s="19"/>
      <c r="N713" s="19"/>
      <c r="O713" s="19"/>
      <c r="P713" s="19"/>
      <c r="Q713" s="19"/>
      <c r="R713" s="1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7DEEB-A22E-B941-A0AE-2F729C36939A}">
  <dimension ref="A1:R309"/>
  <sheetViews>
    <sheetView workbookViewId="0">
      <selection sqref="A1:XFD1048576"/>
    </sheetView>
  </sheetViews>
  <sheetFormatPr baseColWidth="10" defaultColWidth="11" defaultRowHeight="16" x14ac:dyDescent="0.2"/>
  <sheetData>
    <row r="1" spans="1:18" s="23" customFormat="1" ht="27" x14ac:dyDescent="0.35">
      <c r="B1" s="18" t="s">
        <v>2047</v>
      </c>
      <c r="J1" s="18" t="s">
        <v>2048</v>
      </c>
      <c r="R1" s="18" t="s">
        <v>2049</v>
      </c>
    </row>
    <row r="2" spans="1:18" x14ac:dyDescent="0.2">
      <c r="A2" s="19" t="s">
        <v>77</v>
      </c>
      <c r="J2" s="19" t="s">
        <v>2050</v>
      </c>
      <c r="R2" s="26" t="s">
        <v>78</v>
      </c>
    </row>
    <row r="3" spans="1:18" x14ac:dyDescent="0.2">
      <c r="A3" s="19" t="s">
        <v>78</v>
      </c>
      <c r="J3" s="19" t="s">
        <v>2051</v>
      </c>
      <c r="R3" s="26" t="s">
        <v>80</v>
      </c>
    </row>
    <row r="4" spans="1:18" x14ac:dyDescent="0.2">
      <c r="A4" s="19" t="s">
        <v>81</v>
      </c>
      <c r="J4" s="19" t="s">
        <v>2052</v>
      </c>
      <c r="R4" s="26" t="s">
        <v>81</v>
      </c>
    </row>
    <row r="5" spans="1:18" x14ac:dyDescent="0.2">
      <c r="A5" s="19" t="s">
        <v>82</v>
      </c>
      <c r="J5" s="19" t="s">
        <v>2053</v>
      </c>
      <c r="R5" s="24" t="s">
        <v>2054</v>
      </c>
    </row>
    <row r="6" spans="1:18" x14ac:dyDescent="0.2">
      <c r="A6" s="19" t="s">
        <v>83</v>
      </c>
      <c r="J6" s="19" t="s">
        <v>2055</v>
      </c>
      <c r="R6" s="24" t="s">
        <v>2056</v>
      </c>
    </row>
    <row r="7" spans="1:18" x14ac:dyDescent="0.2">
      <c r="A7" s="19" t="s">
        <v>84</v>
      </c>
      <c r="J7" s="19" t="s">
        <v>2057</v>
      </c>
      <c r="R7" s="24" t="s">
        <v>2058</v>
      </c>
    </row>
    <row r="8" spans="1:18" x14ac:dyDescent="0.2">
      <c r="A8" s="19" t="s">
        <v>86</v>
      </c>
      <c r="J8" s="19" t="s">
        <v>2059</v>
      </c>
      <c r="R8" s="24" t="s">
        <v>2060</v>
      </c>
    </row>
    <row r="9" spans="1:18" x14ac:dyDescent="0.2">
      <c r="A9" s="19" t="s">
        <v>2061</v>
      </c>
      <c r="J9" s="19" t="s">
        <v>2062</v>
      </c>
      <c r="R9" s="24" t="s">
        <v>2063</v>
      </c>
    </row>
    <row r="10" spans="1:18" x14ac:dyDescent="0.2">
      <c r="A10" s="19" t="s">
        <v>2064</v>
      </c>
      <c r="J10" s="19" t="s">
        <v>2065</v>
      </c>
      <c r="R10" s="24" t="s">
        <v>2066</v>
      </c>
    </row>
    <row r="11" spans="1:18" x14ac:dyDescent="0.2">
      <c r="A11" s="19" t="s">
        <v>105</v>
      </c>
      <c r="J11" s="19" t="s">
        <v>2067</v>
      </c>
      <c r="R11" s="24" t="s">
        <v>2068</v>
      </c>
    </row>
    <row r="12" spans="1:18" x14ac:dyDescent="0.2">
      <c r="A12" s="19" t="s">
        <v>108</v>
      </c>
      <c r="J12" s="19" t="s">
        <v>2069</v>
      </c>
      <c r="R12" s="24" t="s">
        <v>2070</v>
      </c>
    </row>
    <row r="13" spans="1:18" x14ac:dyDescent="0.2">
      <c r="A13" s="19" t="s">
        <v>2071</v>
      </c>
      <c r="J13" s="19" t="s">
        <v>2072</v>
      </c>
      <c r="R13" s="24" t="s">
        <v>2073</v>
      </c>
    </row>
    <row r="14" spans="1:18" x14ac:dyDescent="0.2">
      <c r="A14" s="19" t="s">
        <v>157</v>
      </c>
      <c r="J14" s="19" t="s">
        <v>2074</v>
      </c>
      <c r="R14" s="24" t="s">
        <v>2075</v>
      </c>
    </row>
    <row r="15" spans="1:18" x14ac:dyDescent="0.2">
      <c r="A15" s="19" t="s">
        <v>2076</v>
      </c>
      <c r="J15" s="19" t="s">
        <v>2077</v>
      </c>
      <c r="R15" s="24" t="s">
        <v>2078</v>
      </c>
    </row>
    <row r="16" spans="1:18" x14ac:dyDescent="0.2">
      <c r="A16" s="19" t="s">
        <v>2056</v>
      </c>
      <c r="J16" s="19" t="s">
        <v>2079</v>
      </c>
      <c r="R16" s="24" t="s">
        <v>2080</v>
      </c>
    </row>
    <row r="17" spans="1:18" x14ac:dyDescent="0.2">
      <c r="A17" s="19" t="s">
        <v>2081</v>
      </c>
      <c r="J17" s="19" t="s">
        <v>2082</v>
      </c>
      <c r="R17" s="24" t="s">
        <v>2083</v>
      </c>
    </row>
    <row r="18" spans="1:18" x14ac:dyDescent="0.2">
      <c r="A18" s="19" t="s">
        <v>2084</v>
      </c>
      <c r="J18" s="19" t="s">
        <v>2085</v>
      </c>
      <c r="R18" s="24" t="s">
        <v>2086</v>
      </c>
    </row>
    <row r="19" spans="1:18" x14ac:dyDescent="0.2">
      <c r="A19" s="19" t="s">
        <v>2058</v>
      </c>
      <c r="J19" s="19" t="s">
        <v>2087</v>
      </c>
      <c r="R19" s="24" t="s">
        <v>2088</v>
      </c>
    </row>
    <row r="20" spans="1:18" x14ac:dyDescent="0.2">
      <c r="A20" s="19" t="s">
        <v>1052</v>
      </c>
      <c r="J20" s="19" t="s">
        <v>2089</v>
      </c>
      <c r="R20" s="24" t="s">
        <v>2090</v>
      </c>
    </row>
    <row r="21" spans="1:18" x14ac:dyDescent="0.2">
      <c r="A21" s="19" t="s">
        <v>2091</v>
      </c>
      <c r="J21" s="19" t="s">
        <v>2092</v>
      </c>
      <c r="R21" s="24" t="s">
        <v>2093</v>
      </c>
    </row>
    <row r="22" spans="1:18" x14ac:dyDescent="0.2">
      <c r="A22" s="19" t="s">
        <v>2094</v>
      </c>
      <c r="J22" s="19" t="s">
        <v>2095</v>
      </c>
      <c r="R22" s="24" t="s">
        <v>2096</v>
      </c>
    </row>
    <row r="23" spans="1:18" x14ac:dyDescent="0.2">
      <c r="A23" s="19" t="s">
        <v>2097</v>
      </c>
      <c r="J23" s="19" t="s">
        <v>2098</v>
      </c>
      <c r="R23" s="24" t="s">
        <v>2099</v>
      </c>
    </row>
    <row r="24" spans="1:18" x14ac:dyDescent="0.2">
      <c r="A24" s="19" t="s">
        <v>2066</v>
      </c>
      <c r="J24" s="19" t="s">
        <v>2100</v>
      </c>
      <c r="R24" s="24" t="s">
        <v>2101</v>
      </c>
    </row>
    <row r="25" spans="1:18" x14ac:dyDescent="0.2">
      <c r="A25" s="19" t="s">
        <v>2068</v>
      </c>
      <c r="J25" s="19" t="s">
        <v>2102</v>
      </c>
      <c r="R25" s="24" t="s">
        <v>2103</v>
      </c>
    </row>
    <row r="26" spans="1:18" x14ac:dyDescent="0.2">
      <c r="A26" s="19" t="s">
        <v>2104</v>
      </c>
      <c r="J26" s="19" t="s">
        <v>2105</v>
      </c>
      <c r="R26" s="24" t="s">
        <v>2106</v>
      </c>
    </row>
    <row r="27" spans="1:18" x14ac:dyDescent="0.2">
      <c r="A27" s="19" t="s">
        <v>122</v>
      </c>
      <c r="J27" s="19" t="s">
        <v>2107</v>
      </c>
      <c r="R27" s="24" t="s">
        <v>2108</v>
      </c>
    </row>
    <row r="28" spans="1:18" x14ac:dyDescent="0.2">
      <c r="A28" s="19" t="s">
        <v>126</v>
      </c>
      <c r="J28" s="19" t="s">
        <v>2109</v>
      </c>
      <c r="R28" s="24" t="s">
        <v>2110</v>
      </c>
    </row>
    <row r="29" spans="1:18" x14ac:dyDescent="0.2">
      <c r="A29" s="19" t="s">
        <v>2111</v>
      </c>
      <c r="J29" s="19" t="s">
        <v>2112</v>
      </c>
      <c r="R29" s="24" t="s">
        <v>2113</v>
      </c>
    </row>
    <row r="30" spans="1:18" x14ac:dyDescent="0.2">
      <c r="A30" s="19" t="s">
        <v>2070</v>
      </c>
      <c r="J30" s="19" t="s">
        <v>2114</v>
      </c>
      <c r="R30" s="24" t="s">
        <v>2115</v>
      </c>
    </row>
    <row r="31" spans="1:18" x14ac:dyDescent="0.2">
      <c r="A31" s="19" t="s">
        <v>2116</v>
      </c>
      <c r="J31" s="19" t="s">
        <v>2117</v>
      </c>
      <c r="R31" s="24" t="s">
        <v>2118</v>
      </c>
    </row>
    <row r="32" spans="1:18" x14ac:dyDescent="0.2">
      <c r="A32" s="19" t="s">
        <v>2119</v>
      </c>
      <c r="J32" s="19" t="s">
        <v>2120</v>
      </c>
      <c r="R32" s="24" t="s">
        <v>2121</v>
      </c>
    </row>
    <row r="33" spans="1:18" x14ac:dyDescent="0.2">
      <c r="A33" s="19" t="s">
        <v>2073</v>
      </c>
      <c r="J33" s="19" t="s">
        <v>2122</v>
      </c>
      <c r="R33" s="24" t="s">
        <v>2123</v>
      </c>
    </row>
    <row r="34" spans="1:18" x14ac:dyDescent="0.2">
      <c r="A34" s="19" t="s">
        <v>2124</v>
      </c>
      <c r="J34" s="19" t="s">
        <v>2125</v>
      </c>
      <c r="R34" s="24" t="s">
        <v>2126</v>
      </c>
    </row>
    <row r="35" spans="1:18" x14ac:dyDescent="0.2">
      <c r="A35" s="19" t="s">
        <v>2127</v>
      </c>
      <c r="J35" s="19" t="s">
        <v>2128</v>
      </c>
      <c r="R35" s="24" t="s">
        <v>2129</v>
      </c>
    </row>
    <row r="36" spans="1:18" x14ac:dyDescent="0.2">
      <c r="A36" s="19" t="s">
        <v>2075</v>
      </c>
      <c r="J36" s="19" t="s">
        <v>2130</v>
      </c>
      <c r="R36" s="24" t="s">
        <v>2131</v>
      </c>
    </row>
    <row r="37" spans="1:18" x14ac:dyDescent="0.2">
      <c r="A37" s="19" t="s">
        <v>2132</v>
      </c>
      <c r="J37" s="19" t="s">
        <v>2133</v>
      </c>
      <c r="R37" s="24" t="s">
        <v>2134</v>
      </c>
    </row>
    <row r="38" spans="1:18" x14ac:dyDescent="0.2">
      <c r="A38" s="19" t="s">
        <v>2135</v>
      </c>
      <c r="J38" s="19" t="s">
        <v>2136</v>
      </c>
      <c r="R38" s="24" t="s">
        <v>2137</v>
      </c>
    </row>
    <row r="39" spans="1:18" x14ac:dyDescent="0.2">
      <c r="A39" s="19" t="s">
        <v>2138</v>
      </c>
      <c r="J39" s="19" t="s">
        <v>2139</v>
      </c>
      <c r="R39" s="24" t="s">
        <v>2140</v>
      </c>
    </row>
    <row r="40" spans="1:18" x14ac:dyDescent="0.2">
      <c r="A40" s="19" t="s">
        <v>2141</v>
      </c>
      <c r="J40" s="19" t="s">
        <v>2142</v>
      </c>
      <c r="R40" s="24" t="s">
        <v>2143</v>
      </c>
    </row>
    <row r="41" spans="1:18" x14ac:dyDescent="0.2">
      <c r="A41" s="19" t="s">
        <v>2078</v>
      </c>
      <c r="J41" s="19" t="s">
        <v>2144</v>
      </c>
      <c r="R41" s="24" t="s">
        <v>2145</v>
      </c>
    </row>
    <row r="42" spans="1:18" x14ac:dyDescent="0.2">
      <c r="A42" s="19" t="s">
        <v>2080</v>
      </c>
      <c r="J42" s="19" t="s">
        <v>2146</v>
      </c>
      <c r="R42" s="24" t="s">
        <v>2147</v>
      </c>
    </row>
    <row r="43" spans="1:18" x14ac:dyDescent="0.2">
      <c r="A43" s="19" t="s">
        <v>2083</v>
      </c>
      <c r="J43" s="19" t="s">
        <v>2148</v>
      </c>
      <c r="R43" s="24" t="s">
        <v>2149</v>
      </c>
    </row>
    <row r="44" spans="1:18" x14ac:dyDescent="0.2">
      <c r="A44" s="19" t="s">
        <v>2086</v>
      </c>
      <c r="J44" s="19" t="s">
        <v>2150</v>
      </c>
      <c r="R44" s="24" t="s">
        <v>2151</v>
      </c>
    </row>
    <row r="45" spans="1:18" x14ac:dyDescent="0.2">
      <c r="A45" s="19" t="s">
        <v>2152</v>
      </c>
      <c r="J45" s="19" t="s">
        <v>2153</v>
      </c>
      <c r="R45" s="24" t="s">
        <v>2154</v>
      </c>
    </row>
    <row r="46" spans="1:18" x14ac:dyDescent="0.2">
      <c r="A46" s="19" t="s">
        <v>2088</v>
      </c>
      <c r="J46" s="19" t="s">
        <v>2155</v>
      </c>
      <c r="R46" s="24" t="s">
        <v>2156</v>
      </c>
    </row>
    <row r="47" spans="1:18" x14ac:dyDescent="0.2">
      <c r="A47" s="19" t="s">
        <v>2157</v>
      </c>
      <c r="J47" s="19" t="s">
        <v>2158</v>
      </c>
      <c r="R47" s="24" t="s">
        <v>2159</v>
      </c>
    </row>
    <row r="48" spans="1:18" x14ac:dyDescent="0.2">
      <c r="A48" s="19" t="s">
        <v>2160</v>
      </c>
      <c r="J48" s="19" t="s">
        <v>2161</v>
      </c>
      <c r="R48" s="24" t="s">
        <v>2162</v>
      </c>
    </row>
    <row r="49" spans="1:18" x14ac:dyDescent="0.2">
      <c r="A49" s="19" t="s">
        <v>2090</v>
      </c>
      <c r="J49" s="19" t="s">
        <v>2163</v>
      </c>
      <c r="R49" s="24" t="s">
        <v>2164</v>
      </c>
    </row>
    <row r="50" spans="1:18" x14ac:dyDescent="0.2">
      <c r="A50" s="19" t="s">
        <v>2093</v>
      </c>
      <c r="J50" s="19" t="s">
        <v>2165</v>
      </c>
      <c r="R50" s="24" t="s">
        <v>2166</v>
      </c>
    </row>
    <row r="51" spans="1:18" x14ac:dyDescent="0.2">
      <c r="A51" s="19" t="s">
        <v>2096</v>
      </c>
      <c r="J51" s="19" t="s">
        <v>2167</v>
      </c>
      <c r="R51" s="24" t="s">
        <v>2168</v>
      </c>
    </row>
    <row r="52" spans="1:18" x14ac:dyDescent="0.2">
      <c r="A52" s="19" t="s">
        <v>2099</v>
      </c>
      <c r="J52" s="19" t="s">
        <v>2169</v>
      </c>
      <c r="R52" s="24" t="s">
        <v>2170</v>
      </c>
    </row>
    <row r="53" spans="1:18" x14ac:dyDescent="0.2">
      <c r="A53" s="19" t="s">
        <v>2171</v>
      </c>
      <c r="J53" s="19" t="s">
        <v>2172</v>
      </c>
      <c r="R53" s="24" t="s">
        <v>2173</v>
      </c>
    </row>
    <row r="54" spans="1:18" x14ac:dyDescent="0.2">
      <c r="A54" s="19" t="s">
        <v>2101</v>
      </c>
      <c r="J54" s="19" t="s">
        <v>2174</v>
      </c>
      <c r="R54" s="24" t="s">
        <v>2175</v>
      </c>
    </row>
    <row r="55" spans="1:18" x14ac:dyDescent="0.2">
      <c r="A55" s="19" t="s">
        <v>2103</v>
      </c>
      <c r="J55" s="19" t="s">
        <v>2176</v>
      </c>
      <c r="R55" s="24" t="s">
        <v>2177</v>
      </c>
    </row>
    <row r="56" spans="1:18" x14ac:dyDescent="0.2">
      <c r="A56" s="19" t="s">
        <v>2178</v>
      </c>
      <c r="J56" s="19" t="s">
        <v>2179</v>
      </c>
      <c r="R56" s="24" t="s">
        <v>2180</v>
      </c>
    </row>
    <row r="57" spans="1:18" x14ac:dyDescent="0.2">
      <c r="A57" s="19" t="s">
        <v>2181</v>
      </c>
      <c r="J57" s="19" t="s">
        <v>2182</v>
      </c>
      <c r="R57" s="24" t="s">
        <v>2183</v>
      </c>
    </row>
    <row r="58" spans="1:18" x14ac:dyDescent="0.2">
      <c r="A58" s="19" t="s">
        <v>2184</v>
      </c>
      <c r="J58" s="19" t="s">
        <v>2185</v>
      </c>
      <c r="R58" s="24" t="s">
        <v>2186</v>
      </c>
    </row>
    <row r="59" spans="1:18" x14ac:dyDescent="0.2">
      <c r="A59" s="19" t="s">
        <v>2187</v>
      </c>
      <c r="J59" s="19" t="s">
        <v>2188</v>
      </c>
      <c r="R59" s="24" t="s">
        <v>2189</v>
      </c>
    </row>
    <row r="60" spans="1:18" x14ac:dyDescent="0.2">
      <c r="A60" s="19" t="s">
        <v>2190</v>
      </c>
      <c r="J60" s="19" t="s">
        <v>2191</v>
      </c>
      <c r="R60" s="24" t="s">
        <v>2192</v>
      </c>
    </row>
    <row r="61" spans="1:18" x14ac:dyDescent="0.2">
      <c r="A61" s="19" t="s">
        <v>2110</v>
      </c>
      <c r="J61" s="19" t="s">
        <v>2193</v>
      </c>
      <c r="R61" s="24" t="s">
        <v>2194</v>
      </c>
    </row>
    <row r="62" spans="1:18" x14ac:dyDescent="0.2">
      <c r="A62" s="19" t="s">
        <v>2115</v>
      </c>
      <c r="J62" s="19" t="s">
        <v>2195</v>
      </c>
      <c r="R62" s="24" t="s">
        <v>2196</v>
      </c>
    </row>
    <row r="63" spans="1:18" x14ac:dyDescent="0.2">
      <c r="A63" s="19" t="s">
        <v>2197</v>
      </c>
      <c r="J63" s="19" t="s">
        <v>2198</v>
      </c>
      <c r="R63" s="24" t="s">
        <v>2199</v>
      </c>
    </row>
    <row r="64" spans="1:18" x14ac:dyDescent="0.2">
      <c r="A64" s="19" t="s">
        <v>2200</v>
      </c>
      <c r="J64" s="19" t="s">
        <v>2201</v>
      </c>
      <c r="R64" s="24" t="s">
        <v>2202</v>
      </c>
    </row>
    <row r="65" spans="1:18" x14ac:dyDescent="0.2">
      <c r="A65" s="19" t="s">
        <v>2203</v>
      </c>
      <c r="J65" s="19" t="s">
        <v>2204</v>
      </c>
      <c r="R65" s="24" t="s">
        <v>2205</v>
      </c>
    </row>
    <row r="66" spans="1:18" x14ac:dyDescent="0.2">
      <c r="A66" s="19" t="s">
        <v>2206</v>
      </c>
      <c r="J66" s="19" t="s">
        <v>2207</v>
      </c>
      <c r="R66" s="24" t="s">
        <v>2208</v>
      </c>
    </row>
    <row r="67" spans="1:18" x14ac:dyDescent="0.2">
      <c r="A67" s="19" t="s">
        <v>2209</v>
      </c>
      <c r="J67" s="19" t="s">
        <v>2210</v>
      </c>
      <c r="R67" s="24" t="s">
        <v>2211</v>
      </c>
    </row>
    <row r="68" spans="1:18" x14ac:dyDescent="0.2">
      <c r="A68" s="19" t="s">
        <v>2212</v>
      </c>
      <c r="J68" s="19" t="s">
        <v>2213</v>
      </c>
      <c r="R68" s="24" t="s">
        <v>2214</v>
      </c>
    </row>
    <row r="69" spans="1:18" x14ac:dyDescent="0.2">
      <c r="A69" s="19" t="s">
        <v>2118</v>
      </c>
      <c r="J69" s="19" t="s">
        <v>2215</v>
      </c>
      <c r="R69" s="24" t="s">
        <v>2216</v>
      </c>
    </row>
    <row r="70" spans="1:18" x14ac:dyDescent="0.2">
      <c r="A70" s="19" t="s">
        <v>2217</v>
      </c>
      <c r="J70" s="19" t="s">
        <v>2218</v>
      </c>
      <c r="R70" s="24" t="s">
        <v>2219</v>
      </c>
    </row>
    <row r="71" spans="1:18" x14ac:dyDescent="0.2">
      <c r="A71" s="19" t="s">
        <v>2220</v>
      </c>
      <c r="J71" s="19" t="s">
        <v>2221</v>
      </c>
      <c r="R71" s="24" t="s">
        <v>2222</v>
      </c>
    </row>
    <row r="72" spans="1:18" x14ac:dyDescent="0.2">
      <c r="A72" s="19" t="s">
        <v>2123</v>
      </c>
      <c r="J72" s="19" t="s">
        <v>2223</v>
      </c>
      <c r="R72" s="24" t="s">
        <v>2224</v>
      </c>
    </row>
    <row r="73" spans="1:18" x14ac:dyDescent="0.2">
      <c r="A73" s="19" t="s">
        <v>2126</v>
      </c>
      <c r="J73" s="19" t="s">
        <v>2225</v>
      </c>
      <c r="R73" s="24" t="s">
        <v>2226</v>
      </c>
    </row>
    <row r="74" spans="1:18" x14ac:dyDescent="0.2">
      <c r="A74" s="19" t="s">
        <v>2129</v>
      </c>
      <c r="J74" s="19" t="s">
        <v>2227</v>
      </c>
      <c r="R74" s="24" t="s">
        <v>2228</v>
      </c>
    </row>
    <row r="75" spans="1:18" x14ac:dyDescent="0.2">
      <c r="A75" s="19" t="s">
        <v>2229</v>
      </c>
      <c r="J75" s="19" t="s">
        <v>2230</v>
      </c>
      <c r="R75" s="24" t="s">
        <v>2231</v>
      </c>
    </row>
    <row r="76" spans="1:18" x14ac:dyDescent="0.2">
      <c r="A76" s="19" t="s">
        <v>2232</v>
      </c>
      <c r="J76" s="19" t="s">
        <v>2233</v>
      </c>
      <c r="R76" s="24" t="s">
        <v>2234</v>
      </c>
    </row>
    <row r="77" spans="1:18" x14ac:dyDescent="0.2">
      <c r="A77" s="19" t="s">
        <v>2131</v>
      </c>
      <c r="J77" s="19" t="s">
        <v>2235</v>
      </c>
      <c r="R77" s="24" t="s">
        <v>2236</v>
      </c>
    </row>
    <row r="78" spans="1:18" x14ac:dyDescent="0.2">
      <c r="A78" s="19" t="s">
        <v>2237</v>
      </c>
      <c r="J78" s="19" t="s">
        <v>2238</v>
      </c>
      <c r="R78" s="24" t="s">
        <v>2239</v>
      </c>
    </row>
    <row r="79" spans="1:18" x14ac:dyDescent="0.2">
      <c r="A79" s="19" t="s">
        <v>2240</v>
      </c>
      <c r="J79" s="19" t="s">
        <v>2241</v>
      </c>
      <c r="R79" s="24" t="s">
        <v>2242</v>
      </c>
    </row>
    <row r="80" spans="1:18" x14ac:dyDescent="0.2">
      <c r="A80" s="19" t="s">
        <v>1348</v>
      </c>
      <c r="J80" s="19" t="s">
        <v>2243</v>
      </c>
      <c r="R80" s="24" t="s">
        <v>2244</v>
      </c>
    </row>
    <row r="81" spans="1:18" x14ac:dyDescent="0.2">
      <c r="A81" s="19" t="s">
        <v>2245</v>
      </c>
      <c r="J81" s="19" t="s">
        <v>2246</v>
      </c>
      <c r="R81" s="24" t="s">
        <v>2247</v>
      </c>
    </row>
    <row r="82" spans="1:18" x14ac:dyDescent="0.2">
      <c r="A82" s="19" t="s">
        <v>2248</v>
      </c>
      <c r="J82" s="19" t="s">
        <v>2249</v>
      </c>
      <c r="R82" s="24" t="s">
        <v>2250</v>
      </c>
    </row>
    <row r="83" spans="1:18" x14ac:dyDescent="0.2">
      <c r="A83" s="19" t="s">
        <v>2251</v>
      </c>
      <c r="J83" s="19" t="s">
        <v>2252</v>
      </c>
      <c r="R83" s="24" t="s">
        <v>2253</v>
      </c>
    </row>
    <row r="84" spans="1:18" x14ac:dyDescent="0.2">
      <c r="A84" s="19" t="s">
        <v>2134</v>
      </c>
      <c r="J84" s="19" t="s">
        <v>2254</v>
      </c>
      <c r="R84" s="24" t="s">
        <v>2255</v>
      </c>
    </row>
    <row r="85" spans="1:18" x14ac:dyDescent="0.2">
      <c r="A85" s="19" t="s">
        <v>2137</v>
      </c>
      <c r="J85" s="19" t="s">
        <v>2256</v>
      </c>
      <c r="R85" s="24" t="s">
        <v>2257</v>
      </c>
    </row>
    <row r="86" spans="1:18" x14ac:dyDescent="0.2">
      <c r="A86" s="19" t="s">
        <v>2258</v>
      </c>
      <c r="J86" s="19" t="s">
        <v>2259</v>
      </c>
      <c r="R86" s="24" t="s">
        <v>2260</v>
      </c>
    </row>
    <row r="87" spans="1:18" x14ac:dyDescent="0.2">
      <c r="A87" s="19" t="s">
        <v>2143</v>
      </c>
      <c r="J87" s="19" t="s">
        <v>2261</v>
      </c>
      <c r="R87" s="24" t="s">
        <v>2262</v>
      </c>
    </row>
    <row r="88" spans="1:18" x14ac:dyDescent="0.2">
      <c r="A88" s="19" t="s">
        <v>2145</v>
      </c>
      <c r="J88" s="19" t="s">
        <v>2263</v>
      </c>
      <c r="R88" s="24" t="s">
        <v>1691</v>
      </c>
    </row>
    <row r="89" spans="1:18" x14ac:dyDescent="0.2">
      <c r="A89" s="19" t="s">
        <v>2264</v>
      </c>
      <c r="J89" s="19" t="s">
        <v>2265</v>
      </c>
      <c r="R89" s="24" t="s">
        <v>2266</v>
      </c>
    </row>
    <row r="90" spans="1:18" x14ac:dyDescent="0.2">
      <c r="A90" s="19" t="s">
        <v>2267</v>
      </c>
      <c r="J90" s="19" t="s">
        <v>2268</v>
      </c>
      <c r="R90" s="24" t="s">
        <v>2269</v>
      </c>
    </row>
    <row r="91" spans="1:18" x14ac:dyDescent="0.2">
      <c r="A91" s="19" t="s">
        <v>2270</v>
      </c>
      <c r="J91" s="19" t="s">
        <v>2271</v>
      </c>
      <c r="R91" s="24" t="s">
        <v>2272</v>
      </c>
    </row>
    <row r="92" spans="1:18" x14ac:dyDescent="0.2">
      <c r="A92" s="19" t="s">
        <v>2147</v>
      </c>
      <c r="J92" s="19" t="s">
        <v>2273</v>
      </c>
      <c r="R92" s="24" t="s">
        <v>2274</v>
      </c>
    </row>
    <row r="93" spans="1:18" x14ac:dyDescent="0.2">
      <c r="A93" s="19" t="s">
        <v>2149</v>
      </c>
      <c r="J93" s="19" t="s">
        <v>2275</v>
      </c>
      <c r="R93" s="24" t="s">
        <v>2276</v>
      </c>
    </row>
    <row r="94" spans="1:18" x14ac:dyDescent="0.2">
      <c r="A94" s="19" t="s">
        <v>2151</v>
      </c>
      <c r="J94" s="19" t="s">
        <v>2277</v>
      </c>
      <c r="R94" s="24" t="s">
        <v>2278</v>
      </c>
    </row>
    <row r="95" spans="1:18" x14ac:dyDescent="0.2">
      <c r="A95" s="19" t="s">
        <v>1383</v>
      </c>
      <c r="J95" s="19" t="s">
        <v>2279</v>
      </c>
      <c r="R95" s="24" t="s">
        <v>2280</v>
      </c>
    </row>
    <row r="96" spans="1:18" x14ac:dyDescent="0.2">
      <c r="A96" s="19" t="s">
        <v>2154</v>
      </c>
      <c r="J96" s="19" t="s">
        <v>2281</v>
      </c>
      <c r="R96" s="24" t="s">
        <v>2282</v>
      </c>
    </row>
    <row r="97" spans="1:18" x14ac:dyDescent="0.2">
      <c r="A97" s="19" t="s">
        <v>2159</v>
      </c>
      <c r="J97" s="19" t="s">
        <v>2283</v>
      </c>
      <c r="R97" s="24" t="s">
        <v>2284</v>
      </c>
    </row>
    <row r="98" spans="1:18" x14ac:dyDescent="0.2">
      <c r="A98" s="19" t="s">
        <v>2162</v>
      </c>
      <c r="J98" s="19" t="s">
        <v>2285</v>
      </c>
      <c r="R98" s="24" t="s">
        <v>1743</v>
      </c>
    </row>
    <row r="99" spans="1:18" x14ac:dyDescent="0.2">
      <c r="A99" s="19" t="s">
        <v>1397</v>
      </c>
      <c r="J99" s="19" t="s">
        <v>2286</v>
      </c>
      <c r="R99" s="24" t="s">
        <v>2287</v>
      </c>
    </row>
    <row r="100" spans="1:18" x14ac:dyDescent="0.2">
      <c r="A100" s="19" t="s">
        <v>2164</v>
      </c>
      <c r="J100" s="19" t="s">
        <v>2288</v>
      </c>
      <c r="R100" s="24" t="s">
        <v>2289</v>
      </c>
    </row>
    <row r="101" spans="1:18" x14ac:dyDescent="0.2">
      <c r="A101" s="19" t="s">
        <v>2168</v>
      </c>
      <c r="J101" s="19" t="s">
        <v>2290</v>
      </c>
      <c r="R101" s="24" t="s">
        <v>2291</v>
      </c>
    </row>
    <row r="102" spans="1:18" x14ac:dyDescent="0.2">
      <c r="A102" s="19" t="s">
        <v>2170</v>
      </c>
      <c r="J102" s="19" t="s">
        <v>1745</v>
      </c>
      <c r="R102" s="24" t="s">
        <v>2292</v>
      </c>
    </row>
    <row r="103" spans="1:18" x14ac:dyDescent="0.2">
      <c r="A103" s="19" t="s">
        <v>2293</v>
      </c>
      <c r="J103" s="19" t="s">
        <v>2294</v>
      </c>
      <c r="R103" s="24" t="s">
        <v>2295</v>
      </c>
    </row>
    <row r="104" spans="1:18" x14ac:dyDescent="0.2">
      <c r="A104" s="19" t="s">
        <v>2296</v>
      </c>
      <c r="J104" s="19" t="s">
        <v>2297</v>
      </c>
      <c r="R104" s="24" t="s">
        <v>2298</v>
      </c>
    </row>
    <row r="105" spans="1:18" x14ac:dyDescent="0.2">
      <c r="A105" s="19" t="s">
        <v>2299</v>
      </c>
      <c r="J105" s="19" t="s">
        <v>1772</v>
      </c>
      <c r="R105" s="26" t="s">
        <v>143</v>
      </c>
    </row>
    <row r="106" spans="1:18" x14ac:dyDescent="0.2">
      <c r="A106" s="19" t="s">
        <v>2173</v>
      </c>
      <c r="J106" s="19" t="s">
        <v>1775</v>
      </c>
      <c r="R106" s="26" t="s">
        <v>150</v>
      </c>
    </row>
    <row r="107" spans="1:18" x14ac:dyDescent="0.2">
      <c r="A107" s="19" t="s">
        <v>2300</v>
      </c>
      <c r="J107" s="19" t="s">
        <v>1745</v>
      </c>
      <c r="R107" s="26" t="s">
        <v>160</v>
      </c>
    </row>
    <row r="108" spans="1:18" x14ac:dyDescent="0.2">
      <c r="A108" s="19" t="s">
        <v>2301</v>
      </c>
      <c r="J108" s="19" t="s">
        <v>1807</v>
      </c>
      <c r="R108" s="24" t="s">
        <v>2302</v>
      </c>
    </row>
    <row r="109" spans="1:18" x14ac:dyDescent="0.2">
      <c r="A109" s="19" t="s">
        <v>2303</v>
      </c>
      <c r="J109" s="19" t="s">
        <v>1809</v>
      </c>
      <c r="R109" s="24" t="s">
        <v>2304</v>
      </c>
    </row>
    <row r="110" spans="1:18" x14ac:dyDescent="0.2">
      <c r="A110" s="19" t="s">
        <v>2177</v>
      </c>
      <c r="J110" s="19" t="s">
        <v>1813</v>
      </c>
      <c r="R110" s="24" t="s">
        <v>2305</v>
      </c>
    </row>
    <row r="111" spans="1:18" x14ac:dyDescent="0.2">
      <c r="A111" s="19" t="s">
        <v>2306</v>
      </c>
      <c r="J111" s="19" t="s">
        <v>1820</v>
      </c>
      <c r="R111" s="24" t="s">
        <v>2307</v>
      </c>
    </row>
    <row r="112" spans="1:18" x14ac:dyDescent="0.2">
      <c r="A112" s="19" t="s">
        <v>2308</v>
      </c>
      <c r="J112" s="19" t="s">
        <v>1822</v>
      </c>
      <c r="R112" s="24" t="s">
        <v>2309</v>
      </c>
    </row>
    <row r="113" spans="1:18" x14ac:dyDescent="0.2">
      <c r="A113" s="19" t="s">
        <v>2310</v>
      </c>
      <c r="J113" s="19" t="s">
        <v>2311</v>
      </c>
      <c r="R113" s="24" t="s">
        <v>2312</v>
      </c>
    </row>
    <row r="114" spans="1:18" x14ac:dyDescent="0.2">
      <c r="A114" s="19" t="s">
        <v>2180</v>
      </c>
      <c r="J114" s="19" t="s">
        <v>1745</v>
      </c>
      <c r="R114" s="24" t="s">
        <v>2313</v>
      </c>
    </row>
    <row r="115" spans="1:18" x14ac:dyDescent="0.2">
      <c r="A115" s="19" t="s">
        <v>2314</v>
      </c>
      <c r="J115" s="19" t="s">
        <v>1834</v>
      </c>
      <c r="R115" s="24" t="s">
        <v>2315</v>
      </c>
    </row>
    <row r="116" spans="1:18" x14ac:dyDescent="0.2">
      <c r="A116" s="19" t="s">
        <v>2316</v>
      </c>
      <c r="J116" s="19" t="s">
        <v>1838</v>
      </c>
      <c r="R116" s="24" t="s">
        <v>2317</v>
      </c>
    </row>
    <row r="117" spans="1:18" x14ac:dyDescent="0.2">
      <c r="A117" s="19" t="s">
        <v>2186</v>
      </c>
      <c r="J117" s="19" t="s">
        <v>1840</v>
      </c>
      <c r="R117" s="24" t="s">
        <v>2318</v>
      </c>
    </row>
    <row r="118" spans="1:18" x14ac:dyDescent="0.2">
      <c r="A118" s="19" t="s">
        <v>2319</v>
      </c>
      <c r="J118" s="19" t="s">
        <v>1842</v>
      </c>
      <c r="R118" s="24" t="s">
        <v>2320</v>
      </c>
    </row>
    <row r="119" spans="1:18" x14ac:dyDescent="0.2">
      <c r="A119" s="19" t="s">
        <v>2189</v>
      </c>
      <c r="J119" s="19" t="s">
        <v>1844</v>
      </c>
    </row>
    <row r="120" spans="1:18" x14ac:dyDescent="0.2">
      <c r="A120" s="19" t="s">
        <v>2192</v>
      </c>
      <c r="J120" s="19" t="s">
        <v>1745</v>
      </c>
    </row>
    <row r="121" spans="1:18" x14ac:dyDescent="0.2">
      <c r="A121" s="19" t="s">
        <v>2321</v>
      </c>
      <c r="J121" s="19" t="s">
        <v>2322</v>
      </c>
    </row>
    <row r="122" spans="1:18" x14ac:dyDescent="0.2">
      <c r="A122" s="19" t="s">
        <v>2323</v>
      </c>
      <c r="J122" s="19" t="s">
        <v>2324</v>
      </c>
    </row>
    <row r="123" spans="1:18" x14ac:dyDescent="0.2">
      <c r="A123" s="19" t="s">
        <v>2325</v>
      </c>
      <c r="J123" s="19" t="s">
        <v>2326</v>
      </c>
    </row>
    <row r="124" spans="1:18" x14ac:dyDescent="0.2">
      <c r="A124" s="19" t="s">
        <v>2327</v>
      </c>
      <c r="J124" s="19" t="s">
        <v>2328</v>
      </c>
    </row>
    <row r="125" spans="1:18" x14ac:dyDescent="0.2">
      <c r="A125" s="19" t="s">
        <v>2199</v>
      </c>
      <c r="J125" s="19" t="s">
        <v>2329</v>
      </c>
    </row>
    <row r="126" spans="1:18" x14ac:dyDescent="0.2">
      <c r="A126" s="19" t="s">
        <v>2330</v>
      </c>
      <c r="J126" s="19" t="s">
        <v>2331</v>
      </c>
    </row>
    <row r="127" spans="1:18" x14ac:dyDescent="0.2">
      <c r="A127" s="19" t="s">
        <v>2332</v>
      </c>
      <c r="J127" s="19" t="s">
        <v>2333</v>
      </c>
    </row>
    <row r="128" spans="1:18" x14ac:dyDescent="0.2">
      <c r="A128" s="19" t="s">
        <v>2334</v>
      </c>
      <c r="J128" s="19" t="s">
        <v>2335</v>
      </c>
    </row>
    <row r="129" spans="1:10" x14ac:dyDescent="0.2">
      <c r="A129" s="19" t="s">
        <v>2336</v>
      </c>
      <c r="J129" s="19" t="s">
        <v>1860</v>
      </c>
    </row>
    <row r="130" spans="1:10" x14ac:dyDescent="0.2">
      <c r="A130" s="19" t="s">
        <v>1557</v>
      </c>
      <c r="J130" s="19" t="s">
        <v>2337</v>
      </c>
    </row>
    <row r="131" spans="1:10" x14ac:dyDescent="0.2">
      <c r="A131" s="19" t="s">
        <v>2338</v>
      </c>
      <c r="J131" s="19" t="s">
        <v>2339</v>
      </c>
    </row>
    <row r="132" spans="1:10" x14ac:dyDescent="0.2">
      <c r="A132" s="19" t="s">
        <v>2202</v>
      </c>
      <c r="J132" s="19" t="s">
        <v>1863</v>
      </c>
    </row>
    <row r="133" spans="1:10" x14ac:dyDescent="0.2">
      <c r="A133" s="19" t="s">
        <v>1571</v>
      </c>
      <c r="J133" s="19" t="s">
        <v>1866</v>
      </c>
    </row>
    <row r="134" spans="1:10" x14ac:dyDescent="0.2">
      <c r="A134" s="19" t="s">
        <v>2340</v>
      </c>
      <c r="J134" s="19" t="s">
        <v>2341</v>
      </c>
    </row>
    <row r="135" spans="1:10" x14ac:dyDescent="0.2">
      <c r="A135" s="19" t="s">
        <v>2342</v>
      </c>
      <c r="J135" s="19" t="s">
        <v>2343</v>
      </c>
    </row>
    <row r="136" spans="1:10" x14ac:dyDescent="0.2">
      <c r="A136" s="19" t="s">
        <v>2208</v>
      </c>
      <c r="J136" s="19" t="s">
        <v>2344</v>
      </c>
    </row>
    <row r="137" spans="1:10" x14ac:dyDescent="0.2">
      <c r="A137" s="19" t="s">
        <v>2211</v>
      </c>
      <c r="J137" s="19" t="s">
        <v>2345</v>
      </c>
    </row>
    <row r="138" spans="1:10" x14ac:dyDescent="0.2">
      <c r="A138" s="19" t="s">
        <v>2346</v>
      </c>
      <c r="J138" s="19" t="s">
        <v>2347</v>
      </c>
    </row>
    <row r="139" spans="1:10" x14ac:dyDescent="0.2">
      <c r="A139" s="19" t="s">
        <v>2348</v>
      </c>
      <c r="J139" s="19" t="s">
        <v>2349</v>
      </c>
    </row>
    <row r="140" spans="1:10" x14ac:dyDescent="0.2">
      <c r="A140" s="19" t="s">
        <v>2350</v>
      </c>
      <c r="J140" s="19" t="s">
        <v>2351</v>
      </c>
    </row>
    <row r="141" spans="1:10" x14ac:dyDescent="0.2">
      <c r="A141" s="19" t="s">
        <v>2216</v>
      </c>
      <c r="J141" s="19" t="s">
        <v>2352</v>
      </c>
    </row>
    <row r="142" spans="1:10" x14ac:dyDescent="0.2">
      <c r="A142" s="19" t="s">
        <v>2219</v>
      </c>
      <c r="J142" s="19" t="s">
        <v>2353</v>
      </c>
    </row>
    <row r="143" spans="1:10" x14ac:dyDescent="0.2">
      <c r="A143" s="19" t="s">
        <v>2222</v>
      </c>
      <c r="J143" s="19" t="s">
        <v>2354</v>
      </c>
    </row>
    <row r="144" spans="1:10" x14ac:dyDescent="0.2">
      <c r="A144" s="19" t="s">
        <v>2355</v>
      </c>
      <c r="J144" s="19" t="s">
        <v>2356</v>
      </c>
    </row>
    <row r="145" spans="1:10" x14ac:dyDescent="0.2">
      <c r="A145" s="19" t="s">
        <v>2224</v>
      </c>
      <c r="J145" s="19" t="s">
        <v>2357</v>
      </c>
    </row>
    <row r="146" spans="1:10" x14ac:dyDescent="0.2">
      <c r="A146" s="19" t="s">
        <v>2226</v>
      </c>
      <c r="J146" s="19" t="s">
        <v>2358</v>
      </c>
    </row>
    <row r="147" spans="1:10" x14ac:dyDescent="0.2">
      <c r="A147" s="19" t="s">
        <v>2228</v>
      </c>
      <c r="J147" s="19" t="s">
        <v>2359</v>
      </c>
    </row>
    <row r="148" spans="1:10" x14ac:dyDescent="0.2">
      <c r="A148" s="19" t="s">
        <v>2360</v>
      </c>
      <c r="J148" s="19" t="s">
        <v>2361</v>
      </c>
    </row>
    <row r="149" spans="1:10" x14ac:dyDescent="0.2">
      <c r="A149" s="19" t="s">
        <v>2362</v>
      </c>
      <c r="J149" s="19" t="s">
        <v>2363</v>
      </c>
    </row>
    <row r="150" spans="1:10" x14ac:dyDescent="0.2">
      <c r="A150" s="19" t="s">
        <v>2231</v>
      </c>
      <c r="J150" s="19" t="s">
        <v>2364</v>
      </c>
    </row>
    <row r="151" spans="1:10" x14ac:dyDescent="0.2">
      <c r="A151" s="19" t="s">
        <v>2234</v>
      </c>
      <c r="J151" s="19" t="s">
        <v>2365</v>
      </c>
    </row>
    <row r="152" spans="1:10" x14ac:dyDescent="0.2">
      <c r="A152" s="19" t="s">
        <v>1611</v>
      </c>
      <c r="J152" s="19" t="s">
        <v>2366</v>
      </c>
    </row>
    <row r="153" spans="1:10" x14ac:dyDescent="0.2">
      <c r="A153" s="19" t="s">
        <v>2236</v>
      </c>
      <c r="J153" s="19" t="s">
        <v>2367</v>
      </c>
    </row>
    <row r="154" spans="1:10" x14ac:dyDescent="0.2">
      <c r="A154" s="19" t="s">
        <v>2242</v>
      </c>
      <c r="J154" s="19" t="s">
        <v>2368</v>
      </c>
    </row>
    <row r="155" spans="1:10" x14ac:dyDescent="0.2">
      <c r="A155" s="19" t="s">
        <v>2244</v>
      </c>
      <c r="J155" s="19" t="s">
        <v>2369</v>
      </c>
    </row>
    <row r="156" spans="1:10" x14ac:dyDescent="0.2">
      <c r="A156" s="19" t="s">
        <v>2247</v>
      </c>
      <c r="J156" s="19" t="s">
        <v>86</v>
      </c>
    </row>
    <row r="157" spans="1:10" x14ac:dyDescent="0.2">
      <c r="A157" s="19" t="s">
        <v>2370</v>
      </c>
      <c r="J157" s="19" t="s">
        <v>2371</v>
      </c>
    </row>
    <row r="158" spans="1:10" x14ac:dyDescent="0.2">
      <c r="A158" s="19" t="s">
        <v>2250</v>
      </c>
      <c r="J158" s="19" t="s">
        <v>157</v>
      </c>
    </row>
    <row r="159" spans="1:10" x14ac:dyDescent="0.2">
      <c r="A159" s="19" t="s">
        <v>2253</v>
      </c>
      <c r="J159" s="19" t="s">
        <v>2372</v>
      </c>
    </row>
    <row r="160" spans="1:10" x14ac:dyDescent="0.2">
      <c r="A160" s="19" t="s">
        <v>2255</v>
      </c>
      <c r="J160" s="19" t="s">
        <v>2373</v>
      </c>
    </row>
    <row r="161" spans="1:10" x14ac:dyDescent="0.2">
      <c r="A161" s="19" t="s">
        <v>2374</v>
      </c>
      <c r="J161" s="19" t="s">
        <v>2056</v>
      </c>
    </row>
    <row r="162" spans="1:10" x14ac:dyDescent="0.2">
      <c r="A162" s="19" t="s">
        <v>2257</v>
      </c>
      <c r="J162" s="19" t="s">
        <v>1052</v>
      </c>
    </row>
    <row r="163" spans="1:10" x14ac:dyDescent="0.2">
      <c r="A163" s="19" t="s">
        <v>2260</v>
      </c>
      <c r="J163" s="19" t="s">
        <v>2375</v>
      </c>
    </row>
    <row r="164" spans="1:10" x14ac:dyDescent="0.2">
      <c r="A164" s="19" t="s">
        <v>2262</v>
      </c>
      <c r="J164" s="19" t="s">
        <v>2070</v>
      </c>
    </row>
    <row r="165" spans="1:10" x14ac:dyDescent="0.2">
      <c r="A165" s="19" t="s">
        <v>2376</v>
      </c>
      <c r="J165" s="19" t="s">
        <v>2073</v>
      </c>
    </row>
    <row r="166" spans="1:10" x14ac:dyDescent="0.2">
      <c r="A166" s="19" t="s">
        <v>2377</v>
      </c>
      <c r="J166" s="19" t="s">
        <v>2075</v>
      </c>
    </row>
    <row r="167" spans="1:10" x14ac:dyDescent="0.2">
      <c r="A167" s="19" t="s">
        <v>2378</v>
      </c>
      <c r="J167" s="19" t="s">
        <v>2379</v>
      </c>
    </row>
    <row r="168" spans="1:10" x14ac:dyDescent="0.2">
      <c r="A168" s="19" t="s">
        <v>2380</v>
      </c>
      <c r="J168" s="19" t="s">
        <v>2086</v>
      </c>
    </row>
    <row r="169" spans="1:10" x14ac:dyDescent="0.2">
      <c r="A169" s="19" t="s">
        <v>2381</v>
      </c>
      <c r="J169" s="19" t="s">
        <v>2160</v>
      </c>
    </row>
    <row r="170" spans="1:10" x14ac:dyDescent="0.2">
      <c r="A170" s="19" t="s">
        <v>2382</v>
      </c>
      <c r="J170" s="19" t="s">
        <v>2383</v>
      </c>
    </row>
    <row r="171" spans="1:10" x14ac:dyDescent="0.2">
      <c r="A171" s="19" t="s">
        <v>2384</v>
      </c>
      <c r="J171" s="19" t="s">
        <v>2093</v>
      </c>
    </row>
    <row r="172" spans="1:10" x14ac:dyDescent="0.2">
      <c r="A172" s="19" t="s">
        <v>1691</v>
      </c>
      <c r="J172" s="19" t="s">
        <v>2096</v>
      </c>
    </row>
    <row r="173" spans="1:10" x14ac:dyDescent="0.2">
      <c r="A173" s="19" t="s">
        <v>2266</v>
      </c>
      <c r="J173" s="19" t="s">
        <v>2101</v>
      </c>
    </row>
    <row r="174" spans="1:10" x14ac:dyDescent="0.2">
      <c r="A174" s="19" t="s">
        <v>2269</v>
      </c>
      <c r="J174" s="19" t="s">
        <v>2103</v>
      </c>
    </row>
    <row r="175" spans="1:10" x14ac:dyDescent="0.2">
      <c r="A175" s="19" t="s">
        <v>2272</v>
      </c>
      <c r="J175" s="19" t="s">
        <v>2385</v>
      </c>
    </row>
    <row r="176" spans="1:10" x14ac:dyDescent="0.2">
      <c r="A176" s="19" t="s">
        <v>2386</v>
      </c>
      <c r="J176" s="19" t="s">
        <v>2110</v>
      </c>
    </row>
    <row r="177" spans="1:10" x14ac:dyDescent="0.2">
      <c r="A177" s="19" t="s">
        <v>2276</v>
      </c>
      <c r="J177" s="19" t="s">
        <v>2387</v>
      </c>
    </row>
    <row r="178" spans="1:10" x14ac:dyDescent="0.2">
      <c r="A178" s="19" t="s">
        <v>2388</v>
      </c>
      <c r="J178" s="19" t="s">
        <v>2389</v>
      </c>
    </row>
    <row r="179" spans="1:10" x14ac:dyDescent="0.2">
      <c r="A179" s="19" t="s">
        <v>2390</v>
      </c>
      <c r="J179" s="19" t="s">
        <v>2391</v>
      </c>
    </row>
    <row r="180" spans="1:10" x14ac:dyDescent="0.2">
      <c r="A180" s="19" t="s">
        <v>2392</v>
      </c>
      <c r="J180" s="19" t="s">
        <v>2393</v>
      </c>
    </row>
    <row r="181" spans="1:10" x14ac:dyDescent="0.2">
      <c r="A181" s="19" t="s">
        <v>2280</v>
      </c>
      <c r="J181" s="19" t="s">
        <v>2394</v>
      </c>
    </row>
    <row r="182" spans="1:10" x14ac:dyDescent="0.2">
      <c r="A182" s="19" t="s">
        <v>2395</v>
      </c>
      <c r="J182" s="19" t="s">
        <v>2126</v>
      </c>
    </row>
    <row r="183" spans="1:10" x14ac:dyDescent="0.2">
      <c r="A183" s="19" t="s">
        <v>2396</v>
      </c>
      <c r="J183" s="19" t="s">
        <v>2229</v>
      </c>
    </row>
    <row r="184" spans="1:10" x14ac:dyDescent="0.2">
      <c r="A184" s="19" t="s">
        <v>2397</v>
      </c>
      <c r="J184" s="19" t="s">
        <v>2131</v>
      </c>
    </row>
    <row r="185" spans="1:10" x14ac:dyDescent="0.2">
      <c r="A185" s="19" t="s">
        <v>2282</v>
      </c>
      <c r="J185" s="19" t="s">
        <v>2398</v>
      </c>
    </row>
    <row r="186" spans="1:10" x14ac:dyDescent="0.2">
      <c r="A186" s="19" t="s">
        <v>2399</v>
      </c>
      <c r="J186" s="19" t="s">
        <v>1348</v>
      </c>
    </row>
    <row r="187" spans="1:10" x14ac:dyDescent="0.2">
      <c r="A187" s="19" t="s">
        <v>1743</v>
      </c>
      <c r="J187" s="19" t="s">
        <v>2400</v>
      </c>
    </row>
    <row r="188" spans="1:10" x14ac:dyDescent="0.2">
      <c r="A188" s="19" t="s">
        <v>2401</v>
      </c>
      <c r="J188" s="19" t="s">
        <v>2137</v>
      </c>
    </row>
    <row r="189" spans="1:10" x14ac:dyDescent="0.2">
      <c r="A189" s="19" t="s">
        <v>2287</v>
      </c>
      <c r="J189" s="19" t="s">
        <v>2402</v>
      </c>
    </row>
    <row r="190" spans="1:10" x14ac:dyDescent="0.2">
      <c r="A190" s="19" t="s">
        <v>2403</v>
      </c>
      <c r="J190" s="19" t="s">
        <v>2267</v>
      </c>
    </row>
    <row r="191" spans="1:10" x14ac:dyDescent="0.2">
      <c r="A191" s="19" t="s">
        <v>2404</v>
      </c>
      <c r="J191" s="19" t="s">
        <v>2147</v>
      </c>
    </row>
    <row r="192" spans="1:10" x14ac:dyDescent="0.2">
      <c r="A192" s="19" t="s">
        <v>2289</v>
      </c>
      <c r="J192" s="19" t="s">
        <v>2151</v>
      </c>
    </row>
    <row r="193" spans="1:10" x14ac:dyDescent="0.2">
      <c r="A193" s="19" t="s">
        <v>2291</v>
      </c>
      <c r="J193" s="19" t="s">
        <v>1383</v>
      </c>
    </row>
    <row r="194" spans="1:10" x14ac:dyDescent="0.2">
      <c r="A194" s="19" t="s">
        <v>1808</v>
      </c>
      <c r="J194" s="19" t="s">
        <v>2154</v>
      </c>
    </row>
    <row r="195" spans="1:10" x14ac:dyDescent="0.2">
      <c r="A195" s="19" t="s">
        <v>2292</v>
      </c>
      <c r="J195" s="19" t="s">
        <v>2405</v>
      </c>
    </row>
    <row r="196" spans="1:10" x14ac:dyDescent="0.2">
      <c r="A196" s="19" t="s">
        <v>2295</v>
      </c>
      <c r="J196" s="19" t="s">
        <v>1397</v>
      </c>
    </row>
    <row r="197" spans="1:10" x14ac:dyDescent="0.2">
      <c r="A197" s="19" t="s">
        <v>2406</v>
      </c>
      <c r="J197" s="19" t="s">
        <v>2164</v>
      </c>
    </row>
    <row r="198" spans="1:10" x14ac:dyDescent="0.2">
      <c r="A198" s="19" t="s">
        <v>2407</v>
      </c>
      <c r="J198" s="19" t="s">
        <v>2408</v>
      </c>
    </row>
    <row r="199" spans="1:10" x14ac:dyDescent="0.2">
      <c r="A199" s="19" t="s">
        <v>2409</v>
      </c>
      <c r="J199" s="19" t="s">
        <v>2410</v>
      </c>
    </row>
    <row r="200" spans="1:10" x14ac:dyDescent="0.2">
      <c r="A200" s="19" t="s">
        <v>130</v>
      </c>
      <c r="J200" s="19" t="s">
        <v>2177</v>
      </c>
    </row>
    <row r="201" spans="1:10" x14ac:dyDescent="0.2">
      <c r="A201" s="19" t="s">
        <v>134</v>
      </c>
      <c r="J201" s="19" t="s">
        <v>2186</v>
      </c>
    </row>
    <row r="202" spans="1:10" x14ac:dyDescent="0.2">
      <c r="A202" s="19" t="s">
        <v>136</v>
      </c>
      <c r="J202" s="19" t="s">
        <v>2194</v>
      </c>
    </row>
    <row r="203" spans="1:10" x14ac:dyDescent="0.2">
      <c r="A203" s="19" t="s">
        <v>141</v>
      </c>
      <c r="J203" s="19" t="s">
        <v>2199</v>
      </c>
    </row>
    <row r="204" spans="1:10" x14ac:dyDescent="0.2">
      <c r="A204" s="19" t="s">
        <v>143</v>
      </c>
      <c r="J204" s="19" t="s">
        <v>1557</v>
      </c>
    </row>
    <row r="205" spans="1:10" x14ac:dyDescent="0.2">
      <c r="A205" s="19" t="s">
        <v>145</v>
      </c>
      <c r="J205" s="19" t="s">
        <v>2411</v>
      </c>
    </row>
    <row r="206" spans="1:10" x14ac:dyDescent="0.2">
      <c r="A206" s="19" t="s">
        <v>146</v>
      </c>
      <c r="J206" s="19" t="s">
        <v>2202</v>
      </c>
    </row>
    <row r="207" spans="1:10" x14ac:dyDescent="0.2">
      <c r="A207" s="19" t="s">
        <v>148</v>
      </c>
      <c r="J207" s="19" t="s">
        <v>1571</v>
      </c>
    </row>
    <row r="208" spans="1:10" x14ac:dyDescent="0.2">
      <c r="A208" s="19" t="s">
        <v>150</v>
      </c>
      <c r="J208" s="19" t="s">
        <v>2205</v>
      </c>
    </row>
    <row r="209" spans="1:10" x14ac:dyDescent="0.2">
      <c r="A209" s="19" t="s">
        <v>1884</v>
      </c>
      <c r="J209" s="19" t="s">
        <v>2208</v>
      </c>
    </row>
    <row r="210" spans="1:10" x14ac:dyDescent="0.2">
      <c r="A210" s="19" t="s">
        <v>160</v>
      </c>
      <c r="J210" s="19" t="s">
        <v>2211</v>
      </c>
    </row>
    <row r="211" spans="1:10" x14ac:dyDescent="0.2">
      <c r="A211" s="19" t="s">
        <v>2412</v>
      </c>
      <c r="J211" s="19" t="s">
        <v>2214</v>
      </c>
    </row>
    <row r="212" spans="1:10" x14ac:dyDescent="0.2">
      <c r="A212" s="19" t="s">
        <v>168</v>
      </c>
      <c r="J212" s="19" t="s">
        <v>2413</v>
      </c>
    </row>
    <row r="213" spans="1:10" x14ac:dyDescent="0.2">
      <c r="A213" s="19" t="s">
        <v>170</v>
      </c>
      <c r="J213" s="19" t="s">
        <v>2216</v>
      </c>
    </row>
    <row r="214" spans="1:10" x14ac:dyDescent="0.2">
      <c r="A214" s="19" t="s">
        <v>1905</v>
      </c>
      <c r="J214" s="19" t="s">
        <v>2219</v>
      </c>
    </row>
    <row r="215" spans="1:10" x14ac:dyDescent="0.2">
      <c r="A215" s="19" t="s">
        <v>1910</v>
      </c>
      <c r="J215" s="19" t="s">
        <v>2222</v>
      </c>
    </row>
    <row r="216" spans="1:10" x14ac:dyDescent="0.2">
      <c r="A216" s="19" t="s">
        <v>1911</v>
      </c>
      <c r="J216" s="19" t="s">
        <v>2414</v>
      </c>
    </row>
    <row r="217" spans="1:10" x14ac:dyDescent="0.2">
      <c r="A217" s="19" t="s">
        <v>1912</v>
      </c>
      <c r="J217" s="19" t="s">
        <v>2224</v>
      </c>
    </row>
    <row r="218" spans="1:10" x14ac:dyDescent="0.2">
      <c r="A218" s="19" t="s">
        <v>1914</v>
      </c>
      <c r="J218" s="19" t="s">
        <v>2226</v>
      </c>
    </row>
    <row r="219" spans="1:10" x14ac:dyDescent="0.2">
      <c r="A219" s="19" t="s">
        <v>1916</v>
      </c>
      <c r="J219" s="19" t="s">
        <v>2228</v>
      </c>
    </row>
    <row r="220" spans="1:10" x14ac:dyDescent="0.2">
      <c r="A220" s="19" t="s">
        <v>1918</v>
      </c>
      <c r="J220" s="19" t="s">
        <v>2231</v>
      </c>
    </row>
    <row r="221" spans="1:10" x14ac:dyDescent="0.2">
      <c r="A221" s="19" t="s">
        <v>1920</v>
      </c>
      <c r="J221" s="19" t="s">
        <v>2234</v>
      </c>
    </row>
    <row r="222" spans="1:10" x14ac:dyDescent="0.2">
      <c r="A222" s="19" t="s">
        <v>1922</v>
      </c>
      <c r="J222" s="19" t="s">
        <v>2415</v>
      </c>
    </row>
    <row r="223" spans="1:10" x14ac:dyDescent="0.2">
      <c r="A223" s="19" t="s">
        <v>2416</v>
      </c>
      <c r="J223" s="19" t="s">
        <v>2417</v>
      </c>
    </row>
    <row r="224" spans="1:10" x14ac:dyDescent="0.2">
      <c r="A224" s="19" t="s">
        <v>2302</v>
      </c>
      <c r="J224" s="19" t="s">
        <v>1611</v>
      </c>
    </row>
    <row r="225" spans="1:10" x14ac:dyDescent="0.2">
      <c r="A225" s="19" t="s">
        <v>2418</v>
      </c>
      <c r="J225" s="19" t="s">
        <v>2419</v>
      </c>
    </row>
    <row r="226" spans="1:10" x14ac:dyDescent="0.2">
      <c r="A226" s="19" t="s">
        <v>2304</v>
      </c>
      <c r="J226" s="19" t="s">
        <v>2420</v>
      </c>
    </row>
    <row r="227" spans="1:10" x14ac:dyDescent="0.2">
      <c r="A227" s="19" t="s">
        <v>2305</v>
      </c>
      <c r="J227" s="19" t="s">
        <v>2244</v>
      </c>
    </row>
    <row r="228" spans="1:10" x14ac:dyDescent="0.2">
      <c r="A228" s="19" t="s">
        <v>2421</v>
      </c>
      <c r="J228" s="19" t="s">
        <v>2247</v>
      </c>
    </row>
    <row r="229" spans="1:10" x14ac:dyDescent="0.2">
      <c r="A229" s="19" t="s">
        <v>2307</v>
      </c>
      <c r="J229" s="19" t="s">
        <v>2255</v>
      </c>
    </row>
    <row r="230" spans="1:10" x14ac:dyDescent="0.2">
      <c r="A230" s="19" t="s">
        <v>2422</v>
      </c>
      <c r="J230" s="19" t="s">
        <v>2423</v>
      </c>
    </row>
    <row r="231" spans="1:10" x14ac:dyDescent="0.2">
      <c r="A231" s="19" t="s">
        <v>2424</v>
      </c>
      <c r="J231" s="19" t="s">
        <v>2262</v>
      </c>
    </row>
    <row r="232" spans="1:10" x14ac:dyDescent="0.2">
      <c r="A232" s="19" t="s">
        <v>2312</v>
      </c>
      <c r="J232" s="19" t="s">
        <v>2425</v>
      </c>
    </row>
    <row r="233" spans="1:10" x14ac:dyDescent="0.2">
      <c r="A233" s="19" t="s">
        <v>2313</v>
      </c>
      <c r="J233" s="19" t="s">
        <v>2426</v>
      </c>
    </row>
    <row r="234" spans="1:10" x14ac:dyDescent="0.2">
      <c r="A234" s="19" t="s">
        <v>2315</v>
      </c>
      <c r="J234" s="19" t="s">
        <v>2427</v>
      </c>
    </row>
    <row r="235" spans="1:10" x14ac:dyDescent="0.2">
      <c r="A235" s="19" t="s">
        <v>2317</v>
      </c>
      <c r="J235" s="19" t="s">
        <v>2428</v>
      </c>
    </row>
    <row r="236" spans="1:10" x14ac:dyDescent="0.2">
      <c r="A236" s="19" t="s">
        <v>2429</v>
      </c>
      <c r="J236" s="19" t="s">
        <v>2269</v>
      </c>
    </row>
    <row r="237" spans="1:10" x14ac:dyDescent="0.2">
      <c r="A237" s="19" t="s">
        <v>2318</v>
      </c>
      <c r="J237" s="19" t="s">
        <v>2430</v>
      </c>
    </row>
    <row r="238" spans="1:10" x14ac:dyDescent="0.2">
      <c r="A238" s="19" t="s">
        <v>2431</v>
      </c>
      <c r="J238" s="19" t="s">
        <v>2432</v>
      </c>
    </row>
    <row r="239" spans="1:10" x14ac:dyDescent="0.2">
      <c r="A239" s="19" t="s">
        <v>2433</v>
      </c>
      <c r="J239" s="19" t="s">
        <v>2274</v>
      </c>
    </row>
    <row r="240" spans="1:10" x14ac:dyDescent="0.2">
      <c r="A240" s="19" t="s">
        <v>1930</v>
      </c>
      <c r="J240" s="19" t="s">
        <v>2276</v>
      </c>
    </row>
    <row r="241" spans="1:10" x14ac:dyDescent="0.2">
      <c r="A241" s="19" t="s">
        <v>1931</v>
      </c>
      <c r="J241" s="19" t="s">
        <v>2278</v>
      </c>
    </row>
    <row r="242" spans="1:10" x14ac:dyDescent="0.2">
      <c r="A242" s="19" t="s">
        <v>508</v>
      </c>
      <c r="J242" s="19" t="s">
        <v>2434</v>
      </c>
    </row>
    <row r="243" spans="1:10" x14ac:dyDescent="0.2">
      <c r="A243" s="19" t="s">
        <v>736</v>
      </c>
      <c r="J243" s="19" t="s">
        <v>2280</v>
      </c>
    </row>
    <row r="244" spans="1:10" x14ac:dyDescent="0.2">
      <c r="A244" s="19" t="s">
        <v>2435</v>
      </c>
      <c r="J244" s="19" t="s">
        <v>2436</v>
      </c>
    </row>
    <row r="245" spans="1:10" x14ac:dyDescent="0.2">
      <c r="A245" s="19" t="s">
        <v>2437</v>
      </c>
      <c r="J245" s="19" t="s">
        <v>2282</v>
      </c>
    </row>
    <row r="246" spans="1:10" x14ac:dyDescent="0.2">
      <c r="A246" s="19" t="s">
        <v>2438</v>
      </c>
      <c r="J246" s="19" t="s">
        <v>1743</v>
      </c>
    </row>
    <row r="247" spans="1:10" x14ac:dyDescent="0.2">
      <c r="A247" s="19" t="s">
        <v>2439</v>
      </c>
      <c r="J247" s="19" t="s">
        <v>2440</v>
      </c>
    </row>
    <row r="248" spans="1:10" x14ac:dyDescent="0.2">
      <c r="A248" s="19" t="s">
        <v>2441</v>
      </c>
      <c r="J248" s="19" t="s">
        <v>2287</v>
      </c>
    </row>
    <row r="249" spans="1:10" x14ac:dyDescent="0.2">
      <c r="A249" s="19" t="s">
        <v>2442</v>
      </c>
      <c r="J249" s="19" t="s">
        <v>2443</v>
      </c>
    </row>
    <row r="250" spans="1:10" x14ac:dyDescent="0.2">
      <c r="A250" s="19" t="s">
        <v>2444</v>
      </c>
      <c r="J250" s="19" t="s">
        <v>2289</v>
      </c>
    </row>
    <row r="251" spans="1:10" x14ac:dyDescent="0.2">
      <c r="A251" s="19" t="s">
        <v>2445</v>
      </c>
      <c r="J251" s="19" t="s">
        <v>1808</v>
      </c>
    </row>
    <row r="252" spans="1:10" x14ac:dyDescent="0.2">
      <c r="A252" s="19" t="s">
        <v>2446</v>
      </c>
      <c r="J252" s="19" t="s">
        <v>2292</v>
      </c>
    </row>
    <row r="253" spans="1:10" x14ac:dyDescent="0.2">
      <c r="J253" s="19" t="s">
        <v>2298</v>
      </c>
    </row>
    <row r="254" spans="1:10" x14ac:dyDescent="0.2">
      <c r="J254" s="19" t="s">
        <v>148</v>
      </c>
    </row>
    <row r="255" spans="1:10" x14ac:dyDescent="0.2">
      <c r="J255" s="19" t="s">
        <v>152</v>
      </c>
    </row>
    <row r="256" spans="1:10" x14ac:dyDescent="0.2">
      <c r="J256" s="19" t="s">
        <v>1884</v>
      </c>
    </row>
    <row r="257" spans="10:10" x14ac:dyDescent="0.2">
      <c r="J257" s="19" t="s">
        <v>162</v>
      </c>
    </row>
    <row r="258" spans="10:10" x14ac:dyDescent="0.2">
      <c r="J258" s="19" t="s">
        <v>168</v>
      </c>
    </row>
    <row r="259" spans="10:10" x14ac:dyDescent="0.2">
      <c r="J259" s="19" t="s">
        <v>2018</v>
      </c>
    </row>
    <row r="260" spans="10:10" x14ac:dyDescent="0.2">
      <c r="J260" s="19" t="s">
        <v>2019</v>
      </c>
    </row>
    <row r="261" spans="10:10" x14ac:dyDescent="0.2">
      <c r="J261" s="19" t="s">
        <v>2027</v>
      </c>
    </row>
    <row r="262" spans="10:10" x14ac:dyDescent="0.2">
      <c r="J262" s="19" t="s">
        <v>2028</v>
      </c>
    </row>
    <row r="263" spans="10:10" x14ac:dyDescent="0.2">
      <c r="J263" s="19" t="s">
        <v>1905</v>
      </c>
    </row>
    <row r="264" spans="10:10" x14ac:dyDescent="0.2">
      <c r="J264" s="19" t="s">
        <v>2030</v>
      </c>
    </row>
    <row r="265" spans="10:10" x14ac:dyDescent="0.2">
      <c r="J265" s="19" t="s">
        <v>2033</v>
      </c>
    </row>
    <row r="266" spans="10:10" x14ac:dyDescent="0.2">
      <c r="J266" s="19" t="s">
        <v>2034</v>
      </c>
    </row>
    <row r="267" spans="10:10" x14ac:dyDescent="0.2">
      <c r="J267" s="19" t="s">
        <v>2447</v>
      </c>
    </row>
    <row r="268" spans="10:10" x14ac:dyDescent="0.2">
      <c r="J268" s="19" t="s">
        <v>1910</v>
      </c>
    </row>
    <row r="269" spans="10:10" x14ac:dyDescent="0.2">
      <c r="J269" s="19" t="s">
        <v>1911</v>
      </c>
    </row>
    <row r="270" spans="10:10" x14ac:dyDescent="0.2">
      <c r="J270" s="19" t="s">
        <v>1914</v>
      </c>
    </row>
    <row r="271" spans="10:10" x14ac:dyDescent="0.2">
      <c r="J271" s="19" t="s">
        <v>1916</v>
      </c>
    </row>
    <row r="272" spans="10:10" x14ac:dyDescent="0.2">
      <c r="J272" s="19" t="s">
        <v>1918</v>
      </c>
    </row>
    <row r="273" spans="10:10" x14ac:dyDescent="0.2">
      <c r="J273" s="19" t="s">
        <v>1920</v>
      </c>
    </row>
    <row r="274" spans="10:10" x14ac:dyDescent="0.2">
      <c r="J274" s="19" t="s">
        <v>1922</v>
      </c>
    </row>
    <row r="275" spans="10:10" x14ac:dyDescent="0.2">
      <c r="J275" s="19" t="s">
        <v>2448</v>
      </c>
    </row>
    <row r="276" spans="10:10" x14ac:dyDescent="0.2">
      <c r="J276" s="19" t="s">
        <v>2449</v>
      </c>
    </row>
    <row r="277" spans="10:10" x14ac:dyDescent="0.2">
      <c r="J277" s="19" t="s">
        <v>2450</v>
      </c>
    </row>
    <row r="278" spans="10:10" x14ac:dyDescent="0.2">
      <c r="J278" s="19" t="s">
        <v>2312</v>
      </c>
    </row>
    <row r="279" spans="10:10" x14ac:dyDescent="0.2">
      <c r="J279" s="19" t="s">
        <v>2451</v>
      </c>
    </row>
    <row r="280" spans="10:10" x14ac:dyDescent="0.2">
      <c r="J280" s="19" t="s">
        <v>2313</v>
      </c>
    </row>
    <row r="281" spans="10:10" x14ac:dyDescent="0.2">
      <c r="J281" s="19" t="s">
        <v>2315</v>
      </c>
    </row>
    <row r="282" spans="10:10" x14ac:dyDescent="0.2">
      <c r="J282" s="19" t="s">
        <v>2317</v>
      </c>
    </row>
    <row r="283" spans="10:10" x14ac:dyDescent="0.2">
      <c r="J283" s="19" t="s">
        <v>1929</v>
      </c>
    </row>
    <row r="284" spans="10:10" x14ac:dyDescent="0.2">
      <c r="J284" s="19" t="s">
        <v>2452</v>
      </c>
    </row>
    <row r="285" spans="10:10" x14ac:dyDescent="0.2">
      <c r="J285" s="19" t="s">
        <v>2453</v>
      </c>
    </row>
    <row r="286" spans="10:10" x14ac:dyDescent="0.2">
      <c r="J286" s="19" t="s">
        <v>1930</v>
      </c>
    </row>
    <row r="287" spans="10:10" x14ac:dyDescent="0.2">
      <c r="J287" s="19" t="s">
        <v>1931</v>
      </c>
    </row>
    <row r="288" spans="10:10" x14ac:dyDescent="0.2">
      <c r="J288" s="19" t="s">
        <v>2454</v>
      </c>
    </row>
    <row r="289" spans="10:10" x14ac:dyDescent="0.2">
      <c r="J289" s="19" t="s">
        <v>508</v>
      </c>
    </row>
    <row r="290" spans="10:10" x14ac:dyDescent="0.2">
      <c r="J290" s="19" t="s">
        <v>2455</v>
      </c>
    </row>
    <row r="291" spans="10:10" x14ac:dyDescent="0.2">
      <c r="J291" s="19" t="s">
        <v>736</v>
      </c>
    </row>
    <row r="292" spans="10:10" x14ac:dyDescent="0.2">
      <c r="J292" s="19" t="s">
        <v>2456</v>
      </c>
    </row>
    <row r="293" spans="10:10" x14ac:dyDescent="0.2">
      <c r="J293" s="19" t="s">
        <v>2457</v>
      </c>
    </row>
    <row r="294" spans="10:10" x14ac:dyDescent="0.2">
      <c r="J294" s="19" t="s">
        <v>2458</v>
      </c>
    </row>
    <row r="295" spans="10:10" x14ac:dyDescent="0.2">
      <c r="J295" s="19" t="s">
        <v>2435</v>
      </c>
    </row>
    <row r="296" spans="10:10" x14ac:dyDescent="0.2">
      <c r="J296" s="19" t="s">
        <v>2437</v>
      </c>
    </row>
    <row r="297" spans="10:10" x14ac:dyDescent="0.2">
      <c r="J297" s="19" t="s">
        <v>2438</v>
      </c>
    </row>
    <row r="298" spans="10:10" x14ac:dyDescent="0.2">
      <c r="J298" s="19" t="s">
        <v>2439</v>
      </c>
    </row>
    <row r="299" spans="10:10" x14ac:dyDescent="0.2">
      <c r="J299" s="19" t="s">
        <v>2441</v>
      </c>
    </row>
    <row r="300" spans="10:10" x14ac:dyDescent="0.2">
      <c r="J300" s="19" t="s">
        <v>2442</v>
      </c>
    </row>
    <row r="301" spans="10:10" x14ac:dyDescent="0.2">
      <c r="J301" s="19" t="s">
        <v>2444</v>
      </c>
    </row>
    <row r="302" spans="10:10" x14ac:dyDescent="0.2">
      <c r="J302" s="19" t="s">
        <v>2445</v>
      </c>
    </row>
    <row r="303" spans="10:10" x14ac:dyDescent="0.2">
      <c r="J303" s="19" t="s">
        <v>2446</v>
      </c>
    </row>
    <row r="304" spans="10:10" x14ac:dyDescent="0.2">
      <c r="J304" s="19" t="s">
        <v>2459</v>
      </c>
    </row>
    <row r="305" spans="10:10" x14ac:dyDescent="0.2">
      <c r="J305" s="19" t="s">
        <v>2460</v>
      </c>
    </row>
    <row r="306" spans="10:10" x14ac:dyDescent="0.2">
      <c r="J306" s="19" t="s">
        <v>2461</v>
      </c>
    </row>
    <row r="307" spans="10:10" x14ac:dyDescent="0.2">
      <c r="J307" s="19" t="s">
        <v>2462</v>
      </c>
    </row>
    <row r="308" spans="10:10" x14ac:dyDescent="0.2">
      <c r="J308" s="19" t="s">
        <v>2463</v>
      </c>
    </row>
    <row r="309" spans="10:10" x14ac:dyDescent="0.2">
      <c r="J309" s="19" t="s">
        <v>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D1CD9-5448-3347-9104-5C8B9C6ACF22}">
  <dimension ref="A1:R569"/>
  <sheetViews>
    <sheetView workbookViewId="0">
      <selection activeCell="O31" sqref="O31"/>
    </sheetView>
  </sheetViews>
  <sheetFormatPr baseColWidth="10" defaultColWidth="11" defaultRowHeight="16" x14ac:dyDescent="0.2"/>
  <sheetData>
    <row r="1" spans="1:18" s="23" customFormat="1" ht="27" x14ac:dyDescent="0.35">
      <c r="B1" s="18" t="s">
        <v>2464</v>
      </c>
      <c r="J1" s="18" t="s">
        <v>2465</v>
      </c>
      <c r="R1" s="18" t="s">
        <v>2466</v>
      </c>
    </row>
    <row r="2" spans="1:18" x14ac:dyDescent="0.2">
      <c r="A2" s="19" t="s">
        <v>78</v>
      </c>
      <c r="J2" s="19" t="s">
        <v>2467</v>
      </c>
      <c r="R2" s="24" t="s">
        <v>2468</v>
      </c>
    </row>
    <row r="3" spans="1:18" x14ac:dyDescent="0.2">
      <c r="A3" s="19" t="s">
        <v>79</v>
      </c>
      <c r="J3" s="19" t="s">
        <v>2469</v>
      </c>
      <c r="R3" s="24" t="s">
        <v>2470</v>
      </c>
    </row>
    <row r="4" spans="1:18" x14ac:dyDescent="0.2">
      <c r="A4" s="19" t="s">
        <v>80</v>
      </c>
      <c r="J4" s="19" t="s">
        <v>2065</v>
      </c>
      <c r="R4" s="24" t="s">
        <v>2471</v>
      </c>
    </row>
    <row r="5" spans="1:18" x14ac:dyDescent="0.2">
      <c r="A5" s="19" t="s">
        <v>85</v>
      </c>
      <c r="J5" s="19" t="s">
        <v>2472</v>
      </c>
      <c r="R5" s="24" t="s">
        <v>2473</v>
      </c>
    </row>
    <row r="6" spans="1:18" x14ac:dyDescent="0.2">
      <c r="A6" s="19" t="s">
        <v>103</v>
      </c>
      <c r="J6" s="19" t="s">
        <v>2474</v>
      </c>
      <c r="R6" s="24" t="s">
        <v>2475</v>
      </c>
    </row>
    <row r="7" spans="1:18" x14ac:dyDescent="0.2">
      <c r="A7" s="19" t="s">
        <v>2476</v>
      </c>
      <c r="J7" s="19" t="s">
        <v>2067</v>
      </c>
      <c r="R7" s="24" t="s">
        <v>2477</v>
      </c>
    </row>
    <row r="8" spans="1:18" x14ac:dyDescent="0.2">
      <c r="A8" s="19" t="s">
        <v>2478</v>
      </c>
      <c r="J8" s="19" t="s">
        <v>2479</v>
      </c>
      <c r="R8" s="24" t="s">
        <v>2480</v>
      </c>
    </row>
    <row r="9" spans="1:18" x14ac:dyDescent="0.2">
      <c r="A9" s="19" t="s">
        <v>2470</v>
      </c>
      <c r="J9" s="19" t="s">
        <v>2481</v>
      </c>
      <c r="R9" s="24" t="s">
        <v>2482</v>
      </c>
    </row>
    <row r="10" spans="1:18" x14ac:dyDescent="0.2">
      <c r="A10" s="19" t="s">
        <v>2483</v>
      </c>
      <c r="J10" s="19" t="s">
        <v>2484</v>
      </c>
      <c r="R10" s="24" t="s">
        <v>2485</v>
      </c>
    </row>
    <row r="11" spans="1:18" x14ac:dyDescent="0.2">
      <c r="A11" s="19" t="s">
        <v>2486</v>
      </c>
      <c r="J11" s="19" t="s">
        <v>2487</v>
      </c>
      <c r="R11" s="24" t="s">
        <v>2488</v>
      </c>
    </row>
    <row r="12" spans="1:18" x14ac:dyDescent="0.2">
      <c r="A12" s="19" t="s">
        <v>2489</v>
      </c>
      <c r="J12" s="19" t="s">
        <v>2490</v>
      </c>
      <c r="R12" s="24" t="s">
        <v>2491</v>
      </c>
    </row>
    <row r="13" spans="1:18" x14ac:dyDescent="0.2">
      <c r="A13" s="19" t="s">
        <v>2492</v>
      </c>
      <c r="J13" s="19" t="s">
        <v>2493</v>
      </c>
      <c r="R13" s="24" t="s">
        <v>2494</v>
      </c>
    </row>
    <row r="14" spans="1:18" x14ac:dyDescent="0.2">
      <c r="A14" s="19" t="s">
        <v>2495</v>
      </c>
      <c r="J14" s="19" t="s">
        <v>2496</v>
      </c>
      <c r="R14" s="24" t="s">
        <v>2497</v>
      </c>
    </row>
    <row r="15" spans="1:18" x14ac:dyDescent="0.2">
      <c r="A15" s="19" t="s">
        <v>2498</v>
      </c>
      <c r="J15" s="19" t="s">
        <v>2499</v>
      </c>
      <c r="R15" s="24" t="s">
        <v>2500</v>
      </c>
    </row>
    <row r="16" spans="1:18" x14ac:dyDescent="0.2">
      <c r="A16" s="19" t="s">
        <v>2501</v>
      </c>
      <c r="J16" s="19" t="s">
        <v>2502</v>
      </c>
      <c r="R16" s="24" t="s">
        <v>2503</v>
      </c>
    </row>
    <row r="17" spans="1:18" x14ac:dyDescent="0.2">
      <c r="A17" s="19" t="s">
        <v>2504</v>
      </c>
      <c r="J17" s="19" t="s">
        <v>2505</v>
      </c>
      <c r="R17" s="24" t="s">
        <v>2506</v>
      </c>
    </row>
    <row r="18" spans="1:18" x14ac:dyDescent="0.2">
      <c r="A18" s="19" t="s">
        <v>2507</v>
      </c>
      <c r="J18" s="19" t="s">
        <v>2508</v>
      </c>
      <c r="R18" s="24" t="s">
        <v>2509</v>
      </c>
    </row>
    <row r="19" spans="1:18" x14ac:dyDescent="0.2">
      <c r="A19" s="19" t="s">
        <v>2477</v>
      </c>
      <c r="J19" s="19" t="s">
        <v>2510</v>
      </c>
      <c r="R19" s="24" t="s">
        <v>2511</v>
      </c>
    </row>
    <row r="20" spans="1:18" x14ac:dyDescent="0.2">
      <c r="A20" s="19" t="s">
        <v>2512</v>
      </c>
      <c r="J20" s="19" t="s">
        <v>2513</v>
      </c>
      <c r="R20" s="24" t="s">
        <v>2066</v>
      </c>
    </row>
    <row r="21" spans="1:18" x14ac:dyDescent="0.2">
      <c r="A21" s="19" t="s">
        <v>2514</v>
      </c>
      <c r="J21" s="19" t="s">
        <v>2515</v>
      </c>
      <c r="R21" s="24" t="s">
        <v>2068</v>
      </c>
    </row>
    <row r="22" spans="1:18" x14ac:dyDescent="0.2">
      <c r="A22" s="19" t="s">
        <v>2480</v>
      </c>
      <c r="J22" s="19" t="s">
        <v>2516</v>
      </c>
      <c r="R22" s="24" t="s">
        <v>2517</v>
      </c>
    </row>
    <row r="23" spans="1:18" x14ac:dyDescent="0.2">
      <c r="A23" s="19" t="s">
        <v>2482</v>
      </c>
      <c r="J23" s="19" t="s">
        <v>2518</v>
      </c>
      <c r="R23" s="24" t="s">
        <v>2519</v>
      </c>
    </row>
    <row r="24" spans="1:18" x14ac:dyDescent="0.2">
      <c r="A24" s="19" t="s">
        <v>2485</v>
      </c>
      <c r="J24" s="19" t="s">
        <v>2520</v>
      </c>
      <c r="R24" s="24" t="s">
        <v>2070</v>
      </c>
    </row>
    <row r="25" spans="1:18" x14ac:dyDescent="0.2">
      <c r="A25" s="19" t="s">
        <v>2488</v>
      </c>
      <c r="J25" s="19" t="s">
        <v>2521</v>
      </c>
      <c r="R25" s="24" t="s">
        <v>2522</v>
      </c>
    </row>
    <row r="26" spans="1:18" x14ac:dyDescent="0.2">
      <c r="A26" s="19" t="s">
        <v>2491</v>
      </c>
      <c r="J26" s="19" t="s">
        <v>2082</v>
      </c>
      <c r="R26" s="24" t="s">
        <v>2523</v>
      </c>
    </row>
    <row r="27" spans="1:18" x14ac:dyDescent="0.2">
      <c r="A27" s="19" t="s">
        <v>2494</v>
      </c>
      <c r="J27" s="19" t="s">
        <v>2085</v>
      </c>
      <c r="R27" s="24" t="s">
        <v>2073</v>
      </c>
    </row>
    <row r="28" spans="1:18" x14ac:dyDescent="0.2">
      <c r="A28" s="19" t="s">
        <v>2056</v>
      </c>
      <c r="J28" s="19" t="s">
        <v>2524</v>
      </c>
      <c r="R28" s="24" t="s">
        <v>2525</v>
      </c>
    </row>
    <row r="29" spans="1:18" x14ac:dyDescent="0.2">
      <c r="A29" s="19" t="s">
        <v>2497</v>
      </c>
      <c r="J29" s="19" t="s">
        <v>2526</v>
      </c>
      <c r="R29" s="24" t="s">
        <v>2527</v>
      </c>
    </row>
    <row r="30" spans="1:18" x14ac:dyDescent="0.2">
      <c r="A30" s="19" t="s">
        <v>2528</v>
      </c>
      <c r="J30" s="19" t="s">
        <v>2089</v>
      </c>
      <c r="R30" s="24" t="s">
        <v>2529</v>
      </c>
    </row>
    <row r="31" spans="1:18" x14ac:dyDescent="0.2">
      <c r="A31" s="19" t="s">
        <v>2500</v>
      </c>
      <c r="J31" s="19" t="s">
        <v>2530</v>
      </c>
      <c r="R31" s="24" t="s">
        <v>2531</v>
      </c>
    </row>
    <row r="32" spans="1:18" x14ac:dyDescent="0.2">
      <c r="A32" s="19" t="s">
        <v>2503</v>
      </c>
      <c r="J32" s="19" t="s">
        <v>2532</v>
      </c>
      <c r="R32" s="24" t="s">
        <v>2533</v>
      </c>
    </row>
    <row r="33" spans="1:18" x14ac:dyDescent="0.2">
      <c r="A33" s="19" t="s">
        <v>2506</v>
      </c>
      <c r="J33" s="19" t="s">
        <v>2534</v>
      </c>
      <c r="R33" s="24" t="s">
        <v>2535</v>
      </c>
    </row>
    <row r="34" spans="1:18" x14ac:dyDescent="0.2">
      <c r="A34" s="19" t="s">
        <v>1052</v>
      </c>
      <c r="J34" s="19" t="s">
        <v>2536</v>
      </c>
      <c r="R34" s="24" t="s">
        <v>2537</v>
      </c>
    </row>
    <row r="35" spans="1:18" x14ac:dyDescent="0.2">
      <c r="A35" s="19" t="s">
        <v>2538</v>
      </c>
      <c r="J35" s="19" t="s">
        <v>2539</v>
      </c>
      <c r="R35" s="24" t="s">
        <v>1168</v>
      </c>
    </row>
    <row r="36" spans="1:18" x14ac:dyDescent="0.2">
      <c r="A36" s="19" t="s">
        <v>2540</v>
      </c>
      <c r="J36" s="19" t="s">
        <v>2541</v>
      </c>
      <c r="R36" s="24" t="s">
        <v>2542</v>
      </c>
    </row>
    <row r="37" spans="1:18" x14ac:dyDescent="0.2">
      <c r="A37" s="19" t="s">
        <v>1906</v>
      </c>
      <c r="J37" s="19" t="s">
        <v>2543</v>
      </c>
      <c r="R37" s="24" t="s">
        <v>2544</v>
      </c>
    </row>
    <row r="38" spans="1:18" x14ac:dyDescent="0.2">
      <c r="A38" s="19" t="s">
        <v>2509</v>
      </c>
      <c r="J38" s="19" t="s">
        <v>2545</v>
      </c>
      <c r="R38" s="24" t="s">
        <v>2546</v>
      </c>
    </row>
    <row r="39" spans="1:18" x14ac:dyDescent="0.2">
      <c r="A39" s="19" t="s">
        <v>2547</v>
      </c>
      <c r="J39" s="19" t="s">
        <v>2548</v>
      </c>
      <c r="R39" s="24" t="s">
        <v>2549</v>
      </c>
    </row>
    <row r="40" spans="1:18" x14ac:dyDescent="0.2">
      <c r="A40" s="19" t="s">
        <v>2550</v>
      </c>
      <c r="J40" s="19" t="s">
        <v>2551</v>
      </c>
      <c r="R40" s="24" t="s">
        <v>2552</v>
      </c>
    </row>
    <row r="41" spans="1:18" x14ac:dyDescent="0.2">
      <c r="A41" s="19" t="s">
        <v>2511</v>
      </c>
      <c r="J41" s="19" t="s">
        <v>2553</v>
      </c>
      <c r="R41" s="24" t="s">
        <v>2554</v>
      </c>
    </row>
    <row r="42" spans="1:18" x14ac:dyDescent="0.2">
      <c r="A42" s="19" t="s">
        <v>2555</v>
      </c>
      <c r="J42" s="19" t="s">
        <v>2556</v>
      </c>
      <c r="R42" s="24" t="s">
        <v>2093</v>
      </c>
    </row>
    <row r="43" spans="1:18" x14ac:dyDescent="0.2">
      <c r="A43" s="19" t="s">
        <v>2557</v>
      </c>
      <c r="J43" s="19" t="s">
        <v>2558</v>
      </c>
      <c r="R43" s="24" t="s">
        <v>2096</v>
      </c>
    </row>
    <row r="44" spans="1:18" x14ac:dyDescent="0.2">
      <c r="A44" s="19" t="s">
        <v>2559</v>
      </c>
      <c r="J44" s="19" t="s">
        <v>2560</v>
      </c>
      <c r="R44" s="24" t="s">
        <v>2561</v>
      </c>
    </row>
    <row r="45" spans="1:18" x14ac:dyDescent="0.2">
      <c r="A45" s="19" t="s">
        <v>2562</v>
      </c>
      <c r="J45" s="19" t="s">
        <v>2563</v>
      </c>
      <c r="R45" s="24" t="s">
        <v>2564</v>
      </c>
    </row>
    <row r="46" spans="1:18" x14ac:dyDescent="0.2">
      <c r="A46" s="19" t="s">
        <v>2565</v>
      </c>
      <c r="J46" s="19" t="s">
        <v>2566</v>
      </c>
      <c r="R46" s="24" t="s">
        <v>2103</v>
      </c>
    </row>
    <row r="47" spans="1:18" x14ac:dyDescent="0.2">
      <c r="A47" s="19" t="s">
        <v>2567</v>
      </c>
      <c r="J47" s="19" t="s">
        <v>2568</v>
      </c>
      <c r="R47" s="24" t="s">
        <v>2569</v>
      </c>
    </row>
    <row r="48" spans="1:18" x14ac:dyDescent="0.2">
      <c r="A48" s="19" t="s">
        <v>2570</v>
      </c>
      <c r="J48" s="19" t="s">
        <v>2571</v>
      </c>
      <c r="R48" s="24" t="s">
        <v>2572</v>
      </c>
    </row>
    <row r="49" spans="1:18" x14ac:dyDescent="0.2">
      <c r="A49" s="19" t="s">
        <v>122</v>
      </c>
      <c r="J49" s="19" t="s">
        <v>2573</v>
      </c>
      <c r="R49" s="24" t="s">
        <v>2574</v>
      </c>
    </row>
    <row r="50" spans="1:18" x14ac:dyDescent="0.2">
      <c r="A50" s="19" t="s">
        <v>126</v>
      </c>
      <c r="J50" s="19" t="s">
        <v>2575</v>
      </c>
      <c r="R50" s="24" t="s">
        <v>2576</v>
      </c>
    </row>
    <row r="51" spans="1:18" x14ac:dyDescent="0.2">
      <c r="A51" s="19" t="s">
        <v>2517</v>
      </c>
      <c r="J51" s="19" t="s">
        <v>2577</v>
      </c>
      <c r="R51" s="24" t="s">
        <v>2578</v>
      </c>
    </row>
    <row r="52" spans="1:18" x14ac:dyDescent="0.2">
      <c r="A52" s="19" t="s">
        <v>2579</v>
      </c>
      <c r="J52" s="19" t="s">
        <v>2580</v>
      </c>
      <c r="R52" s="24" t="s">
        <v>2581</v>
      </c>
    </row>
    <row r="53" spans="1:18" x14ac:dyDescent="0.2">
      <c r="A53" s="19" t="s">
        <v>2582</v>
      </c>
      <c r="J53" s="19" t="s">
        <v>2583</v>
      </c>
      <c r="R53" s="24" t="s">
        <v>2584</v>
      </c>
    </row>
    <row r="54" spans="1:18" x14ac:dyDescent="0.2">
      <c r="A54" s="19" t="s">
        <v>2070</v>
      </c>
      <c r="J54" s="19" t="s">
        <v>2585</v>
      </c>
      <c r="R54" s="24" t="s">
        <v>2586</v>
      </c>
    </row>
    <row r="55" spans="1:18" x14ac:dyDescent="0.2">
      <c r="A55" s="19" t="s">
        <v>2587</v>
      </c>
      <c r="J55" s="19" t="s">
        <v>2588</v>
      </c>
      <c r="R55" s="24" t="s">
        <v>2589</v>
      </c>
    </row>
    <row r="56" spans="1:18" x14ac:dyDescent="0.2">
      <c r="A56" s="19" t="s">
        <v>2590</v>
      </c>
      <c r="J56" s="19" t="s">
        <v>2591</v>
      </c>
      <c r="R56" s="24" t="s">
        <v>2592</v>
      </c>
    </row>
    <row r="57" spans="1:18" x14ac:dyDescent="0.2">
      <c r="A57" s="19" t="s">
        <v>2523</v>
      </c>
      <c r="J57" s="19" t="s">
        <v>2593</v>
      </c>
      <c r="R57" s="24" t="s">
        <v>2594</v>
      </c>
    </row>
    <row r="58" spans="1:18" x14ac:dyDescent="0.2">
      <c r="A58" s="19" t="s">
        <v>2595</v>
      </c>
      <c r="J58" s="19" t="s">
        <v>2596</v>
      </c>
      <c r="R58" s="24" t="s">
        <v>2597</v>
      </c>
    </row>
    <row r="59" spans="1:18" x14ac:dyDescent="0.2">
      <c r="A59" s="19" t="s">
        <v>2598</v>
      </c>
      <c r="J59" s="19" t="s">
        <v>2599</v>
      </c>
      <c r="R59" s="24" t="s">
        <v>2600</v>
      </c>
    </row>
    <row r="60" spans="1:18" x14ac:dyDescent="0.2">
      <c r="A60" s="19" t="s">
        <v>2073</v>
      </c>
      <c r="J60" s="19" t="s">
        <v>2601</v>
      </c>
      <c r="R60" s="24" t="s">
        <v>2602</v>
      </c>
    </row>
    <row r="61" spans="1:18" x14ac:dyDescent="0.2">
      <c r="A61" s="19" t="s">
        <v>1094</v>
      </c>
      <c r="J61" s="19" t="s">
        <v>2603</v>
      </c>
      <c r="R61" s="24" t="s">
        <v>2604</v>
      </c>
    </row>
    <row r="62" spans="1:18" x14ac:dyDescent="0.2">
      <c r="A62" s="19" t="s">
        <v>2605</v>
      </c>
      <c r="J62" s="19" t="s">
        <v>2606</v>
      </c>
      <c r="R62" s="24" t="s">
        <v>2607</v>
      </c>
    </row>
    <row r="63" spans="1:18" x14ac:dyDescent="0.2">
      <c r="A63" s="19" t="s">
        <v>2608</v>
      </c>
      <c r="J63" s="19" t="s">
        <v>2609</v>
      </c>
      <c r="R63" s="24" t="s">
        <v>2610</v>
      </c>
    </row>
    <row r="64" spans="1:18" x14ac:dyDescent="0.2">
      <c r="A64" s="19" t="s">
        <v>2611</v>
      </c>
      <c r="J64" s="19" t="s">
        <v>2612</v>
      </c>
      <c r="R64" s="24" t="s">
        <v>2613</v>
      </c>
    </row>
    <row r="65" spans="1:18" x14ac:dyDescent="0.2">
      <c r="A65" s="19" t="s">
        <v>2614</v>
      </c>
      <c r="J65" s="19" t="s">
        <v>2615</v>
      </c>
      <c r="R65" s="24" t="s">
        <v>2616</v>
      </c>
    </row>
    <row r="66" spans="1:18" x14ac:dyDescent="0.2">
      <c r="A66" s="19" t="s">
        <v>2617</v>
      </c>
      <c r="J66" s="19" t="s">
        <v>2618</v>
      </c>
      <c r="R66" s="24" t="s">
        <v>2619</v>
      </c>
    </row>
    <row r="67" spans="1:18" x14ac:dyDescent="0.2">
      <c r="A67" s="19" t="s">
        <v>2620</v>
      </c>
      <c r="J67" s="19" t="s">
        <v>2621</v>
      </c>
      <c r="R67" s="24" t="s">
        <v>2622</v>
      </c>
    </row>
    <row r="68" spans="1:18" x14ac:dyDescent="0.2">
      <c r="A68" s="19" t="s">
        <v>2623</v>
      </c>
      <c r="J68" s="19" t="s">
        <v>2624</v>
      </c>
      <c r="R68" s="24" t="s">
        <v>2625</v>
      </c>
    </row>
    <row r="69" spans="1:18" x14ac:dyDescent="0.2">
      <c r="A69" s="19" t="s">
        <v>2626</v>
      </c>
      <c r="J69" s="19" t="s">
        <v>2627</v>
      </c>
      <c r="R69" s="24" t="s">
        <v>2628</v>
      </c>
    </row>
    <row r="70" spans="1:18" x14ac:dyDescent="0.2">
      <c r="A70" s="19" t="s">
        <v>2629</v>
      </c>
      <c r="J70" s="19" t="s">
        <v>2630</v>
      </c>
      <c r="R70" s="24" t="s">
        <v>2631</v>
      </c>
    </row>
    <row r="71" spans="1:18" x14ac:dyDescent="0.2">
      <c r="A71" s="19" t="s">
        <v>2632</v>
      </c>
      <c r="J71" s="19" t="s">
        <v>2633</v>
      </c>
      <c r="R71" s="24" t="s">
        <v>2634</v>
      </c>
    </row>
    <row r="72" spans="1:18" x14ac:dyDescent="0.2">
      <c r="A72" s="19" t="s">
        <v>2635</v>
      </c>
      <c r="J72" s="19" t="s">
        <v>2636</v>
      </c>
      <c r="R72" s="24" t="s">
        <v>2637</v>
      </c>
    </row>
    <row r="73" spans="1:18" x14ac:dyDescent="0.2">
      <c r="A73" s="19" t="s">
        <v>2638</v>
      </c>
      <c r="J73" s="19" t="s">
        <v>2125</v>
      </c>
      <c r="R73" s="24" t="s">
        <v>2639</v>
      </c>
    </row>
    <row r="74" spans="1:18" x14ac:dyDescent="0.2">
      <c r="A74" s="19" t="s">
        <v>2640</v>
      </c>
      <c r="J74" s="19" t="s">
        <v>2641</v>
      </c>
      <c r="R74" s="24" t="s">
        <v>2642</v>
      </c>
    </row>
    <row r="75" spans="1:18" x14ac:dyDescent="0.2">
      <c r="A75" s="19" t="s">
        <v>2643</v>
      </c>
      <c r="J75" s="19" t="s">
        <v>2644</v>
      </c>
      <c r="R75" s="24" t="s">
        <v>2645</v>
      </c>
    </row>
    <row r="76" spans="1:18" x14ac:dyDescent="0.2">
      <c r="A76" s="19" t="s">
        <v>2646</v>
      </c>
      <c r="J76" s="19" t="s">
        <v>2647</v>
      </c>
      <c r="R76" s="24" t="s">
        <v>2648</v>
      </c>
    </row>
    <row r="77" spans="1:18" x14ac:dyDescent="0.2">
      <c r="A77" s="19" t="s">
        <v>2649</v>
      </c>
      <c r="J77" s="19" t="s">
        <v>2650</v>
      </c>
      <c r="R77" s="24" t="s">
        <v>2651</v>
      </c>
    </row>
    <row r="78" spans="1:18" x14ac:dyDescent="0.2">
      <c r="A78" s="19" t="s">
        <v>2652</v>
      </c>
      <c r="J78" s="19" t="s">
        <v>2133</v>
      </c>
      <c r="R78" s="24" t="s">
        <v>2653</v>
      </c>
    </row>
    <row r="79" spans="1:18" x14ac:dyDescent="0.2">
      <c r="A79" s="19" t="s">
        <v>2654</v>
      </c>
      <c r="J79" s="19" t="s">
        <v>2655</v>
      </c>
      <c r="R79" s="24" t="s">
        <v>2656</v>
      </c>
    </row>
    <row r="80" spans="1:18" x14ac:dyDescent="0.2">
      <c r="A80" s="19" t="s">
        <v>2537</v>
      </c>
      <c r="J80" s="19" t="s">
        <v>2136</v>
      </c>
      <c r="R80" s="24" t="s">
        <v>1314</v>
      </c>
    </row>
    <row r="81" spans="1:18" x14ac:dyDescent="0.2">
      <c r="A81" s="19" t="s">
        <v>2657</v>
      </c>
      <c r="J81" s="19" t="s">
        <v>2658</v>
      </c>
      <c r="R81" s="24" t="s">
        <v>2659</v>
      </c>
    </row>
    <row r="82" spans="1:18" x14ac:dyDescent="0.2">
      <c r="A82" s="19" t="s">
        <v>2660</v>
      </c>
      <c r="J82" s="19" t="s">
        <v>2661</v>
      </c>
      <c r="R82" s="24" t="s">
        <v>2662</v>
      </c>
    </row>
    <row r="83" spans="1:18" x14ac:dyDescent="0.2">
      <c r="A83" s="19" t="s">
        <v>2663</v>
      </c>
      <c r="J83" s="19" t="s">
        <v>2142</v>
      </c>
      <c r="R83" s="24" t="s">
        <v>2664</v>
      </c>
    </row>
    <row r="84" spans="1:18" x14ac:dyDescent="0.2">
      <c r="A84" s="19" t="s">
        <v>1168</v>
      </c>
      <c r="J84" s="19" t="s">
        <v>2665</v>
      </c>
      <c r="R84" s="24" t="s">
        <v>2666</v>
      </c>
    </row>
    <row r="85" spans="1:18" x14ac:dyDescent="0.2">
      <c r="A85" s="19" t="s">
        <v>2667</v>
      </c>
      <c r="J85" s="19" t="s">
        <v>2668</v>
      </c>
      <c r="R85" s="24" t="s">
        <v>2669</v>
      </c>
    </row>
    <row r="86" spans="1:18" x14ac:dyDescent="0.2">
      <c r="A86" s="19" t="s">
        <v>2542</v>
      </c>
      <c r="J86" s="19" t="s">
        <v>2670</v>
      </c>
      <c r="R86" s="24" t="s">
        <v>2671</v>
      </c>
    </row>
    <row r="87" spans="1:18" x14ac:dyDescent="0.2">
      <c r="A87" s="19" t="s">
        <v>2544</v>
      </c>
      <c r="J87" s="19" t="s">
        <v>2672</v>
      </c>
      <c r="R87" s="24" t="s">
        <v>2673</v>
      </c>
    </row>
    <row r="88" spans="1:18" x14ac:dyDescent="0.2">
      <c r="A88" s="19" t="s">
        <v>2674</v>
      </c>
      <c r="J88" s="19" t="s">
        <v>2675</v>
      </c>
      <c r="R88" s="24" t="s">
        <v>2676</v>
      </c>
    </row>
    <row r="89" spans="1:18" x14ac:dyDescent="0.2">
      <c r="A89" s="19" t="s">
        <v>2677</v>
      </c>
      <c r="J89" s="19" t="s">
        <v>2678</v>
      </c>
      <c r="R89" s="24" t="s">
        <v>2679</v>
      </c>
    </row>
    <row r="90" spans="1:18" x14ac:dyDescent="0.2">
      <c r="A90" s="19" t="s">
        <v>2680</v>
      </c>
      <c r="J90" s="19" t="s">
        <v>2681</v>
      </c>
      <c r="R90" s="24" t="s">
        <v>2682</v>
      </c>
    </row>
    <row r="91" spans="1:18" x14ac:dyDescent="0.2">
      <c r="A91" s="19" t="s">
        <v>2683</v>
      </c>
      <c r="J91" s="19" t="s">
        <v>2684</v>
      </c>
      <c r="R91" s="24" t="s">
        <v>2685</v>
      </c>
    </row>
    <row r="92" spans="1:18" x14ac:dyDescent="0.2">
      <c r="A92" s="19" t="s">
        <v>2552</v>
      </c>
      <c r="J92" s="19" t="s">
        <v>2686</v>
      </c>
      <c r="R92" s="24" t="s">
        <v>2687</v>
      </c>
    </row>
    <row r="93" spans="1:18" x14ac:dyDescent="0.2">
      <c r="A93" s="19" t="s">
        <v>2688</v>
      </c>
      <c r="J93" s="19" t="s">
        <v>2689</v>
      </c>
      <c r="R93" s="24" t="s">
        <v>2690</v>
      </c>
    </row>
    <row r="94" spans="1:18" x14ac:dyDescent="0.2">
      <c r="A94" s="19" t="s">
        <v>2691</v>
      </c>
      <c r="J94" s="19" t="s">
        <v>2692</v>
      </c>
      <c r="R94" s="24" t="s">
        <v>2693</v>
      </c>
    </row>
    <row r="95" spans="1:18" x14ac:dyDescent="0.2">
      <c r="A95" s="19" t="s">
        <v>2093</v>
      </c>
      <c r="J95" s="19" t="s">
        <v>2694</v>
      </c>
      <c r="R95" s="24" t="s">
        <v>1353</v>
      </c>
    </row>
    <row r="96" spans="1:18" x14ac:dyDescent="0.2">
      <c r="A96" s="19" t="s">
        <v>2695</v>
      </c>
      <c r="J96" s="19" t="s">
        <v>2696</v>
      </c>
      <c r="R96" s="24" t="s">
        <v>2697</v>
      </c>
    </row>
    <row r="97" spans="1:18" x14ac:dyDescent="0.2">
      <c r="A97" s="19" t="s">
        <v>2698</v>
      </c>
      <c r="J97" s="19" t="s">
        <v>2699</v>
      </c>
      <c r="R97" s="24" t="s">
        <v>2700</v>
      </c>
    </row>
    <row r="98" spans="1:18" x14ac:dyDescent="0.2">
      <c r="A98" s="19" t="s">
        <v>2096</v>
      </c>
      <c r="J98" s="19" t="s">
        <v>2701</v>
      </c>
      <c r="R98" s="24" t="s">
        <v>2702</v>
      </c>
    </row>
    <row r="99" spans="1:18" x14ac:dyDescent="0.2">
      <c r="A99" s="19" t="s">
        <v>2703</v>
      </c>
      <c r="J99" s="19" t="s">
        <v>2704</v>
      </c>
      <c r="R99" s="24" t="s">
        <v>2705</v>
      </c>
    </row>
    <row r="100" spans="1:18" x14ac:dyDescent="0.2">
      <c r="A100" s="19" t="s">
        <v>2706</v>
      </c>
      <c r="J100" s="19" t="s">
        <v>2707</v>
      </c>
      <c r="R100" s="24" t="s">
        <v>2708</v>
      </c>
    </row>
    <row r="101" spans="1:18" x14ac:dyDescent="0.2">
      <c r="A101" s="19" t="s">
        <v>2709</v>
      </c>
      <c r="J101" s="19" t="s">
        <v>2710</v>
      </c>
      <c r="R101" s="24" t="s">
        <v>2137</v>
      </c>
    </row>
    <row r="102" spans="1:18" x14ac:dyDescent="0.2">
      <c r="A102" s="19" t="s">
        <v>2711</v>
      </c>
      <c r="J102" s="19" t="s">
        <v>2712</v>
      </c>
      <c r="R102" s="24" t="s">
        <v>2713</v>
      </c>
    </row>
    <row r="103" spans="1:18" x14ac:dyDescent="0.2">
      <c r="A103" s="19" t="s">
        <v>2714</v>
      </c>
      <c r="J103" s="19" t="s">
        <v>2715</v>
      </c>
      <c r="R103" s="24" t="s">
        <v>2716</v>
      </c>
    </row>
    <row r="104" spans="1:18" x14ac:dyDescent="0.2">
      <c r="A104" s="19" t="s">
        <v>2717</v>
      </c>
      <c r="J104" s="19" t="s">
        <v>2718</v>
      </c>
      <c r="R104" s="24" t="s">
        <v>2719</v>
      </c>
    </row>
    <row r="105" spans="1:18" x14ac:dyDescent="0.2">
      <c r="A105" s="19" t="s">
        <v>2720</v>
      </c>
      <c r="J105" s="19" t="s">
        <v>2721</v>
      </c>
      <c r="R105" s="24" t="s">
        <v>2722</v>
      </c>
    </row>
    <row r="106" spans="1:18" x14ac:dyDescent="0.2">
      <c r="A106" s="19" t="s">
        <v>2723</v>
      </c>
      <c r="J106" s="19" t="s">
        <v>2724</v>
      </c>
      <c r="R106" s="24" t="s">
        <v>2725</v>
      </c>
    </row>
    <row r="107" spans="1:18" x14ac:dyDescent="0.2">
      <c r="A107" s="19" t="s">
        <v>2726</v>
      </c>
      <c r="J107" s="19" t="s">
        <v>2727</v>
      </c>
      <c r="R107" s="24" t="s">
        <v>2728</v>
      </c>
    </row>
    <row r="108" spans="1:18" x14ac:dyDescent="0.2">
      <c r="A108" s="19" t="s">
        <v>2103</v>
      </c>
      <c r="J108" s="19" t="s">
        <v>2729</v>
      </c>
      <c r="R108" s="24" t="s">
        <v>2730</v>
      </c>
    </row>
    <row r="109" spans="1:18" x14ac:dyDescent="0.2">
      <c r="A109" s="19" t="s">
        <v>2731</v>
      </c>
      <c r="J109" s="19" t="s">
        <v>2732</v>
      </c>
      <c r="R109" s="24" t="s">
        <v>2733</v>
      </c>
    </row>
    <row r="110" spans="1:18" x14ac:dyDescent="0.2">
      <c r="A110" s="19" t="s">
        <v>2734</v>
      </c>
      <c r="J110" s="19" t="s">
        <v>2735</v>
      </c>
      <c r="R110" s="24" t="s">
        <v>2736</v>
      </c>
    </row>
    <row r="111" spans="1:18" x14ac:dyDescent="0.2">
      <c r="A111" s="19" t="s">
        <v>2737</v>
      </c>
      <c r="J111" s="19" t="s">
        <v>2738</v>
      </c>
      <c r="R111" s="24" t="s">
        <v>2739</v>
      </c>
    </row>
    <row r="112" spans="1:18" x14ac:dyDescent="0.2">
      <c r="A112" s="19" t="s">
        <v>2572</v>
      </c>
      <c r="J112" s="19" t="s">
        <v>2176</v>
      </c>
      <c r="R112" s="24" t="s">
        <v>2740</v>
      </c>
    </row>
    <row r="113" spans="1:18" x14ac:dyDescent="0.2">
      <c r="A113" s="19" t="s">
        <v>2741</v>
      </c>
      <c r="J113" s="19" t="s">
        <v>2742</v>
      </c>
      <c r="R113" s="24" t="s">
        <v>2743</v>
      </c>
    </row>
    <row r="114" spans="1:18" x14ac:dyDescent="0.2">
      <c r="A114" s="19" t="s">
        <v>2744</v>
      </c>
      <c r="J114" s="19" t="s">
        <v>2745</v>
      </c>
      <c r="R114" s="24" t="s">
        <v>2746</v>
      </c>
    </row>
    <row r="115" spans="1:18" x14ac:dyDescent="0.2">
      <c r="A115" s="19" t="s">
        <v>2747</v>
      </c>
      <c r="J115" s="19" t="s">
        <v>2748</v>
      </c>
      <c r="R115" s="24" t="s">
        <v>2749</v>
      </c>
    </row>
    <row r="116" spans="1:18" x14ac:dyDescent="0.2">
      <c r="A116" s="19" t="s">
        <v>2750</v>
      </c>
      <c r="J116" s="19" t="s">
        <v>2751</v>
      </c>
      <c r="R116" s="24" t="s">
        <v>2147</v>
      </c>
    </row>
    <row r="117" spans="1:18" x14ac:dyDescent="0.2">
      <c r="A117" s="19" t="s">
        <v>2752</v>
      </c>
      <c r="J117" s="19" t="s">
        <v>2753</v>
      </c>
      <c r="R117" s="24" t="s">
        <v>2754</v>
      </c>
    </row>
    <row r="118" spans="1:18" x14ac:dyDescent="0.2">
      <c r="A118" s="19" t="s">
        <v>2755</v>
      </c>
      <c r="J118" s="19" t="s">
        <v>2756</v>
      </c>
      <c r="R118" s="24" t="s">
        <v>2149</v>
      </c>
    </row>
    <row r="119" spans="1:18" x14ac:dyDescent="0.2">
      <c r="A119" s="19" t="s">
        <v>2757</v>
      </c>
      <c r="J119" s="19" t="s">
        <v>2758</v>
      </c>
      <c r="R119" s="24" t="s">
        <v>2151</v>
      </c>
    </row>
    <row r="120" spans="1:18" x14ac:dyDescent="0.2">
      <c r="A120" s="19" t="s">
        <v>2759</v>
      </c>
      <c r="J120" s="19" t="s">
        <v>2760</v>
      </c>
      <c r="R120" s="24" t="s">
        <v>2154</v>
      </c>
    </row>
    <row r="121" spans="1:18" x14ac:dyDescent="0.2">
      <c r="A121" s="19" t="s">
        <v>2761</v>
      </c>
      <c r="J121" s="19" t="s">
        <v>2762</v>
      </c>
      <c r="R121" s="24" t="s">
        <v>2763</v>
      </c>
    </row>
    <row r="122" spans="1:18" x14ac:dyDescent="0.2">
      <c r="A122" s="19" t="s">
        <v>2764</v>
      </c>
      <c r="J122" s="19" t="s">
        <v>2765</v>
      </c>
      <c r="R122" s="24" t="s">
        <v>2766</v>
      </c>
    </row>
    <row r="123" spans="1:18" x14ac:dyDescent="0.2">
      <c r="A123" s="19" t="s">
        <v>2576</v>
      </c>
      <c r="J123" s="19" t="s">
        <v>2767</v>
      </c>
      <c r="R123" s="24" t="s">
        <v>2768</v>
      </c>
    </row>
    <row r="124" spans="1:18" x14ac:dyDescent="0.2">
      <c r="A124" s="19" t="s">
        <v>2769</v>
      </c>
      <c r="J124" s="19" t="s">
        <v>2770</v>
      </c>
      <c r="R124" s="24" t="s">
        <v>1431</v>
      </c>
    </row>
    <row r="125" spans="1:18" x14ac:dyDescent="0.2">
      <c r="A125" s="19" t="s">
        <v>2771</v>
      </c>
      <c r="J125" s="19" t="s">
        <v>2772</v>
      </c>
      <c r="R125" s="24" t="s">
        <v>1435</v>
      </c>
    </row>
    <row r="126" spans="1:18" x14ac:dyDescent="0.2">
      <c r="A126" s="19" t="s">
        <v>2773</v>
      </c>
      <c r="J126" s="19" t="s">
        <v>2774</v>
      </c>
      <c r="R126" s="24" t="s">
        <v>1437</v>
      </c>
    </row>
    <row r="127" spans="1:18" x14ac:dyDescent="0.2">
      <c r="A127" s="19" t="s">
        <v>2775</v>
      </c>
      <c r="J127" s="19" t="s">
        <v>2776</v>
      </c>
      <c r="R127" s="24" t="s">
        <v>1439</v>
      </c>
    </row>
    <row r="128" spans="1:18" x14ac:dyDescent="0.2">
      <c r="A128" s="19" t="s">
        <v>2777</v>
      </c>
      <c r="J128" s="19" t="s">
        <v>2778</v>
      </c>
      <c r="R128" s="24" t="s">
        <v>1441</v>
      </c>
    </row>
    <row r="129" spans="1:18" x14ac:dyDescent="0.2">
      <c r="A129" s="19" t="s">
        <v>2779</v>
      </c>
      <c r="J129" s="19" t="s">
        <v>2780</v>
      </c>
      <c r="R129" s="24" t="s">
        <v>2781</v>
      </c>
    </row>
    <row r="130" spans="1:18" x14ac:dyDescent="0.2">
      <c r="A130" s="19" t="s">
        <v>2782</v>
      </c>
      <c r="J130" s="19" t="s">
        <v>2783</v>
      </c>
      <c r="R130" s="24" t="s">
        <v>2784</v>
      </c>
    </row>
    <row r="131" spans="1:18" x14ac:dyDescent="0.2">
      <c r="A131" s="19" t="s">
        <v>2785</v>
      </c>
      <c r="J131" s="19" t="s">
        <v>2786</v>
      </c>
      <c r="R131" s="24" t="s">
        <v>2787</v>
      </c>
    </row>
    <row r="132" spans="1:18" x14ac:dyDescent="0.2">
      <c r="A132" s="19" t="s">
        <v>2788</v>
      </c>
      <c r="J132" s="19" t="s">
        <v>2789</v>
      </c>
      <c r="R132" s="24" t="s">
        <v>2790</v>
      </c>
    </row>
    <row r="133" spans="1:18" x14ac:dyDescent="0.2">
      <c r="A133" s="19" t="s">
        <v>2791</v>
      </c>
      <c r="J133" s="19" t="s">
        <v>2792</v>
      </c>
      <c r="R133" s="24" t="s">
        <v>2793</v>
      </c>
    </row>
    <row r="134" spans="1:18" x14ac:dyDescent="0.2">
      <c r="A134" s="19" t="s">
        <v>2794</v>
      </c>
      <c r="J134" s="19" t="s">
        <v>2795</v>
      </c>
      <c r="R134" s="24" t="s">
        <v>2796</v>
      </c>
    </row>
    <row r="135" spans="1:18" x14ac:dyDescent="0.2">
      <c r="A135" s="19" t="s">
        <v>2797</v>
      </c>
      <c r="J135" s="19" t="s">
        <v>2798</v>
      </c>
      <c r="R135" s="24" t="s">
        <v>2799</v>
      </c>
    </row>
    <row r="136" spans="1:18" x14ac:dyDescent="0.2">
      <c r="A136" s="19" t="s">
        <v>2800</v>
      </c>
      <c r="J136" s="19" t="s">
        <v>2801</v>
      </c>
      <c r="R136" s="24" t="s">
        <v>2802</v>
      </c>
    </row>
    <row r="137" spans="1:18" x14ac:dyDescent="0.2">
      <c r="A137" s="19" t="s">
        <v>2803</v>
      </c>
      <c r="J137" s="19" t="s">
        <v>2804</v>
      </c>
      <c r="R137" s="24" t="s">
        <v>2805</v>
      </c>
    </row>
    <row r="138" spans="1:18" x14ac:dyDescent="0.2">
      <c r="A138" s="19" t="s">
        <v>2586</v>
      </c>
      <c r="J138" s="19" t="s">
        <v>2806</v>
      </c>
      <c r="R138" s="24" t="s">
        <v>2807</v>
      </c>
    </row>
    <row r="139" spans="1:18" x14ac:dyDescent="0.2">
      <c r="A139" s="19" t="s">
        <v>2589</v>
      </c>
      <c r="J139" s="19" t="s">
        <v>2808</v>
      </c>
      <c r="R139" s="24" t="s">
        <v>2809</v>
      </c>
    </row>
    <row r="140" spans="1:18" x14ac:dyDescent="0.2">
      <c r="A140" s="19" t="s">
        <v>2810</v>
      </c>
      <c r="J140" s="19" t="s">
        <v>2811</v>
      </c>
      <c r="R140" s="24" t="s">
        <v>2812</v>
      </c>
    </row>
    <row r="141" spans="1:18" x14ac:dyDescent="0.2">
      <c r="A141" s="19" t="s">
        <v>2813</v>
      </c>
      <c r="J141" s="19" t="s">
        <v>2814</v>
      </c>
      <c r="R141" s="24" t="s">
        <v>2815</v>
      </c>
    </row>
    <row r="142" spans="1:18" x14ac:dyDescent="0.2">
      <c r="A142" s="19" t="s">
        <v>2592</v>
      </c>
      <c r="J142" s="19" t="s">
        <v>2816</v>
      </c>
      <c r="R142" s="24" t="s">
        <v>2817</v>
      </c>
    </row>
    <row r="143" spans="1:18" x14ac:dyDescent="0.2">
      <c r="A143" s="19" t="s">
        <v>2818</v>
      </c>
      <c r="J143" s="19" t="s">
        <v>2819</v>
      </c>
      <c r="R143" s="24" t="s">
        <v>2820</v>
      </c>
    </row>
    <row r="144" spans="1:18" x14ac:dyDescent="0.2">
      <c r="A144" s="19" t="s">
        <v>2821</v>
      </c>
      <c r="J144" s="19" t="s">
        <v>2822</v>
      </c>
      <c r="R144" s="24" t="s">
        <v>2823</v>
      </c>
    </row>
    <row r="145" spans="1:18" x14ac:dyDescent="0.2">
      <c r="A145" s="19" t="s">
        <v>2824</v>
      </c>
      <c r="J145" s="19" t="s">
        <v>2825</v>
      </c>
      <c r="R145" s="24" t="s">
        <v>2826</v>
      </c>
    </row>
    <row r="146" spans="1:18" x14ac:dyDescent="0.2">
      <c r="A146" s="19" t="s">
        <v>2827</v>
      </c>
      <c r="J146" s="19" t="s">
        <v>2828</v>
      </c>
      <c r="R146" s="24" t="s">
        <v>2829</v>
      </c>
    </row>
    <row r="147" spans="1:18" x14ac:dyDescent="0.2">
      <c r="A147" s="19" t="s">
        <v>2830</v>
      </c>
      <c r="J147" s="19" t="s">
        <v>2831</v>
      </c>
      <c r="R147" s="24" t="s">
        <v>2832</v>
      </c>
    </row>
    <row r="148" spans="1:18" x14ac:dyDescent="0.2">
      <c r="A148" s="19" t="s">
        <v>2833</v>
      </c>
      <c r="J148" s="19" t="s">
        <v>2834</v>
      </c>
      <c r="R148" s="24" t="s">
        <v>2835</v>
      </c>
    </row>
    <row r="149" spans="1:18" x14ac:dyDescent="0.2">
      <c r="A149" s="19" t="s">
        <v>2836</v>
      </c>
      <c r="J149" s="19" t="s">
        <v>2837</v>
      </c>
      <c r="R149" s="24" t="s">
        <v>2838</v>
      </c>
    </row>
    <row r="150" spans="1:18" x14ac:dyDescent="0.2">
      <c r="A150" s="19" t="s">
        <v>2600</v>
      </c>
      <c r="J150" s="19" t="s">
        <v>2839</v>
      </c>
      <c r="R150" s="24" t="s">
        <v>2840</v>
      </c>
    </row>
    <row r="151" spans="1:18" x14ac:dyDescent="0.2">
      <c r="A151" s="19" t="s">
        <v>2841</v>
      </c>
      <c r="J151" s="19" t="s">
        <v>2842</v>
      </c>
      <c r="R151" s="24" t="s">
        <v>2843</v>
      </c>
    </row>
    <row r="152" spans="1:18" x14ac:dyDescent="0.2">
      <c r="A152" s="19" t="s">
        <v>2844</v>
      </c>
      <c r="J152" s="19" t="s">
        <v>2845</v>
      </c>
      <c r="R152" s="24" t="s">
        <v>2846</v>
      </c>
    </row>
    <row r="153" spans="1:18" x14ac:dyDescent="0.2">
      <c r="A153" s="19" t="s">
        <v>2847</v>
      </c>
      <c r="J153" s="19" t="s">
        <v>2848</v>
      </c>
      <c r="R153" s="24" t="s">
        <v>2849</v>
      </c>
    </row>
    <row r="154" spans="1:18" x14ac:dyDescent="0.2">
      <c r="A154" s="19" t="s">
        <v>2602</v>
      </c>
      <c r="J154" s="19" t="s">
        <v>2850</v>
      </c>
      <c r="R154" s="24" t="s">
        <v>2851</v>
      </c>
    </row>
    <row r="155" spans="1:18" x14ac:dyDescent="0.2">
      <c r="A155" s="19" t="s">
        <v>2604</v>
      </c>
      <c r="J155" s="19" t="s">
        <v>2852</v>
      </c>
      <c r="R155" s="24" t="s">
        <v>2853</v>
      </c>
    </row>
    <row r="156" spans="1:18" x14ac:dyDescent="0.2">
      <c r="A156" s="19" t="s">
        <v>2610</v>
      </c>
      <c r="J156" s="19" t="s">
        <v>2854</v>
      </c>
      <c r="R156" s="24" t="s">
        <v>2855</v>
      </c>
    </row>
    <row r="157" spans="1:18" x14ac:dyDescent="0.2">
      <c r="A157" s="19" t="s">
        <v>2856</v>
      </c>
      <c r="J157" s="19" t="s">
        <v>2857</v>
      </c>
      <c r="R157" s="24" t="s">
        <v>2858</v>
      </c>
    </row>
    <row r="158" spans="1:18" x14ac:dyDescent="0.2">
      <c r="A158" s="19" t="s">
        <v>2859</v>
      </c>
      <c r="J158" s="19" t="s">
        <v>2331</v>
      </c>
      <c r="R158" s="24" t="s">
        <v>2860</v>
      </c>
    </row>
    <row r="159" spans="1:18" x14ac:dyDescent="0.2">
      <c r="A159" s="19" t="s">
        <v>2861</v>
      </c>
      <c r="J159" s="19" t="s">
        <v>2335</v>
      </c>
      <c r="R159" s="24" t="s">
        <v>2862</v>
      </c>
    </row>
    <row r="160" spans="1:18" x14ac:dyDescent="0.2">
      <c r="A160" s="19" t="s">
        <v>2863</v>
      </c>
      <c r="J160" s="19" t="s">
        <v>2864</v>
      </c>
      <c r="R160" s="24" t="s">
        <v>2865</v>
      </c>
    </row>
    <row r="161" spans="1:18" x14ac:dyDescent="0.2">
      <c r="A161" s="19" t="s">
        <v>2866</v>
      </c>
      <c r="J161" s="19" t="s">
        <v>2470</v>
      </c>
      <c r="R161" s="24" t="s">
        <v>2867</v>
      </c>
    </row>
    <row r="162" spans="1:18" x14ac:dyDescent="0.2">
      <c r="A162" s="19" t="s">
        <v>2868</v>
      </c>
      <c r="J162" s="19" t="s">
        <v>2488</v>
      </c>
      <c r="R162" s="24" t="s">
        <v>2869</v>
      </c>
    </row>
    <row r="163" spans="1:18" x14ac:dyDescent="0.2">
      <c r="A163" s="19" t="s">
        <v>2870</v>
      </c>
      <c r="J163" s="19" t="s">
        <v>2070</v>
      </c>
      <c r="R163" s="24" t="s">
        <v>2871</v>
      </c>
    </row>
    <row r="164" spans="1:18" x14ac:dyDescent="0.2">
      <c r="A164" s="19" t="s">
        <v>2872</v>
      </c>
      <c r="J164" s="19" t="s">
        <v>2590</v>
      </c>
      <c r="R164" s="24" t="s">
        <v>2208</v>
      </c>
    </row>
    <row r="165" spans="1:18" x14ac:dyDescent="0.2">
      <c r="A165" s="19" t="s">
        <v>2873</v>
      </c>
      <c r="J165" s="19" t="s">
        <v>2874</v>
      </c>
      <c r="R165" s="24" t="s">
        <v>2875</v>
      </c>
    </row>
    <row r="166" spans="1:18" x14ac:dyDescent="0.2">
      <c r="A166" s="19" t="s">
        <v>2619</v>
      </c>
      <c r="J166" s="19" t="s">
        <v>2073</v>
      </c>
      <c r="R166" s="24" t="s">
        <v>2876</v>
      </c>
    </row>
    <row r="167" spans="1:18" x14ac:dyDescent="0.2">
      <c r="A167" s="19" t="s">
        <v>2622</v>
      </c>
      <c r="J167" s="19" t="s">
        <v>2605</v>
      </c>
      <c r="R167" s="24" t="s">
        <v>2877</v>
      </c>
    </row>
    <row r="168" spans="1:18" x14ac:dyDescent="0.2">
      <c r="A168" s="19" t="s">
        <v>2625</v>
      </c>
      <c r="J168" s="19" t="s">
        <v>2878</v>
      </c>
      <c r="R168" s="24" t="s">
        <v>2879</v>
      </c>
    </row>
    <row r="169" spans="1:18" x14ac:dyDescent="0.2">
      <c r="A169" s="19" t="s">
        <v>2880</v>
      </c>
      <c r="J169" s="19" t="s">
        <v>2881</v>
      </c>
      <c r="R169" s="24" t="s">
        <v>2882</v>
      </c>
    </row>
    <row r="170" spans="1:18" x14ac:dyDescent="0.2">
      <c r="A170" s="19" t="s">
        <v>2883</v>
      </c>
      <c r="J170" s="19" t="s">
        <v>2884</v>
      </c>
      <c r="R170" s="24" t="s">
        <v>2885</v>
      </c>
    </row>
    <row r="171" spans="1:18" x14ac:dyDescent="0.2">
      <c r="A171" s="19" t="s">
        <v>2637</v>
      </c>
      <c r="J171" s="19" t="s">
        <v>2620</v>
      </c>
      <c r="R171" s="24" t="s">
        <v>2886</v>
      </c>
    </row>
    <row r="172" spans="1:18" x14ac:dyDescent="0.2">
      <c r="A172" s="19" t="s">
        <v>2887</v>
      </c>
      <c r="J172" s="19" t="s">
        <v>2626</v>
      </c>
      <c r="R172" s="24" t="s">
        <v>2888</v>
      </c>
    </row>
    <row r="173" spans="1:18" x14ac:dyDescent="0.2">
      <c r="A173" s="19" t="s">
        <v>2648</v>
      </c>
      <c r="J173" s="19" t="s">
        <v>2652</v>
      </c>
      <c r="R173" s="24" t="s">
        <v>2889</v>
      </c>
    </row>
    <row r="174" spans="1:18" x14ac:dyDescent="0.2">
      <c r="A174" s="19" t="s">
        <v>2651</v>
      </c>
      <c r="J174" s="19" t="s">
        <v>2890</v>
      </c>
      <c r="R174" s="24" t="s">
        <v>2891</v>
      </c>
    </row>
    <row r="175" spans="1:18" x14ac:dyDescent="0.2">
      <c r="A175" s="19" t="s">
        <v>2892</v>
      </c>
      <c r="J175" s="19" t="s">
        <v>2660</v>
      </c>
      <c r="R175" s="24" t="s">
        <v>2893</v>
      </c>
    </row>
    <row r="176" spans="1:18" x14ac:dyDescent="0.2">
      <c r="A176" s="19" t="s">
        <v>2894</v>
      </c>
      <c r="J176" s="19" t="s">
        <v>2895</v>
      </c>
      <c r="R176" s="24" t="s">
        <v>2896</v>
      </c>
    </row>
    <row r="177" spans="1:18" x14ac:dyDescent="0.2">
      <c r="A177" s="19" t="s">
        <v>2897</v>
      </c>
      <c r="J177" s="19" t="s">
        <v>2898</v>
      </c>
      <c r="R177" s="24" t="s">
        <v>2899</v>
      </c>
    </row>
    <row r="178" spans="1:18" x14ac:dyDescent="0.2">
      <c r="A178" s="19" t="s">
        <v>2653</v>
      </c>
      <c r="J178" s="19" t="s">
        <v>2900</v>
      </c>
      <c r="R178" s="24" t="s">
        <v>2901</v>
      </c>
    </row>
    <row r="179" spans="1:18" x14ac:dyDescent="0.2">
      <c r="A179" s="19" t="s">
        <v>2656</v>
      </c>
      <c r="J179" s="19" t="s">
        <v>2542</v>
      </c>
      <c r="R179" s="24" t="s">
        <v>2902</v>
      </c>
    </row>
    <row r="180" spans="1:18" x14ac:dyDescent="0.2">
      <c r="A180" s="19" t="s">
        <v>2903</v>
      </c>
      <c r="J180" s="19" t="s">
        <v>2904</v>
      </c>
      <c r="R180" s="24" t="s">
        <v>2905</v>
      </c>
    </row>
    <row r="181" spans="1:18" x14ac:dyDescent="0.2">
      <c r="A181" s="19" t="s">
        <v>2906</v>
      </c>
      <c r="J181" s="19" t="s">
        <v>2552</v>
      </c>
      <c r="R181" s="24" t="s">
        <v>2250</v>
      </c>
    </row>
    <row r="182" spans="1:18" x14ac:dyDescent="0.2">
      <c r="A182" s="19" t="s">
        <v>2907</v>
      </c>
      <c r="J182" s="19" t="s">
        <v>2688</v>
      </c>
      <c r="R182" s="24" t="s">
        <v>2253</v>
      </c>
    </row>
    <row r="183" spans="1:18" x14ac:dyDescent="0.2">
      <c r="A183" s="19" t="s">
        <v>1314</v>
      </c>
      <c r="J183" s="19" t="s">
        <v>2908</v>
      </c>
      <c r="R183" s="24" t="s">
        <v>2909</v>
      </c>
    </row>
    <row r="184" spans="1:18" x14ac:dyDescent="0.2">
      <c r="A184" s="19" t="s">
        <v>2910</v>
      </c>
      <c r="J184" s="19" t="s">
        <v>2691</v>
      </c>
      <c r="R184" s="24" t="s">
        <v>2911</v>
      </c>
    </row>
    <row r="185" spans="1:18" x14ac:dyDescent="0.2">
      <c r="A185" s="19" t="s">
        <v>2912</v>
      </c>
      <c r="J185" s="19" t="s">
        <v>2093</v>
      </c>
      <c r="R185" s="24" t="s">
        <v>2913</v>
      </c>
    </row>
    <row r="186" spans="1:18" x14ac:dyDescent="0.2">
      <c r="A186" s="19" t="s">
        <v>2914</v>
      </c>
      <c r="J186" s="19" t="s">
        <v>2096</v>
      </c>
      <c r="R186" s="24" t="s">
        <v>2915</v>
      </c>
    </row>
    <row r="187" spans="1:18" x14ac:dyDescent="0.2">
      <c r="A187" s="19" t="s">
        <v>2916</v>
      </c>
      <c r="J187" s="19" t="s">
        <v>2917</v>
      </c>
      <c r="R187" s="24" t="s">
        <v>2918</v>
      </c>
    </row>
    <row r="188" spans="1:18" x14ac:dyDescent="0.2">
      <c r="A188" s="19" t="s">
        <v>2662</v>
      </c>
      <c r="J188" s="19" t="s">
        <v>2714</v>
      </c>
      <c r="R188" s="24" t="s">
        <v>2919</v>
      </c>
    </row>
    <row r="189" spans="1:18" x14ac:dyDescent="0.2">
      <c r="A189" s="19" t="s">
        <v>2920</v>
      </c>
      <c r="J189" s="19" t="s">
        <v>2103</v>
      </c>
      <c r="R189" s="24" t="s">
        <v>2921</v>
      </c>
    </row>
    <row r="190" spans="1:18" x14ac:dyDescent="0.2">
      <c r="A190" s="19" t="s">
        <v>2922</v>
      </c>
      <c r="J190" s="19" t="s">
        <v>2923</v>
      </c>
      <c r="R190" s="24" t="s">
        <v>2924</v>
      </c>
    </row>
    <row r="191" spans="1:18" x14ac:dyDescent="0.2">
      <c r="A191" s="19" t="s">
        <v>2925</v>
      </c>
      <c r="J191" s="19" t="s">
        <v>2737</v>
      </c>
      <c r="R191" s="24" t="s">
        <v>2926</v>
      </c>
    </row>
    <row r="192" spans="1:18" x14ac:dyDescent="0.2">
      <c r="A192" s="19" t="s">
        <v>2927</v>
      </c>
      <c r="J192" s="19" t="s">
        <v>2572</v>
      </c>
      <c r="R192" s="24" t="s">
        <v>2928</v>
      </c>
    </row>
    <row r="193" spans="1:18" x14ac:dyDescent="0.2">
      <c r="A193" s="19" t="s">
        <v>2929</v>
      </c>
      <c r="J193" s="19" t="s">
        <v>2930</v>
      </c>
      <c r="R193" s="24" t="s">
        <v>2931</v>
      </c>
    </row>
    <row r="194" spans="1:18" x14ac:dyDescent="0.2">
      <c r="A194" s="19" t="s">
        <v>2932</v>
      </c>
      <c r="J194" s="19" t="s">
        <v>2741</v>
      </c>
      <c r="R194" s="24" t="s">
        <v>2933</v>
      </c>
    </row>
    <row r="195" spans="1:18" x14ac:dyDescent="0.2">
      <c r="A195" s="19" t="s">
        <v>2934</v>
      </c>
      <c r="J195" s="19" t="s">
        <v>2935</v>
      </c>
      <c r="R195" s="24" t="s">
        <v>2936</v>
      </c>
    </row>
    <row r="196" spans="1:18" x14ac:dyDescent="0.2">
      <c r="A196" s="19" t="s">
        <v>2664</v>
      </c>
      <c r="J196" s="19" t="s">
        <v>2937</v>
      </c>
      <c r="R196" s="24" t="s">
        <v>2938</v>
      </c>
    </row>
    <row r="197" spans="1:18" x14ac:dyDescent="0.2">
      <c r="A197" s="19" t="s">
        <v>2939</v>
      </c>
      <c r="J197" s="19" t="s">
        <v>2581</v>
      </c>
      <c r="R197" s="24" t="s">
        <v>2940</v>
      </c>
    </row>
    <row r="198" spans="1:18" x14ac:dyDescent="0.2">
      <c r="A198" s="19" t="s">
        <v>2941</v>
      </c>
      <c r="J198" s="19" t="s">
        <v>2942</v>
      </c>
      <c r="R198" s="24" t="s">
        <v>2943</v>
      </c>
    </row>
    <row r="199" spans="1:18" x14ac:dyDescent="0.2">
      <c r="A199" s="19" t="s">
        <v>2944</v>
      </c>
      <c r="J199" s="19" t="s">
        <v>2803</v>
      </c>
      <c r="R199" s="24" t="s">
        <v>2945</v>
      </c>
    </row>
    <row r="200" spans="1:18" x14ac:dyDescent="0.2">
      <c r="A200" s="19" t="s">
        <v>2946</v>
      </c>
      <c r="J200" s="19" t="s">
        <v>2589</v>
      </c>
      <c r="R200" s="24" t="s">
        <v>2947</v>
      </c>
    </row>
    <row r="201" spans="1:18" x14ac:dyDescent="0.2">
      <c r="A201" s="19" t="s">
        <v>2671</v>
      </c>
      <c r="J201" s="19" t="s">
        <v>2948</v>
      </c>
      <c r="R201" s="24" t="s">
        <v>2949</v>
      </c>
    </row>
    <row r="202" spans="1:18" x14ac:dyDescent="0.2">
      <c r="A202" s="19" t="s">
        <v>2950</v>
      </c>
      <c r="J202" s="19" t="s">
        <v>2847</v>
      </c>
      <c r="R202" s="24" t="s">
        <v>2951</v>
      </c>
    </row>
    <row r="203" spans="1:18" x14ac:dyDescent="0.2">
      <c r="A203" s="19" t="s">
        <v>2952</v>
      </c>
      <c r="J203" s="19" t="s">
        <v>2610</v>
      </c>
      <c r="R203" s="24" t="s">
        <v>2953</v>
      </c>
    </row>
    <row r="204" spans="1:18" x14ac:dyDescent="0.2">
      <c r="A204" s="19" t="s">
        <v>2954</v>
      </c>
      <c r="J204" s="19" t="s">
        <v>2955</v>
      </c>
      <c r="R204" s="24" t="s">
        <v>1810</v>
      </c>
    </row>
    <row r="205" spans="1:18" x14ac:dyDescent="0.2">
      <c r="A205" s="19" t="s">
        <v>2679</v>
      </c>
      <c r="J205" s="19" t="s">
        <v>2956</v>
      </c>
      <c r="R205" s="24" t="s">
        <v>1812</v>
      </c>
    </row>
    <row r="206" spans="1:18" x14ac:dyDescent="0.2">
      <c r="A206" s="19" t="s">
        <v>2957</v>
      </c>
      <c r="J206" s="19" t="s">
        <v>2613</v>
      </c>
      <c r="R206" s="24" t="s">
        <v>2958</v>
      </c>
    </row>
    <row r="207" spans="1:18" x14ac:dyDescent="0.2">
      <c r="A207" s="19" t="s">
        <v>2229</v>
      </c>
      <c r="J207" s="19" t="s">
        <v>2872</v>
      </c>
      <c r="R207" s="24" t="s">
        <v>2959</v>
      </c>
    </row>
    <row r="208" spans="1:18" x14ac:dyDescent="0.2">
      <c r="A208" s="19" t="s">
        <v>2960</v>
      </c>
      <c r="J208" s="19" t="s">
        <v>2961</v>
      </c>
      <c r="R208" s="24" t="s">
        <v>2962</v>
      </c>
    </row>
    <row r="209" spans="1:18" x14ac:dyDescent="0.2">
      <c r="A209" s="19" t="s">
        <v>2963</v>
      </c>
      <c r="J209" s="19" t="s">
        <v>2622</v>
      </c>
      <c r="R209" s="24" t="s">
        <v>2964</v>
      </c>
    </row>
    <row r="210" spans="1:18" x14ac:dyDescent="0.2">
      <c r="A210" s="19" t="s">
        <v>2965</v>
      </c>
      <c r="J210" s="19" t="s">
        <v>2966</v>
      </c>
      <c r="R210" s="24" t="s">
        <v>2967</v>
      </c>
    </row>
    <row r="211" spans="1:18" x14ac:dyDescent="0.2">
      <c r="A211" s="19" t="s">
        <v>2968</v>
      </c>
      <c r="J211" s="19" t="s">
        <v>2625</v>
      </c>
      <c r="R211" s="24" t="s">
        <v>2969</v>
      </c>
    </row>
    <row r="212" spans="1:18" x14ac:dyDescent="0.2">
      <c r="A212" s="19" t="s">
        <v>2970</v>
      </c>
      <c r="J212" s="19" t="s">
        <v>2628</v>
      </c>
      <c r="R212" s="24" t="s">
        <v>2971</v>
      </c>
    </row>
    <row r="213" spans="1:18" x14ac:dyDescent="0.2">
      <c r="A213" s="19" t="s">
        <v>2972</v>
      </c>
      <c r="J213" s="19" t="s">
        <v>2637</v>
      </c>
      <c r="R213" s="24" t="s">
        <v>2973</v>
      </c>
    </row>
    <row r="214" spans="1:18" x14ac:dyDescent="0.2">
      <c r="A214" s="19" t="s">
        <v>2974</v>
      </c>
      <c r="J214" s="19" t="s">
        <v>2975</v>
      </c>
      <c r="R214" s="24" t="s">
        <v>2976</v>
      </c>
    </row>
    <row r="215" spans="1:18" x14ac:dyDescent="0.2">
      <c r="A215" s="19" t="s">
        <v>2977</v>
      </c>
      <c r="J215" s="19" t="s">
        <v>2639</v>
      </c>
      <c r="R215" s="24" t="s">
        <v>2978</v>
      </c>
    </row>
    <row r="216" spans="1:18" x14ac:dyDescent="0.2">
      <c r="A216" s="19" t="s">
        <v>2979</v>
      </c>
      <c r="J216" s="19" t="s">
        <v>2653</v>
      </c>
      <c r="R216" s="24" t="s">
        <v>2980</v>
      </c>
    </row>
    <row r="217" spans="1:18" x14ac:dyDescent="0.2">
      <c r="A217" s="19" t="s">
        <v>2981</v>
      </c>
      <c r="J217" s="19" t="s">
        <v>2982</v>
      </c>
      <c r="R217" s="24" t="s">
        <v>2983</v>
      </c>
    </row>
    <row r="218" spans="1:18" x14ac:dyDescent="0.2">
      <c r="A218" s="19" t="s">
        <v>2984</v>
      </c>
      <c r="J218" s="19" t="s">
        <v>2985</v>
      </c>
      <c r="R218" s="24" t="s">
        <v>2422</v>
      </c>
    </row>
    <row r="219" spans="1:18" x14ac:dyDescent="0.2">
      <c r="A219" s="19" t="s">
        <v>2986</v>
      </c>
      <c r="J219" s="19" t="s">
        <v>2987</v>
      </c>
      <c r="R219" s="24" t="s">
        <v>2988</v>
      </c>
    </row>
    <row r="220" spans="1:18" x14ac:dyDescent="0.2">
      <c r="A220" s="19" t="s">
        <v>2989</v>
      </c>
      <c r="J220" s="19" t="s">
        <v>2662</v>
      </c>
      <c r="R220" s="24" t="s">
        <v>2990</v>
      </c>
    </row>
    <row r="221" spans="1:18" x14ac:dyDescent="0.2">
      <c r="A221" s="19" t="s">
        <v>2991</v>
      </c>
      <c r="J221" s="19" t="s">
        <v>2927</v>
      </c>
      <c r="R221" s="24" t="s">
        <v>2424</v>
      </c>
    </row>
    <row r="222" spans="1:18" x14ac:dyDescent="0.2">
      <c r="A222" s="19" t="s">
        <v>2992</v>
      </c>
      <c r="J222" s="19" t="s">
        <v>2993</v>
      </c>
      <c r="R222" s="24" t="s">
        <v>2994</v>
      </c>
    </row>
    <row r="223" spans="1:18" x14ac:dyDescent="0.2">
      <c r="A223" s="19" t="s">
        <v>2995</v>
      </c>
      <c r="J223" s="19" t="s">
        <v>2939</v>
      </c>
      <c r="R223" s="24" t="s">
        <v>2313</v>
      </c>
    </row>
    <row r="224" spans="1:18" x14ac:dyDescent="0.2">
      <c r="A224" s="19" t="s">
        <v>2687</v>
      </c>
      <c r="J224" s="19" t="s">
        <v>2996</v>
      </c>
      <c r="R224" s="24" t="s">
        <v>2317</v>
      </c>
    </row>
    <row r="225" spans="1:18" x14ac:dyDescent="0.2">
      <c r="A225" s="19" t="s">
        <v>2690</v>
      </c>
      <c r="J225" s="19" t="s">
        <v>2679</v>
      </c>
      <c r="R225" s="24" t="s">
        <v>2997</v>
      </c>
    </row>
    <row r="226" spans="1:18" x14ac:dyDescent="0.2">
      <c r="A226" s="19" t="s">
        <v>2693</v>
      </c>
      <c r="J226" s="19" t="s">
        <v>2957</v>
      </c>
      <c r="R226" s="24" t="s">
        <v>2998</v>
      </c>
    </row>
    <row r="227" spans="1:18" x14ac:dyDescent="0.2">
      <c r="A227" s="19" t="s">
        <v>1348</v>
      </c>
      <c r="J227" s="19" t="s">
        <v>2968</v>
      </c>
      <c r="R227" s="24" t="s">
        <v>2429</v>
      </c>
    </row>
    <row r="228" spans="1:18" x14ac:dyDescent="0.2">
      <c r="A228" s="19" t="s">
        <v>2999</v>
      </c>
      <c r="J228" s="19" t="s">
        <v>2693</v>
      </c>
      <c r="R228" s="24" t="s">
        <v>3000</v>
      </c>
    </row>
    <row r="229" spans="1:18" x14ac:dyDescent="0.2">
      <c r="A229" s="19" t="s">
        <v>1353</v>
      </c>
      <c r="J229" s="19" t="s">
        <v>2697</v>
      </c>
    </row>
    <row r="230" spans="1:18" x14ac:dyDescent="0.2">
      <c r="A230" s="19" t="s">
        <v>3001</v>
      </c>
      <c r="J230" s="19" t="s">
        <v>3002</v>
      </c>
    </row>
    <row r="231" spans="1:18" x14ac:dyDescent="0.2">
      <c r="A231" s="19" t="s">
        <v>3003</v>
      </c>
      <c r="J231" s="19" t="s">
        <v>2702</v>
      </c>
    </row>
    <row r="232" spans="1:18" x14ac:dyDescent="0.2">
      <c r="A232" s="19" t="s">
        <v>3004</v>
      </c>
      <c r="J232" s="19" t="s">
        <v>2137</v>
      </c>
    </row>
    <row r="233" spans="1:18" x14ac:dyDescent="0.2">
      <c r="A233" s="19" t="s">
        <v>2697</v>
      </c>
      <c r="J233" s="19" t="s">
        <v>3005</v>
      </c>
    </row>
    <row r="234" spans="1:18" x14ac:dyDescent="0.2">
      <c r="A234" s="19" t="s">
        <v>3006</v>
      </c>
      <c r="J234" s="19" t="s">
        <v>3007</v>
      </c>
    </row>
    <row r="235" spans="1:18" x14ac:dyDescent="0.2">
      <c r="A235" s="19" t="s">
        <v>3002</v>
      </c>
      <c r="J235" s="19" t="s">
        <v>2743</v>
      </c>
    </row>
    <row r="236" spans="1:18" x14ac:dyDescent="0.2">
      <c r="A236" s="19" t="s">
        <v>3008</v>
      </c>
      <c r="J236" s="19" t="s">
        <v>3009</v>
      </c>
    </row>
    <row r="237" spans="1:18" x14ac:dyDescent="0.2">
      <c r="A237" s="19" t="s">
        <v>3010</v>
      </c>
      <c r="J237" s="19" t="s">
        <v>2147</v>
      </c>
    </row>
    <row r="238" spans="1:18" x14ac:dyDescent="0.2">
      <c r="A238" s="19" t="s">
        <v>2700</v>
      </c>
      <c r="J238" s="19" t="s">
        <v>3011</v>
      </c>
    </row>
    <row r="239" spans="1:18" x14ac:dyDescent="0.2">
      <c r="A239" s="19" t="s">
        <v>3012</v>
      </c>
      <c r="J239" s="19" t="s">
        <v>2151</v>
      </c>
    </row>
    <row r="240" spans="1:18" x14ac:dyDescent="0.2">
      <c r="A240" s="19" t="s">
        <v>3013</v>
      </c>
      <c r="J240" s="19" t="s">
        <v>3014</v>
      </c>
    </row>
    <row r="241" spans="1:10" x14ac:dyDescent="0.2">
      <c r="A241" s="19" t="s">
        <v>3015</v>
      </c>
      <c r="J241" s="19" t="s">
        <v>3016</v>
      </c>
    </row>
    <row r="242" spans="1:10" x14ac:dyDescent="0.2">
      <c r="A242" s="19" t="s">
        <v>2702</v>
      </c>
      <c r="J242" s="19" t="s">
        <v>2154</v>
      </c>
    </row>
    <row r="243" spans="1:10" x14ac:dyDescent="0.2">
      <c r="A243" s="19" t="s">
        <v>3017</v>
      </c>
      <c r="J243" s="19" t="s">
        <v>3018</v>
      </c>
    </row>
    <row r="244" spans="1:10" x14ac:dyDescent="0.2">
      <c r="A244" s="19" t="s">
        <v>3019</v>
      </c>
      <c r="J244" s="19" t="s">
        <v>3020</v>
      </c>
    </row>
    <row r="245" spans="1:10" x14ac:dyDescent="0.2">
      <c r="A245" s="19" t="s">
        <v>3021</v>
      </c>
      <c r="J245" s="19" t="s">
        <v>3022</v>
      </c>
    </row>
    <row r="246" spans="1:10" x14ac:dyDescent="0.2">
      <c r="A246" s="19" t="s">
        <v>2708</v>
      </c>
      <c r="J246" s="19" t="s">
        <v>3023</v>
      </c>
    </row>
    <row r="247" spans="1:10" x14ac:dyDescent="0.2">
      <c r="A247" s="19" t="s">
        <v>2137</v>
      </c>
      <c r="J247" s="19" t="s">
        <v>2300</v>
      </c>
    </row>
    <row r="248" spans="1:10" x14ac:dyDescent="0.2">
      <c r="A248" s="19" t="s">
        <v>2713</v>
      </c>
      <c r="J248" s="19" t="s">
        <v>2817</v>
      </c>
    </row>
    <row r="249" spans="1:10" x14ac:dyDescent="0.2">
      <c r="A249" s="19" t="s">
        <v>2716</v>
      </c>
      <c r="J249" s="19" t="s">
        <v>2820</v>
      </c>
    </row>
    <row r="250" spans="1:10" x14ac:dyDescent="0.2">
      <c r="A250" s="19" t="s">
        <v>3024</v>
      </c>
      <c r="J250" s="19" t="s">
        <v>3025</v>
      </c>
    </row>
    <row r="251" spans="1:10" x14ac:dyDescent="0.2">
      <c r="A251" s="19" t="s">
        <v>2719</v>
      </c>
      <c r="J251" s="19" t="s">
        <v>3026</v>
      </c>
    </row>
    <row r="252" spans="1:10" x14ac:dyDescent="0.2">
      <c r="A252" s="19" t="s">
        <v>2725</v>
      </c>
      <c r="J252" s="19" t="s">
        <v>2835</v>
      </c>
    </row>
    <row r="253" spans="1:10" x14ac:dyDescent="0.2">
      <c r="A253" s="19" t="s">
        <v>2728</v>
      </c>
      <c r="J253" s="19" t="s">
        <v>3027</v>
      </c>
    </row>
    <row r="254" spans="1:10" x14ac:dyDescent="0.2">
      <c r="A254" s="19" t="s">
        <v>3028</v>
      </c>
      <c r="J254" s="19" t="s">
        <v>2838</v>
      </c>
    </row>
    <row r="255" spans="1:10" x14ac:dyDescent="0.2">
      <c r="A255" s="19" t="s">
        <v>3029</v>
      </c>
      <c r="J255" s="19" t="s">
        <v>2840</v>
      </c>
    </row>
    <row r="256" spans="1:10" x14ac:dyDescent="0.2">
      <c r="A256" s="19" t="s">
        <v>2733</v>
      </c>
      <c r="J256" s="19" t="s">
        <v>3030</v>
      </c>
    </row>
    <row r="257" spans="1:10" x14ac:dyDescent="0.2">
      <c r="A257" s="19" t="s">
        <v>3031</v>
      </c>
      <c r="J257" s="19" t="s">
        <v>3032</v>
      </c>
    </row>
    <row r="258" spans="1:10" x14ac:dyDescent="0.2">
      <c r="A258" s="19" t="s">
        <v>2740</v>
      </c>
      <c r="J258" s="19" t="s">
        <v>3033</v>
      </c>
    </row>
    <row r="259" spans="1:10" x14ac:dyDescent="0.2">
      <c r="A259" s="19" t="s">
        <v>2743</v>
      </c>
      <c r="J259" s="19" t="s">
        <v>3034</v>
      </c>
    </row>
    <row r="260" spans="1:10" x14ac:dyDescent="0.2">
      <c r="A260" s="19" t="s">
        <v>3035</v>
      </c>
      <c r="J260" s="19" t="s">
        <v>3036</v>
      </c>
    </row>
    <row r="261" spans="1:10" x14ac:dyDescent="0.2">
      <c r="A261" s="19" t="s">
        <v>3037</v>
      </c>
      <c r="J261" s="19" t="s">
        <v>2849</v>
      </c>
    </row>
    <row r="262" spans="1:10" x14ac:dyDescent="0.2">
      <c r="A262" s="19" t="s">
        <v>2746</v>
      </c>
      <c r="J262" s="19" t="s">
        <v>3038</v>
      </c>
    </row>
    <row r="263" spans="1:10" x14ac:dyDescent="0.2">
      <c r="A263" s="19" t="s">
        <v>3039</v>
      </c>
      <c r="J263" s="19" t="s">
        <v>3040</v>
      </c>
    </row>
    <row r="264" spans="1:10" x14ac:dyDescent="0.2">
      <c r="A264" s="19" t="s">
        <v>3041</v>
      </c>
      <c r="J264" s="19" t="s">
        <v>3042</v>
      </c>
    </row>
    <row r="265" spans="1:10" x14ac:dyDescent="0.2">
      <c r="A265" s="19" t="s">
        <v>3043</v>
      </c>
      <c r="J265" s="19" t="s">
        <v>3044</v>
      </c>
    </row>
    <row r="266" spans="1:10" x14ac:dyDescent="0.2">
      <c r="A266" s="19" t="s">
        <v>2147</v>
      </c>
      <c r="J266" s="19" t="s">
        <v>2862</v>
      </c>
    </row>
    <row r="267" spans="1:10" x14ac:dyDescent="0.2">
      <c r="A267" s="19" t="s">
        <v>3011</v>
      </c>
      <c r="J267" s="19" t="s">
        <v>3045</v>
      </c>
    </row>
    <row r="268" spans="1:10" x14ac:dyDescent="0.2">
      <c r="A268" s="19" t="s">
        <v>2754</v>
      </c>
      <c r="J268" s="19" t="s">
        <v>2867</v>
      </c>
    </row>
    <row r="269" spans="1:10" x14ac:dyDescent="0.2">
      <c r="A269" s="19" t="s">
        <v>2149</v>
      </c>
      <c r="J269" s="19" t="s">
        <v>2869</v>
      </c>
    </row>
    <row r="270" spans="1:10" x14ac:dyDescent="0.2">
      <c r="A270" s="19" t="s">
        <v>2151</v>
      </c>
      <c r="J270" s="19" t="s">
        <v>2871</v>
      </c>
    </row>
    <row r="271" spans="1:10" x14ac:dyDescent="0.2">
      <c r="A271" s="19" t="s">
        <v>3014</v>
      </c>
      <c r="J271" s="19" t="s">
        <v>2208</v>
      </c>
    </row>
    <row r="272" spans="1:10" x14ac:dyDescent="0.2">
      <c r="A272" s="19" t="s">
        <v>3046</v>
      </c>
      <c r="J272" s="19" t="s">
        <v>3047</v>
      </c>
    </row>
    <row r="273" spans="1:10" x14ac:dyDescent="0.2">
      <c r="A273" s="19" t="s">
        <v>3016</v>
      </c>
      <c r="J273" s="19" t="s">
        <v>2879</v>
      </c>
    </row>
    <row r="274" spans="1:10" x14ac:dyDescent="0.2">
      <c r="A274" s="19" t="s">
        <v>1383</v>
      </c>
      <c r="J274" s="19" t="s">
        <v>2885</v>
      </c>
    </row>
    <row r="275" spans="1:10" x14ac:dyDescent="0.2">
      <c r="A275" s="19" t="s">
        <v>2154</v>
      </c>
      <c r="J275" s="19" t="s">
        <v>2886</v>
      </c>
    </row>
    <row r="276" spans="1:10" x14ac:dyDescent="0.2">
      <c r="A276" s="19" t="s">
        <v>3048</v>
      </c>
      <c r="J276" s="19" t="s">
        <v>3049</v>
      </c>
    </row>
    <row r="277" spans="1:10" x14ac:dyDescent="0.2">
      <c r="A277" s="19" t="s">
        <v>3050</v>
      </c>
      <c r="J277" s="19" t="s">
        <v>3051</v>
      </c>
    </row>
    <row r="278" spans="1:10" x14ac:dyDescent="0.2">
      <c r="A278" s="19" t="s">
        <v>3052</v>
      </c>
      <c r="J278" s="19" t="s">
        <v>2893</v>
      </c>
    </row>
    <row r="279" spans="1:10" x14ac:dyDescent="0.2">
      <c r="A279" s="19" t="s">
        <v>3053</v>
      </c>
      <c r="J279" s="19" t="s">
        <v>3054</v>
      </c>
    </row>
    <row r="280" spans="1:10" x14ac:dyDescent="0.2">
      <c r="A280" s="19" t="s">
        <v>2405</v>
      </c>
      <c r="J280" s="19" t="s">
        <v>3055</v>
      </c>
    </row>
    <row r="281" spans="1:10" x14ac:dyDescent="0.2">
      <c r="A281" s="19" t="s">
        <v>3056</v>
      </c>
      <c r="J281" s="19" t="s">
        <v>2899</v>
      </c>
    </row>
    <row r="282" spans="1:10" x14ac:dyDescent="0.2">
      <c r="A282" s="19" t="s">
        <v>3057</v>
      </c>
      <c r="J282" s="19" t="s">
        <v>3058</v>
      </c>
    </row>
    <row r="283" spans="1:10" x14ac:dyDescent="0.2">
      <c r="A283" s="19" t="s">
        <v>1431</v>
      </c>
      <c r="J283" s="19" t="s">
        <v>3059</v>
      </c>
    </row>
    <row r="284" spans="1:10" x14ac:dyDescent="0.2">
      <c r="A284" s="19" t="s">
        <v>3018</v>
      </c>
      <c r="J284" s="19" t="s">
        <v>3060</v>
      </c>
    </row>
    <row r="285" spans="1:10" x14ac:dyDescent="0.2">
      <c r="A285" s="19" t="s">
        <v>3061</v>
      </c>
      <c r="J285" s="19" t="s">
        <v>3062</v>
      </c>
    </row>
    <row r="286" spans="1:10" x14ac:dyDescent="0.2">
      <c r="A286" s="19" t="s">
        <v>1435</v>
      </c>
      <c r="J286" s="19" t="s">
        <v>3063</v>
      </c>
    </row>
    <row r="287" spans="1:10" x14ac:dyDescent="0.2">
      <c r="A287" s="19" t="s">
        <v>1437</v>
      </c>
      <c r="J287" s="19" t="s">
        <v>3064</v>
      </c>
    </row>
    <row r="288" spans="1:10" x14ac:dyDescent="0.2">
      <c r="A288" s="19" t="s">
        <v>1439</v>
      </c>
      <c r="J288" s="19" t="s">
        <v>3065</v>
      </c>
    </row>
    <row r="289" spans="1:10" x14ac:dyDescent="0.2">
      <c r="A289" s="19" t="s">
        <v>1441</v>
      </c>
      <c r="J289" s="19" t="s">
        <v>3066</v>
      </c>
    </row>
    <row r="290" spans="1:10" x14ac:dyDescent="0.2">
      <c r="A290" s="19" t="s">
        <v>3067</v>
      </c>
      <c r="J290" s="19" t="s">
        <v>3068</v>
      </c>
    </row>
    <row r="291" spans="1:10" x14ac:dyDescent="0.2">
      <c r="A291" s="19" t="s">
        <v>3069</v>
      </c>
      <c r="J291" s="19" t="s">
        <v>3070</v>
      </c>
    </row>
    <row r="292" spans="1:10" x14ac:dyDescent="0.2">
      <c r="A292" s="19" t="s">
        <v>3071</v>
      </c>
      <c r="J292" s="19" t="s">
        <v>2909</v>
      </c>
    </row>
    <row r="293" spans="1:10" x14ac:dyDescent="0.2">
      <c r="A293" s="19" t="s">
        <v>3072</v>
      </c>
      <c r="J293" s="19" t="s">
        <v>2911</v>
      </c>
    </row>
    <row r="294" spans="1:10" x14ac:dyDescent="0.2">
      <c r="A294" s="19" t="s">
        <v>3023</v>
      </c>
      <c r="J294" s="19" t="s">
        <v>3073</v>
      </c>
    </row>
    <row r="295" spans="1:10" x14ac:dyDescent="0.2">
      <c r="A295" s="19" t="s">
        <v>3074</v>
      </c>
      <c r="J295" s="19" t="s">
        <v>3075</v>
      </c>
    </row>
    <row r="296" spans="1:10" x14ac:dyDescent="0.2">
      <c r="A296" s="19" t="s">
        <v>3076</v>
      </c>
      <c r="J296" s="19" t="s">
        <v>3077</v>
      </c>
    </row>
    <row r="297" spans="1:10" x14ac:dyDescent="0.2">
      <c r="A297" s="19" t="s">
        <v>2784</v>
      </c>
      <c r="J297" s="19" t="s">
        <v>2936</v>
      </c>
    </row>
    <row r="298" spans="1:10" x14ac:dyDescent="0.2">
      <c r="A298" s="19" t="s">
        <v>2796</v>
      </c>
      <c r="J298" s="19" t="s">
        <v>2938</v>
      </c>
    </row>
    <row r="299" spans="1:10" x14ac:dyDescent="0.2">
      <c r="A299" s="19" t="s">
        <v>3078</v>
      </c>
      <c r="J299" s="19" t="s">
        <v>3079</v>
      </c>
    </row>
    <row r="300" spans="1:10" x14ac:dyDescent="0.2">
      <c r="A300" s="19" t="s">
        <v>3080</v>
      </c>
      <c r="J300" s="19" t="s">
        <v>3081</v>
      </c>
    </row>
    <row r="301" spans="1:10" x14ac:dyDescent="0.2">
      <c r="A301" s="19" t="s">
        <v>2799</v>
      </c>
      <c r="J301" s="19" t="s">
        <v>3082</v>
      </c>
    </row>
    <row r="302" spans="1:10" x14ac:dyDescent="0.2">
      <c r="A302" s="19" t="s">
        <v>3083</v>
      </c>
      <c r="J302" s="19" t="s">
        <v>3084</v>
      </c>
    </row>
    <row r="303" spans="1:10" x14ac:dyDescent="0.2">
      <c r="A303" s="19" t="s">
        <v>2805</v>
      </c>
      <c r="J303" s="19" t="s">
        <v>3085</v>
      </c>
    </row>
    <row r="304" spans="1:10" x14ac:dyDescent="0.2">
      <c r="A304" s="19" t="s">
        <v>2807</v>
      </c>
      <c r="J304" s="19" t="s">
        <v>3086</v>
      </c>
    </row>
    <row r="305" spans="1:10" x14ac:dyDescent="0.2">
      <c r="A305" s="19" t="s">
        <v>3087</v>
      </c>
      <c r="J305" s="19" t="s">
        <v>3088</v>
      </c>
    </row>
    <row r="306" spans="1:10" x14ac:dyDescent="0.2">
      <c r="A306" s="19" t="s">
        <v>2815</v>
      </c>
      <c r="J306" s="19" t="s">
        <v>2962</v>
      </c>
    </row>
    <row r="307" spans="1:10" x14ac:dyDescent="0.2">
      <c r="A307" s="19" t="s">
        <v>2817</v>
      </c>
      <c r="J307" s="19" t="s">
        <v>3089</v>
      </c>
    </row>
    <row r="308" spans="1:10" x14ac:dyDescent="0.2">
      <c r="A308" s="19" t="s">
        <v>3090</v>
      </c>
      <c r="J308" s="19" t="s">
        <v>3091</v>
      </c>
    </row>
    <row r="309" spans="1:10" x14ac:dyDescent="0.2">
      <c r="A309" s="19" t="s">
        <v>2820</v>
      </c>
      <c r="J309" s="19" t="s">
        <v>2969</v>
      </c>
    </row>
    <row r="310" spans="1:10" x14ac:dyDescent="0.2">
      <c r="A310" s="19" t="s">
        <v>3092</v>
      </c>
      <c r="J310" s="19" t="s">
        <v>3093</v>
      </c>
    </row>
    <row r="311" spans="1:10" x14ac:dyDescent="0.2">
      <c r="A311" s="19" t="s">
        <v>3094</v>
      </c>
      <c r="J311" s="19" t="s">
        <v>2983</v>
      </c>
    </row>
    <row r="312" spans="1:10" x14ac:dyDescent="0.2">
      <c r="A312" s="19" t="s">
        <v>3095</v>
      </c>
      <c r="J312" s="19" t="s">
        <v>2422</v>
      </c>
    </row>
    <row r="313" spans="1:10" x14ac:dyDescent="0.2">
      <c r="A313" s="19" t="s">
        <v>2826</v>
      </c>
      <c r="J313" s="19" t="s">
        <v>2990</v>
      </c>
    </row>
    <row r="314" spans="1:10" x14ac:dyDescent="0.2">
      <c r="A314" s="19" t="s">
        <v>3096</v>
      </c>
      <c r="J314" s="19" t="s">
        <v>3097</v>
      </c>
    </row>
    <row r="315" spans="1:10" x14ac:dyDescent="0.2">
      <c r="A315" s="19" t="s">
        <v>3098</v>
      </c>
      <c r="J315" s="19" t="s">
        <v>2424</v>
      </c>
    </row>
    <row r="316" spans="1:10" x14ac:dyDescent="0.2">
      <c r="A316" s="19" t="s">
        <v>2832</v>
      </c>
      <c r="J316" s="19" t="s">
        <v>3099</v>
      </c>
    </row>
    <row r="317" spans="1:10" x14ac:dyDescent="0.2">
      <c r="A317" s="19" t="s">
        <v>3100</v>
      </c>
      <c r="J317" s="19" t="s">
        <v>2313</v>
      </c>
    </row>
    <row r="318" spans="1:10" x14ac:dyDescent="0.2">
      <c r="A318" s="19" t="s">
        <v>3101</v>
      </c>
      <c r="J318" s="19" t="s">
        <v>2317</v>
      </c>
    </row>
    <row r="319" spans="1:10" x14ac:dyDescent="0.2">
      <c r="A319" s="19" t="s">
        <v>2835</v>
      </c>
      <c r="J319" s="19" t="s">
        <v>2429</v>
      </c>
    </row>
    <row r="320" spans="1:10" x14ac:dyDescent="0.2">
      <c r="A320" s="19" t="s">
        <v>3027</v>
      </c>
    </row>
    <row r="321" spans="1:1" x14ac:dyDescent="0.2">
      <c r="A321" s="19" t="s">
        <v>3102</v>
      </c>
    </row>
    <row r="322" spans="1:1" x14ac:dyDescent="0.2">
      <c r="A322" s="19" t="s">
        <v>3103</v>
      </c>
    </row>
    <row r="323" spans="1:1" x14ac:dyDescent="0.2">
      <c r="A323" s="19" t="s">
        <v>3104</v>
      </c>
    </row>
    <row r="324" spans="1:1" x14ac:dyDescent="0.2">
      <c r="A324" s="19" t="s">
        <v>3105</v>
      </c>
    </row>
    <row r="325" spans="1:1" x14ac:dyDescent="0.2">
      <c r="A325" s="19" t="s">
        <v>3106</v>
      </c>
    </row>
    <row r="326" spans="1:1" x14ac:dyDescent="0.2">
      <c r="A326" s="19" t="s">
        <v>3107</v>
      </c>
    </row>
    <row r="327" spans="1:1" x14ac:dyDescent="0.2">
      <c r="A327" s="19" t="s">
        <v>3108</v>
      </c>
    </row>
    <row r="328" spans="1:1" x14ac:dyDescent="0.2">
      <c r="A328" s="19" t="s">
        <v>2840</v>
      </c>
    </row>
    <row r="329" spans="1:1" x14ac:dyDescent="0.2">
      <c r="A329" s="19" t="s">
        <v>3030</v>
      </c>
    </row>
    <row r="330" spans="1:1" x14ac:dyDescent="0.2">
      <c r="A330" s="19" t="s">
        <v>3109</v>
      </c>
    </row>
    <row r="331" spans="1:1" x14ac:dyDescent="0.2">
      <c r="A331" s="19" t="s">
        <v>2846</v>
      </c>
    </row>
    <row r="332" spans="1:1" x14ac:dyDescent="0.2">
      <c r="A332" s="19" t="s">
        <v>3110</v>
      </c>
    </row>
    <row r="333" spans="1:1" x14ac:dyDescent="0.2">
      <c r="A333" s="19" t="s">
        <v>3032</v>
      </c>
    </row>
    <row r="334" spans="1:1" x14ac:dyDescent="0.2">
      <c r="A334" s="19" t="s">
        <v>3033</v>
      </c>
    </row>
    <row r="335" spans="1:1" x14ac:dyDescent="0.2">
      <c r="A335" s="19" t="s">
        <v>3111</v>
      </c>
    </row>
    <row r="336" spans="1:1" x14ac:dyDescent="0.2">
      <c r="A336" s="19" t="s">
        <v>3112</v>
      </c>
    </row>
    <row r="337" spans="1:1" x14ac:dyDescent="0.2">
      <c r="A337" s="19" t="s">
        <v>3113</v>
      </c>
    </row>
    <row r="338" spans="1:1" x14ac:dyDescent="0.2">
      <c r="A338" s="19" t="s">
        <v>3114</v>
      </c>
    </row>
    <row r="339" spans="1:1" x14ac:dyDescent="0.2">
      <c r="A339" s="19" t="s">
        <v>3115</v>
      </c>
    </row>
    <row r="340" spans="1:1" x14ac:dyDescent="0.2">
      <c r="A340" s="19" t="s">
        <v>3034</v>
      </c>
    </row>
    <row r="341" spans="1:1" x14ac:dyDescent="0.2">
      <c r="A341" s="19" t="s">
        <v>3116</v>
      </c>
    </row>
    <row r="342" spans="1:1" x14ac:dyDescent="0.2">
      <c r="A342" s="19" t="s">
        <v>3117</v>
      </c>
    </row>
    <row r="343" spans="1:1" x14ac:dyDescent="0.2">
      <c r="A343" s="19" t="s">
        <v>3036</v>
      </c>
    </row>
    <row r="344" spans="1:1" x14ac:dyDescent="0.2">
      <c r="A344" s="19" t="s">
        <v>3118</v>
      </c>
    </row>
    <row r="345" spans="1:1" x14ac:dyDescent="0.2">
      <c r="A345" s="19" t="s">
        <v>2849</v>
      </c>
    </row>
    <row r="346" spans="1:1" x14ac:dyDescent="0.2">
      <c r="A346" s="19" t="s">
        <v>2851</v>
      </c>
    </row>
    <row r="347" spans="1:1" x14ac:dyDescent="0.2">
      <c r="A347" s="19" t="s">
        <v>2853</v>
      </c>
    </row>
    <row r="348" spans="1:1" x14ac:dyDescent="0.2">
      <c r="A348" s="19" t="s">
        <v>3038</v>
      </c>
    </row>
    <row r="349" spans="1:1" x14ac:dyDescent="0.2">
      <c r="A349" s="19" t="s">
        <v>3119</v>
      </c>
    </row>
    <row r="350" spans="1:1" x14ac:dyDescent="0.2">
      <c r="A350" s="19" t="s">
        <v>3120</v>
      </c>
    </row>
    <row r="351" spans="1:1" x14ac:dyDescent="0.2">
      <c r="A351" s="19" t="s">
        <v>3121</v>
      </c>
    </row>
    <row r="352" spans="1:1" x14ac:dyDescent="0.2">
      <c r="A352" s="19" t="s">
        <v>3122</v>
      </c>
    </row>
    <row r="353" spans="1:1" x14ac:dyDescent="0.2">
      <c r="A353" s="19" t="s">
        <v>3123</v>
      </c>
    </row>
    <row r="354" spans="1:1" x14ac:dyDescent="0.2">
      <c r="A354" s="19" t="s">
        <v>3124</v>
      </c>
    </row>
    <row r="355" spans="1:1" x14ac:dyDescent="0.2">
      <c r="A355" s="19" t="s">
        <v>3044</v>
      </c>
    </row>
    <row r="356" spans="1:1" x14ac:dyDescent="0.2">
      <c r="A356" s="19" t="s">
        <v>3125</v>
      </c>
    </row>
    <row r="357" spans="1:1" x14ac:dyDescent="0.2">
      <c r="A357" s="19" t="s">
        <v>3126</v>
      </c>
    </row>
    <row r="358" spans="1:1" x14ac:dyDescent="0.2">
      <c r="A358" s="19" t="s">
        <v>1557</v>
      </c>
    </row>
    <row r="359" spans="1:1" x14ac:dyDescent="0.2">
      <c r="A359" s="19" t="s">
        <v>3127</v>
      </c>
    </row>
    <row r="360" spans="1:1" x14ac:dyDescent="0.2">
      <c r="A360" s="19" t="s">
        <v>3128</v>
      </c>
    </row>
    <row r="361" spans="1:1" x14ac:dyDescent="0.2">
      <c r="A361" s="19" t="s">
        <v>3129</v>
      </c>
    </row>
    <row r="362" spans="1:1" x14ac:dyDescent="0.2">
      <c r="A362" s="19" t="s">
        <v>3130</v>
      </c>
    </row>
    <row r="363" spans="1:1" x14ac:dyDescent="0.2">
      <c r="A363" s="19" t="s">
        <v>3131</v>
      </c>
    </row>
    <row r="364" spans="1:1" x14ac:dyDescent="0.2">
      <c r="A364" s="19" t="s">
        <v>3132</v>
      </c>
    </row>
    <row r="365" spans="1:1" x14ac:dyDescent="0.2">
      <c r="A365" s="19" t="s">
        <v>3133</v>
      </c>
    </row>
    <row r="366" spans="1:1" x14ac:dyDescent="0.2">
      <c r="A366" s="19" t="s">
        <v>3134</v>
      </c>
    </row>
    <row r="367" spans="1:1" x14ac:dyDescent="0.2">
      <c r="A367" s="19" t="s">
        <v>3135</v>
      </c>
    </row>
    <row r="368" spans="1:1" x14ac:dyDescent="0.2">
      <c r="A368" s="19" t="s">
        <v>2202</v>
      </c>
    </row>
    <row r="369" spans="1:1" x14ac:dyDescent="0.2">
      <c r="A369" s="19" t="s">
        <v>3136</v>
      </c>
    </row>
    <row r="370" spans="1:1" x14ac:dyDescent="0.2">
      <c r="A370" s="19" t="s">
        <v>1571</v>
      </c>
    </row>
    <row r="371" spans="1:1" x14ac:dyDescent="0.2">
      <c r="A371" s="19" t="s">
        <v>3045</v>
      </c>
    </row>
    <row r="372" spans="1:1" x14ac:dyDescent="0.2">
      <c r="A372" s="19" t="s">
        <v>3137</v>
      </c>
    </row>
    <row r="373" spans="1:1" x14ac:dyDescent="0.2">
      <c r="A373" s="19" t="s">
        <v>3138</v>
      </c>
    </row>
    <row r="374" spans="1:1" x14ac:dyDescent="0.2">
      <c r="A374" s="19" t="s">
        <v>3139</v>
      </c>
    </row>
    <row r="375" spans="1:1" x14ac:dyDescent="0.2">
      <c r="A375" s="19" t="s">
        <v>3140</v>
      </c>
    </row>
    <row r="376" spans="1:1" x14ac:dyDescent="0.2">
      <c r="A376" s="19" t="s">
        <v>2208</v>
      </c>
    </row>
    <row r="377" spans="1:1" x14ac:dyDescent="0.2">
      <c r="A377" s="19" t="s">
        <v>2875</v>
      </c>
    </row>
    <row r="378" spans="1:1" x14ac:dyDescent="0.2">
      <c r="A378" s="19" t="s">
        <v>2876</v>
      </c>
    </row>
    <row r="379" spans="1:1" x14ac:dyDescent="0.2">
      <c r="A379" s="19" t="s">
        <v>3141</v>
      </c>
    </row>
    <row r="380" spans="1:1" x14ac:dyDescent="0.2">
      <c r="A380" s="19" t="s">
        <v>3142</v>
      </c>
    </row>
    <row r="381" spans="1:1" x14ac:dyDescent="0.2">
      <c r="A381" s="19" t="s">
        <v>2879</v>
      </c>
    </row>
    <row r="382" spans="1:1" x14ac:dyDescent="0.2">
      <c r="A382" s="19" t="s">
        <v>2882</v>
      </c>
    </row>
    <row r="383" spans="1:1" x14ac:dyDescent="0.2">
      <c r="A383" s="19" t="s">
        <v>2228</v>
      </c>
    </row>
    <row r="384" spans="1:1" x14ac:dyDescent="0.2">
      <c r="A384" s="19" t="s">
        <v>2885</v>
      </c>
    </row>
    <row r="385" spans="1:1" x14ac:dyDescent="0.2">
      <c r="A385" s="19" t="s">
        <v>3143</v>
      </c>
    </row>
    <row r="386" spans="1:1" x14ac:dyDescent="0.2">
      <c r="A386" s="19" t="s">
        <v>2886</v>
      </c>
    </row>
    <row r="387" spans="1:1" x14ac:dyDescent="0.2">
      <c r="A387" s="19" t="s">
        <v>3049</v>
      </c>
    </row>
    <row r="388" spans="1:1" x14ac:dyDescent="0.2">
      <c r="A388" s="19" t="s">
        <v>3051</v>
      </c>
    </row>
    <row r="389" spans="1:1" x14ac:dyDescent="0.2">
      <c r="A389" s="19" t="s">
        <v>2888</v>
      </c>
    </row>
    <row r="390" spans="1:1" x14ac:dyDescent="0.2">
      <c r="A390" s="19" t="s">
        <v>3144</v>
      </c>
    </row>
    <row r="391" spans="1:1" x14ac:dyDescent="0.2">
      <c r="A391" s="19" t="s">
        <v>1611</v>
      </c>
    </row>
    <row r="392" spans="1:1" x14ac:dyDescent="0.2">
      <c r="A392" s="19" t="s">
        <v>3145</v>
      </c>
    </row>
    <row r="393" spans="1:1" x14ac:dyDescent="0.2">
      <c r="A393" s="19" t="s">
        <v>3146</v>
      </c>
    </row>
    <row r="394" spans="1:1" x14ac:dyDescent="0.2">
      <c r="A394" s="19" t="s">
        <v>3147</v>
      </c>
    </row>
    <row r="395" spans="1:1" x14ac:dyDescent="0.2">
      <c r="A395" s="19" t="s">
        <v>3148</v>
      </c>
    </row>
    <row r="396" spans="1:1" x14ac:dyDescent="0.2">
      <c r="A396" s="19" t="s">
        <v>3149</v>
      </c>
    </row>
    <row r="397" spans="1:1" x14ac:dyDescent="0.2">
      <c r="A397" s="19" t="s">
        <v>2891</v>
      </c>
    </row>
    <row r="398" spans="1:1" x14ac:dyDescent="0.2">
      <c r="A398" s="19" t="s">
        <v>3150</v>
      </c>
    </row>
    <row r="399" spans="1:1" x14ac:dyDescent="0.2">
      <c r="A399" s="19" t="s">
        <v>3151</v>
      </c>
    </row>
    <row r="400" spans="1:1" x14ac:dyDescent="0.2">
      <c r="A400" s="19" t="s">
        <v>2893</v>
      </c>
    </row>
    <row r="401" spans="1:1" x14ac:dyDescent="0.2">
      <c r="A401" s="19" t="s">
        <v>2896</v>
      </c>
    </row>
    <row r="402" spans="1:1" x14ac:dyDescent="0.2">
      <c r="A402" s="19" t="s">
        <v>3152</v>
      </c>
    </row>
    <row r="403" spans="1:1" x14ac:dyDescent="0.2">
      <c r="A403" s="19" t="s">
        <v>2899</v>
      </c>
    </row>
    <row r="404" spans="1:1" x14ac:dyDescent="0.2">
      <c r="A404" s="19" t="s">
        <v>3153</v>
      </c>
    </row>
    <row r="405" spans="1:1" x14ac:dyDescent="0.2">
      <c r="A405" s="19" t="s">
        <v>3154</v>
      </c>
    </row>
    <row r="406" spans="1:1" x14ac:dyDescent="0.2">
      <c r="A406" s="19" t="s">
        <v>3155</v>
      </c>
    </row>
    <row r="407" spans="1:1" x14ac:dyDescent="0.2">
      <c r="A407" s="19" t="s">
        <v>3059</v>
      </c>
    </row>
    <row r="408" spans="1:1" x14ac:dyDescent="0.2">
      <c r="A408" s="19" t="s">
        <v>3156</v>
      </c>
    </row>
    <row r="409" spans="1:1" x14ac:dyDescent="0.2">
      <c r="A409" s="19" t="s">
        <v>3157</v>
      </c>
    </row>
    <row r="410" spans="1:1" x14ac:dyDescent="0.2">
      <c r="A410" s="19" t="s">
        <v>3158</v>
      </c>
    </row>
    <row r="411" spans="1:1" x14ac:dyDescent="0.2">
      <c r="A411" s="19" t="s">
        <v>3063</v>
      </c>
    </row>
    <row r="412" spans="1:1" x14ac:dyDescent="0.2">
      <c r="A412" s="19" t="s">
        <v>3159</v>
      </c>
    </row>
    <row r="413" spans="1:1" x14ac:dyDescent="0.2">
      <c r="A413" s="19" t="s">
        <v>3065</v>
      </c>
    </row>
    <row r="414" spans="1:1" x14ac:dyDescent="0.2">
      <c r="A414" s="19" t="s">
        <v>3066</v>
      </c>
    </row>
    <row r="415" spans="1:1" x14ac:dyDescent="0.2">
      <c r="A415" s="19" t="s">
        <v>3070</v>
      </c>
    </row>
    <row r="416" spans="1:1" x14ac:dyDescent="0.2">
      <c r="A416" s="19" t="s">
        <v>3160</v>
      </c>
    </row>
    <row r="417" spans="1:1" x14ac:dyDescent="0.2">
      <c r="A417" s="19" t="s">
        <v>3161</v>
      </c>
    </row>
    <row r="418" spans="1:1" x14ac:dyDescent="0.2">
      <c r="A418" s="19" t="s">
        <v>3162</v>
      </c>
    </row>
    <row r="419" spans="1:1" x14ac:dyDescent="0.2">
      <c r="A419" s="19" t="s">
        <v>2909</v>
      </c>
    </row>
    <row r="420" spans="1:1" x14ac:dyDescent="0.2">
      <c r="A420" s="19" t="s">
        <v>3163</v>
      </c>
    </row>
    <row r="421" spans="1:1" x14ac:dyDescent="0.2">
      <c r="A421" s="19" t="s">
        <v>3164</v>
      </c>
    </row>
    <row r="422" spans="1:1" x14ac:dyDescent="0.2">
      <c r="A422" s="19" t="s">
        <v>2262</v>
      </c>
    </row>
    <row r="423" spans="1:1" x14ac:dyDescent="0.2">
      <c r="A423" s="19" t="s">
        <v>3165</v>
      </c>
    </row>
    <row r="424" spans="1:1" x14ac:dyDescent="0.2">
      <c r="A424" s="19" t="s">
        <v>1710</v>
      </c>
    </row>
    <row r="425" spans="1:1" x14ac:dyDescent="0.2">
      <c r="A425" s="19" t="s">
        <v>3166</v>
      </c>
    </row>
    <row r="426" spans="1:1" x14ac:dyDescent="0.2">
      <c r="A426" s="19" t="s">
        <v>2915</v>
      </c>
    </row>
    <row r="427" spans="1:1" x14ac:dyDescent="0.2">
      <c r="A427" s="19" t="s">
        <v>2918</v>
      </c>
    </row>
    <row r="428" spans="1:1" x14ac:dyDescent="0.2">
      <c r="A428" s="19" t="s">
        <v>3167</v>
      </c>
    </row>
    <row r="429" spans="1:1" x14ac:dyDescent="0.2">
      <c r="A429" s="19" t="s">
        <v>3168</v>
      </c>
    </row>
    <row r="430" spans="1:1" x14ac:dyDescent="0.2">
      <c r="A430" s="19" t="s">
        <v>2928</v>
      </c>
    </row>
    <row r="431" spans="1:1" x14ac:dyDescent="0.2">
      <c r="A431" s="19" t="s">
        <v>1691</v>
      </c>
    </row>
    <row r="432" spans="1:1" x14ac:dyDescent="0.2">
      <c r="A432" s="19" t="s">
        <v>2266</v>
      </c>
    </row>
    <row r="433" spans="1:1" x14ac:dyDescent="0.2">
      <c r="A433" s="19" t="s">
        <v>3075</v>
      </c>
    </row>
    <row r="434" spans="1:1" x14ac:dyDescent="0.2">
      <c r="A434" s="19" t="s">
        <v>3169</v>
      </c>
    </row>
    <row r="435" spans="1:1" x14ac:dyDescent="0.2">
      <c r="A435" s="19" t="s">
        <v>3170</v>
      </c>
    </row>
    <row r="436" spans="1:1" x14ac:dyDescent="0.2">
      <c r="A436" s="19" t="s">
        <v>2931</v>
      </c>
    </row>
    <row r="437" spans="1:1" x14ac:dyDescent="0.2">
      <c r="A437" s="19" t="s">
        <v>2933</v>
      </c>
    </row>
    <row r="438" spans="1:1" x14ac:dyDescent="0.2">
      <c r="A438" s="19" t="s">
        <v>3171</v>
      </c>
    </row>
    <row r="439" spans="1:1" x14ac:dyDescent="0.2">
      <c r="A439" s="19" t="s">
        <v>3172</v>
      </c>
    </row>
    <row r="440" spans="1:1" x14ac:dyDescent="0.2">
      <c r="A440" s="19" t="s">
        <v>3173</v>
      </c>
    </row>
    <row r="441" spans="1:1" x14ac:dyDescent="0.2">
      <c r="A441" s="19" t="s">
        <v>1995</v>
      </c>
    </row>
    <row r="442" spans="1:1" x14ac:dyDescent="0.2">
      <c r="A442" s="19" t="s">
        <v>3174</v>
      </c>
    </row>
    <row r="443" spans="1:1" x14ac:dyDescent="0.2">
      <c r="A443" s="19" t="s">
        <v>3175</v>
      </c>
    </row>
    <row r="444" spans="1:1" x14ac:dyDescent="0.2">
      <c r="A444" s="19" t="s">
        <v>3176</v>
      </c>
    </row>
    <row r="445" spans="1:1" x14ac:dyDescent="0.2">
      <c r="A445" s="19" t="s">
        <v>3177</v>
      </c>
    </row>
    <row r="446" spans="1:1" x14ac:dyDescent="0.2">
      <c r="A446" s="19" t="s">
        <v>3178</v>
      </c>
    </row>
    <row r="447" spans="1:1" x14ac:dyDescent="0.2">
      <c r="A447" s="19" t="s">
        <v>3179</v>
      </c>
    </row>
    <row r="448" spans="1:1" x14ac:dyDescent="0.2">
      <c r="A448" s="19" t="s">
        <v>3077</v>
      </c>
    </row>
    <row r="449" spans="1:1" x14ac:dyDescent="0.2">
      <c r="A449" s="19" t="s">
        <v>2936</v>
      </c>
    </row>
    <row r="450" spans="1:1" x14ac:dyDescent="0.2">
      <c r="A450" s="19" t="s">
        <v>3180</v>
      </c>
    </row>
    <row r="451" spans="1:1" x14ac:dyDescent="0.2">
      <c r="A451" s="19" t="s">
        <v>3181</v>
      </c>
    </row>
    <row r="452" spans="1:1" x14ac:dyDescent="0.2">
      <c r="A452" s="19" t="s">
        <v>3182</v>
      </c>
    </row>
    <row r="453" spans="1:1" x14ac:dyDescent="0.2">
      <c r="A453" s="19" t="s">
        <v>2938</v>
      </c>
    </row>
    <row r="454" spans="1:1" x14ac:dyDescent="0.2">
      <c r="A454" s="19" t="s">
        <v>3081</v>
      </c>
    </row>
    <row r="455" spans="1:1" x14ac:dyDescent="0.2">
      <c r="A455" s="19" t="s">
        <v>3183</v>
      </c>
    </row>
    <row r="456" spans="1:1" x14ac:dyDescent="0.2">
      <c r="A456" s="19" t="s">
        <v>3082</v>
      </c>
    </row>
    <row r="457" spans="1:1" x14ac:dyDescent="0.2">
      <c r="A457" s="19" t="s">
        <v>2280</v>
      </c>
    </row>
    <row r="458" spans="1:1" x14ac:dyDescent="0.2">
      <c r="A458" s="19" t="s">
        <v>3184</v>
      </c>
    </row>
    <row r="459" spans="1:1" x14ac:dyDescent="0.2">
      <c r="A459" s="19" t="s">
        <v>3185</v>
      </c>
    </row>
    <row r="460" spans="1:1" x14ac:dyDescent="0.2">
      <c r="A460" s="19" t="s">
        <v>2940</v>
      </c>
    </row>
    <row r="461" spans="1:1" x14ac:dyDescent="0.2">
      <c r="A461" s="19" t="s">
        <v>3186</v>
      </c>
    </row>
    <row r="462" spans="1:1" x14ac:dyDescent="0.2">
      <c r="A462" s="19" t="s">
        <v>3084</v>
      </c>
    </row>
    <row r="463" spans="1:1" x14ac:dyDescent="0.2">
      <c r="A463" s="19" t="s">
        <v>2395</v>
      </c>
    </row>
    <row r="464" spans="1:1" x14ac:dyDescent="0.2">
      <c r="A464" s="19" t="s">
        <v>3187</v>
      </c>
    </row>
    <row r="465" spans="1:1" x14ac:dyDescent="0.2">
      <c r="A465" s="19" t="s">
        <v>3188</v>
      </c>
    </row>
    <row r="466" spans="1:1" x14ac:dyDescent="0.2">
      <c r="A466" s="19" t="s">
        <v>3189</v>
      </c>
    </row>
    <row r="467" spans="1:1" x14ac:dyDescent="0.2">
      <c r="A467" s="19" t="s">
        <v>1743</v>
      </c>
    </row>
    <row r="468" spans="1:1" x14ac:dyDescent="0.2">
      <c r="A468" s="19" t="s">
        <v>3085</v>
      </c>
    </row>
    <row r="469" spans="1:1" x14ac:dyDescent="0.2">
      <c r="A469" s="19" t="s">
        <v>2951</v>
      </c>
    </row>
    <row r="470" spans="1:1" x14ac:dyDescent="0.2">
      <c r="A470" s="19" t="s">
        <v>3190</v>
      </c>
    </row>
    <row r="471" spans="1:1" x14ac:dyDescent="0.2">
      <c r="A471" s="19" t="s">
        <v>2287</v>
      </c>
    </row>
    <row r="472" spans="1:1" x14ac:dyDescent="0.2">
      <c r="A472" s="19" t="s">
        <v>3191</v>
      </c>
    </row>
    <row r="473" spans="1:1" x14ac:dyDescent="0.2">
      <c r="A473" s="19" t="s">
        <v>1761</v>
      </c>
    </row>
    <row r="474" spans="1:1" x14ac:dyDescent="0.2">
      <c r="A474" s="19" t="s">
        <v>3192</v>
      </c>
    </row>
    <row r="475" spans="1:1" x14ac:dyDescent="0.2">
      <c r="A475" s="19" t="s">
        <v>3193</v>
      </c>
    </row>
    <row r="476" spans="1:1" x14ac:dyDescent="0.2">
      <c r="A476" s="19" t="s">
        <v>3194</v>
      </c>
    </row>
    <row r="477" spans="1:1" x14ac:dyDescent="0.2">
      <c r="A477" s="19" t="s">
        <v>3086</v>
      </c>
    </row>
    <row r="478" spans="1:1" x14ac:dyDescent="0.2">
      <c r="A478" s="19" t="s">
        <v>3088</v>
      </c>
    </row>
    <row r="479" spans="1:1" x14ac:dyDescent="0.2">
      <c r="A479" s="19" t="s">
        <v>3195</v>
      </c>
    </row>
    <row r="480" spans="1:1" x14ac:dyDescent="0.2">
      <c r="A480" s="19" t="s">
        <v>3196</v>
      </c>
    </row>
    <row r="481" spans="1:1" x14ac:dyDescent="0.2">
      <c r="A481" s="19" t="s">
        <v>3197</v>
      </c>
    </row>
    <row r="482" spans="1:1" x14ac:dyDescent="0.2">
      <c r="A482" s="19" t="s">
        <v>1808</v>
      </c>
    </row>
    <row r="483" spans="1:1" x14ac:dyDescent="0.2">
      <c r="A483" s="19" t="s">
        <v>1810</v>
      </c>
    </row>
    <row r="484" spans="1:1" x14ac:dyDescent="0.2">
      <c r="A484" s="19" t="s">
        <v>1812</v>
      </c>
    </row>
    <row r="485" spans="1:1" x14ac:dyDescent="0.2">
      <c r="A485" s="19" t="s">
        <v>3198</v>
      </c>
    </row>
    <row r="486" spans="1:1" x14ac:dyDescent="0.2">
      <c r="A486" s="19" t="s">
        <v>3199</v>
      </c>
    </row>
    <row r="487" spans="1:1" x14ac:dyDescent="0.2">
      <c r="A487" s="19" t="s">
        <v>1856</v>
      </c>
    </row>
    <row r="488" spans="1:1" x14ac:dyDescent="0.2">
      <c r="A488" s="19" t="s">
        <v>3200</v>
      </c>
    </row>
    <row r="489" spans="1:1" x14ac:dyDescent="0.2">
      <c r="A489" s="19" t="s">
        <v>3201</v>
      </c>
    </row>
    <row r="490" spans="1:1" x14ac:dyDescent="0.2">
      <c r="A490" s="19" t="s">
        <v>2962</v>
      </c>
    </row>
    <row r="491" spans="1:1" x14ac:dyDescent="0.2">
      <c r="A491" s="19" t="s">
        <v>2964</v>
      </c>
    </row>
    <row r="492" spans="1:1" x14ac:dyDescent="0.2">
      <c r="A492" s="19" t="s">
        <v>2967</v>
      </c>
    </row>
    <row r="493" spans="1:1" x14ac:dyDescent="0.2">
      <c r="A493" s="19" t="s">
        <v>3202</v>
      </c>
    </row>
    <row r="494" spans="1:1" x14ac:dyDescent="0.2">
      <c r="A494" s="19" t="s">
        <v>3203</v>
      </c>
    </row>
    <row r="495" spans="1:1" x14ac:dyDescent="0.2">
      <c r="A495" s="19" t="s">
        <v>3204</v>
      </c>
    </row>
    <row r="496" spans="1:1" x14ac:dyDescent="0.2">
      <c r="A496" s="19" t="s">
        <v>3205</v>
      </c>
    </row>
    <row r="497" spans="1:1" x14ac:dyDescent="0.2">
      <c r="A497" s="19" t="s">
        <v>3206</v>
      </c>
    </row>
    <row r="498" spans="1:1" x14ac:dyDescent="0.2">
      <c r="A498" s="19" t="s">
        <v>3207</v>
      </c>
    </row>
    <row r="499" spans="1:1" x14ac:dyDescent="0.2">
      <c r="A499" s="19" t="s">
        <v>141</v>
      </c>
    </row>
    <row r="500" spans="1:1" x14ac:dyDescent="0.2">
      <c r="A500" s="19" t="s">
        <v>143</v>
      </c>
    </row>
    <row r="501" spans="1:1" x14ac:dyDescent="0.2">
      <c r="A501" s="19" t="s">
        <v>148</v>
      </c>
    </row>
    <row r="502" spans="1:1" x14ac:dyDescent="0.2">
      <c r="A502" s="19" t="s">
        <v>150</v>
      </c>
    </row>
    <row r="503" spans="1:1" x14ac:dyDescent="0.2">
      <c r="A503" s="19" t="s">
        <v>1884</v>
      </c>
    </row>
    <row r="504" spans="1:1" x14ac:dyDescent="0.2">
      <c r="A504" s="19" t="s">
        <v>160</v>
      </c>
    </row>
    <row r="505" spans="1:1" x14ac:dyDescent="0.2">
      <c r="A505" s="19" t="s">
        <v>3208</v>
      </c>
    </row>
    <row r="506" spans="1:1" x14ac:dyDescent="0.2">
      <c r="A506" s="19" t="s">
        <v>3209</v>
      </c>
    </row>
    <row r="507" spans="1:1" x14ac:dyDescent="0.2">
      <c r="A507" s="19" t="s">
        <v>2969</v>
      </c>
    </row>
    <row r="508" spans="1:1" x14ac:dyDescent="0.2">
      <c r="A508" s="19" t="s">
        <v>3210</v>
      </c>
    </row>
    <row r="509" spans="1:1" x14ac:dyDescent="0.2">
      <c r="A509" s="19" t="s">
        <v>3211</v>
      </c>
    </row>
    <row r="510" spans="1:1" x14ac:dyDescent="0.2">
      <c r="A510" s="19" t="s">
        <v>3212</v>
      </c>
    </row>
    <row r="511" spans="1:1" x14ac:dyDescent="0.2">
      <c r="A511" s="19" t="s">
        <v>3213</v>
      </c>
    </row>
    <row r="512" spans="1:1" x14ac:dyDescent="0.2">
      <c r="A512" s="19" t="s">
        <v>3214</v>
      </c>
    </row>
    <row r="513" spans="1:1" x14ac:dyDescent="0.2">
      <c r="A513" s="19" t="s">
        <v>1905</v>
      </c>
    </row>
    <row r="514" spans="1:1" x14ac:dyDescent="0.2">
      <c r="A514" s="19" t="s">
        <v>2447</v>
      </c>
    </row>
    <row r="515" spans="1:1" x14ac:dyDescent="0.2">
      <c r="A515" s="19" t="s">
        <v>2035</v>
      </c>
    </row>
    <row r="516" spans="1:1" x14ac:dyDescent="0.2">
      <c r="A516" s="19" t="s">
        <v>1910</v>
      </c>
    </row>
    <row r="517" spans="1:1" x14ac:dyDescent="0.2">
      <c r="A517" s="19" t="s">
        <v>1914</v>
      </c>
    </row>
    <row r="518" spans="1:1" x14ac:dyDescent="0.2">
      <c r="A518" s="19" t="s">
        <v>1916</v>
      </c>
    </row>
    <row r="519" spans="1:1" x14ac:dyDescent="0.2">
      <c r="A519" s="19" t="s">
        <v>1918</v>
      </c>
    </row>
    <row r="520" spans="1:1" x14ac:dyDescent="0.2">
      <c r="A520" s="19" t="s">
        <v>1920</v>
      </c>
    </row>
    <row r="521" spans="1:1" x14ac:dyDescent="0.2">
      <c r="A521" s="19" t="s">
        <v>3215</v>
      </c>
    </row>
    <row r="522" spans="1:1" x14ac:dyDescent="0.2">
      <c r="A522" s="19" t="s">
        <v>3216</v>
      </c>
    </row>
    <row r="523" spans="1:1" x14ac:dyDescent="0.2">
      <c r="A523" s="19" t="s">
        <v>3217</v>
      </c>
    </row>
    <row r="524" spans="1:1" x14ac:dyDescent="0.2">
      <c r="A524" s="19" t="s">
        <v>3218</v>
      </c>
    </row>
    <row r="525" spans="1:1" x14ac:dyDescent="0.2">
      <c r="A525" s="19" t="s">
        <v>3219</v>
      </c>
    </row>
    <row r="526" spans="1:1" x14ac:dyDescent="0.2">
      <c r="A526" s="19" t="s">
        <v>2976</v>
      </c>
    </row>
    <row r="527" spans="1:1" x14ac:dyDescent="0.2">
      <c r="A527" s="19" t="s">
        <v>3220</v>
      </c>
    </row>
    <row r="528" spans="1:1" x14ac:dyDescent="0.2">
      <c r="A528" s="19" t="s">
        <v>3221</v>
      </c>
    </row>
    <row r="529" spans="1:1" x14ac:dyDescent="0.2">
      <c r="A529" s="19" t="s">
        <v>3222</v>
      </c>
    </row>
    <row r="530" spans="1:1" x14ac:dyDescent="0.2">
      <c r="A530" s="19" t="s">
        <v>3223</v>
      </c>
    </row>
    <row r="531" spans="1:1" x14ac:dyDescent="0.2">
      <c r="A531" s="19" t="s">
        <v>3093</v>
      </c>
    </row>
    <row r="532" spans="1:1" x14ac:dyDescent="0.2">
      <c r="A532" s="19" t="s">
        <v>3224</v>
      </c>
    </row>
    <row r="533" spans="1:1" x14ac:dyDescent="0.2">
      <c r="A533" s="19" t="s">
        <v>3225</v>
      </c>
    </row>
    <row r="534" spans="1:1" x14ac:dyDescent="0.2">
      <c r="A534" s="19" t="s">
        <v>2978</v>
      </c>
    </row>
    <row r="535" spans="1:1" x14ac:dyDescent="0.2">
      <c r="A535" s="19" t="s">
        <v>3226</v>
      </c>
    </row>
    <row r="536" spans="1:1" x14ac:dyDescent="0.2">
      <c r="A536" s="19" t="s">
        <v>3227</v>
      </c>
    </row>
    <row r="537" spans="1:1" x14ac:dyDescent="0.2">
      <c r="A537" s="19" t="s">
        <v>3228</v>
      </c>
    </row>
    <row r="538" spans="1:1" x14ac:dyDescent="0.2">
      <c r="A538" s="19" t="s">
        <v>3229</v>
      </c>
    </row>
    <row r="539" spans="1:1" x14ac:dyDescent="0.2">
      <c r="A539" s="19" t="s">
        <v>3230</v>
      </c>
    </row>
    <row r="540" spans="1:1" x14ac:dyDescent="0.2">
      <c r="A540" s="19" t="s">
        <v>3231</v>
      </c>
    </row>
    <row r="541" spans="1:1" x14ac:dyDescent="0.2">
      <c r="A541" s="19" t="s">
        <v>2983</v>
      </c>
    </row>
    <row r="542" spans="1:1" x14ac:dyDescent="0.2">
      <c r="A542" s="19" t="s">
        <v>3232</v>
      </c>
    </row>
    <row r="543" spans="1:1" x14ac:dyDescent="0.2">
      <c r="A543" s="19" t="s">
        <v>2422</v>
      </c>
    </row>
    <row r="544" spans="1:1" x14ac:dyDescent="0.2">
      <c r="A544" s="19" t="s">
        <v>3233</v>
      </c>
    </row>
    <row r="545" spans="1:1" x14ac:dyDescent="0.2">
      <c r="A545" s="19" t="s">
        <v>3234</v>
      </c>
    </row>
    <row r="546" spans="1:1" x14ac:dyDescent="0.2">
      <c r="A546" s="19" t="s">
        <v>2990</v>
      </c>
    </row>
    <row r="547" spans="1:1" x14ac:dyDescent="0.2">
      <c r="A547" s="19" t="s">
        <v>2424</v>
      </c>
    </row>
    <row r="548" spans="1:1" x14ac:dyDescent="0.2">
      <c r="A548" s="19" t="s">
        <v>3235</v>
      </c>
    </row>
    <row r="549" spans="1:1" x14ac:dyDescent="0.2">
      <c r="A549" s="19" t="s">
        <v>3236</v>
      </c>
    </row>
    <row r="550" spans="1:1" x14ac:dyDescent="0.2">
      <c r="A550" s="19" t="s">
        <v>3237</v>
      </c>
    </row>
    <row r="551" spans="1:1" x14ac:dyDescent="0.2">
      <c r="A551" s="19" t="s">
        <v>3238</v>
      </c>
    </row>
    <row r="552" spans="1:1" x14ac:dyDescent="0.2">
      <c r="A552" s="19" t="s">
        <v>3239</v>
      </c>
    </row>
    <row r="553" spans="1:1" x14ac:dyDescent="0.2">
      <c r="A553" s="19" t="s">
        <v>2313</v>
      </c>
    </row>
    <row r="554" spans="1:1" x14ac:dyDescent="0.2">
      <c r="A554" s="19" t="s">
        <v>2317</v>
      </c>
    </row>
    <row r="555" spans="1:1" x14ac:dyDescent="0.2">
      <c r="A555" s="19" t="s">
        <v>3240</v>
      </c>
    </row>
    <row r="556" spans="1:1" x14ac:dyDescent="0.2">
      <c r="A556" s="19" t="s">
        <v>2998</v>
      </c>
    </row>
    <row r="557" spans="1:1" x14ac:dyDescent="0.2">
      <c r="A557" s="19" t="s">
        <v>2429</v>
      </c>
    </row>
    <row r="558" spans="1:1" x14ac:dyDescent="0.2">
      <c r="A558" s="19" t="s">
        <v>3241</v>
      </c>
    </row>
    <row r="559" spans="1:1" x14ac:dyDescent="0.2">
      <c r="A559" s="19" t="s">
        <v>3242</v>
      </c>
    </row>
    <row r="560" spans="1:1" x14ac:dyDescent="0.2">
      <c r="A560" s="19" t="s">
        <v>3000</v>
      </c>
    </row>
    <row r="561" spans="1:1" x14ac:dyDescent="0.2">
      <c r="A561" s="19" t="s">
        <v>1930</v>
      </c>
    </row>
    <row r="562" spans="1:1" x14ac:dyDescent="0.2">
      <c r="A562" s="19" t="s">
        <v>3243</v>
      </c>
    </row>
    <row r="563" spans="1:1" x14ac:dyDescent="0.2">
      <c r="A563" s="19" t="s">
        <v>3244</v>
      </c>
    </row>
    <row r="564" spans="1:1" x14ac:dyDescent="0.2">
      <c r="A564" s="19" t="s">
        <v>3245</v>
      </c>
    </row>
    <row r="565" spans="1:1" x14ac:dyDescent="0.2">
      <c r="A565" s="19" t="s">
        <v>3246</v>
      </c>
    </row>
    <row r="566" spans="1:1" x14ac:dyDescent="0.2">
      <c r="A566" s="19" t="s">
        <v>3247</v>
      </c>
    </row>
    <row r="567" spans="1:1" x14ac:dyDescent="0.2">
      <c r="A567" s="19" t="s">
        <v>3248</v>
      </c>
    </row>
    <row r="568" spans="1:1" x14ac:dyDescent="0.2">
      <c r="A568" s="19" t="s">
        <v>3249</v>
      </c>
    </row>
    <row r="569" spans="1:1" x14ac:dyDescent="0.2">
      <c r="A569" s="19" t="s">
        <v>3250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 S1</vt:lpstr>
      <vt:lpstr>Reads_minimap_kaiju</vt:lpstr>
      <vt:lpstr>Reads_species_NMDS</vt:lpstr>
      <vt:lpstr>Reads_venn</vt:lpstr>
      <vt:lpstr>Reads_phylum</vt:lpstr>
      <vt:lpstr>NCBI_colony</vt:lpstr>
      <vt:lpstr>NCBI_H</vt:lpstr>
      <vt:lpstr>NCBI_G</vt:lpstr>
      <vt:lpstr>NCBI_T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Yuan, Jing</dc:creator>
  <cp:keywords/>
  <dc:description/>
  <cp:lastModifiedBy>Yuan, Jing</cp:lastModifiedBy>
  <cp:revision/>
  <dcterms:created xsi:type="dcterms:W3CDTF">2025-12-29T15:51:46Z</dcterms:created>
  <dcterms:modified xsi:type="dcterms:W3CDTF">2026-06-23T20:06:04Z</dcterms:modified>
  <cp:category/>
  <cp:contentStatus/>
</cp:coreProperties>
</file>